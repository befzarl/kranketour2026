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DieseArbeitsmappe" defaultThemeVersion="166925"/>
  <mc:AlternateContent xmlns:mc="http://schemas.openxmlformats.org/markup-compatibility/2006">
    <mc:Choice Requires="x15">
      <x15ac:absPath xmlns:x15ac="http://schemas.microsoft.com/office/spreadsheetml/2010/11/ac" url="https://dbsw-my.sharepoint.com/personal/benedikt_zarl_deutschebahn_com/Documents/Dokumente/Kranke Tour/2026/"/>
    </mc:Choice>
  </mc:AlternateContent>
  <xr:revisionPtr revIDLastSave="0" documentId="8_{A4232775-3F69-434A-8EA9-64671B749463}" xr6:coauthVersionLast="47" xr6:coauthVersionMax="47" xr10:uidLastSave="{00000000-0000-0000-0000-000000000000}"/>
  <bookViews>
    <workbookView xWindow="-120" yWindow="-120" windowWidth="29040" windowHeight="15720" firstSheet="2" activeTab="6" xr2:uid="{6BCCF045-4C30-4187-99A8-6D2AF054E520}"/>
  </bookViews>
  <sheets>
    <sheet name="Logbuch 2026 befüllt" sheetId="22" state="hidden" r:id="rId1"/>
    <sheet name="Ziehung 2025" sheetId="9" state="hidden" r:id="rId2"/>
    <sheet name="Logbuch 2026" sheetId="21" r:id="rId3"/>
    <sheet name="Ziehung 2026" sheetId="26" r:id="rId4"/>
    <sheet name="Automat" sheetId="23" r:id="rId5"/>
    <sheet name="Hafas" sheetId="3" r:id="rId6"/>
    <sheet name="Lose" sheetId="24" r:id="rId7"/>
    <sheet name="Parameter" sheetId="25" r:id="rId8"/>
    <sheet name="Teilnehmerliste 2026" sheetId="17" state="hidden" r:id="rId9"/>
  </sheets>
  <definedNames>
    <definedName name="_xlnm._FilterDatabase" localSheetId="5" hidden="1">Hafas!$A$1:$E$7635</definedName>
    <definedName name="_xlnm._FilterDatabase" localSheetId="1" hidden="1">'Ziehung 2025'!$A$1:$N$324</definedName>
    <definedName name="Info" localSheetId="2">'Logbuch 2026'!$AA$2:$AA$10</definedName>
    <definedName name="Los" localSheetId="2">'Logbuch 2026'!$Z$2:$Z$4</definedName>
    <definedName name="LosID">'Logbuch 2026'!$AE$1:$AE$300</definedName>
    <definedName name="Transport" localSheetId="2">'Logbuch 2026'!$Y$2:$Y$3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3" i="24" l="1"/>
  <c r="M384" i="24"/>
  <c r="L383" i="24"/>
  <c r="K383" i="24" l="1" a="1"/>
  <c r="K383" i="24" s="1"/>
  <c r="N126" i="24" l="1"/>
  <c r="N127" i="24"/>
  <c r="N134" i="24"/>
  <c r="N135" i="24"/>
  <c r="N141" i="24"/>
  <c r="N142" i="24"/>
  <c r="N143" i="24"/>
  <c r="N150" i="24"/>
  <c r="N151" i="24"/>
  <c r="N158" i="24"/>
  <c r="N159" i="24"/>
  <c r="N166" i="24"/>
  <c r="N167" i="24"/>
  <c r="N173" i="24"/>
  <c r="N174" i="24"/>
  <c r="N175" i="24"/>
  <c r="N182" i="24"/>
  <c r="N183" i="24"/>
  <c r="N190" i="24"/>
  <c r="N191" i="24"/>
  <c r="N198" i="24"/>
  <c r="N199" i="24"/>
  <c r="N205" i="24"/>
  <c r="N206" i="24"/>
  <c r="N207" i="24"/>
  <c r="N214" i="24"/>
  <c r="N215" i="24"/>
  <c r="N222" i="24"/>
  <c r="N223" i="24"/>
  <c r="N230" i="24"/>
  <c r="N231" i="24"/>
  <c r="N237" i="24"/>
  <c r="N238" i="24"/>
  <c r="N239" i="24"/>
  <c r="N246" i="24"/>
  <c r="N247" i="24"/>
  <c r="N254" i="24"/>
  <c r="N255" i="24"/>
  <c r="N262" i="24"/>
  <c r="N263" i="24"/>
  <c r="N269" i="24"/>
  <c r="N270" i="24"/>
  <c r="N271" i="24"/>
  <c r="N278" i="24"/>
  <c r="N279" i="24"/>
  <c r="N286" i="24"/>
  <c r="N287" i="24"/>
  <c r="N294" i="24"/>
  <c r="N295" i="24"/>
  <c r="N301" i="24"/>
  <c r="N302" i="24"/>
  <c r="N303" i="24"/>
  <c r="N310" i="24"/>
  <c r="N311" i="24"/>
  <c r="N318" i="24"/>
  <c r="N319" i="24"/>
  <c r="N326" i="24"/>
  <c r="N327" i="24"/>
  <c r="N333" i="24"/>
  <c r="N334" i="24"/>
  <c r="N335" i="24"/>
  <c r="N341" i="24"/>
  <c r="N342" i="24"/>
  <c r="N343" i="24"/>
  <c r="N350" i="24"/>
  <c r="N351" i="24"/>
  <c r="N358" i="24"/>
  <c r="N366" i="24"/>
  <c r="N374" i="24"/>
  <c r="N382" i="24"/>
  <c r="N389" i="24"/>
  <c r="N390" i="24"/>
  <c r="N391" i="24"/>
  <c r="N397" i="24"/>
  <c r="N398" i="24"/>
  <c r="N399" i="24"/>
  <c r="N405" i="24"/>
  <c r="N406" i="24"/>
  <c r="N407" i="24"/>
  <c r="N414" i="24"/>
  <c r="N415" i="24"/>
  <c r="N422" i="24"/>
  <c r="N430" i="24"/>
  <c r="N438" i="24"/>
  <c r="N446" i="24"/>
  <c r="N453" i="24"/>
  <c r="N454" i="24"/>
  <c r="N455" i="24"/>
  <c r="N461" i="24"/>
  <c r="N462" i="24"/>
  <c r="N463" i="24"/>
  <c r="N469" i="24"/>
  <c r="N470" i="24"/>
  <c r="N471" i="24"/>
  <c r="N478" i="24"/>
  <c r="N479" i="24"/>
  <c r="N486" i="24"/>
  <c r="N494" i="24"/>
  <c r="N502" i="24"/>
  <c r="N510" i="24"/>
  <c r="N517" i="24"/>
  <c r="N518" i="24"/>
  <c r="N519" i="24"/>
  <c r="N525" i="24"/>
  <c r="N526" i="24"/>
  <c r="N527" i="24"/>
  <c r="N533" i="24"/>
  <c r="N534" i="24"/>
  <c r="N535" i="24"/>
  <c r="N542" i="24"/>
  <c r="N543" i="24"/>
  <c r="N550" i="24"/>
  <c r="N558" i="24"/>
  <c r="N566" i="24"/>
  <c r="N574" i="24"/>
  <c r="N581" i="24"/>
  <c r="N582" i="24"/>
  <c r="N583" i="24"/>
  <c r="N589" i="24"/>
  <c r="N590" i="24"/>
  <c r="N591" i="24"/>
  <c r="N2" i="24"/>
  <c r="N3" i="24"/>
  <c r="N4" i="24"/>
  <c r="N5" i="24"/>
  <c r="N6" i="24"/>
  <c r="N7" i="24"/>
  <c r="N8" i="24"/>
  <c r="N9" i="24"/>
  <c r="N10" i="24"/>
  <c r="N11" i="24"/>
  <c r="N12" i="24"/>
  <c r="N13" i="24"/>
  <c r="N14" i="24"/>
  <c r="N15" i="24"/>
  <c r="N16" i="24"/>
  <c r="N17" i="24"/>
  <c r="N18" i="24"/>
  <c r="N19" i="24"/>
  <c r="N20" i="24"/>
  <c r="N21" i="24"/>
  <c r="N22" i="24"/>
  <c r="N23" i="24"/>
  <c r="N24" i="24"/>
  <c r="N25" i="24"/>
  <c r="N26" i="24"/>
  <c r="N27" i="24"/>
  <c r="N28" i="24"/>
  <c r="N29" i="24"/>
  <c r="N30" i="24"/>
  <c r="N31" i="24"/>
  <c r="N32" i="24"/>
  <c r="N33" i="24"/>
  <c r="N34" i="24"/>
  <c r="N35" i="24"/>
  <c r="N36" i="24"/>
  <c r="N37" i="24"/>
  <c r="N38" i="24"/>
  <c r="N39" i="24"/>
  <c r="N40" i="24"/>
  <c r="N41" i="24"/>
  <c r="N42" i="24"/>
  <c r="N43" i="24"/>
  <c r="N44" i="24"/>
  <c r="N45" i="24"/>
  <c r="N46" i="24"/>
  <c r="N47" i="24"/>
  <c r="N48" i="24"/>
  <c r="N49" i="24"/>
  <c r="N50" i="24"/>
  <c r="N51" i="24"/>
  <c r="N52" i="24"/>
  <c r="N53" i="24"/>
  <c r="N54" i="24"/>
  <c r="N55" i="24"/>
  <c r="N56" i="24"/>
  <c r="N57" i="24"/>
  <c r="N58" i="24"/>
  <c r="N59" i="24"/>
  <c r="N60" i="24"/>
  <c r="N61" i="24"/>
  <c r="N62" i="24"/>
  <c r="N63" i="24"/>
  <c r="N64" i="24"/>
  <c r="N65" i="24"/>
  <c r="N66" i="24"/>
  <c r="N67" i="24"/>
  <c r="N68" i="24"/>
  <c r="N69" i="24"/>
  <c r="N70" i="24"/>
  <c r="N71" i="24"/>
  <c r="N72" i="24"/>
  <c r="N73" i="24"/>
  <c r="N74" i="24"/>
  <c r="N75" i="24"/>
  <c r="N76" i="24"/>
  <c r="N77" i="24"/>
  <c r="N78" i="24"/>
  <c r="N79" i="24"/>
  <c r="N80" i="24"/>
  <c r="N81" i="24"/>
  <c r="N82" i="24"/>
  <c r="N83" i="24"/>
  <c r="N84" i="24"/>
  <c r="N85" i="24"/>
  <c r="N86" i="24"/>
  <c r="N87" i="24"/>
  <c r="N88" i="24"/>
  <c r="N89" i="24"/>
  <c r="N90" i="24"/>
  <c r="N91" i="24"/>
  <c r="N92" i="24"/>
  <c r="N93" i="24"/>
  <c r="N94" i="24"/>
  <c r="N95" i="24"/>
  <c r="N96" i="24"/>
  <c r="N97" i="24"/>
  <c r="N98" i="24"/>
  <c r="N99" i="24"/>
  <c r="N100" i="24"/>
  <c r="N101" i="24"/>
  <c r="N102" i="24"/>
  <c r="N103" i="24"/>
  <c r="N104" i="24"/>
  <c r="N105" i="24"/>
  <c r="N106" i="24"/>
  <c r="N107" i="24"/>
  <c r="N108" i="24"/>
  <c r="N109" i="24"/>
  <c r="N110" i="24"/>
  <c r="N111" i="24"/>
  <c r="N112" i="24"/>
  <c r="N113" i="24"/>
  <c r="N114" i="24"/>
  <c r="N115" i="24"/>
  <c r="N116" i="24"/>
  <c r="N117" i="24"/>
  <c r="N118" i="24"/>
  <c r="N119" i="24"/>
  <c r="N120" i="24"/>
  <c r="N121" i="24"/>
  <c r="N122" i="24"/>
  <c r="N123" i="24"/>
  <c r="N124" i="24"/>
  <c r="N125" i="24"/>
  <c r="N128" i="24"/>
  <c r="N129" i="24"/>
  <c r="N130" i="24"/>
  <c r="N131" i="24"/>
  <c r="N132" i="24"/>
  <c r="N133" i="24"/>
  <c r="N136" i="24"/>
  <c r="N137" i="24"/>
  <c r="N138" i="24"/>
  <c r="N139" i="24"/>
  <c r="N140" i="24"/>
  <c r="N144" i="24"/>
  <c r="N145" i="24"/>
  <c r="N146" i="24"/>
  <c r="N147" i="24"/>
  <c r="N148" i="24"/>
  <c r="N149" i="24"/>
  <c r="N152" i="24"/>
  <c r="N153" i="24"/>
  <c r="N154" i="24"/>
  <c r="N155" i="24"/>
  <c r="N156" i="24"/>
  <c r="N157" i="24"/>
  <c r="N160" i="24"/>
  <c r="N161" i="24"/>
  <c r="N162" i="24"/>
  <c r="N163" i="24"/>
  <c r="N164" i="24"/>
  <c r="N165" i="24"/>
  <c r="N168" i="24"/>
  <c r="N169" i="24"/>
  <c r="N170" i="24"/>
  <c r="N171" i="24"/>
  <c r="N172" i="24"/>
  <c r="N176" i="24"/>
  <c r="N177" i="24"/>
  <c r="N178" i="24"/>
  <c r="N179" i="24"/>
  <c r="N180" i="24"/>
  <c r="N181" i="24"/>
  <c r="N184" i="24"/>
  <c r="N185" i="24"/>
  <c r="N186" i="24"/>
  <c r="N187" i="24"/>
  <c r="N188" i="24"/>
  <c r="N189" i="24"/>
  <c r="N192" i="24"/>
  <c r="N193" i="24"/>
  <c r="N194" i="24"/>
  <c r="N195" i="24"/>
  <c r="N196" i="24"/>
  <c r="N197" i="24"/>
  <c r="N200" i="24"/>
  <c r="N201" i="24"/>
  <c r="N202" i="24"/>
  <c r="N203" i="24"/>
  <c r="N204" i="24"/>
  <c r="N208" i="24"/>
  <c r="N209" i="24"/>
  <c r="N210" i="24"/>
  <c r="N211" i="24"/>
  <c r="N212" i="24"/>
  <c r="N213" i="24"/>
  <c r="N216" i="24"/>
  <c r="N217" i="24"/>
  <c r="N218" i="24"/>
  <c r="N219" i="24"/>
  <c r="N220" i="24"/>
  <c r="N221" i="24"/>
  <c r="N224" i="24"/>
  <c r="N225" i="24"/>
  <c r="N226" i="24"/>
  <c r="N227" i="24"/>
  <c r="N228" i="24"/>
  <c r="N229" i="24"/>
  <c r="N232" i="24"/>
  <c r="N233" i="24"/>
  <c r="N234" i="24"/>
  <c r="N235" i="24"/>
  <c r="N236" i="24"/>
  <c r="N240" i="24"/>
  <c r="N241" i="24"/>
  <c r="N242" i="24"/>
  <c r="N243" i="24"/>
  <c r="N244" i="24"/>
  <c r="N245" i="24"/>
  <c r="N248" i="24"/>
  <c r="N249" i="24"/>
  <c r="N250" i="24"/>
  <c r="N251" i="24"/>
  <c r="N252" i="24"/>
  <c r="N253" i="24"/>
  <c r="N256" i="24"/>
  <c r="N257" i="24"/>
  <c r="N258" i="24"/>
  <c r="N259" i="24"/>
  <c r="N260" i="24"/>
  <c r="N261" i="24"/>
  <c r="N264" i="24"/>
  <c r="N265" i="24"/>
  <c r="N266" i="24"/>
  <c r="N267" i="24"/>
  <c r="N268" i="24"/>
  <c r="N272" i="24"/>
  <c r="N273" i="24"/>
  <c r="N274" i="24"/>
  <c r="N275" i="24"/>
  <c r="N276" i="24"/>
  <c r="N277" i="24"/>
  <c r="N280" i="24"/>
  <c r="N281" i="24"/>
  <c r="N282" i="24"/>
  <c r="N283" i="24"/>
  <c r="N284" i="24"/>
  <c r="N285" i="24"/>
  <c r="N288" i="24"/>
  <c r="N289" i="24"/>
  <c r="N290" i="24"/>
  <c r="N291" i="24"/>
  <c r="N292" i="24"/>
  <c r="N293" i="24"/>
  <c r="N296" i="24"/>
  <c r="N297" i="24"/>
  <c r="N298" i="24"/>
  <c r="N299" i="24"/>
  <c r="N300" i="24"/>
  <c r="N304" i="24"/>
  <c r="N305" i="24"/>
  <c r="N306" i="24"/>
  <c r="N307" i="24"/>
  <c r="N308" i="24"/>
  <c r="N309" i="24"/>
  <c r="N312" i="24"/>
  <c r="N313" i="24"/>
  <c r="N314" i="24"/>
  <c r="N315" i="24"/>
  <c r="N316" i="24"/>
  <c r="N317" i="24"/>
  <c r="N320" i="24"/>
  <c r="N321" i="24"/>
  <c r="N322" i="24"/>
  <c r="N323" i="24"/>
  <c r="N324" i="24"/>
  <c r="N325" i="24"/>
  <c r="N328" i="24"/>
  <c r="N329" i="24"/>
  <c r="N330" i="24"/>
  <c r="N331" i="24"/>
  <c r="N332" i="24"/>
  <c r="N336" i="24"/>
  <c r="N337" i="24"/>
  <c r="N338" i="24"/>
  <c r="N339" i="24"/>
  <c r="N340" i="24"/>
  <c r="N344" i="24"/>
  <c r="N345" i="24"/>
  <c r="N346" i="24"/>
  <c r="N347" i="24"/>
  <c r="N348" i="24"/>
  <c r="N349" i="24"/>
  <c r="N352" i="24"/>
  <c r="N353" i="24"/>
  <c r="N354" i="24"/>
  <c r="N355" i="24"/>
  <c r="N356" i="24"/>
  <c r="N357" i="24"/>
  <c r="N359" i="24"/>
  <c r="N360" i="24"/>
  <c r="N361" i="24"/>
  <c r="N362" i="24"/>
  <c r="N363" i="24"/>
  <c r="N364" i="24"/>
  <c r="N365" i="24"/>
  <c r="N367" i="24"/>
  <c r="N368" i="24"/>
  <c r="N369" i="24"/>
  <c r="N370" i="24"/>
  <c r="N371" i="24"/>
  <c r="N372" i="24"/>
  <c r="N373" i="24"/>
  <c r="N375" i="24"/>
  <c r="N376" i="24"/>
  <c r="N377" i="24"/>
  <c r="N378" i="24"/>
  <c r="N379" i="24"/>
  <c r="N380" i="24"/>
  <c r="N381" i="24"/>
  <c r="N383" i="24"/>
  <c r="N384" i="24"/>
  <c r="N385" i="24"/>
  <c r="N386" i="24"/>
  <c r="N387" i="24"/>
  <c r="N388" i="24"/>
  <c r="N392" i="24"/>
  <c r="N393" i="24"/>
  <c r="N394" i="24"/>
  <c r="N395" i="24"/>
  <c r="N396" i="24"/>
  <c r="N400" i="24"/>
  <c r="N401" i="24"/>
  <c r="N402" i="24"/>
  <c r="N403" i="24"/>
  <c r="N404" i="24"/>
  <c r="N408" i="24"/>
  <c r="N409" i="24"/>
  <c r="N410" i="24"/>
  <c r="N411" i="24"/>
  <c r="N412" i="24"/>
  <c r="N413" i="24"/>
  <c r="N416" i="24"/>
  <c r="N417" i="24"/>
  <c r="N418" i="24"/>
  <c r="N419" i="24"/>
  <c r="N420" i="24"/>
  <c r="N421" i="24"/>
  <c r="N423" i="24"/>
  <c r="N424" i="24"/>
  <c r="N425" i="24"/>
  <c r="N426" i="24"/>
  <c r="N427" i="24"/>
  <c r="N428" i="24"/>
  <c r="N429" i="24"/>
  <c r="N431" i="24"/>
  <c r="N432" i="24"/>
  <c r="N433" i="24"/>
  <c r="N434" i="24"/>
  <c r="N435" i="24"/>
  <c r="N436" i="24"/>
  <c r="N437" i="24"/>
  <c r="N439" i="24"/>
  <c r="N440" i="24"/>
  <c r="N441" i="24"/>
  <c r="N442" i="24"/>
  <c r="N443" i="24"/>
  <c r="N444" i="24"/>
  <c r="N445" i="24"/>
  <c r="N447" i="24"/>
  <c r="N448" i="24"/>
  <c r="N449" i="24"/>
  <c r="N450" i="24"/>
  <c r="N451" i="24"/>
  <c r="N452" i="24"/>
  <c r="N456" i="24"/>
  <c r="N457" i="24"/>
  <c r="N458" i="24"/>
  <c r="N459" i="24"/>
  <c r="N460" i="24"/>
  <c r="N464" i="24"/>
  <c r="N465" i="24"/>
  <c r="N466" i="24"/>
  <c r="N467" i="24"/>
  <c r="N468" i="24"/>
  <c r="N472" i="24"/>
  <c r="N473" i="24"/>
  <c r="N474" i="24"/>
  <c r="N475" i="24"/>
  <c r="N476" i="24"/>
  <c r="N477" i="24"/>
  <c r="N480" i="24"/>
  <c r="N481" i="24"/>
  <c r="N482" i="24"/>
  <c r="N483" i="24"/>
  <c r="N484" i="24"/>
  <c r="N485" i="24"/>
  <c r="N487" i="24"/>
  <c r="N488" i="24"/>
  <c r="N489" i="24"/>
  <c r="N490" i="24"/>
  <c r="N491" i="24"/>
  <c r="N492" i="24"/>
  <c r="N493" i="24"/>
  <c r="N495" i="24"/>
  <c r="N496" i="24"/>
  <c r="N497" i="24"/>
  <c r="N498" i="24"/>
  <c r="N499" i="24"/>
  <c r="N500" i="24"/>
  <c r="N501" i="24"/>
  <c r="N503" i="24"/>
  <c r="N504" i="24"/>
  <c r="N505" i="24"/>
  <c r="N506" i="24"/>
  <c r="N507" i="24"/>
  <c r="N508" i="24"/>
  <c r="N509" i="24"/>
  <c r="N511" i="24"/>
  <c r="N512" i="24"/>
  <c r="N513" i="24"/>
  <c r="N514" i="24"/>
  <c r="N515" i="24"/>
  <c r="N516" i="24"/>
  <c r="N520" i="24"/>
  <c r="N521" i="24"/>
  <c r="N522" i="24"/>
  <c r="N523" i="24"/>
  <c r="N524" i="24"/>
  <c r="N528" i="24"/>
  <c r="N529" i="24"/>
  <c r="N530" i="24"/>
  <c r="N531" i="24"/>
  <c r="N532" i="24"/>
  <c r="N536" i="24"/>
  <c r="N537" i="24"/>
  <c r="N538" i="24"/>
  <c r="N539" i="24"/>
  <c r="N540" i="24"/>
  <c r="N541" i="24"/>
  <c r="N544" i="24"/>
  <c r="N545" i="24"/>
  <c r="N546" i="24"/>
  <c r="N547" i="24"/>
  <c r="N548" i="24"/>
  <c r="N549" i="24"/>
  <c r="N551" i="24"/>
  <c r="N552" i="24"/>
  <c r="N553" i="24"/>
  <c r="N554" i="24"/>
  <c r="N555" i="24"/>
  <c r="N556" i="24"/>
  <c r="N557" i="24"/>
  <c r="N559" i="24"/>
  <c r="N560" i="24"/>
  <c r="N561" i="24"/>
  <c r="N562" i="24"/>
  <c r="N563" i="24"/>
  <c r="N564" i="24"/>
  <c r="N565" i="24"/>
  <c r="N567" i="24"/>
  <c r="N568" i="24"/>
  <c r="N569" i="24"/>
  <c r="N570" i="24"/>
  <c r="N571" i="24"/>
  <c r="N572" i="24"/>
  <c r="N573" i="24"/>
  <c r="N575" i="24"/>
  <c r="N576" i="24"/>
  <c r="N577" i="24"/>
  <c r="N578" i="24"/>
  <c r="N579" i="24"/>
  <c r="N580" i="24"/>
  <c r="N584" i="24"/>
  <c r="N585" i="24"/>
  <c r="N586" i="24"/>
  <c r="N587" i="24"/>
  <c r="N588" i="24"/>
  <c r="N592" i="24"/>
  <c r="N593" i="24"/>
  <c r="N594" i="24"/>
  <c r="N595" i="24"/>
  <c r="A594" i="24"/>
  <c r="L382" i="24" l="1"/>
  <c r="L381" i="24"/>
  <c r="M381" i="24"/>
  <c r="O381" i="24"/>
  <c r="M64" i="24" l="1"/>
  <c r="L64" i="24"/>
  <c r="L335" i="24"/>
  <c r="M335" i="24"/>
  <c r="O191" i="24"/>
  <c r="K64" i="24" l="1" a="1"/>
  <c r="K64" i="24" s="1"/>
  <c r="K335" i="24" a="1"/>
  <c r="K335" i="24" s="1"/>
  <c r="L206" i="24"/>
  <c r="M206" i="24"/>
  <c r="O143" i="24"/>
  <c r="L143" i="24"/>
  <c r="M143" i="24"/>
  <c r="K143" i="24" l="1" a="1"/>
  <c r="K143" i="24" s="1"/>
  <c r="K206" i="24" a="1"/>
  <c r="L60" i="24"/>
  <c r="M60" i="24"/>
  <c r="M57" i="24"/>
  <c r="L57" i="24"/>
  <c r="L56" i="24"/>
  <c r="M56" i="24"/>
  <c r="O42" i="24"/>
  <c r="L249" i="24"/>
  <c r="M510" i="24"/>
  <c r="M418" i="24"/>
  <c r="M417" i="24"/>
  <c r="M291" i="24"/>
  <c r="M223" i="24"/>
  <c r="M171" i="24"/>
  <c r="M87" i="24"/>
  <c r="M86" i="24"/>
  <c r="M11" i="24"/>
  <c r="L510" i="24"/>
  <c r="L418" i="24"/>
  <c r="L417" i="24"/>
  <c r="L291" i="24"/>
  <c r="L223" i="24"/>
  <c r="L171" i="24"/>
  <c r="L87" i="24"/>
  <c r="L86" i="24"/>
  <c r="L11" i="24"/>
  <c r="M551" i="24"/>
  <c r="L551" i="24"/>
  <c r="L535"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3" i="24"/>
  <c r="O44" i="24"/>
  <c r="O45" i="24"/>
  <c r="O46" i="24"/>
  <c r="O47" i="24"/>
  <c r="O48" i="24"/>
  <c r="O49" i="24"/>
  <c r="O50" i="24"/>
  <c r="O51" i="24"/>
  <c r="O52" i="24"/>
  <c r="O53" i="24"/>
  <c r="O54" i="24"/>
  <c r="O55" i="24"/>
  <c r="O56" i="24"/>
  <c r="O57" i="24"/>
  <c r="O58" i="24"/>
  <c r="O59" i="24"/>
  <c r="O60" i="24"/>
  <c r="O61" i="24"/>
  <c r="O62" i="24"/>
  <c r="O63" i="24"/>
  <c r="O64" i="24"/>
  <c r="O65" i="24"/>
  <c r="O66" i="24"/>
  <c r="O67" i="24"/>
  <c r="O68" i="24"/>
  <c r="O69" i="24"/>
  <c r="O70" i="24"/>
  <c r="O71" i="24"/>
  <c r="O72" i="24"/>
  <c r="O73" i="24"/>
  <c r="O74" i="24"/>
  <c r="O75" i="24"/>
  <c r="O76" i="24"/>
  <c r="O77" i="24"/>
  <c r="O78" i="24"/>
  <c r="O79" i="24"/>
  <c r="O80" i="24"/>
  <c r="O81" i="24"/>
  <c r="O82" i="24"/>
  <c r="O83" i="24"/>
  <c r="O84" i="24"/>
  <c r="O85" i="24"/>
  <c r="O86" i="24"/>
  <c r="O87" i="24"/>
  <c r="O88" i="24"/>
  <c r="O89" i="24"/>
  <c r="O90" i="24"/>
  <c r="O91" i="24"/>
  <c r="O92" i="24"/>
  <c r="O93" i="24"/>
  <c r="O94" i="24"/>
  <c r="O95" i="24"/>
  <c r="O96" i="24"/>
  <c r="O97" i="24"/>
  <c r="O98" i="24"/>
  <c r="O99" i="24"/>
  <c r="O100" i="24"/>
  <c r="O101" i="24"/>
  <c r="O102" i="24"/>
  <c r="O103" i="24"/>
  <c r="O104" i="24"/>
  <c r="O105" i="24"/>
  <c r="O106" i="24"/>
  <c r="O107" i="24"/>
  <c r="O108" i="24"/>
  <c r="O109" i="24"/>
  <c r="O110" i="24"/>
  <c r="O111" i="24"/>
  <c r="O112" i="24"/>
  <c r="O113" i="24"/>
  <c r="O114" i="24"/>
  <c r="O115" i="24"/>
  <c r="O116" i="24"/>
  <c r="O117" i="24"/>
  <c r="O118" i="24"/>
  <c r="O119" i="24"/>
  <c r="O120" i="24"/>
  <c r="O121" i="24"/>
  <c r="O122" i="24"/>
  <c r="O123" i="24"/>
  <c r="O124" i="24"/>
  <c r="O125" i="24"/>
  <c r="O126" i="24"/>
  <c r="O127" i="24"/>
  <c r="O128" i="24"/>
  <c r="O129" i="24"/>
  <c r="O130" i="24"/>
  <c r="O131" i="24"/>
  <c r="O132" i="24"/>
  <c r="O133" i="24"/>
  <c r="O134" i="24"/>
  <c r="O135" i="24"/>
  <c r="O136" i="24"/>
  <c r="O137" i="24"/>
  <c r="O138" i="24"/>
  <c r="O139" i="24"/>
  <c r="O140" i="24"/>
  <c r="O141" i="24"/>
  <c r="O142" i="24"/>
  <c r="O144" i="24"/>
  <c r="O145" i="24"/>
  <c r="O146" i="24"/>
  <c r="O147" i="24"/>
  <c r="O148" i="24"/>
  <c r="O149" i="24"/>
  <c r="O150" i="24"/>
  <c r="O151" i="24"/>
  <c r="O152" i="24"/>
  <c r="O153" i="24"/>
  <c r="O154" i="24"/>
  <c r="O155" i="24"/>
  <c r="O156" i="24"/>
  <c r="O157" i="24"/>
  <c r="O158" i="24"/>
  <c r="O159" i="24"/>
  <c r="O160" i="24"/>
  <c r="O161" i="24"/>
  <c r="O162" i="24"/>
  <c r="O163" i="24"/>
  <c r="O164" i="24"/>
  <c r="O165" i="24"/>
  <c r="O166" i="24"/>
  <c r="O167" i="24"/>
  <c r="O168" i="24"/>
  <c r="O169" i="24"/>
  <c r="O170" i="24"/>
  <c r="O171" i="24"/>
  <c r="O172" i="24"/>
  <c r="O173" i="24"/>
  <c r="O174" i="24"/>
  <c r="O175" i="24"/>
  <c r="O176" i="24"/>
  <c r="O177" i="24"/>
  <c r="O178" i="24"/>
  <c r="O179" i="24"/>
  <c r="O180" i="24"/>
  <c r="O181" i="24"/>
  <c r="O182" i="24"/>
  <c r="O183" i="24"/>
  <c r="O184" i="24"/>
  <c r="O185" i="24"/>
  <c r="O186" i="24"/>
  <c r="O187" i="24"/>
  <c r="O188" i="24"/>
  <c r="O189" i="24"/>
  <c r="O190" i="24"/>
  <c r="O192" i="24"/>
  <c r="O193" i="24"/>
  <c r="O194" i="24"/>
  <c r="O195" i="24"/>
  <c r="O196" i="24"/>
  <c r="O197" i="24"/>
  <c r="O198" i="24"/>
  <c r="O199" i="24"/>
  <c r="O200" i="24"/>
  <c r="O201" i="24"/>
  <c r="O202" i="24"/>
  <c r="O203" i="24"/>
  <c r="O204" i="24"/>
  <c r="O205" i="24"/>
  <c r="O206" i="24"/>
  <c r="O207" i="24"/>
  <c r="O214" i="24"/>
  <c r="O209" i="24"/>
  <c r="O210" i="24"/>
  <c r="O211" i="24"/>
  <c r="O212" i="24"/>
  <c r="O213" i="24"/>
  <c r="O208" i="24"/>
  <c r="O215" i="24"/>
  <c r="O216" i="24"/>
  <c r="O217" i="24"/>
  <c r="O218" i="24"/>
  <c r="O219" i="24"/>
  <c r="O220" i="24"/>
  <c r="O221" i="24"/>
  <c r="O222" i="24"/>
  <c r="O223" i="24"/>
  <c r="O224" i="24"/>
  <c r="O225" i="24"/>
  <c r="O226" i="24"/>
  <c r="O227" i="24"/>
  <c r="O228" i="24"/>
  <c r="O229" i="24"/>
  <c r="O230" i="24"/>
  <c r="O231" i="24"/>
  <c r="O232" i="24"/>
  <c r="O233" i="24"/>
  <c r="O234" i="24"/>
  <c r="O235" i="24"/>
  <c r="O236" i="24"/>
  <c r="O237" i="24"/>
  <c r="O238" i="24"/>
  <c r="O239" i="24"/>
  <c r="O240" i="24"/>
  <c r="O241" i="24"/>
  <c r="O242" i="24"/>
  <c r="O243" i="24"/>
  <c r="O244" i="24"/>
  <c r="O245" i="24"/>
  <c r="O246" i="24"/>
  <c r="O247" i="24"/>
  <c r="O248" i="24"/>
  <c r="O249" i="24"/>
  <c r="O250" i="24"/>
  <c r="O251" i="24"/>
  <c r="O252" i="24"/>
  <c r="O253" i="24"/>
  <c r="O254" i="24"/>
  <c r="O255" i="24"/>
  <c r="O256" i="24"/>
  <c r="O257" i="24"/>
  <c r="O258" i="24"/>
  <c r="O259" i="24"/>
  <c r="O260" i="24"/>
  <c r="O261" i="24"/>
  <c r="O262" i="24"/>
  <c r="O263" i="24"/>
  <c r="O264" i="24"/>
  <c r="O265" i="24"/>
  <c r="O266" i="24"/>
  <c r="O267" i="24"/>
  <c r="O268" i="24"/>
  <c r="O269" i="24"/>
  <c r="O270" i="24"/>
  <c r="O271" i="24"/>
  <c r="O272" i="24"/>
  <c r="O273" i="24"/>
  <c r="O274" i="24"/>
  <c r="O275" i="24"/>
  <c r="O276" i="24"/>
  <c r="O277" i="24"/>
  <c r="O278" i="24"/>
  <c r="O279" i="24"/>
  <c r="O280" i="24"/>
  <c r="O281" i="24"/>
  <c r="O282" i="24"/>
  <c r="O283" i="24"/>
  <c r="O284" i="24"/>
  <c r="O285" i="24"/>
  <c r="O286" i="24"/>
  <c r="O287" i="24"/>
  <c r="O288" i="24"/>
  <c r="O289" i="24"/>
  <c r="O290" i="24"/>
  <c r="O291" i="24"/>
  <c r="O292" i="24"/>
  <c r="O293" i="24"/>
  <c r="O294" i="24"/>
  <c r="O295" i="24"/>
  <c r="O296" i="24"/>
  <c r="O297" i="24"/>
  <c r="O298" i="24"/>
  <c r="O299" i="24"/>
  <c r="O300" i="24"/>
  <c r="O301" i="24"/>
  <c r="O302" i="24"/>
  <c r="O303" i="24"/>
  <c r="O304" i="24"/>
  <c r="O305" i="24"/>
  <c r="O306" i="24"/>
  <c r="O307" i="24"/>
  <c r="O308" i="24"/>
  <c r="O309" i="24"/>
  <c r="O310" i="24"/>
  <c r="O311" i="24"/>
  <c r="O312" i="24"/>
  <c r="O313" i="24"/>
  <c r="O314" i="24"/>
  <c r="O315" i="24"/>
  <c r="O316" i="24"/>
  <c r="O317" i="24"/>
  <c r="O318" i="24"/>
  <c r="O319" i="24"/>
  <c r="O320" i="24"/>
  <c r="O321" i="24"/>
  <c r="O322" i="24"/>
  <c r="O323" i="24"/>
  <c r="O324" i="24"/>
  <c r="O325" i="24"/>
  <c r="O326" i="24"/>
  <c r="O327" i="24"/>
  <c r="O328" i="24"/>
  <c r="O329" i="24"/>
  <c r="O330" i="24"/>
  <c r="O331" i="24"/>
  <c r="O332" i="24"/>
  <c r="O333" i="24"/>
  <c r="O334" i="24"/>
  <c r="O335" i="24"/>
  <c r="O336" i="24"/>
  <c r="O337" i="24"/>
  <c r="O338" i="24"/>
  <c r="O339" i="24"/>
  <c r="O340" i="24"/>
  <c r="O341" i="24"/>
  <c r="O342" i="24"/>
  <c r="O343" i="24"/>
  <c r="O344" i="24"/>
  <c r="O345" i="24"/>
  <c r="O346" i="24"/>
  <c r="O347" i="24"/>
  <c r="O348" i="24"/>
  <c r="O349" i="24"/>
  <c r="O350" i="24"/>
  <c r="O351" i="24"/>
  <c r="O352" i="24"/>
  <c r="O353" i="24"/>
  <c r="O354" i="24"/>
  <c r="O355" i="24"/>
  <c r="O356" i="24"/>
  <c r="O357" i="24"/>
  <c r="O358" i="24"/>
  <c r="O359" i="24"/>
  <c r="O360" i="24"/>
  <c r="O361" i="24"/>
  <c r="O362" i="24"/>
  <c r="O363" i="24"/>
  <c r="O364" i="24"/>
  <c r="O365" i="24"/>
  <c r="O366" i="24"/>
  <c r="O367" i="24"/>
  <c r="O368" i="24"/>
  <c r="O369" i="24"/>
  <c r="O370" i="24"/>
  <c r="O371" i="24"/>
  <c r="O372" i="24"/>
  <c r="O373" i="24"/>
  <c r="O374" i="24"/>
  <c r="O375" i="24"/>
  <c r="O376" i="24"/>
  <c r="O377" i="24"/>
  <c r="O378" i="24"/>
  <c r="O379" i="24"/>
  <c r="O380" i="24"/>
  <c r="O382" i="24"/>
  <c r="O383" i="24"/>
  <c r="O384" i="24"/>
  <c r="O385" i="24"/>
  <c r="O386" i="24"/>
  <c r="O387" i="24"/>
  <c r="O388" i="24"/>
  <c r="O389" i="24"/>
  <c r="O390" i="24"/>
  <c r="O391" i="24"/>
  <c r="O392" i="24"/>
  <c r="O393" i="24"/>
  <c r="O394" i="24"/>
  <c r="O395" i="24"/>
  <c r="O396" i="24"/>
  <c r="O397" i="24"/>
  <c r="O398" i="24"/>
  <c r="O399" i="24"/>
  <c r="O400" i="24"/>
  <c r="O401" i="24"/>
  <c r="O402" i="24"/>
  <c r="O403" i="24"/>
  <c r="O404" i="24"/>
  <c r="O405" i="24"/>
  <c r="O406" i="24"/>
  <c r="O407" i="24"/>
  <c r="O408" i="24"/>
  <c r="O409" i="24"/>
  <c r="O410" i="24"/>
  <c r="O411" i="24"/>
  <c r="O412" i="24"/>
  <c r="O413" i="24"/>
  <c r="O414" i="24"/>
  <c r="O415" i="24"/>
  <c r="O416" i="24"/>
  <c r="O417" i="24"/>
  <c r="O418" i="24"/>
  <c r="O419" i="24"/>
  <c r="O420" i="24"/>
  <c r="O421" i="24"/>
  <c r="O422" i="24"/>
  <c r="O423" i="24"/>
  <c r="O424" i="24"/>
  <c r="O427" i="24"/>
  <c r="O428" i="24"/>
  <c r="O429" i="24"/>
  <c r="O430" i="24"/>
  <c r="O431" i="24"/>
  <c r="O432" i="24"/>
  <c r="O433" i="24"/>
  <c r="O434" i="24"/>
  <c r="O435" i="24"/>
  <c r="O436" i="24"/>
  <c r="O437" i="24"/>
  <c r="O438" i="24"/>
  <c r="O439" i="24"/>
  <c r="O440" i="24"/>
  <c r="O441" i="24"/>
  <c r="O442" i="24"/>
  <c r="O443" i="24"/>
  <c r="O444" i="24"/>
  <c r="O445" i="24"/>
  <c r="O446" i="24"/>
  <c r="O447" i="24"/>
  <c r="O448" i="24"/>
  <c r="O449" i="24"/>
  <c r="O450" i="24"/>
  <c r="O451" i="24"/>
  <c r="O452" i="24"/>
  <c r="O453" i="24"/>
  <c r="O454" i="24"/>
  <c r="O455" i="24"/>
  <c r="O456" i="24"/>
  <c r="O457" i="24"/>
  <c r="O458" i="24"/>
  <c r="O459" i="24"/>
  <c r="O460" i="24"/>
  <c r="O461" i="24"/>
  <c r="O462" i="24"/>
  <c r="O463" i="24"/>
  <c r="O464" i="24"/>
  <c r="O465" i="24"/>
  <c r="O466" i="24"/>
  <c r="O467" i="24"/>
  <c r="O468" i="24"/>
  <c r="O469" i="24"/>
  <c r="O470" i="24"/>
  <c r="O471" i="24"/>
  <c r="O472" i="24"/>
  <c r="O473" i="24"/>
  <c r="O474" i="24"/>
  <c r="O475" i="24"/>
  <c r="O476" i="24"/>
  <c r="O477" i="24"/>
  <c r="O478" i="24"/>
  <c r="O479" i="24"/>
  <c r="O480" i="24"/>
  <c r="O481" i="24"/>
  <c r="O482" i="24"/>
  <c r="O483" i="24"/>
  <c r="O484" i="24"/>
  <c r="O485" i="24"/>
  <c r="O486" i="24"/>
  <c r="O487" i="24"/>
  <c r="O488" i="24"/>
  <c r="O489" i="24"/>
  <c r="O490" i="24"/>
  <c r="O491" i="24"/>
  <c r="O492" i="24"/>
  <c r="O493" i="24"/>
  <c r="O494" i="24"/>
  <c r="O495" i="24"/>
  <c r="O496" i="24"/>
  <c r="O497" i="24"/>
  <c r="O498" i="24"/>
  <c r="O499" i="24"/>
  <c r="O500" i="24"/>
  <c r="O501" i="24"/>
  <c r="O502" i="24"/>
  <c r="O503" i="24"/>
  <c r="O504" i="24"/>
  <c r="O505" i="24"/>
  <c r="O506" i="24"/>
  <c r="O507" i="24"/>
  <c r="O508" i="24"/>
  <c r="O509" i="24"/>
  <c r="O510" i="24"/>
  <c r="O511" i="24"/>
  <c r="O512" i="24"/>
  <c r="O513" i="24"/>
  <c r="O514" i="24"/>
  <c r="O515" i="24"/>
  <c r="O516" i="24"/>
  <c r="O517" i="24"/>
  <c r="O518" i="24"/>
  <c r="O519" i="24"/>
  <c r="O520" i="24"/>
  <c r="O521" i="24"/>
  <c r="O522" i="24"/>
  <c r="O523" i="24"/>
  <c r="O524" i="24"/>
  <c r="O525" i="24"/>
  <c r="O526" i="24"/>
  <c r="O527" i="24"/>
  <c r="O528" i="24"/>
  <c r="O529" i="24"/>
  <c r="O530" i="24"/>
  <c r="O531" i="24"/>
  <c r="O532" i="24"/>
  <c r="O533" i="24"/>
  <c r="O534" i="24"/>
  <c r="O535" i="24"/>
  <c r="O536" i="24"/>
  <c r="O537" i="24"/>
  <c r="O538" i="24"/>
  <c r="O539" i="24"/>
  <c r="O540" i="24"/>
  <c r="O541" i="24"/>
  <c r="O542" i="24"/>
  <c r="O543" i="24"/>
  <c r="O544" i="24"/>
  <c r="O545" i="24"/>
  <c r="O546" i="24"/>
  <c r="O547" i="24"/>
  <c r="O548" i="24"/>
  <c r="O549" i="24"/>
  <c r="O550" i="24"/>
  <c r="O551" i="24"/>
  <c r="O552" i="24"/>
  <c r="O553" i="24"/>
  <c r="O554" i="24"/>
  <c r="O555" i="24"/>
  <c r="O556" i="24"/>
  <c r="O557" i="24"/>
  <c r="O558" i="24"/>
  <c r="O559" i="24"/>
  <c r="O560" i="24"/>
  <c r="O561" i="24"/>
  <c r="O562" i="24"/>
  <c r="O563" i="24"/>
  <c r="O564" i="24"/>
  <c r="O565" i="24"/>
  <c r="O566" i="24"/>
  <c r="O567" i="24"/>
  <c r="O568" i="24"/>
  <c r="O569" i="24"/>
  <c r="O570" i="24"/>
  <c r="O571" i="24"/>
  <c r="O572" i="24"/>
  <c r="O573" i="24"/>
  <c r="O574" i="24"/>
  <c r="O575" i="24"/>
  <c r="O576" i="24"/>
  <c r="O577" i="24"/>
  <c r="O578" i="24"/>
  <c r="O579" i="24"/>
  <c r="O580" i="24"/>
  <c r="O581" i="24"/>
  <c r="O582" i="24"/>
  <c r="O583" i="24"/>
  <c r="O584" i="24"/>
  <c r="O585" i="24"/>
  <c r="O586" i="24"/>
  <c r="O587" i="24"/>
  <c r="O588" i="24"/>
  <c r="O589" i="24"/>
  <c r="O590" i="24"/>
  <c r="O591" i="24"/>
  <c r="O592" i="24"/>
  <c r="O593" i="24"/>
  <c r="K171" i="24" l="1" a="1"/>
  <c r="K11" i="24" a="1"/>
  <c r="K86" i="24" a="1"/>
  <c r="K87" i="24" a="1"/>
  <c r="K291" i="24" a="1"/>
  <c r="K510" i="24" a="1"/>
  <c r="K223" i="24" a="1"/>
  <c r="K417" i="24" a="1"/>
  <c r="K418" i="24" a="1"/>
  <c r="K551" i="24" a="1"/>
  <c r="L25" i="24"/>
  <c r="M25" i="24"/>
  <c r="K25" i="24" l="1" a="1"/>
  <c r="L18" i="24"/>
  <c r="M18" i="24"/>
  <c r="L564" i="24"/>
  <c r="M564" i="24"/>
  <c r="Q564" i="24"/>
  <c r="U564" i="24"/>
  <c r="L530" i="24"/>
  <c r="L531" i="24"/>
  <c r="L532" i="24"/>
  <c r="L533" i="24"/>
  <c r="L536" i="24"/>
  <c r="L537" i="24"/>
  <c r="L538" i="24"/>
  <c r="L539" i="24"/>
  <c r="L540" i="24"/>
  <c r="L541" i="24"/>
  <c r="L542" i="24"/>
  <c r="L543" i="24"/>
  <c r="L544" i="24"/>
  <c r="L546" i="24"/>
  <c r="L547" i="24"/>
  <c r="L548" i="24"/>
  <c r="L549" i="24"/>
  <c r="L550" i="24"/>
  <c r="L552" i="24"/>
  <c r="L553" i="24"/>
  <c r="L554" i="24"/>
  <c r="L555" i="24"/>
  <c r="L557" i="24"/>
  <c r="L558" i="24"/>
  <c r="L559" i="24"/>
  <c r="L560" i="24"/>
  <c r="L561" i="24"/>
  <c r="L562" i="24"/>
  <c r="L563" i="24"/>
  <c r="M530" i="24"/>
  <c r="M531" i="24"/>
  <c r="M532" i="24"/>
  <c r="M533" i="24"/>
  <c r="M535" i="24"/>
  <c r="K535" i="24" s="1" a="1"/>
  <c r="M536" i="24"/>
  <c r="M537" i="24"/>
  <c r="M538" i="24"/>
  <c r="M539" i="24"/>
  <c r="M540" i="24"/>
  <c r="M541" i="24"/>
  <c r="M542" i="24"/>
  <c r="M543" i="24"/>
  <c r="M544" i="24"/>
  <c r="M546" i="24"/>
  <c r="M547" i="24"/>
  <c r="M548" i="24"/>
  <c r="M549" i="24"/>
  <c r="M550" i="24"/>
  <c r="M552" i="24"/>
  <c r="M553" i="24"/>
  <c r="M554" i="24"/>
  <c r="M555" i="24"/>
  <c r="M557" i="24"/>
  <c r="M558" i="24"/>
  <c r="M559" i="24"/>
  <c r="M560" i="24"/>
  <c r="M561" i="24"/>
  <c r="M562" i="24"/>
  <c r="M563" i="24"/>
  <c r="Q530" i="24"/>
  <c r="Q531" i="24"/>
  <c r="Q532" i="24"/>
  <c r="Q533" i="24"/>
  <c r="Q535" i="24"/>
  <c r="Q536" i="24"/>
  <c r="Q537" i="24"/>
  <c r="Q538" i="24"/>
  <c r="Q539" i="24"/>
  <c r="Q540" i="24"/>
  <c r="Q541" i="24"/>
  <c r="Q542" i="24"/>
  <c r="Q543" i="24"/>
  <c r="Q544" i="24"/>
  <c r="Q546" i="24"/>
  <c r="Q547" i="24"/>
  <c r="Q548" i="24"/>
  <c r="Q549" i="24"/>
  <c r="Q550" i="24"/>
  <c r="Q551" i="24"/>
  <c r="Q552" i="24"/>
  <c r="Q553" i="24"/>
  <c r="Q554" i="24"/>
  <c r="Q555" i="24"/>
  <c r="Q557" i="24"/>
  <c r="Q558" i="24"/>
  <c r="Q559" i="24"/>
  <c r="Q560" i="24"/>
  <c r="Q561" i="24"/>
  <c r="Q562" i="24"/>
  <c r="Q563" i="24"/>
  <c r="U530" i="24"/>
  <c r="U531" i="24"/>
  <c r="U532" i="24"/>
  <c r="U533" i="24"/>
  <c r="U535" i="24"/>
  <c r="U536" i="24"/>
  <c r="U537" i="24"/>
  <c r="U538" i="24"/>
  <c r="U539" i="24"/>
  <c r="U540" i="24"/>
  <c r="U541" i="24"/>
  <c r="U542" i="24"/>
  <c r="U543" i="24"/>
  <c r="U544" i="24"/>
  <c r="U546" i="24"/>
  <c r="U547" i="24"/>
  <c r="U548" i="24"/>
  <c r="U549" i="24"/>
  <c r="U550" i="24"/>
  <c r="U551" i="24"/>
  <c r="U552" i="24"/>
  <c r="U553" i="24"/>
  <c r="U554" i="24"/>
  <c r="U555" i="24"/>
  <c r="U557" i="24"/>
  <c r="U558" i="24"/>
  <c r="U559" i="24"/>
  <c r="U560" i="24"/>
  <c r="U561" i="24"/>
  <c r="U562" i="24"/>
  <c r="U563" i="24"/>
  <c r="C35" i="21" a="1"/>
  <c r="C36" i="21" a="1"/>
  <c r="C37" i="21" a="1"/>
  <c r="C38" i="21" a="1"/>
  <c r="C39" i="21" a="1"/>
  <c r="C40" i="21" a="1"/>
  <c r="C41" i="21" a="1"/>
  <c r="B6" i="21" a="1"/>
  <c r="K17" i="21" a="1"/>
  <c r="AE1" i="21" a="1"/>
  <c r="K554" i="24" l="1" a="1"/>
  <c r="K540" i="24" a="1"/>
  <c r="K553" i="24" a="1"/>
  <c r="K541" i="24" a="1"/>
  <c r="K18" i="24" a="1"/>
  <c r="K557" i="24" a="1"/>
  <c r="K561" i="24" a="1"/>
  <c r="K560" i="24" a="1"/>
  <c r="K564" i="24" a="1"/>
  <c r="K563" i="24" a="1"/>
  <c r="K562" i="24" a="1"/>
  <c r="K555" i="24" a="1"/>
  <c r="K547" i="24" a="1"/>
  <c r="K558" i="24" a="1"/>
  <c r="K549" i="24" a="1"/>
  <c r="K531" i="24" a="1"/>
  <c r="K538" i="24" a="1"/>
  <c r="K548" i="24" a="1"/>
  <c r="K530" i="24" a="1"/>
  <c r="K550" i="24" a="1"/>
  <c r="K542" i="24" a="1"/>
  <c r="K546" i="24" a="1"/>
  <c r="K537" i="24" a="1"/>
  <c r="K559" i="24" a="1"/>
  <c r="K544" i="24" a="1"/>
  <c r="K536" i="24" a="1"/>
  <c r="K552" i="24" a="1"/>
  <c r="K543" i="24" a="1"/>
  <c r="R539" i="24" l="1"/>
  <c r="R533" i="24"/>
  <c r="R532" i="24"/>
  <c r="U46" i="24"/>
  <c r="U68" i="24"/>
  <c r="U69" i="24" s="1"/>
  <c r="U90" i="24"/>
  <c r="U94" i="24"/>
  <c r="U96" i="24"/>
  <c r="U98" i="24"/>
  <c r="U100" i="24"/>
  <c r="U102" i="24"/>
  <c r="U104" i="24"/>
  <c r="U26" i="24"/>
  <c r="U28" i="24"/>
  <c r="U30" i="24"/>
  <c r="U32" i="24"/>
  <c r="U34" i="24"/>
  <c r="U36" i="24"/>
  <c r="U38" i="24"/>
  <c r="U40" i="24"/>
  <c r="U42" i="24"/>
  <c r="U44" i="24"/>
  <c r="U48" i="24"/>
  <c r="U50" i="24"/>
  <c r="U52" i="24"/>
  <c r="U54" i="24"/>
  <c r="U56" i="24"/>
  <c r="U58" i="24"/>
  <c r="U60" i="24"/>
  <c r="U62" i="24"/>
  <c r="U64" i="24"/>
  <c r="U66" i="24"/>
  <c r="U70" i="24"/>
  <c r="U72" i="24"/>
  <c r="U74" i="24"/>
  <c r="U76" i="24"/>
  <c r="U78" i="24"/>
  <c r="U80" i="24"/>
  <c r="U82" i="24"/>
  <c r="U84" i="24"/>
  <c r="U86" i="24"/>
  <c r="U88" i="24"/>
  <c r="U92" i="24"/>
  <c r="U377" i="24"/>
  <c r="U399" i="24"/>
  <c r="U421" i="24"/>
  <c r="U425" i="24"/>
  <c r="U427" i="24"/>
  <c r="U429" i="24"/>
  <c r="U431" i="24"/>
  <c r="U433" i="24"/>
  <c r="U435" i="24"/>
  <c r="U357" i="24"/>
  <c r="U359" i="24"/>
  <c r="U361" i="24"/>
  <c r="U363" i="24"/>
  <c r="U365" i="24"/>
  <c r="U367" i="24"/>
  <c r="U369" i="24"/>
  <c r="U371" i="24"/>
  <c r="U373" i="24"/>
  <c r="U375" i="24"/>
  <c r="U379" i="24"/>
  <c r="U381" i="24"/>
  <c r="U383" i="24"/>
  <c r="U385" i="24"/>
  <c r="U387" i="24"/>
  <c r="U389" i="24"/>
  <c r="U391" i="24"/>
  <c r="U393" i="24"/>
  <c r="U395" i="24"/>
  <c r="U397" i="24"/>
  <c r="U401" i="24"/>
  <c r="U403" i="24"/>
  <c r="U405" i="24"/>
  <c r="U407" i="24"/>
  <c r="U409" i="24"/>
  <c r="U410" i="24" s="1"/>
  <c r="U411" i="24"/>
  <c r="U413" i="24"/>
  <c r="U415" i="24"/>
  <c r="U417" i="24"/>
  <c r="U418" i="24" s="1"/>
  <c r="U419" i="24"/>
  <c r="U423" i="24"/>
  <c r="U131" i="24"/>
  <c r="U142" i="24"/>
  <c r="U151" i="24"/>
  <c r="U152" i="24"/>
  <c r="U153" i="24"/>
  <c r="U154" i="24"/>
  <c r="U155" i="24"/>
  <c r="U156" i="24"/>
  <c r="U157" i="24"/>
  <c r="U132" i="24"/>
  <c r="U133" i="24"/>
  <c r="U134" i="24"/>
  <c r="U135" i="24"/>
  <c r="U136" i="24"/>
  <c r="U137" i="24"/>
  <c r="U138" i="24"/>
  <c r="U139" i="24"/>
  <c r="U140" i="24"/>
  <c r="U141" i="24"/>
  <c r="U143" i="24"/>
  <c r="U144" i="24"/>
  <c r="U145" i="24"/>
  <c r="U146" i="24"/>
  <c r="U147" i="24"/>
  <c r="U148" i="24"/>
  <c r="U149" i="24"/>
  <c r="U150" i="24"/>
  <c r="U106" i="24"/>
  <c r="U117" i="24"/>
  <c r="U124" i="24"/>
  <c r="U125" i="24"/>
  <c r="U126" i="24"/>
  <c r="U127" i="24"/>
  <c r="U128" i="24"/>
  <c r="U129" i="24"/>
  <c r="U130" i="24"/>
  <c r="U107" i="24"/>
  <c r="U108" i="24"/>
  <c r="U109" i="24"/>
  <c r="U110" i="24"/>
  <c r="U111" i="24"/>
  <c r="U112" i="24"/>
  <c r="U113" i="24"/>
  <c r="U114" i="24"/>
  <c r="U115" i="24"/>
  <c r="U116" i="24"/>
  <c r="U118" i="24"/>
  <c r="U119" i="24"/>
  <c r="U120" i="24"/>
  <c r="U121" i="24"/>
  <c r="U122" i="24"/>
  <c r="U123" i="24"/>
  <c r="U183" i="24"/>
  <c r="U194" i="24"/>
  <c r="U201" i="24"/>
  <c r="U202" i="24"/>
  <c r="U203" i="24"/>
  <c r="U204" i="24"/>
  <c r="U205" i="24"/>
  <c r="U206" i="24"/>
  <c r="U207" i="24"/>
  <c r="U184" i="24"/>
  <c r="U185" i="24"/>
  <c r="U186" i="24"/>
  <c r="U187" i="24"/>
  <c r="U188" i="24"/>
  <c r="U189" i="24"/>
  <c r="U190" i="24"/>
  <c r="U191" i="24"/>
  <c r="U192" i="24"/>
  <c r="U193" i="24"/>
  <c r="U195" i="24"/>
  <c r="U196" i="24"/>
  <c r="U197" i="24"/>
  <c r="U198" i="24"/>
  <c r="U199" i="24"/>
  <c r="U200" i="24"/>
  <c r="U208" i="24"/>
  <c r="U219" i="24"/>
  <c r="U226" i="24"/>
  <c r="U227" i="24"/>
  <c r="U228" i="24"/>
  <c r="U229" i="24"/>
  <c r="U230" i="24"/>
  <c r="U231" i="24"/>
  <c r="U232" i="24"/>
  <c r="U209" i="24"/>
  <c r="U210" i="24"/>
  <c r="U211" i="24"/>
  <c r="U212" i="24"/>
  <c r="U213" i="24"/>
  <c r="U214" i="24"/>
  <c r="U215" i="24"/>
  <c r="U216" i="24"/>
  <c r="U217" i="24"/>
  <c r="U218" i="24"/>
  <c r="U220" i="24"/>
  <c r="U221" i="24"/>
  <c r="U222" i="24"/>
  <c r="U223" i="24"/>
  <c r="U224" i="24"/>
  <c r="U225" i="24"/>
  <c r="U233" i="24"/>
  <c r="U244" i="24"/>
  <c r="U250" i="24"/>
  <c r="U251" i="24"/>
  <c r="U252" i="24"/>
  <c r="U253" i="24"/>
  <c r="U254" i="24"/>
  <c r="U255" i="24"/>
  <c r="U256" i="24"/>
  <c r="U234" i="24"/>
  <c r="U235" i="24"/>
  <c r="U236" i="24"/>
  <c r="U237" i="24"/>
  <c r="U238" i="24"/>
  <c r="U239" i="24"/>
  <c r="U240" i="24"/>
  <c r="U241" i="24"/>
  <c r="U242" i="24"/>
  <c r="U243" i="24"/>
  <c r="U245" i="24"/>
  <c r="U246" i="24"/>
  <c r="U595" i="24"/>
  <c r="U247" i="24"/>
  <c r="U248" i="24"/>
  <c r="U249" i="24"/>
  <c r="U307" i="24"/>
  <c r="U318" i="24"/>
  <c r="U325" i="24"/>
  <c r="U326" i="24"/>
  <c r="U327" i="24"/>
  <c r="U328" i="24"/>
  <c r="U329" i="24"/>
  <c r="U330" i="24"/>
  <c r="U331" i="24"/>
  <c r="U308" i="24"/>
  <c r="U309" i="24"/>
  <c r="U310" i="24"/>
  <c r="U311" i="24"/>
  <c r="U312" i="24"/>
  <c r="U313" i="24"/>
  <c r="U314" i="24"/>
  <c r="U315" i="24"/>
  <c r="U316" i="24"/>
  <c r="U317" i="24"/>
  <c r="U319" i="24"/>
  <c r="U320" i="24"/>
  <c r="U321" i="24"/>
  <c r="U322" i="24"/>
  <c r="U323" i="24"/>
  <c r="U324" i="24"/>
  <c r="U282" i="24"/>
  <c r="U293" i="24"/>
  <c r="U300" i="24"/>
  <c r="U301" i="24"/>
  <c r="U302" i="24"/>
  <c r="U303" i="24"/>
  <c r="U304" i="24"/>
  <c r="U305" i="24"/>
  <c r="U306" i="24"/>
  <c r="U283" i="24"/>
  <c r="U284" i="24"/>
  <c r="U285" i="24"/>
  <c r="U286" i="24"/>
  <c r="U287" i="24"/>
  <c r="U288" i="24"/>
  <c r="U289" i="24"/>
  <c r="U290" i="24"/>
  <c r="U291" i="24"/>
  <c r="U292" i="24"/>
  <c r="U294" i="24"/>
  <c r="U295" i="24"/>
  <c r="U296" i="24"/>
  <c r="U297" i="24"/>
  <c r="U298" i="24"/>
  <c r="U299" i="24"/>
  <c r="U158" i="24"/>
  <c r="U169" i="24"/>
  <c r="U176" i="24"/>
  <c r="U177" i="24"/>
  <c r="U178" i="24"/>
  <c r="U179" i="24"/>
  <c r="U180" i="24"/>
  <c r="U181" i="24"/>
  <c r="U182" i="24"/>
  <c r="U159" i="24"/>
  <c r="U160" i="24"/>
  <c r="U161" i="24"/>
  <c r="U162" i="24"/>
  <c r="U163" i="24"/>
  <c r="U164" i="24"/>
  <c r="U165" i="24"/>
  <c r="U166" i="24"/>
  <c r="U167" i="24"/>
  <c r="U168" i="24"/>
  <c r="U170" i="24"/>
  <c r="U171" i="24"/>
  <c r="U172" i="24"/>
  <c r="U173" i="24"/>
  <c r="U174" i="24"/>
  <c r="U175" i="24"/>
  <c r="U332" i="24"/>
  <c r="U343" i="24"/>
  <c r="U350" i="24"/>
  <c r="U351" i="24"/>
  <c r="U352" i="24"/>
  <c r="U353" i="24"/>
  <c r="U354" i="24"/>
  <c r="U355" i="24"/>
  <c r="U356" i="24"/>
  <c r="U333" i="24"/>
  <c r="U334" i="24"/>
  <c r="U335" i="24"/>
  <c r="U336" i="24"/>
  <c r="U337" i="24"/>
  <c r="U338" i="24"/>
  <c r="U339" i="24"/>
  <c r="U340" i="24"/>
  <c r="U341" i="24"/>
  <c r="U342" i="24"/>
  <c r="U344" i="24"/>
  <c r="U345" i="24"/>
  <c r="U346" i="24"/>
  <c r="U347" i="24"/>
  <c r="U348" i="24"/>
  <c r="U349" i="24"/>
  <c r="U437" i="24"/>
  <c r="U448" i="24"/>
  <c r="U455" i="24"/>
  <c r="U456" i="24"/>
  <c r="U457" i="24"/>
  <c r="U458" i="24"/>
  <c r="U459" i="24"/>
  <c r="U460" i="24"/>
  <c r="U461" i="24"/>
  <c r="U438" i="24"/>
  <c r="U439" i="24"/>
  <c r="U440" i="24"/>
  <c r="U441" i="24"/>
  <c r="U442" i="24"/>
  <c r="U443" i="24"/>
  <c r="U444" i="24"/>
  <c r="U445" i="24"/>
  <c r="U446" i="24"/>
  <c r="U447" i="24"/>
  <c r="U449" i="24"/>
  <c r="U450" i="24"/>
  <c r="U451" i="24"/>
  <c r="U452" i="24"/>
  <c r="U453" i="24"/>
  <c r="U454" i="24"/>
  <c r="U462" i="24"/>
  <c r="U473" i="24"/>
  <c r="U480" i="24"/>
  <c r="U481" i="24"/>
  <c r="U482" i="24"/>
  <c r="U483" i="24"/>
  <c r="U484" i="24"/>
  <c r="U485" i="24"/>
  <c r="U486" i="24"/>
  <c r="U463" i="24"/>
  <c r="U464" i="24"/>
  <c r="U465" i="24"/>
  <c r="U466" i="24"/>
  <c r="U467" i="24"/>
  <c r="U468" i="24"/>
  <c r="U469" i="24"/>
  <c r="U470" i="24"/>
  <c r="U471" i="24"/>
  <c r="U472" i="24"/>
  <c r="U474" i="24"/>
  <c r="U475" i="24"/>
  <c r="U476" i="24"/>
  <c r="U477" i="24"/>
  <c r="U478" i="24"/>
  <c r="U479" i="24"/>
  <c r="U2" i="24"/>
  <c r="U12" i="24"/>
  <c r="U19" i="24"/>
  <c r="U20" i="24"/>
  <c r="U21" i="24"/>
  <c r="U22" i="24"/>
  <c r="U23" i="24"/>
  <c r="U24" i="24"/>
  <c r="U25" i="24"/>
  <c r="U3" i="24"/>
  <c r="U4" i="24"/>
  <c r="U5" i="24"/>
  <c r="U6" i="24"/>
  <c r="U7" i="24"/>
  <c r="U594" i="24"/>
  <c r="U8" i="24"/>
  <c r="U9" i="24"/>
  <c r="U10" i="24"/>
  <c r="U11" i="24"/>
  <c r="U13" i="24"/>
  <c r="U14" i="24"/>
  <c r="U15" i="24"/>
  <c r="U16" i="24"/>
  <c r="U17" i="24"/>
  <c r="U18" i="24"/>
  <c r="U487" i="24"/>
  <c r="U498" i="24"/>
  <c r="U505" i="24"/>
  <c r="U506" i="24"/>
  <c r="U507" i="24"/>
  <c r="U508" i="24"/>
  <c r="U509" i="24"/>
  <c r="U510" i="24"/>
  <c r="U511" i="24"/>
  <c r="U488" i="24"/>
  <c r="U489" i="24"/>
  <c r="U490" i="24"/>
  <c r="U491" i="24"/>
  <c r="U492" i="24"/>
  <c r="U493" i="24"/>
  <c r="U494" i="24"/>
  <c r="U495" i="24"/>
  <c r="U496" i="24"/>
  <c r="U497" i="24"/>
  <c r="U499" i="24"/>
  <c r="U500" i="24"/>
  <c r="U501" i="24"/>
  <c r="U502" i="24"/>
  <c r="U503" i="24"/>
  <c r="U504" i="24"/>
  <c r="U569" i="24"/>
  <c r="U580" i="24"/>
  <c r="U587" i="24"/>
  <c r="U588" i="24"/>
  <c r="U589" i="24"/>
  <c r="U590" i="24"/>
  <c r="U591" i="24"/>
  <c r="U592" i="24"/>
  <c r="U593" i="24"/>
  <c r="U570" i="24"/>
  <c r="U571" i="24"/>
  <c r="U572" i="24"/>
  <c r="U573" i="24"/>
  <c r="U574" i="24"/>
  <c r="U575" i="24"/>
  <c r="U576" i="24"/>
  <c r="U577" i="24"/>
  <c r="U578" i="24"/>
  <c r="U579" i="24"/>
  <c r="U581" i="24"/>
  <c r="U582" i="24"/>
  <c r="U583" i="24"/>
  <c r="U584" i="24"/>
  <c r="U585" i="24"/>
  <c r="U586" i="24"/>
  <c r="U512" i="24"/>
  <c r="U523" i="24"/>
  <c r="U534" i="24"/>
  <c r="U545" i="24"/>
  <c r="U556" i="24"/>
  <c r="U565" i="24"/>
  <c r="U566" i="24"/>
  <c r="U567" i="24"/>
  <c r="U568" i="24"/>
  <c r="U513" i="24"/>
  <c r="U514" i="24"/>
  <c r="U515" i="24"/>
  <c r="U516" i="24"/>
  <c r="U517" i="24"/>
  <c r="U518" i="24"/>
  <c r="U519" i="24"/>
  <c r="U520" i="24"/>
  <c r="U521" i="24"/>
  <c r="U522" i="24"/>
  <c r="U524" i="24"/>
  <c r="U525" i="24"/>
  <c r="U526" i="24"/>
  <c r="U527" i="24"/>
  <c r="U528" i="24"/>
  <c r="U529" i="24"/>
  <c r="U257" i="24"/>
  <c r="U268" i="24"/>
  <c r="U275" i="24"/>
  <c r="U276" i="24"/>
  <c r="U277" i="24"/>
  <c r="U278" i="24"/>
  <c r="U279" i="24"/>
  <c r="U280" i="24"/>
  <c r="U281" i="24"/>
  <c r="U258" i="24"/>
  <c r="U259" i="24"/>
  <c r="U260" i="24"/>
  <c r="U261" i="24"/>
  <c r="U262" i="24"/>
  <c r="U263" i="24"/>
  <c r="U264" i="24"/>
  <c r="U265" i="24"/>
  <c r="U266" i="24"/>
  <c r="U267" i="24"/>
  <c r="U269" i="24"/>
  <c r="U270" i="24"/>
  <c r="U271" i="24"/>
  <c r="U272" i="24"/>
  <c r="U273" i="24"/>
  <c r="U274" i="24"/>
  <c r="H3" i="25"/>
  <c r="C3" i="25"/>
  <c r="C5" i="25"/>
  <c r="C4" i="25"/>
  <c r="C7" i="25"/>
  <c r="C8" i="25"/>
  <c r="C10" i="25"/>
  <c r="C9" i="25"/>
  <c r="C12" i="25"/>
  <c r="C11" i="25"/>
  <c r="C6" i="25"/>
  <c r="C13" i="25"/>
  <c r="C14" i="25"/>
  <c r="C15" i="25"/>
  <c r="C16" i="25"/>
  <c r="C2" i="25"/>
  <c r="C17" i="25"/>
  <c r="C19" i="25"/>
  <c r="C18" i="25"/>
  <c r="S539" i="24" l="1"/>
  <c r="T539" i="24" s="1"/>
  <c r="A533" i="24"/>
  <c r="A532" i="24"/>
  <c r="S532" i="24"/>
  <c r="T532" i="24" s="1"/>
  <c r="S533" i="24"/>
  <c r="T533" i="24" s="1"/>
  <c r="U396" i="24"/>
  <c r="U362" i="24"/>
  <c r="U416" i="24"/>
  <c r="U398" i="24"/>
  <c r="U374" i="24"/>
  <c r="U400" i="24"/>
  <c r="U43" i="24"/>
  <c r="U378" i="24"/>
  <c r="U404" i="24"/>
  <c r="U368" i="24"/>
  <c r="U89" i="24"/>
  <c r="U376" i="24"/>
  <c r="U360" i="24"/>
  <c r="U408" i="24"/>
  <c r="U97" i="24"/>
  <c r="U394" i="24"/>
  <c r="U426" i="24"/>
  <c r="U85" i="24"/>
  <c r="U67" i="24"/>
  <c r="U51" i="24"/>
  <c r="U35" i="24"/>
  <c r="U99" i="24"/>
  <c r="U420" i="24"/>
  <c r="U390" i="24"/>
  <c r="U358" i="24"/>
  <c r="U63" i="24"/>
  <c r="U45" i="24"/>
  <c r="U436" i="24"/>
  <c r="U61" i="24"/>
  <c r="U29" i="24"/>
  <c r="U91" i="24"/>
  <c r="U402" i="24"/>
  <c r="U370" i="24"/>
  <c r="U77" i="24"/>
  <c r="U27" i="24"/>
  <c r="U384" i="24"/>
  <c r="U432" i="24"/>
  <c r="U41" i="24"/>
  <c r="U105" i="24"/>
  <c r="U55" i="24"/>
  <c r="U412" i="24"/>
  <c r="U364" i="24"/>
  <c r="U87" i="24"/>
  <c r="U71" i="24"/>
  <c r="U101" i="24"/>
  <c r="U93" i="24"/>
  <c r="U81" i="24"/>
  <c r="U59" i="24"/>
  <c r="U380" i="24"/>
  <c r="U428" i="24"/>
  <c r="U57" i="24"/>
  <c r="U366" i="24"/>
  <c r="U79" i="24"/>
  <c r="U103" i="24"/>
  <c r="U388" i="24"/>
  <c r="U422" i="24"/>
  <c r="U65" i="24"/>
  <c r="U33" i="24"/>
  <c r="U386" i="24"/>
  <c r="U53" i="24"/>
  <c r="U406" i="24"/>
  <c r="U75" i="24"/>
  <c r="U414" i="24"/>
  <c r="U372" i="24"/>
  <c r="U73" i="24"/>
  <c r="U47" i="24"/>
  <c r="U424" i="24"/>
  <c r="U392" i="24"/>
  <c r="U382" i="24"/>
  <c r="U430" i="24"/>
  <c r="U49" i="24"/>
  <c r="U37" i="24"/>
  <c r="U83" i="24"/>
  <c r="U95" i="24"/>
  <c r="U31" i="24"/>
  <c r="U434" i="24"/>
  <c r="U39" i="24"/>
  <c r="H2" i="25"/>
  <c r="L257" i="24"/>
  <c r="L268" i="24"/>
  <c r="L275" i="24"/>
  <c r="L276" i="24"/>
  <c r="L277" i="24"/>
  <c r="L278" i="24"/>
  <c r="L279" i="24"/>
  <c r="L280" i="24"/>
  <c r="L281" i="24"/>
  <c r="L258" i="24"/>
  <c r="L259" i="24"/>
  <c r="L260" i="24"/>
  <c r="L261" i="24"/>
  <c r="L262" i="24"/>
  <c r="L263" i="24"/>
  <c r="L264" i="24"/>
  <c r="L265" i="24"/>
  <c r="L266" i="24"/>
  <c r="L267" i="24"/>
  <c r="L269" i="24"/>
  <c r="L270" i="24"/>
  <c r="L271" i="24"/>
  <c r="L272" i="24"/>
  <c r="L273" i="24"/>
  <c r="L274" i="24"/>
  <c r="M257" i="24"/>
  <c r="M268" i="24"/>
  <c r="M275" i="24"/>
  <c r="M276" i="24"/>
  <c r="M277" i="24"/>
  <c r="M278" i="24"/>
  <c r="M279" i="24"/>
  <c r="M280" i="24"/>
  <c r="M281" i="24"/>
  <c r="M258" i="24"/>
  <c r="M259" i="24"/>
  <c r="M260" i="24"/>
  <c r="M261" i="24"/>
  <c r="M262" i="24"/>
  <c r="M263" i="24"/>
  <c r="M264" i="24"/>
  <c r="M265" i="24"/>
  <c r="M266" i="24"/>
  <c r="M267" i="24"/>
  <c r="M269" i="24"/>
  <c r="M270" i="24"/>
  <c r="M271" i="24"/>
  <c r="M272" i="24"/>
  <c r="M273" i="24"/>
  <c r="M274" i="24"/>
  <c r="Q257" i="24"/>
  <c r="Q268" i="24"/>
  <c r="Q275" i="24"/>
  <c r="Q276" i="24"/>
  <c r="Q277" i="24"/>
  <c r="Q278" i="24"/>
  <c r="Q279" i="24"/>
  <c r="Q280" i="24"/>
  <c r="Q281" i="24"/>
  <c r="Q258" i="24"/>
  <c r="Q259" i="24"/>
  <c r="Q260" i="24"/>
  <c r="Q261" i="24"/>
  <c r="Q262" i="24"/>
  <c r="Q263" i="24"/>
  <c r="Q264" i="24"/>
  <c r="Q265" i="24"/>
  <c r="Q266" i="24"/>
  <c r="Q267" i="24"/>
  <c r="Q269" i="24"/>
  <c r="Q270" i="24"/>
  <c r="Q271" i="24"/>
  <c r="Q272" i="24"/>
  <c r="Q273" i="24"/>
  <c r="Q274" i="24"/>
  <c r="Q46" i="24"/>
  <c r="Q47" i="24"/>
  <c r="Q68" i="24"/>
  <c r="Q69" i="24"/>
  <c r="Q90" i="24"/>
  <c r="Q91" i="24"/>
  <c r="Q94" i="24"/>
  <c r="Q95" i="24"/>
  <c r="Q96" i="24"/>
  <c r="Q97" i="24"/>
  <c r="Q98" i="24"/>
  <c r="Q99" i="24"/>
  <c r="Q100" i="24"/>
  <c r="Q101" i="24"/>
  <c r="Q102" i="24"/>
  <c r="Q103" i="24"/>
  <c r="Q104" i="24"/>
  <c r="Q105" i="24"/>
  <c r="Q26" i="24"/>
  <c r="Q27" i="24"/>
  <c r="Q28" i="24"/>
  <c r="Q29" i="24"/>
  <c r="Q30" i="24"/>
  <c r="Q31" i="24"/>
  <c r="Q32" i="24"/>
  <c r="Q33" i="24"/>
  <c r="Q34" i="24"/>
  <c r="Q35" i="24"/>
  <c r="Q36" i="24"/>
  <c r="Q37" i="24"/>
  <c r="Q38" i="24"/>
  <c r="Q39" i="24"/>
  <c r="Q40" i="24"/>
  <c r="Q41" i="24"/>
  <c r="Q42" i="24"/>
  <c r="Q43" i="24"/>
  <c r="Q44" i="24"/>
  <c r="Q45" i="24"/>
  <c r="Q48" i="24"/>
  <c r="Q49" i="24"/>
  <c r="Q50" i="24"/>
  <c r="Q51" i="24"/>
  <c r="Q52" i="24"/>
  <c r="Q53" i="24"/>
  <c r="Q54" i="24"/>
  <c r="Q55" i="24"/>
  <c r="Q56" i="24"/>
  <c r="Q57" i="24"/>
  <c r="Q58" i="24"/>
  <c r="Q59" i="24"/>
  <c r="Q60" i="24"/>
  <c r="Q61" i="24"/>
  <c r="Q62" i="24"/>
  <c r="Q63" i="24"/>
  <c r="Q64" i="24"/>
  <c r="Q65" i="24"/>
  <c r="Q66" i="24"/>
  <c r="Q67" i="24"/>
  <c r="Q70" i="24"/>
  <c r="Q71" i="24"/>
  <c r="Q72" i="24"/>
  <c r="Q73" i="24"/>
  <c r="Q74" i="24"/>
  <c r="Q75" i="24"/>
  <c r="Q76" i="24"/>
  <c r="Q77" i="24"/>
  <c r="Q78" i="24"/>
  <c r="Q79" i="24"/>
  <c r="Q80" i="24"/>
  <c r="Q81" i="24"/>
  <c r="Q82" i="24"/>
  <c r="Q83" i="24"/>
  <c r="Q84" i="24"/>
  <c r="Q85" i="24"/>
  <c r="Q86" i="24"/>
  <c r="Q87" i="24"/>
  <c r="Q88" i="24"/>
  <c r="Q89" i="24"/>
  <c r="Q92" i="24"/>
  <c r="Q93" i="24"/>
  <c r="Q377" i="24"/>
  <c r="Q378" i="24"/>
  <c r="Q399" i="24"/>
  <c r="Q400" i="24"/>
  <c r="Q421" i="24"/>
  <c r="Q422" i="24"/>
  <c r="Q425" i="24"/>
  <c r="Q426" i="24"/>
  <c r="Q427" i="24"/>
  <c r="Q428" i="24"/>
  <c r="Q429" i="24"/>
  <c r="Q430" i="24"/>
  <c r="Q431" i="24"/>
  <c r="Q432" i="24"/>
  <c r="Q433" i="24"/>
  <c r="Q434" i="24"/>
  <c r="Q435" i="24"/>
  <c r="Q436" i="24"/>
  <c r="Q357" i="24"/>
  <c r="Q358" i="24"/>
  <c r="Q359" i="24"/>
  <c r="Q360" i="24"/>
  <c r="Q361" i="24"/>
  <c r="Q362" i="24"/>
  <c r="Q363" i="24"/>
  <c r="Q364" i="24"/>
  <c r="Q365" i="24"/>
  <c r="Q366" i="24"/>
  <c r="Q367" i="24"/>
  <c r="Q368" i="24"/>
  <c r="Q369" i="24"/>
  <c r="Q370" i="24"/>
  <c r="Q371" i="24"/>
  <c r="Q372" i="24"/>
  <c r="Q373" i="24"/>
  <c r="Q374" i="24"/>
  <c r="Q375" i="24"/>
  <c r="Q376" i="24"/>
  <c r="Q379" i="24"/>
  <c r="Q380" i="24"/>
  <c r="Q381" i="24"/>
  <c r="Q382" i="24"/>
  <c r="Q383" i="24"/>
  <c r="Q384" i="24"/>
  <c r="Q385" i="24"/>
  <c r="Q386" i="24"/>
  <c r="Q387" i="24"/>
  <c r="Q388" i="24"/>
  <c r="Q389" i="24"/>
  <c r="Q390" i="24"/>
  <c r="Q391" i="24"/>
  <c r="Q392" i="24"/>
  <c r="Q393" i="24"/>
  <c r="Q394" i="24"/>
  <c r="Q395" i="24"/>
  <c r="Q396" i="24"/>
  <c r="Q397" i="24"/>
  <c r="Q398" i="24"/>
  <c r="Q401" i="24"/>
  <c r="Q402" i="24"/>
  <c r="Q403" i="24"/>
  <c r="Q404" i="24"/>
  <c r="Q405" i="24"/>
  <c r="Q406" i="24"/>
  <c r="Q407" i="24"/>
  <c r="Q408" i="24"/>
  <c r="Q409" i="24"/>
  <c r="Q410" i="24"/>
  <c r="Q411" i="24"/>
  <c r="Q412" i="24"/>
  <c r="Q413" i="24"/>
  <c r="Q414" i="24"/>
  <c r="Q415" i="24"/>
  <c r="Q416" i="24"/>
  <c r="Q417" i="24"/>
  <c r="Q418" i="24"/>
  <c r="Q419" i="24"/>
  <c r="Q420" i="24"/>
  <c r="Q423" i="24"/>
  <c r="Q424" i="24"/>
  <c r="Q131" i="24"/>
  <c r="Q142" i="24"/>
  <c r="Q151" i="24"/>
  <c r="Q152" i="24"/>
  <c r="Q153" i="24"/>
  <c r="Q154" i="24"/>
  <c r="Q155" i="24"/>
  <c r="Q156" i="24"/>
  <c r="Q157" i="24"/>
  <c r="Q132" i="24"/>
  <c r="Q133" i="24"/>
  <c r="Q134" i="24"/>
  <c r="Q135" i="24"/>
  <c r="Q136" i="24"/>
  <c r="Q137" i="24"/>
  <c r="Q138" i="24"/>
  <c r="Q139" i="24"/>
  <c r="Q140" i="24"/>
  <c r="Q141" i="24"/>
  <c r="Q143" i="24"/>
  <c r="Q144" i="24"/>
  <c r="Q145" i="24"/>
  <c r="Q146" i="24"/>
  <c r="Q147" i="24"/>
  <c r="Q148" i="24"/>
  <c r="Q149" i="24"/>
  <c r="Q150" i="24"/>
  <c r="Q106" i="24"/>
  <c r="Q117" i="24"/>
  <c r="Q124" i="24"/>
  <c r="Q125" i="24"/>
  <c r="Q126" i="24"/>
  <c r="Q127" i="24"/>
  <c r="Q128" i="24"/>
  <c r="Q129" i="24"/>
  <c r="Q130" i="24"/>
  <c r="Q107" i="24"/>
  <c r="Q108" i="24"/>
  <c r="Q109" i="24"/>
  <c r="Q110" i="24"/>
  <c r="Q111" i="24"/>
  <c r="Q112" i="24"/>
  <c r="Q113" i="24"/>
  <c r="Q114" i="24"/>
  <c r="Q115" i="24"/>
  <c r="Q116" i="24"/>
  <c r="Q118" i="24"/>
  <c r="Q119" i="24"/>
  <c r="Q120" i="24"/>
  <c r="Q121" i="24"/>
  <c r="Q122" i="24"/>
  <c r="Q123" i="24"/>
  <c r="Q183" i="24"/>
  <c r="Q194" i="24"/>
  <c r="Q201" i="24"/>
  <c r="Q202" i="24"/>
  <c r="Q203" i="24"/>
  <c r="Q204" i="24"/>
  <c r="Q205" i="24"/>
  <c r="Q206" i="24"/>
  <c r="Q207" i="24"/>
  <c r="Q184" i="24"/>
  <c r="Q185" i="24"/>
  <c r="Q186" i="24"/>
  <c r="Q187" i="24"/>
  <c r="Q188" i="24"/>
  <c r="Q189" i="24"/>
  <c r="Q190" i="24"/>
  <c r="Q191" i="24"/>
  <c r="Q192" i="24"/>
  <c r="Q193" i="24"/>
  <c r="Q195" i="24"/>
  <c r="Q196" i="24"/>
  <c r="Q197" i="24"/>
  <c r="Q198" i="24"/>
  <c r="Q199" i="24"/>
  <c r="Q200" i="24"/>
  <c r="Q208" i="24"/>
  <c r="Q219" i="24"/>
  <c r="Q226" i="24"/>
  <c r="Q227" i="24"/>
  <c r="Q228" i="24"/>
  <c r="Q229" i="24"/>
  <c r="Q230" i="24"/>
  <c r="Q231" i="24"/>
  <c r="Q232" i="24"/>
  <c r="Q209" i="24"/>
  <c r="Q210" i="24"/>
  <c r="Q211" i="24"/>
  <c r="Q212" i="24"/>
  <c r="Q213" i="24"/>
  <c r="Q214" i="24"/>
  <c r="Q215" i="24"/>
  <c r="Q216" i="24"/>
  <c r="Q217" i="24"/>
  <c r="Q218" i="24"/>
  <c r="Q220" i="24"/>
  <c r="Q221" i="24"/>
  <c r="Q222" i="24"/>
  <c r="Q223" i="24"/>
  <c r="Q224" i="24"/>
  <c r="Q225" i="24"/>
  <c r="Q233" i="24"/>
  <c r="Q244" i="24"/>
  <c r="Q250" i="24"/>
  <c r="Q251" i="24"/>
  <c r="Q252" i="24"/>
  <c r="Q253" i="24"/>
  <c r="Q254" i="24"/>
  <c r="Q255" i="24"/>
  <c r="Q256" i="24"/>
  <c r="Q234" i="24"/>
  <c r="Q235" i="24"/>
  <c r="Q236" i="24"/>
  <c r="Q237" i="24"/>
  <c r="Q238" i="24"/>
  <c r="Q239" i="24"/>
  <c r="Q240" i="24"/>
  <c r="Q241" i="24"/>
  <c r="Q242" i="24"/>
  <c r="Q243" i="24"/>
  <c r="Q245" i="24"/>
  <c r="Q246" i="24"/>
  <c r="Q595" i="24"/>
  <c r="Q247" i="24"/>
  <c r="Q248" i="24"/>
  <c r="Q249" i="24"/>
  <c r="Q307" i="24"/>
  <c r="Q318" i="24"/>
  <c r="Q325" i="24"/>
  <c r="Q326" i="24"/>
  <c r="Q327" i="24"/>
  <c r="Q328" i="24"/>
  <c r="Q329" i="24"/>
  <c r="Q330" i="24"/>
  <c r="Q331" i="24"/>
  <c r="Q308" i="24"/>
  <c r="Q309" i="24"/>
  <c r="Q310" i="24"/>
  <c r="Q311" i="24"/>
  <c r="Q312" i="24"/>
  <c r="Q313" i="24"/>
  <c r="Q314" i="24"/>
  <c r="Q315" i="24"/>
  <c r="Q316" i="24"/>
  <c r="Q317" i="24"/>
  <c r="Q319" i="24"/>
  <c r="Q320" i="24"/>
  <c r="Q321" i="24"/>
  <c r="Q322" i="24"/>
  <c r="Q323" i="24"/>
  <c r="Q324" i="24"/>
  <c r="Q282" i="24"/>
  <c r="Q293" i="24"/>
  <c r="Q300" i="24"/>
  <c r="Q301" i="24"/>
  <c r="Q302" i="24"/>
  <c r="Q303" i="24"/>
  <c r="Q304" i="24"/>
  <c r="Q305" i="24"/>
  <c r="Q306" i="24"/>
  <c r="Q283" i="24"/>
  <c r="Q284" i="24"/>
  <c r="Q285" i="24"/>
  <c r="Q286" i="24"/>
  <c r="Q287" i="24"/>
  <c r="Q288" i="24"/>
  <c r="Q289" i="24"/>
  <c r="Q290" i="24"/>
  <c r="Q291" i="24"/>
  <c r="Q292" i="24"/>
  <c r="Q294" i="24"/>
  <c r="Q295" i="24"/>
  <c r="Q296" i="24"/>
  <c r="Q297" i="24"/>
  <c r="Q298" i="24"/>
  <c r="Q299" i="24"/>
  <c r="Q158" i="24"/>
  <c r="Q169" i="24"/>
  <c r="Q176" i="24"/>
  <c r="Q177" i="24"/>
  <c r="Q178" i="24"/>
  <c r="Q179" i="24"/>
  <c r="Q180" i="24"/>
  <c r="Q181" i="24"/>
  <c r="Q182" i="24"/>
  <c r="Q159" i="24"/>
  <c r="Q160" i="24"/>
  <c r="Q161" i="24"/>
  <c r="Q162" i="24"/>
  <c r="Q163" i="24"/>
  <c r="Q164" i="24"/>
  <c r="Q165" i="24"/>
  <c r="Q166" i="24"/>
  <c r="Q167" i="24"/>
  <c r="Q168" i="24"/>
  <c r="Q170" i="24"/>
  <c r="Q171" i="24"/>
  <c r="Q172" i="24"/>
  <c r="Q173" i="24"/>
  <c r="Q174" i="24"/>
  <c r="Q175" i="24"/>
  <c r="Q332" i="24"/>
  <c r="Q343" i="24"/>
  <c r="Q350" i="24"/>
  <c r="Q351" i="24"/>
  <c r="Q352" i="24"/>
  <c r="Q353" i="24"/>
  <c r="Q354" i="24"/>
  <c r="Q355" i="24"/>
  <c r="Q356" i="24"/>
  <c r="Q333" i="24"/>
  <c r="Q334" i="24"/>
  <c r="Q335" i="24"/>
  <c r="Q336" i="24"/>
  <c r="Q337" i="24"/>
  <c r="Q338" i="24"/>
  <c r="Q339" i="24"/>
  <c r="Q340" i="24"/>
  <c r="Q341" i="24"/>
  <c r="Q342" i="24"/>
  <c r="Q344" i="24"/>
  <c r="Q345" i="24"/>
  <c r="Q346" i="24"/>
  <c r="Q347" i="24"/>
  <c r="Q348" i="24"/>
  <c r="Q349" i="24"/>
  <c r="Q437" i="24"/>
  <c r="Q448" i="24"/>
  <c r="Q455" i="24"/>
  <c r="Q456" i="24"/>
  <c r="Q457" i="24"/>
  <c r="Q458" i="24"/>
  <c r="Q459" i="24"/>
  <c r="Q460" i="24"/>
  <c r="Q461" i="24"/>
  <c r="Q438" i="24"/>
  <c r="Q439" i="24"/>
  <c r="Q440" i="24"/>
  <c r="Q441" i="24"/>
  <c r="Q442" i="24"/>
  <c r="Q443" i="24"/>
  <c r="Q444" i="24"/>
  <c r="Q445" i="24"/>
  <c r="Q446" i="24"/>
  <c r="Q447" i="24"/>
  <c r="Q449" i="24"/>
  <c r="Q450" i="24"/>
  <c r="Q451" i="24"/>
  <c r="Q452" i="24"/>
  <c r="Q453" i="24"/>
  <c r="Q454" i="24"/>
  <c r="Q462" i="24"/>
  <c r="Q473" i="24"/>
  <c r="Q480" i="24"/>
  <c r="Q481" i="24"/>
  <c r="Q482" i="24"/>
  <c r="Q483" i="24"/>
  <c r="Q484" i="24"/>
  <c r="Q485" i="24"/>
  <c r="Q486" i="24"/>
  <c r="Q463" i="24"/>
  <c r="Q464" i="24"/>
  <c r="Q465" i="24"/>
  <c r="Q466" i="24"/>
  <c r="Q467" i="24"/>
  <c r="Q468" i="24"/>
  <c r="Q469" i="24"/>
  <c r="Q470" i="24"/>
  <c r="Q471" i="24"/>
  <c r="Q472" i="24"/>
  <c r="Q474" i="24"/>
  <c r="Q475" i="24"/>
  <c r="Q476" i="24"/>
  <c r="Q477" i="24"/>
  <c r="Q478" i="24"/>
  <c r="Q479" i="24"/>
  <c r="Q2" i="24"/>
  <c r="Q12" i="24"/>
  <c r="Q19" i="24"/>
  <c r="Q20" i="24"/>
  <c r="Q21" i="24"/>
  <c r="Q22" i="24"/>
  <c r="Q23" i="24"/>
  <c r="Q24" i="24"/>
  <c r="Q25" i="24"/>
  <c r="Q3" i="24"/>
  <c r="Q4" i="24"/>
  <c r="Q5" i="24"/>
  <c r="Q6" i="24"/>
  <c r="Q7" i="24"/>
  <c r="Q594" i="24"/>
  <c r="Q8" i="24"/>
  <c r="Q9" i="24"/>
  <c r="Q10" i="24"/>
  <c r="Q11" i="24"/>
  <c r="Q13" i="24"/>
  <c r="Q14" i="24"/>
  <c r="Q15" i="24"/>
  <c r="Q16" i="24"/>
  <c r="Q17" i="24"/>
  <c r="Q18" i="24"/>
  <c r="Q487" i="24"/>
  <c r="Q498" i="24"/>
  <c r="Q505" i="24"/>
  <c r="Q506" i="24"/>
  <c r="Q507" i="24"/>
  <c r="Q508" i="24"/>
  <c r="Q509" i="24"/>
  <c r="Q510" i="24"/>
  <c r="Q511" i="24"/>
  <c r="Q488" i="24"/>
  <c r="Q489" i="24"/>
  <c r="Q490" i="24"/>
  <c r="Q491" i="24"/>
  <c r="Q492" i="24"/>
  <c r="Q493" i="24"/>
  <c r="Q494" i="24"/>
  <c r="Q495" i="24"/>
  <c r="Q496" i="24"/>
  <c r="Q497" i="24"/>
  <c r="Q499" i="24"/>
  <c r="Q500" i="24"/>
  <c r="Q501" i="24"/>
  <c r="Q502" i="24"/>
  <c r="Q503" i="24"/>
  <c r="Q504" i="24"/>
  <c r="Q569" i="24"/>
  <c r="Q580" i="24"/>
  <c r="Q587" i="24"/>
  <c r="Q588" i="24"/>
  <c r="Q589" i="24"/>
  <c r="Q590" i="24"/>
  <c r="Q591" i="24"/>
  <c r="Q592" i="24"/>
  <c r="Q593" i="24"/>
  <c r="Q570" i="24"/>
  <c r="Q571" i="24"/>
  <c r="Q572" i="24"/>
  <c r="Q573" i="24"/>
  <c r="Q574" i="24"/>
  <c r="Q575" i="24"/>
  <c r="Q576" i="24"/>
  <c r="Q577" i="24"/>
  <c r="Q578" i="24"/>
  <c r="Q579" i="24"/>
  <c r="Q581" i="24"/>
  <c r="Q582" i="24"/>
  <c r="Q583" i="24"/>
  <c r="Q584" i="24"/>
  <c r="Q585" i="24"/>
  <c r="Q586" i="24"/>
  <c r="Q512" i="24"/>
  <c r="Q523" i="24"/>
  <c r="Q534" i="24"/>
  <c r="Q545" i="24"/>
  <c r="Q556" i="24"/>
  <c r="Q565" i="24"/>
  <c r="Q566" i="24"/>
  <c r="Q567" i="24"/>
  <c r="Q568" i="24"/>
  <c r="Q513" i="24"/>
  <c r="Q514" i="24"/>
  <c r="Q515" i="24"/>
  <c r="Q516" i="24"/>
  <c r="Q517" i="24"/>
  <c r="Q518" i="24"/>
  <c r="Q519" i="24"/>
  <c r="Q520" i="24"/>
  <c r="Q521" i="24"/>
  <c r="Q522" i="24"/>
  <c r="Q524" i="24"/>
  <c r="Q525" i="24"/>
  <c r="Q526" i="24"/>
  <c r="Q527" i="24"/>
  <c r="Q528" i="24"/>
  <c r="Q529" i="24"/>
  <c r="M46" i="24"/>
  <c r="M47" i="24"/>
  <c r="M68" i="24"/>
  <c r="M69" i="24"/>
  <c r="M90" i="24"/>
  <c r="M91" i="24"/>
  <c r="M94" i="24"/>
  <c r="M95" i="24"/>
  <c r="M96" i="24"/>
  <c r="M97" i="24"/>
  <c r="M98" i="24"/>
  <c r="M99" i="24"/>
  <c r="M100" i="24"/>
  <c r="M101" i="24"/>
  <c r="M102" i="24"/>
  <c r="M103" i="24"/>
  <c r="M104" i="24"/>
  <c r="M105" i="24"/>
  <c r="M26" i="24"/>
  <c r="M27" i="24"/>
  <c r="M28" i="24"/>
  <c r="M29" i="24"/>
  <c r="M30" i="24"/>
  <c r="M31" i="24"/>
  <c r="M32" i="24"/>
  <c r="M33" i="24"/>
  <c r="M34" i="24"/>
  <c r="M35" i="24"/>
  <c r="M36" i="24"/>
  <c r="M37" i="24"/>
  <c r="M38" i="24"/>
  <c r="M39" i="24"/>
  <c r="M40" i="24"/>
  <c r="M41" i="24"/>
  <c r="M42" i="24"/>
  <c r="M43" i="24"/>
  <c r="M44" i="24"/>
  <c r="M45" i="24"/>
  <c r="M48" i="24"/>
  <c r="M49" i="24"/>
  <c r="M50" i="24"/>
  <c r="M51" i="24"/>
  <c r="M52" i="24"/>
  <c r="M53" i="24"/>
  <c r="M54" i="24"/>
  <c r="M55" i="24"/>
  <c r="M58" i="24"/>
  <c r="M59" i="24"/>
  <c r="M61" i="24"/>
  <c r="M62" i="24"/>
  <c r="M63" i="24"/>
  <c r="M65" i="24"/>
  <c r="M66" i="24"/>
  <c r="M67" i="24"/>
  <c r="M70" i="24"/>
  <c r="M71" i="24"/>
  <c r="M72" i="24"/>
  <c r="M73" i="24"/>
  <c r="M74" i="24"/>
  <c r="M75" i="24"/>
  <c r="M76" i="24"/>
  <c r="M77" i="24"/>
  <c r="M78" i="24"/>
  <c r="M79" i="24"/>
  <c r="M80" i="24"/>
  <c r="M81" i="24"/>
  <c r="M82" i="24"/>
  <c r="M83" i="24"/>
  <c r="M84" i="24"/>
  <c r="M85" i="24"/>
  <c r="M88" i="24"/>
  <c r="M89" i="24"/>
  <c r="M92" i="24"/>
  <c r="M93" i="24"/>
  <c r="M377" i="24"/>
  <c r="M378" i="24"/>
  <c r="M399" i="24"/>
  <c r="M400" i="24"/>
  <c r="M421" i="24"/>
  <c r="M422" i="24"/>
  <c r="M427" i="24"/>
  <c r="M428" i="24"/>
  <c r="M429" i="24"/>
  <c r="M430" i="24"/>
  <c r="M431" i="24"/>
  <c r="M432" i="24"/>
  <c r="M433" i="24"/>
  <c r="M434" i="24"/>
  <c r="M435" i="24"/>
  <c r="M436" i="24"/>
  <c r="M357" i="24"/>
  <c r="M358" i="24"/>
  <c r="M359" i="24"/>
  <c r="M360" i="24"/>
  <c r="M361" i="24"/>
  <c r="M362" i="24"/>
  <c r="M363" i="24"/>
  <c r="M364" i="24"/>
  <c r="M365" i="24"/>
  <c r="M366" i="24"/>
  <c r="M367" i="24"/>
  <c r="M368" i="24"/>
  <c r="M369" i="24"/>
  <c r="M370" i="24"/>
  <c r="M371" i="24"/>
  <c r="M372" i="24"/>
  <c r="M373" i="24"/>
  <c r="M374" i="24"/>
  <c r="M375" i="24"/>
  <c r="M376" i="24"/>
  <c r="M379" i="24"/>
  <c r="M380" i="24"/>
  <c r="M382" i="24"/>
  <c r="M385" i="24"/>
  <c r="M386" i="24"/>
  <c r="M387" i="24"/>
  <c r="M388" i="24"/>
  <c r="M389" i="24"/>
  <c r="M390" i="24"/>
  <c r="M391" i="24"/>
  <c r="M392" i="24"/>
  <c r="M393" i="24"/>
  <c r="M394" i="24"/>
  <c r="M395" i="24"/>
  <c r="M396" i="24"/>
  <c r="M397" i="24"/>
  <c r="M398" i="24"/>
  <c r="M401" i="24"/>
  <c r="M402" i="24"/>
  <c r="M403" i="24"/>
  <c r="M404" i="24"/>
  <c r="M405" i="24"/>
  <c r="M406" i="24"/>
  <c r="M407" i="24"/>
  <c r="M408" i="24"/>
  <c r="M409" i="24"/>
  <c r="M410" i="24"/>
  <c r="M411" i="24"/>
  <c r="M412" i="24"/>
  <c r="M413" i="24"/>
  <c r="M414" i="24"/>
  <c r="M415" i="24"/>
  <c r="M416" i="24"/>
  <c r="M419" i="24"/>
  <c r="M420" i="24"/>
  <c r="M423" i="24"/>
  <c r="M424" i="24"/>
  <c r="M131" i="24"/>
  <c r="M142" i="24"/>
  <c r="M151" i="24"/>
  <c r="M152" i="24"/>
  <c r="M153" i="24"/>
  <c r="M154" i="24"/>
  <c r="M155" i="24"/>
  <c r="M156" i="24"/>
  <c r="M157" i="24"/>
  <c r="M132" i="24"/>
  <c r="M133" i="24"/>
  <c r="M134" i="24"/>
  <c r="M135" i="24"/>
  <c r="M136" i="24"/>
  <c r="M137" i="24"/>
  <c r="M138" i="24"/>
  <c r="M139" i="24"/>
  <c r="M140" i="24"/>
  <c r="M141" i="24"/>
  <c r="M144" i="24"/>
  <c r="M145" i="24"/>
  <c r="M146" i="24"/>
  <c r="M147" i="24"/>
  <c r="M148" i="24"/>
  <c r="M149" i="24"/>
  <c r="M150" i="24"/>
  <c r="M106" i="24"/>
  <c r="M117" i="24"/>
  <c r="M124" i="24"/>
  <c r="M125" i="24"/>
  <c r="M126" i="24"/>
  <c r="M127" i="24"/>
  <c r="M128" i="24"/>
  <c r="M129" i="24"/>
  <c r="M130" i="24"/>
  <c r="M107" i="24"/>
  <c r="M108" i="24"/>
  <c r="M109" i="24"/>
  <c r="M110" i="24"/>
  <c r="M111" i="24"/>
  <c r="M112" i="24"/>
  <c r="M113" i="24"/>
  <c r="M114" i="24"/>
  <c r="M115" i="24"/>
  <c r="M116" i="24"/>
  <c r="M118" i="24"/>
  <c r="M119" i="24"/>
  <c r="M120" i="24"/>
  <c r="M121" i="24"/>
  <c r="M122" i="24"/>
  <c r="M123" i="24"/>
  <c r="M183" i="24"/>
  <c r="M194" i="24"/>
  <c r="M201" i="24"/>
  <c r="M202" i="24"/>
  <c r="M203" i="24"/>
  <c r="M204" i="24"/>
  <c r="M205" i="24"/>
  <c r="M207" i="24"/>
  <c r="M184" i="24"/>
  <c r="M185" i="24"/>
  <c r="M186" i="24"/>
  <c r="M187" i="24"/>
  <c r="M188" i="24"/>
  <c r="M189" i="24"/>
  <c r="M190" i="24"/>
  <c r="M191" i="24"/>
  <c r="M192" i="24"/>
  <c r="M193" i="24"/>
  <c r="M195" i="24"/>
  <c r="M196" i="24"/>
  <c r="M197" i="24"/>
  <c r="M198" i="24"/>
  <c r="M199" i="24"/>
  <c r="M200" i="24"/>
  <c r="M208" i="24"/>
  <c r="M219" i="24"/>
  <c r="M226" i="24"/>
  <c r="M227" i="24"/>
  <c r="M228" i="24"/>
  <c r="M229" i="24"/>
  <c r="M230" i="24"/>
  <c r="M231" i="24"/>
  <c r="M232" i="24"/>
  <c r="M209" i="24"/>
  <c r="M210" i="24"/>
  <c r="M211" i="24"/>
  <c r="M212" i="24"/>
  <c r="M213" i="24"/>
  <c r="M214" i="24"/>
  <c r="M215" i="24"/>
  <c r="M216" i="24"/>
  <c r="M217" i="24"/>
  <c r="M218" i="24"/>
  <c r="M220" i="24"/>
  <c r="M221" i="24"/>
  <c r="M222" i="24"/>
  <c r="M224" i="24"/>
  <c r="M225" i="24"/>
  <c r="M233" i="24"/>
  <c r="M244" i="24"/>
  <c r="M250" i="24"/>
  <c r="M251" i="24"/>
  <c r="M252" i="24"/>
  <c r="M253" i="24"/>
  <c r="M254" i="24"/>
  <c r="M255" i="24"/>
  <c r="M256" i="24"/>
  <c r="M234" i="24"/>
  <c r="M235" i="24"/>
  <c r="M236" i="24"/>
  <c r="M237" i="24"/>
  <c r="M238" i="24"/>
  <c r="M239" i="24"/>
  <c r="M240" i="24"/>
  <c r="M241" i="24"/>
  <c r="M242" i="24"/>
  <c r="M243" i="24"/>
  <c r="M245" i="24"/>
  <c r="M246" i="24"/>
  <c r="M595" i="24"/>
  <c r="M247" i="24"/>
  <c r="M248" i="24"/>
  <c r="M249" i="24"/>
  <c r="K249" i="24" s="1" a="1"/>
  <c r="M307" i="24"/>
  <c r="M318" i="24"/>
  <c r="M325" i="24"/>
  <c r="M326" i="24"/>
  <c r="M327" i="24"/>
  <c r="M328" i="24"/>
  <c r="M329" i="24"/>
  <c r="M330" i="24"/>
  <c r="M331" i="24"/>
  <c r="M308" i="24"/>
  <c r="M309" i="24"/>
  <c r="M310" i="24"/>
  <c r="M311" i="24"/>
  <c r="M312" i="24"/>
  <c r="M313" i="24"/>
  <c r="M314" i="24"/>
  <c r="M315" i="24"/>
  <c r="M316" i="24"/>
  <c r="M317" i="24"/>
  <c r="M319" i="24"/>
  <c r="M320" i="24"/>
  <c r="M321" i="24"/>
  <c r="M322" i="24"/>
  <c r="M323" i="24"/>
  <c r="M324" i="24"/>
  <c r="M282" i="24"/>
  <c r="M293" i="24"/>
  <c r="M300" i="24"/>
  <c r="M301" i="24"/>
  <c r="M302" i="24"/>
  <c r="M303" i="24"/>
  <c r="M304" i="24"/>
  <c r="M305" i="24"/>
  <c r="M306" i="24"/>
  <c r="M283" i="24"/>
  <c r="M284" i="24"/>
  <c r="M285" i="24"/>
  <c r="M286" i="24"/>
  <c r="M287" i="24"/>
  <c r="M288" i="24"/>
  <c r="M289" i="24"/>
  <c r="M290" i="24"/>
  <c r="M292" i="24"/>
  <c r="M294" i="24"/>
  <c r="M295" i="24"/>
  <c r="M296" i="24"/>
  <c r="M297" i="24"/>
  <c r="M298" i="24"/>
  <c r="M299" i="24"/>
  <c r="M158" i="24"/>
  <c r="M169" i="24"/>
  <c r="M176" i="24"/>
  <c r="M177" i="24"/>
  <c r="M178" i="24"/>
  <c r="M179" i="24"/>
  <c r="M180" i="24"/>
  <c r="M181" i="24"/>
  <c r="M182" i="24"/>
  <c r="M159" i="24"/>
  <c r="M160" i="24"/>
  <c r="M161" i="24"/>
  <c r="M162" i="24"/>
  <c r="M163" i="24"/>
  <c r="M164" i="24"/>
  <c r="M165" i="24"/>
  <c r="M166" i="24"/>
  <c r="M167" i="24"/>
  <c r="M168" i="24"/>
  <c r="M170" i="24"/>
  <c r="M172" i="24"/>
  <c r="M173" i="24"/>
  <c r="M174" i="24"/>
  <c r="M175" i="24"/>
  <c r="M332" i="24"/>
  <c r="M343" i="24"/>
  <c r="M350" i="24"/>
  <c r="M351" i="24"/>
  <c r="M352" i="24"/>
  <c r="M353" i="24"/>
  <c r="M354" i="24"/>
  <c r="M355" i="24"/>
  <c r="M356" i="24"/>
  <c r="M333" i="24"/>
  <c r="M334" i="24"/>
  <c r="M336" i="24"/>
  <c r="M337" i="24"/>
  <c r="M338" i="24"/>
  <c r="M339" i="24"/>
  <c r="M340" i="24"/>
  <c r="M341" i="24"/>
  <c r="M342" i="24"/>
  <c r="M344" i="24"/>
  <c r="M345" i="24"/>
  <c r="M346" i="24"/>
  <c r="M347" i="24"/>
  <c r="M348" i="24"/>
  <c r="M349" i="24"/>
  <c r="M437" i="24"/>
  <c r="M448" i="24"/>
  <c r="M455" i="24"/>
  <c r="M456" i="24"/>
  <c r="M457" i="24"/>
  <c r="M458" i="24"/>
  <c r="M459" i="24"/>
  <c r="M460" i="24"/>
  <c r="M461" i="24"/>
  <c r="M438" i="24"/>
  <c r="M439" i="24"/>
  <c r="M440" i="24"/>
  <c r="M441" i="24"/>
  <c r="M442" i="24"/>
  <c r="M443" i="24"/>
  <c r="M444" i="24"/>
  <c r="M445" i="24"/>
  <c r="M446" i="24"/>
  <c r="M447" i="24"/>
  <c r="M449" i="24"/>
  <c r="M450" i="24"/>
  <c r="M451" i="24"/>
  <c r="M452" i="24"/>
  <c r="M453" i="24"/>
  <c r="M454" i="24"/>
  <c r="M462" i="24"/>
  <c r="M473" i="24"/>
  <c r="M480" i="24"/>
  <c r="M481" i="24"/>
  <c r="M482" i="24"/>
  <c r="M483" i="24"/>
  <c r="M484" i="24"/>
  <c r="M485" i="24"/>
  <c r="M486" i="24"/>
  <c r="M463" i="24"/>
  <c r="M464" i="24"/>
  <c r="M465" i="24"/>
  <c r="M466" i="24"/>
  <c r="M467" i="24"/>
  <c r="M468" i="24"/>
  <c r="M469" i="24"/>
  <c r="M470" i="24"/>
  <c r="M471" i="24"/>
  <c r="M472" i="24"/>
  <c r="M474" i="24"/>
  <c r="M475" i="24"/>
  <c r="M476" i="24"/>
  <c r="M477" i="24"/>
  <c r="M478" i="24"/>
  <c r="M479" i="24"/>
  <c r="M2" i="24"/>
  <c r="M12" i="24"/>
  <c r="M19" i="24"/>
  <c r="M20" i="24"/>
  <c r="M21" i="24"/>
  <c r="M22" i="24"/>
  <c r="M23" i="24"/>
  <c r="M24" i="24"/>
  <c r="M3" i="24"/>
  <c r="M4" i="24"/>
  <c r="M5" i="24"/>
  <c r="M6" i="24"/>
  <c r="M7" i="24"/>
  <c r="M594" i="24"/>
  <c r="M8" i="24"/>
  <c r="M9" i="24"/>
  <c r="M10" i="24"/>
  <c r="M13" i="24"/>
  <c r="M14" i="24"/>
  <c r="M15" i="24"/>
  <c r="M16" i="24"/>
  <c r="M17" i="24"/>
  <c r="M487" i="24"/>
  <c r="M498" i="24"/>
  <c r="M505" i="24"/>
  <c r="M506" i="24"/>
  <c r="M507" i="24"/>
  <c r="M508" i="24"/>
  <c r="M509" i="24"/>
  <c r="M511" i="24"/>
  <c r="M488" i="24"/>
  <c r="M489" i="24"/>
  <c r="M490" i="24"/>
  <c r="M491" i="24"/>
  <c r="M492" i="24"/>
  <c r="M493" i="24"/>
  <c r="M494" i="24"/>
  <c r="M495" i="24"/>
  <c r="M496" i="24"/>
  <c r="M497" i="24"/>
  <c r="M499" i="24"/>
  <c r="M500" i="24"/>
  <c r="M501" i="24"/>
  <c r="M502" i="24"/>
  <c r="M503" i="24"/>
  <c r="M504" i="24"/>
  <c r="M569" i="24"/>
  <c r="M580" i="24"/>
  <c r="M587" i="24"/>
  <c r="M588" i="24"/>
  <c r="M589" i="24"/>
  <c r="M590" i="24"/>
  <c r="M591" i="24"/>
  <c r="M592" i="24"/>
  <c r="M593" i="24"/>
  <c r="M570" i="24"/>
  <c r="M571" i="24"/>
  <c r="M572" i="24"/>
  <c r="M574" i="24"/>
  <c r="M575" i="24"/>
  <c r="M576" i="24"/>
  <c r="M577" i="24"/>
  <c r="M578" i="24"/>
  <c r="M579" i="24"/>
  <c r="M581" i="24"/>
  <c r="M582" i="24"/>
  <c r="M583" i="24"/>
  <c r="M584" i="24"/>
  <c r="M585" i="24"/>
  <c r="M586" i="24"/>
  <c r="M512" i="24"/>
  <c r="M523" i="24"/>
  <c r="M534" i="24"/>
  <c r="M545" i="24"/>
  <c r="M556" i="24"/>
  <c r="M565" i="24"/>
  <c r="M566" i="24"/>
  <c r="M567" i="24"/>
  <c r="M568" i="24"/>
  <c r="M513" i="24"/>
  <c r="M514" i="24"/>
  <c r="M515" i="24"/>
  <c r="M516" i="24"/>
  <c r="M517" i="24"/>
  <c r="M518" i="24"/>
  <c r="M519" i="24"/>
  <c r="M520" i="24"/>
  <c r="M521" i="24"/>
  <c r="M522" i="24"/>
  <c r="M524" i="24"/>
  <c r="M525" i="24"/>
  <c r="M526" i="24"/>
  <c r="M527" i="24"/>
  <c r="M528" i="24"/>
  <c r="M529" i="24"/>
  <c r="L46" i="24"/>
  <c r="L47" i="24"/>
  <c r="L68" i="24"/>
  <c r="L69" i="24"/>
  <c r="L90" i="24"/>
  <c r="L91" i="24"/>
  <c r="K91" i="24" s="1" a="1"/>
  <c r="K91" i="24" s="1"/>
  <c r="L94" i="24"/>
  <c r="L95" i="24"/>
  <c r="L96" i="24"/>
  <c r="L97" i="24"/>
  <c r="L98" i="24"/>
  <c r="L99" i="24"/>
  <c r="L100" i="24"/>
  <c r="L101" i="24"/>
  <c r="L102" i="24"/>
  <c r="L103" i="24"/>
  <c r="L104" i="24"/>
  <c r="L105" i="24"/>
  <c r="L26" i="24"/>
  <c r="L27" i="24"/>
  <c r="L28" i="24"/>
  <c r="L29" i="24"/>
  <c r="L30" i="24"/>
  <c r="L31" i="24"/>
  <c r="L32" i="24"/>
  <c r="L33" i="24"/>
  <c r="L34" i="24"/>
  <c r="L35" i="24"/>
  <c r="L36" i="24"/>
  <c r="L37" i="24"/>
  <c r="L38" i="24"/>
  <c r="L39" i="24"/>
  <c r="L40" i="24"/>
  <c r="L41" i="24"/>
  <c r="L42" i="24"/>
  <c r="L43" i="24"/>
  <c r="L44" i="24"/>
  <c r="L45" i="24"/>
  <c r="L48" i="24"/>
  <c r="L49" i="24"/>
  <c r="L50" i="24"/>
  <c r="L51" i="24"/>
  <c r="L52" i="24"/>
  <c r="L53" i="24"/>
  <c r="L54" i="24"/>
  <c r="L55" i="24"/>
  <c r="L58" i="24"/>
  <c r="L59" i="24"/>
  <c r="L61" i="24"/>
  <c r="L62" i="24"/>
  <c r="L63" i="24"/>
  <c r="L65" i="24"/>
  <c r="L66" i="24"/>
  <c r="L67" i="24"/>
  <c r="L70" i="24"/>
  <c r="L71" i="24"/>
  <c r="L72" i="24"/>
  <c r="L73" i="24"/>
  <c r="L74" i="24"/>
  <c r="L75" i="24"/>
  <c r="L76" i="24"/>
  <c r="L77" i="24"/>
  <c r="L78" i="24"/>
  <c r="L79" i="24"/>
  <c r="L80" i="24"/>
  <c r="L81" i="24"/>
  <c r="L82" i="24"/>
  <c r="L83" i="24"/>
  <c r="L84" i="24"/>
  <c r="L85" i="24"/>
  <c r="L88" i="24"/>
  <c r="L89" i="24"/>
  <c r="L92" i="24"/>
  <c r="L93" i="24"/>
  <c r="L377" i="24"/>
  <c r="L378" i="24"/>
  <c r="L399" i="24"/>
  <c r="L400" i="24"/>
  <c r="L421" i="24"/>
  <c r="L422" i="24"/>
  <c r="L427" i="24"/>
  <c r="L428" i="24"/>
  <c r="L429" i="24"/>
  <c r="L430" i="24"/>
  <c r="L431" i="24"/>
  <c r="L432" i="24"/>
  <c r="L433" i="24"/>
  <c r="L434" i="24"/>
  <c r="L435" i="24"/>
  <c r="L436" i="24"/>
  <c r="L357" i="24"/>
  <c r="L358" i="24"/>
  <c r="L359" i="24"/>
  <c r="L360" i="24"/>
  <c r="L361" i="24"/>
  <c r="L362" i="24"/>
  <c r="L363" i="24"/>
  <c r="L364" i="24"/>
  <c r="L365" i="24"/>
  <c r="L366" i="24"/>
  <c r="L367" i="24"/>
  <c r="L368" i="24"/>
  <c r="L369" i="24"/>
  <c r="L370" i="24"/>
  <c r="L371" i="24"/>
  <c r="L372" i="24"/>
  <c r="L373" i="24"/>
  <c r="L374" i="24"/>
  <c r="L375" i="24"/>
  <c r="L376" i="24"/>
  <c r="L379" i="24"/>
  <c r="L380" i="24"/>
  <c r="L384" i="24"/>
  <c r="L385" i="24"/>
  <c r="L386" i="24"/>
  <c r="L387" i="24"/>
  <c r="L388" i="24"/>
  <c r="L389" i="24"/>
  <c r="L390" i="24"/>
  <c r="L391" i="24"/>
  <c r="L392" i="24"/>
  <c r="L393" i="24"/>
  <c r="L394" i="24"/>
  <c r="L395" i="24"/>
  <c r="L396" i="24"/>
  <c r="L397" i="24"/>
  <c r="L398" i="24"/>
  <c r="L401" i="24"/>
  <c r="L402" i="24"/>
  <c r="L403" i="24"/>
  <c r="L404" i="24"/>
  <c r="L405" i="24"/>
  <c r="L406" i="24"/>
  <c r="L407" i="24"/>
  <c r="L408" i="24"/>
  <c r="L409" i="24"/>
  <c r="L410" i="24"/>
  <c r="L411" i="24"/>
  <c r="L412" i="24"/>
  <c r="L413" i="24"/>
  <c r="L414" i="24"/>
  <c r="L415" i="24"/>
  <c r="L416" i="24"/>
  <c r="L419" i="24"/>
  <c r="L420" i="24"/>
  <c r="L423" i="24"/>
  <c r="L424" i="24"/>
  <c r="L131" i="24"/>
  <c r="L142" i="24"/>
  <c r="L151" i="24"/>
  <c r="K151" i="24" s="1" a="1"/>
  <c r="K151" i="24" s="1"/>
  <c r="L152" i="24"/>
  <c r="L153" i="24"/>
  <c r="L154" i="24"/>
  <c r="L155" i="24"/>
  <c r="L156" i="24"/>
  <c r="L157" i="24"/>
  <c r="L132" i="24"/>
  <c r="L133" i="24"/>
  <c r="L134" i="24"/>
  <c r="L135" i="24"/>
  <c r="L136" i="24"/>
  <c r="L137" i="24"/>
  <c r="L138" i="24"/>
  <c r="L139" i="24"/>
  <c r="L140" i="24"/>
  <c r="L141" i="24"/>
  <c r="L144" i="24"/>
  <c r="L145" i="24"/>
  <c r="L146" i="24"/>
  <c r="L147" i="24"/>
  <c r="L148" i="24"/>
  <c r="L149" i="24"/>
  <c r="L150" i="24"/>
  <c r="L106" i="24"/>
  <c r="L117" i="24"/>
  <c r="L124" i="24"/>
  <c r="L125" i="24"/>
  <c r="L126" i="24"/>
  <c r="L127" i="24"/>
  <c r="L128" i="24"/>
  <c r="L129" i="24"/>
  <c r="L130" i="24"/>
  <c r="L107" i="24"/>
  <c r="L108" i="24"/>
  <c r="L109" i="24"/>
  <c r="L110" i="24"/>
  <c r="L111" i="24"/>
  <c r="L112" i="24"/>
  <c r="L113" i="24"/>
  <c r="L114" i="24"/>
  <c r="L115" i="24"/>
  <c r="L116" i="24"/>
  <c r="L118" i="24"/>
  <c r="L119" i="24"/>
  <c r="L120" i="24"/>
  <c r="L121" i="24"/>
  <c r="L122" i="24"/>
  <c r="L123" i="24"/>
  <c r="L183" i="24"/>
  <c r="L194" i="24"/>
  <c r="L201" i="24"/>
  <c r="L202" i="24"/>
  <c r="L203" i="24"/>
  <c r="L204" i="24"/>
  <c r="L205" i="24"/>
  <c r="L207" i="24"/>
  <c r="L184" i="24"/>
  <c r="L185" i="24"/>
  <c r="L186" i="24"/>
  <c r="L187" i="24"/>
  <c r="L188" i="24"/>
  <c r="L189" i="24"/>
  <c r="L190" i="24"/>
  <c r="L191" i="24"/>
  <c r="L192" i="24"/>
  <c r="L193" i="24"/>
  <c r="L195" i="24"/>
  <c r="L196" i="24"/>
  <c r="L197" i="24"/>
  <c r="L198" i="24"/>
  <c r="L199" i="24"/>
  <c r="L200" i="24"/>
  <c r="K200" i="24" s="1" a="1"/>
  <c r="K200" i="24" s="1"/>
  <c r="L208" i="24"/>
  <c r="L219" i="24"/>
  <c r="L226" i="24"/>
  <c r="L227" i="24"/>
  <c r="L228" i="24"/>
  <c r="L229" i="24"/>
  <c r="L230" i="24"/>
  <c r="L231" i="24"/>
  <c r="L232" i="24"/>
  <c r="L209" i="24"/>
  <c r="L210" i="24"/>
  <c r="L211" i="24"/>
  <c r="L212" i="24"/>
  <c r="L213" i="24"/>
  <c r="L214" i="24"/>
  <c r="L215" i="24"/>
  <c r="L216" i="24"/>
  <c r="L217" i="24"/>
  <c r="L218" i="24"/>
  <c r="L220" i="24"/>
  <c r="L221" i="24"/>
  <c r="L222" i="24"/>
  <c r="L224" i="24"/>
  <c r="L225" i="24"/>
  <c r="L233" i="24"/>
  <c r="L244" i="24"/>
  <c r="L250" i="24"/>
  <c r="L251" i="24"/>
  <c r="L252" i="24"/>
  <c r="L253" i="24"/>
  <c r="L254" i="24"/>
  <c r="L255" i="24"/>
  <c r="K255" i="24" s="1" a="1"/>
  <c r="K255" i="24" s="1"/>
  <c r="L256" i="24"/>
  <c r="L234" i="24"/>
  <c r="L235" i="24"/>
  <c r="L236" i="24"/>
  <c r="L237" i="24"/>
  <c r="L238" i="24"/>
  <c r="L239" i="24"/>
  <c r="L240" i="24"/>
  <c r="L241" i="24"/>
  <c r="L242" i="24"/>
  <c r="L243" i="24"/>
  <c r="L245" i="24"/>
  <c r="L246" i="24"/>
  <c r="L595" i="24"/>
  <c r="L247" i="24"/>
  <c r="L248" i="24"/>
  <c r="L307" i="24"/>
  <c r="L318" i="24"/>
  <c r="L325" i="24"/>
  <c r="L326" i="24"/>
  <c r="L327" i="24"/>
  <c r="L328" i="24"/>
  <c r="L329" i="24"/>
  <c r="L330" i="24"/>
  <c r="L331" i="24"/>
  <c r="L308" i="24"/>
  <c r="L309" i="24"/>
  <c r="L310" i="24"/>
  <c r="L311" i="24"/>
  <c r="L312" i="24"/>
  <c r="L313" i="24"/>
  <c r="L314" i="24"/>
  <c r="L315" i="24"/>
  <c r="L316" i="24"/>
  <c r="L317" i="24"/>
  <c r="L319" i="24"/>
  <c r="L320" i="24"/>
  <c r="L321" i="24"/>
  <c r="L322" i="24"/>
  <c r="L323" i="24"/>
  <c r="K323" i="24" s="1" a="1"/>
  <c r="K323" i="24" s="1"/>
  <c r="L324" i="24"/>
  <c r="K324" i="24" s="1" a="1"/>
  <c r="K324" i="24" s="1"/>
  <c r="L282" i="24"/>
  <c r="L293" i="24"/>
  <c r="L300" i="24"/>
  <c r="L301" i="24"/>
  <c r="L302" i="24"/>
  <c r="L303" i="24"/>
  <c r="L304" i="24"/>
  <c r="L305" i="24"/>
  <c r="L306" i="24"/>
  <c r="L283" i="24"/>
  <c r="L284" i="24"/>
  <c r="L285" i="24"/>
  <c r="L286" i="24"/>
  <c r="L287" i="24"/>
  <c r="L288" i="24"/>
  <c r="L289" i="24"/>
  <c r="L290" i="24"/>
  <c r="L292" i="24"/>
  <c r="L294" i="24"/>
  <c r="L295" i="24"/>
  <c r="L296" i="24"/>
  <c r="L297" i="24"/>
  <c r="L298" i="24"/>
  <c r="L299" i="24"/>
  <c r="L158" i="24"/>
  <c r="L169" i="24"/>
  <c r="L176" i="24"/>
  <c r="L177" i="24"/>
  <c r="L178" i="24"/>
  <c r="L179" i="24"/>
  <c r="K179" i="24" s="1" a="1"/>
  <c r="K179" i="24" s="1"/>
  <c r="L180" i="24"/>
  <c r="L181" i="24"/>
  <c r="L182" i="24"/>
  <c r="K182" i="24" s="1" a="1"/>
  <c r="K182" i="24" s="1"/>
  <c r="L159" i="24"/>
  <c r="L160" i="24"/>
  <c r="L161" i="24"/>
  <c r="L162" i="24"/>
  <c r="L163" i="24"/>
  <c r="L164" i="24"/>
  <c r="K164" i="24" s="1" a="1"/>
  <c r="K164" i="24" s="1"/>
  <c r="L165" i="24"/>
  <c r="L166" i="24"/>
  <c r="L167" i="24"/>
  <c r="L168" i="24"/>
  <c r="L170" i="24"/>
  <c r="K170" i="24" s="1" a="1"/>
  <c r="K170" i="24" s="1"/>
  <c r="L172" i="24"/>
  <c r="L173" i="24"/>
  <c r="L174" i="24"/>
  <c r="L175" i="24"/>
  <c r="L332" i="24"/>
  <c r="L343" i="24"/>
  <c r="L350" i="24"/>
  <c r="L351" i="24"/>
  <c r="L352" i="24"/>
  <c r="L353" i="24"/>
  <c r="L354" i="24"/>
  <c r="L355" i="24"/>
  <c r="L356" i="24"/>
  <c r="L333" i="24"/>
  <c r="L334" i="24"/>
  <c r="L336" i="24"/>
  <c r="L337" i="24"/>
  <c r="L338" i="24"/>
  <c r="L339" i="24"/>
  <c r="L340" i="24"/>
  <c r="L341" i="24"/>
  <c r="L342" i="24"/>
  <c r="L344" i="24"/>
  <c r="L345" i="24"/>
  <c r="L346" i="24"/>
  <c r="L347" i="24"/>
  <c r="L348" i="24"/>
  <c r="L349" i="24"/>
  <c r="L437" i="24"/>
  <c r="L448" i="24"/>
  <c r="L455" i="24"/>
  <c r="L456" i="24"/>
  <c r="L457" i="24"/>
  <c r="L458" i="24"/>
  <c r="L459" i="24"/>
  <c r="L460" i="24"/>
  <c r="L461" i="24"/>
  <c r="L438" i="24"/>
  <c r="L439" i="24"/>
  <c r="L440" i="24"/>
  <c r="L441" i="24"/>
  <c r="L442" i="24"/>
  <c r="L443" i="24"/>
  <c r="L444" i="24"/>
  <c r="L445" i="24"/>
  <c r="L446" i="24"/>
  <c r="L447" i="24"/>
  <c r="L449" i="24"/>
  <c r="L450" i="24"/>
  <c r="K450" i="24" s="1" a="1"/>
  <c r="K450" i="24" s="1"/>
  <c r="L451" i="24"/>
  <c r="L452" i="24"/>
  <c r="L453" i="24"/>
  <c r="L454" i="24"/>
  <c r="L462" i="24"/>
  <c r="L473" i="24"/>
  <c r="L480" i="24"/>
  <c r="L481" i="24"/>
  <c r="L482" i="24"/>
  <c r="L483" i="24"/>
  <c r="K483" i="24" s="1" a="1"/>
  <c r="K483" i="24" s="1"/>
  <c r="L484" i="24"/>
  <c r="L485" i="24"/>
  <c r="K485" i="24" s="1" a="1"/>
  <c r="K485" i="24" s="1"/>
  <c r="L486" i="24"/>
  <c r="L463" i="24"/>
  <c r="K463" i="24" s="1" a="1"/>
  <c r="K463" i="24" s="1"/>
  <c r="L464" i="24"/>
  <c r="L465" i="24"/>
  <c r="L466" i="24"/>
  <c r="L467" i="24"/>
  <c r="L468" i="24"/>
  <c r="L469" i="24"/>
  <c r="L470" i="24"/>
  <c r="L471" i="24"/>
  <c r="L472" i="24"/>
  <c r="L474" i="24"/>
  <c r="L475" i="24"/>
  <c r="L476" i="24"/>
  <c r="L477" i="24"/>
  <c r="L478" i="24"/>
  <c r="L479" i="24"/>
  <c r="L2" i="24"/>
  <c r="L12" i="24"/>
  <c r="L19" i="24"/>
  <c r="L20" i="24"/>
  <c r="K20" i="24" s="1" a="1"/>
  <c r="K20" i="24" s="1"/>
  <c r="L21" i="24"/>
  <c r="L22" i="24"/>
  <c r="L23" i="24"/>
  <c r="L24" i="24"/>
  <c r="L3" i="24"/>
  <c r="L4" i="24"/>
  <c r="L5" i="24"/>
  <c r="L6" i="24"/>
  <c r="L7" i="24"/>
  <c r="L594" i="24"/>
  <c r="L8" i="24"/>
  <c r="L9" i="24"/>
  <c r="L10" i="24"/>
  <c r="K10" i="24" s="1" a="1"/>
  <c r="K10" i="24" s="1"/>
  <c r="L13" i="24"/>
  <c r="L14" i="24"/>
  <c r="L15" i="24"/>
  <c r="L16" i="24"/>
  <c r="L17" i="24"/>
  <c r="L487" i="24"/>
  <c r="K487" i="24" s="1" a="1"/>
  <c r="K487" i="24" s="1"/>
  <c r="L498" i="24"/>
  <c r="L505" i="24"/>
  <c r="L506" i="24"/>
  <c r="L507" i="24"/>
  <c r="L508" i="24"/>
  <c r="L509" i="24"/>
  <c r="L511" i="24"/>
  <c r="L488" i="24"/>
  <c r="L489" i="24"/>
  <c r="L490" i="24"/>
  <c r="L491" i="24"/>
  <c r="L492" i="24"/>
  <c r="L493" i="24"/>
  <c r="K493" i="24" s="1" a="1"/>
  <c r="K493" i="24" s="1"/>
  <c r="L494" i="24"/>
  <c r="L495" i="24"/>
  <c r="L496" i="24"/>
  <c r="L497" i="24"/>
  <c r="L499" i="24"/>
  <c r="L500" i="24"/>
  <c r="L501" i="24"/>
  <c r="L502" i="24"/>
  <c r="L503" i="24"/>
  <c r="L504" i="24"/>
  <c r="L569" i="24"/>
  <c r="L580" i="24"/>
  <c r="L587" i="24"/>
  <c r="L588" i="24"/>
  <c r="L589" i="24"/>
  <c r="L590" i="24"/>
  <c r="L591" i="24"/>
  <c r="L592" i="24"/>
  <c r="L593" i="24"/>
  <c r="L570" i="24"/>
  <c r="L571" i="24"/>
  <c r="L572" i="24"/>
  <c r="K572" i="24" s="1" a="1"/>
  <c r="K572" i="24" s="1"/>
  <c r="L574" i="24"/>
  <c r="L575" i="24"/>
  <c r="L576" i="24"/>
  <c r="L577" i="24"/>
  <c r="L578" i="24"/>
  <c r="L579" i="24"/>
  <c r="L581" i="24"/>
  <c r="L582" i="24"/>
  <c r="L583" i="24"/>
  <c r="L584" i="24"/>
  <c r="L585" i="24"/>
  <c r="L586" i="24"/>
  <c r="L512" i="24"/>
  <c r="L523" i="24"/>
  <c r="L534" i="24"/>
  <c r="L545" i="24"/>
  <c r="L556" i="24"/>
  <c r="L565" i="24"/>
  <c r="L566" i="24"/>
  <c r="L567" i="24"/>
  <c r="L568" i="24"/>
  <c r="K568" i="24" s="1" a="1"/>
  <c r="K568" i="24" s="1"/>
  <c r="L513" i="24"/>
  <c r="L514" i="24"/>
  <c r="L515" i="24"/>
  <c r="L516" i="24"/>
  <c r="L517" i="24"/>
  <c r="L518" i="24"/>
  <c r="L519" i="24"/>
  <c r="L520" i="24"/>
  <c r="L521" i="24"/>
  <c r="L522" i="24"/>
  <c r="L524" i="24"/>
  <c r="L525" i="24"/>
  <c r="L526" i="24"/>
  <c r="K526" i="24" s="1" a="1"/>
  <c r="K526" i="24" s="1"/>
  <c r="L527" i="24"/>
  <c r="L528" i="24"/>
  <c r="L529" i="24"/>
  <c r="K235" i="24" l="1" a="1"/>
  <c r="K235" i="24" s="1"/>
  <c r="K90" i="24" a="1"/>
  <c r="K90" i="24" s="1"/>
  <c r="K433" i="24" a="1"/>
  <c r="K433" i="24" s="1"/>
  <c r="K427" i="24" a="1"/>
  <c r="K427" i="24" s="1"/>
  <c r="K92" i="24" a="1"/>
  <c r="K92" i="24" s="1"/>
  <c r="K72" i="24" a="1"/>
  <c r="K72" i="24" s="1"/>
  <c r="K96" i="24" a="1"/>
  <c r="K96" i="24" s="1"/>
  <c r="K209" i="24" a="1"/>
  <c r="K209" i="24" s="1"/>
  <c r="A539" i="24"/>
  <c r="K267" i="24" a="1"/>
  <c r="K267" i="24" s="1"/>
  <c r="K119" i="24" a="1"/>
  <c r="K119" i="24" s="1"/>
  <c r="K411" i="24" a="1"/>
  <c r="K411" i="24" s="1"/>
  <c r="K65" i="24" a="1"/>
  <c r="K65" i="24" s="1"/>
  <c r="K43" i="24" a="1"/>
  <c r="K43" i="24" s="1"/>
  <c r="K148" i="24" a="1"/>
  <c r="K148" i="24" s="1"/>
  <c r="K412" i="24" a="1"/>
  <c r="K412" i="24" s="1"/>
  <c r="K93" i="24" a="1"/>
  <c r="K93" i="24" s="1"/>
  <c r="K73" i="24" a="1"/>
  <c r="K73" i="24" s="1"/>
  <c r="K97" i="24" a="1"/>
  <c r="K97" i="24" s="1"/>
  <c r="K216" i="24" a="1"/>
  <c r="K216" i="24" s="1"/>
  <c r="K448" i="24" a="1"/>
  <c r="K448" i="24" s="1"/>
  <c r="K55" i="24" a="1"/>
  <c r="K54" i="24" a="1"/>
  <c r="K52" i="24" a="1"/>
  <c r="K440" i="24" a="1"/>
  <c r="K44" i="24" a="1"/>
  <c r="K368" i="24" a="1"/>
  <c r="K396" i="24" a="1"/>
  <c r="K229" i="24" a="1"/>
  <c r="K245" i="24" a="1"/>
  <c r="K304" i="24" a="1"/>
  <c r="K230" i="24" a="1"/>
  <c r="K226" i="24" a="1"/>
  <c r="K154" i="24" a="1"/>
  <c r="K26" i="24" a="1"/>
  <c r="K94" i="24" a="1"/>
  <c r="K253" i="24" a="1"/>
  <c r="K251" i="24" a="1"/>
  <c r="K285" i="24" a="1"/>
  <c r="K372" i="24" a="1"/>
  <c r="K371" i="24" a="1"/>
  <c r="K311" i="24" a="1"/>
  <c r="K242" i="24" a="1"/>
  <c r="K577" i="24" a="1"/>
  <c r="K456" i="24" a="1"/>
  <c r="K116" i="24" a="1"/>
  <c r="K521" i="24" a="1"/>
  <c r="K474" i="24" a="1"/>
  <c r="K482" i="24" a="1"/>
  <c r="K408" i="24" a="1"/>
  <c r="K352" i="24" a="1"/>
  <c r="K166" i="24" a="1"/>
  <c r="K320" i="24" a="1"/>
  <c r="K595" i="24" a="1"/>
  <c r="K118" i="24" a="1"/>
  <c r="K56" i="24" a="1"/>
  <c r="K27" i="24" a="1"/>
  <c r="K95" i="24" a="1"/>
  <c r="K476" i="24" a="1"/>
  <c r="K514" i="24" a="1"/>
  <c r="K475" i="24" a="1"/>
  <c r="K576" i="24" a="1"/>
  <c r="K442" i="24" a="1"/>
  <c r="K504" i="24" a="1"/>
  <c r="K491" i="24" a="1"/>
  <c r="K306" i="24" a="1"/>
  <c r="K109" i="24" a="1"/>
  <c r="K397" i="24" a="1"/>
  <c r="K57" i="24" a="1"/>
  <c r="K211" i="24" a="1"/>
  <c r="K398" i="24" a="1"/>
  <c r="K344" i="24" a="1"/>
  <c r="K208" i="24" a="1"/>
  <c r="K269" i="24" a="1"/>
  <c r="K213" i="24" a="1"/>
  <c r="K66" i="24" a="1"/>
  <c r="K273" i="24" a="1"/>
  <c r="K2" i="24" a="1"/>
  <c r="K326" i="24" a="1"/>
  <c r="K63" i="24" a="1"/>
  <c r="K47" i="24" a="1"/>
  <c r="K135" i="24" a="1"/>
  <c r="K67" i="24" a="1"/>
  <c r="K156" i="24" a="1"/>
  <c r="K75" i="24" a="1"/>
  <c r="K62" i="24" a="1"/>
  <c r="K17" i="24" a="1"/>
  <c r="K4" i="24" a="1"/>
  <c r="K140" i="24" a="1"/>
  <c r="K74" i="24" a="1"/>
  <c r="K34" i="24" a="1"/>
  <c r="K16" i="24" a="1"/>
  <c r="K3" i="24" a="1"/>
  <c r="K15" i="24" a="1"/>
  <c r="K159" i="24" a="1"/>
  <c r="K152" i="24" a="1"/>
  <c r="K46" i="24" a="1"/>
  <c r="K586" i="24" a="1"/>
  <c r="K473" i="24" a="1"/>
  <c r="K346" i="24" a="1"/>
  <c r="K565" i="24" a="1"/>
  <c r="K508" i="24" a="1"/>
  <c r="K570" i="24" a="1"/>
  <c r="K569" i="24" a="1"/>
  <c r="K574" i="24" a="1"/>
  <c r="K567" i="24" a="1"/>
  <c r="K566" i="24" a="1"/>
  <c r="K499" i="24" a="1"/>
  <c r="K571" i="24" a="1"/>
  <c r="K9" i="24" a="1"/>
  <c r="K147" i="24" a="1"/>
  <c r="K82" i="24" a="1"/>
  <c r="K103" i="24" a="1"/>
  <c r="K102" i="24" a="1"/>
  <c r="K221" i="24" a="1"/>
  <c r="K100" i="24" a="1"/>
  <c r="K132" i="24" a="1"/>
  <c r="K454" i="24" a="1"/>
  <c r="K101" i="24" a="1"/>
  <c r="K83" i="24" a="1"/>
  <c r="K53" i="24" a="1"/>
  <c r="K439" i="24" a="1"/>
  <c r="K19" i="24" a="1"/>
  <c r="K172" i="24" a="1"/>
  <c r="K349" i="24" a="1"/>
  <c r="K431" i="24" a="1"/>
  <c r="K432" i="24" a="1"/>
  <c r="K466" i="24" a="1"/>
  <c r="K495" i="24" a="1"/>
  <c r="K472" i="24" a="1"/>
  <c r="K449" i="24" a="1"/>
  <c r="K297" i="24" a="1"/>
  <c r="K233" i="24" a="1"/>
  <c r="K219" i="24" a="1"/>
  <c r="K155" i="24" a="1"/>
  <c r="K125" i="24" a="1"/>
  <c r="K518" i="24" a="1"/>
  <c r="K345" i="24" a="1"/>
  <c r="K201" i="24" a="1"/>
  <c r="K519" i="24" a="1"/>
  <c r="K496" i="24" a="1"/>
  <c r="K173" i="24" a="1"/>
  <c r="K298" i="24" a="1"/>
  <c r="K307" i="24" a="1"/>
  <c r="K244" i="24" a="1"/>
  <c r="K202" i="24" a="1"/>
  <c r="K126" i="24" a="1"/>
  <c r="K181" i="24" a="1"/>
  <c r="K279" i="24" a="1"/>
  <c r="R97" i="24"/>
  <c r="A97" i="24" s="1"/>
  <c r="K459" i="24" a="1"/>
  <c r="K283" i="24" a="1"/>
  <c r="K212" i="24" a="1"/>
  <c r="K506" i="24" a="1"/>
  <c r="K236" i="24" a="1"/>
  <c r="K523" i="24" a="1"/>
  <c r="K355" i="24" a="1"/>
  <c r="K188" i="24" a="1"/>
  <c r="K592" i="24" a="1"/>
  <c r="K511" i="24" a="1"/>
  <c r="K336" i="24" a="1"/>
  <c r="K163" i="24" a="1"/>
  <c r="K288" i="24" a="1"/>
  <c r="K314" i="24" a="1"/>
  <c r="K241" i="24" a="1"/>
  <c r="K217" i="24" a="1"/>
  <c r="K193" i="24" a="1"/>
  <c r="K146" i="24" a="1"/>
  <c r="K587" i="24" a="1"/>
  <c r="K21" i="24" a="1"/>
  <c r="K309" i="24" a="1"/>
  <c r="K112" i="24" a="1"/>
  <c r="K464" i="24" a="1"/>
  <c r="K593" i="24" a="1"/>
  <c r="K488" i="24" a="1"/>
  <c r="K465" i="24" a="1"/>
  <c r="K441" i="24" a="1"/>
  <c r="K337" i="24" a="1"/>
  <c r="K289" i="24" a="1"/>
  <c r="K315" i="24" a="1"/>
  <c r="K218" i="24" a="1"/>
  <c r="K195" i="24" a="1"/>
  <c r="K272" i="24" a="1"/>
  <c r="K579" i="24" a="1"/>
  <c r="K14" i="24" a="1"/>
  <c r="K452" i="24" a="1"/>
  <c r="K348" i="24" a="1"/>
  <c r="K175" i="24" a="1"/>
  <c r="K158" i="24" a="1"/>
  <c r="K293" i="24" a="1"/>
  <c r="K325" i="24" a="1"/>
  <c r="K228" i="24" a="1"/>
  <c r="K204" i="24" a="1"/>
  <c r="K128" i="24" a="1"/>
  <c r="K498" i="24" a="1"/>
  <c r="K481" i="24" a="1"/>
  <c r="K457" i="24" a="1"/>
  <c r="K353" i="24" a="1"/>
  <c r="K180" i="24" a="1"/>
  <c r="K305" i="24" a="1"/>
  <c r="K331" i="24" a="1"/>
  <c r="K234" i="24" a="1"/>
  <c r="K210" i="24" a="1"/>
  <c r="K186" i="24" a="1"/>
  <c r="K110" i="24" a="1"/>
  <c r="K138" i="24" a="1"/>
  <c r="K263" i="24" a="1"/>
  <c r="K527" i="24" a="1"/>
  <c r="K585" i="24" a="1"/>
  <c r="K12" i="24" a="1"/>
  <c r="K480" i="24" a="1"/>
  <c r="K330" i="24" a="1"/>
  <c r="K256" i="24" a="1"/>
  <c r="K185" i="24" a="1"/>
  <c r="K137" i="24" a="1"/>
  <c r="K513" i="24" a="1"/>
  <c r="K490" i="24" a="1"/>
  <c r="K6" i="24" a="1"/>
  <c r="K467" i="24" a="1"/>
  <c r="K443" i="24" a="1"/>
  <c r="K339" i="24" a="1"/>
  <c r="K317" i="24" a="1"/>
  <c r="K197" i="24" a="1"/>
  <c r="K121" i="24" a="1"/>
  <c r="K149" i="24" a="1"/>
  <c r="K142" i="24" a="1"/>
  <c r="K528" i="24" a="1"/>
  <c r="K525" i="24" a="1"/>
  <c r="K516" i="24" a="1"/>
  <c r="K556" i="24" a="1"/>
  <c r="K583" i="24" a="1"/>
  <c r="K590" i="24" a="1"/>
  <c r="K502" i="24" a="1"/>
  <c r="K509" i="24" a="1"/>
  <c r="K8" i="24" a="1"/>
  <c r="K24" i="24" a="1"/>
  <c r="K479" i="24" a="1"/>
  <c r="K470" i="24" a="1"/>
  <c r="K486" i="24" a="1"/>
  <c r="K462" i="24" a="1"/>
  <c r="K446" i="24" a="1"/>
  <c r="K438" i="24" a="1"/>
  <c r="K342" i="24" a="1"/>
  <c r="K334" i="24" a="1"/>
  <c r="K350" i="24" a="1"/>
  <c r="K161" i="24" a="1"/>
  <c r="K177" i="24" a="1"/>
  <c r="K295" i="24" a="1"/>
  <c r="K286" i="24" a="1"/>
  <c r="K302" i="24" a="1"/>
  <c r="K321" i="24" a="1"/>
  <c r="K312" i="24" a="1"/>
  <c r="K328" i="24" a="1"/>
  <c r="K247" i="24" a="1"/>
  <c r="K239" i="24" a="1"/>
  <c r="K224" i="24" a="1"/>
  <c r="K215" i="24" a="1"/>
  <c r="K231" i="24" a="1"/>
  <c r="K191" i="24" a="1"/>
  <c r="K207" i="24" a="1"/>
  <c r="K183" i="24" a="1"/>
  <c r="K115" i="24" a="1"/>
  <c r="K107" i="24" a="1"/>
  <c r="K117" i="24" a="1"/>
  <c r="K144" i="24" a="1"/>
  <c r="K153" i="24" a="1"/>
  <c r="K522" i="24" a="1"/>
  <c r="K534" i="24" a="1"/>
  <c r="K581" i="24" a="1"/>
  <c r="K588" i="24" a="1"/>
  <c r="K500" i="24" a="1"/>
  <c r="K507" i="24" a="1"/>
  <c r="K7" i="24" a="1"/>
  <c r="K477" i="24" a="1"/>
  <c r="K468" i="24" a="1"/>
  <c r="K484" i="24" a="1"/>
  <c r="K453" i="24" a="1"/>
  <c r="K444" i="24" a="1"/>
  <c r="K460" i="24" a="1"/>
  <c r="K340" i="24" a="1"/>
  <c r="K356" i="24" a="1"/>
  <c r="K332" i="24" a="1"/>
  <c r="K167" i="24" a="1"/>
  <c r="K292" i="24" a="1"/>
  <c r="K284" i="24" a="1"/>
  <c r="K300" i="24" a="1"/>
  <c r="K319" i="24" a="1"/>
  <c r="K310" i="24" a="1"/>
  <c r="K246" i="24" a="1"/>
  <c r="K237" i="24" a="1"/>
  <c r="K252" i="24" a="1"/>
  <c r="K222" i="24" a="1"/>
  <c r="K198" i="24" a="1"/>
  <c r="K189" i="24" a="1"/>
  <c r="K205" i="24" a="1"/>
  <c r="K122" i="24" a="1"/>
  <c r="K113" i="24" a="1"/>
  <c r="K129" i="24" a="1"/>
  <c r="K150" i="24" a="1"/>
  <c r="K141" i="24" a="1"/>
  <c r="K260" i="24" a="1"/>
  <c r="K276" i="24" a="1"/>
  <c r="K524" i="24" a="1"/>
  <c r="K515" i="24" a="1"/>
  <c r="K545" i="24" a="1"/>
  <c r="K582" i="24" a="1"/>
  <c r="R573" i="24"/>
  <c r="K501" i="24" a="1"/>
  <c r="K492" i="24" a="1"/>
  <c r="K23" i="24" a="1"/>
  <c r="K478" i="24" a="1"/>
  <c r="K469" i="24" a="1"/>
  <c r="K445" i="24" a="1"/>
  <c r="K461" i="24" a="1"/>
  <c r="K437" i="24" a="1"/>
  <c r="K341" i="24" a="1"/>
  <c r="K333" i="24" a="1"/>
  <c r="K343" i="24" a="1"/>
  <c r="K168" i="24" a="1"/>
  <c r="K160" i="24" a="1"/>
  <c r="K176" i="24" a="1"/>
  <c r="K294" i="24" a="1"/>
  <c r="K301" i="24" a="1"/>
  <c r="K327" i="24" a="1"/>
  <c r="K238" i="24" a="1"/>
  <c r="K214" i="24" a="1"/>
  <c r="K199" i="24" a="1"/>
  <c r="K190" i="24" a="1"/>
  <c r="K123" i="24" a="1"/>
  <c r="K114" i="24" a="1"/>
  <c r="K130" i="24" a="1"/>
  <c r="K106" i="24" a="1"/>
  <c r="K134" i="24" a="1"/>
  <c r="K266" i="24" a="1"/>
  <c r="K258" i="24" a="1"/>
  <c r="K268" i="24" a="1"/>
  <c r="K274" i="24" a="1"/>
  <c r="K265" i="24" a="1"/>
  <c r="K281" i="24" a="1"/>
  <c r="K257" i="24" a="1"/>
  <c r="K529" i="24" a="1"/>
  <c r="K520" i="24" a="1"/>
  <c r="K512" i="24" a="1"/>
  <c r="K578" i="24" a="1"/>
  <c r="K580" i="24" a="1"/>
  <c r="K497" i="24" a="1"/>
  <c r="K489" i="24" a="1"/>
  <c r="K13" i="24" a="1"/>
  <c r="K5" i="24" a="1"/>
  <c r="K451" i="24" a="1"/>
  <c r="K458" i="24" a="1"/>
  <c r="K347" i="24" a="1"/>
  <c r="K338" i="24" a="1"/>
  <c r="K354" i="24" a="1"/>
  <c r="K174" i="24" a="1"/>
  <c r="K165" i="24" a="1"/>
  <c r="K299" i="24" a="1"/>
  <c r="K290" i="24" a="1"/>
  <c r="K282" i="24" a="1"/>
  <c r="K316" i="24" a="1"/>
  <c r="K308" i="24" a="1"/>
  <c r="K318" i="24" a="1"/>
  <c r="K243" i="24" a="1"/>
  <c r="K250" i="24" a="1"/>
  <c r="K220" i="24" a="1"/>
  <c r="K227" i="24" a="1"/>
  <c r="K196" i="24" a="1"/>
  <c r="K187" i="24" a="1"/>
  <c r="K203" i="24" a="1"/>
  <c r="K120" i="24" a="1"/>
  <c r="K111" i="24" a="1"/>
  <c r="K127" i="24" a="1"/>
  <c r="K139" i="24" a="1"/>
  <c r="K157" i="24" a="1"/>
  <c r="K131" i="24" a="1"/>
  <c r="R104" i="24"/>
  <c r="A104" i="24" s="1"/>
  <c r="R96" i="24"/>
  <c r="A96" i="24" s="1"/>
  <c r="K264" i="24" a="1"/>
  <c r="K280" i="24" a="1"/>
  <c r="K271" i="24" a="1"/>
  <c r="K262" i="24" a="1"/>
  <c r="K278" i="24" a="1"/>
  <c r="K517" i="24" a="1"/>
  <c r="K584" i="24" a="1"/>
  <c r="K575" i="24" a="1"/>
  <c r="K591" i="24" a="1"/>
  <c r="K503" i="24" a="1"/>
  <c r="K494" i="24" a="1"/>
  <c r="K471" i="24" a="1"/>
  <c r="K447" i="24" a="1"/>
  <c r="K455" i="24" a="1"/>
  <c r="K351" i="24" a="1"/>
  <c r="K162" i="24" a="1"/>
  <c r="K178" i="24" a="1"/>
  <c r="K296" i="24" a="1"/>
  <c r="K287" i="24" a="1"/>
  <c r="K303" i="24" a="1"/>
  <c r="K322" i="24" a="1"/>
  <c r="K313" i="24" a="1"/>
  <c r="K329" i="24" a="1"/>
  <c r="K248" i="24" a="1"/>
  <c r="K240" i="24" a="1"/>
  <c r="K225" i="24" a="1"/>
  <c r="K232" i="24" a="1"/>
  <c r="K192" i="24" a="1"/>
  <c r="K184" i="24" a="1"/>
  <c r="K194" i="24" a="1"/>
  <c r="K108" i="24" a="1"/>
  <c r="K124" i="24" a="1"/>
  <c r="K145" i="24" a="1"/>
  <c r="K136" i="24" a="1"/>
  <c r="K270" i="24" a="1"/>
  <c r="K261" i="24" a="1"/>
  <c r="K277" i="24" a="1"/>
  <c r="K259" i="24" a="1"/>
  <c r="K275" i="24" a="1"/>
  <c r="R105" i="24"/>
  <c r="A105" i="24" s="1"/>
  <c r="R91" i="24"/>
  <c r="A91" i="24" s="1"/>
  <c r="R28" i="24"/>
  <c r="A28" i="24" s="1"/>
  <c r="R29" i="24"/>
  <c r="A29" i="24" s="1"/>
  <c r="R90" i="24"/>
  <c r="A90" i="24" s="1"/>
  <c r="V538" i="24" a="1"/>
  <c r="V564" i="24" a="1"/>
  <c r="V554" i="24" a="1"/>
  <c r="V541" i="24" a="1"/>
  <c r="V561" i="24" a="1"/>
  <c r="V548" i="24" a="1"/>
  <c r="V531" i="24" a="1"/>
  <c r="V539" i="24" a="1"/>
  <c r="V544" i="24" a="1"/>
  <c r="V542" i="24" a="1"/>
  <c r="V543" i="24" a="1"/>
  <c r="V552" i="24" a="1"/>
  <c r="V558" i="24" a="1"/>
  <c r="V551" i="24" a="1"/>
  <c r="V557" i="24" a="1"/>
  <c r="V540" i="24" a="1"/>
  <c r="V563" i="24" a="1"/>
  <c r="V537" i="24" a="1"/>
  <c r="V562" i="24" a="1"/>
  <c r="V555" i="24" a="1"/>
  <c r="V550" i="24" a="1"/>
  <c r="V546" i="24" a="1"/>
  <c r="V549" i="24" a="1"/>
  <c r="V547" i="24" a="1"/>
  <c r="V532" i="24" a="1"/>
  <c r="V530" i="24" a="1"/>
  <c r="V536" i="24" a="1"/>
  <c r="V533" i="24" a="1"/>
  <c r="V559" i="24" a="1"/>
  <c r="V535" i="24" a="1"/>
  <c r="V553" i="24" a="1"/>
  <c r="V560" i="24" a="1"/>
  <c r="R98" i="24"/>
  <c r="A98" i="24" s="1"/>
  <c r="R68" i="24"/>
  <c r="A68" i="24" s="1"/>
  <c r="R410" i="24"/>
  <c r="A410" i="24" s="1"/>
  <c r="K392" i="24" a="1"/>
  <c r="K384" i="24" a="1"/>
  <c r="R374" i="24"/>
  <c r="A374" i="24" s="1"/>
  <c r="K366" i="24" a="1"/>
  <c r="K358" i="24" a="1"/>
  <c r="R430" i="24"/>
  <c r="A430" i="24" s="1"/>
  <c r="K61" i="24" a="1"/>
  <c r="R43" i="24"/>
  <c r="A43" i="24" s="1"/>
  <c r="K35" i="24" a="1"/>
  <c r="R99" i="24"/>
  <c r="A99" i="24" s="1"/>
  <c r="R69" i="24"/>
  <c r="A69" i="24" s="1"/>
  <c r="K71" i="24" a="1"/>
  <c r="V83" i="24" a="1"/>
  <c r="V359" i="24" a="1"/>
  <c r="V73" i="24" a="1"/>
  <c r="V65" i="24" a="1"/>
  <c r="V527" i="24" a="1"/>
  <c r="K420" i="24" a="1"/>
  <c r="K404" i="24" a="1"/>
  <c r="K394" i="24" a="1"/>
  <c r="K376" i="24" a="1"/>
  <c r="K360" i="24" a="1"/>
  <c r="K422" i="24" a="1"/>
  <c r="K81" i="24" a="1"/>
  <c r="K45" i="24" a="1"/>
  <c r="K37" i="24" a="1"/>
  <c r="V107" i="24" a="1"/>
  <c r="V412" i="24" a="1"/>
  <c r="V370" i="24" a="1"/>
  <c r="V358" i="24" a="1"/>
  <c r="V380" i="24" a="1"/>
  <c r="R409" i="24"/>
  <c r="A409" i="24" s="1"/>
  <c r="K391" i="24" a="1"/>
  <c r="R373" i="24"/>
  <c r="A373" i="24" s="1"/>
  <c r="K365" i="24" a="1"/>
  <c r="R429" i="24"/>
  <c r="A429" i="24" s="1"/>
  <c r="K70" i="24" a="1"/>
  <c r="K60" i="24" a="1"/>
  <c r="R42" i="24"/>
  <c r="A42" i="24" s="1"/>
  <c r="V336" i="24" a="1"/>
  <c r="V54" i="24" a="1"/>
  <c r="V127" i="24" a="1"/>
  <c r="V153" i="24" a="1"/>
  <c r="V382" i="24" a="1"/>
  <c r="V53" i="24" a="1"/>
  <c r="V384" i="24" a="1"/>
  <c r="V376" i="24" a="1"/>
  <c r="V38" i="24" a="1"/>
  <c r="V31" i="24" a="1"/>
  <c r="V424" i="24" a="1"/>
  <c r="V386" i="24" a="1"/>
  <c r="V57" i="24" a="1"/>
  <c r="V87" i="24" a="1"/>
  <c r="V27" i="24" a="1"/>
  <c r="V45" i="24" a="1"/>
  <c r="V67" i="24" a="1"/>
  <c r="V100" i="24" a="1"/>
  <c r="V368" i="24" a="1"/>
  <c r="V241" i="24" a="1"/>
  <c r="V56" i="24" a="1"/>
  <c r="V244" i="24" a="1"/>
  <c r="V58" i="24" a="1"/>
  <c r="V131" i="24" a="1"/>
  <c r="V42" i="24" a="1"/>
  <c r="V374" i="24" a="1"/>
  <c r="V212" i="24" a="1"/>
  <c r="V80" i="24" a="1"/>
  <c r="V319" i="24" a="1"/>
  <c r="V365" i="24" a="1"/>
  <c r="V32" i="24" a="1"/>
  <c r="V415" i="24" a="1"/>
  <c r="V207" i="24" a="1"/>
  <c r="V328" i="24" a="1"/>
  <c r="V170" i="24" a="1"/>
  <c r="V24" i="24" a="1"/>
  <c r="V269" i="24" a="1"/>
  <c r="V255" i="24" a="1"/>
  <c r="V178" i="24" a="1"/>
  <c r="V447" i="24" a="1"/>
  <c r="V494" i="24" a="1"/>
  <c r="V468" i="24" a="1"/>
  <c r="V109" i="24" a="1"/>
  <c r="V288" i="24" a="1"/>
  <c r="V464" i="24" a="1"/>
  <c r="V576" i="24" a="1"/>
  <c r="V263" i="24" a="1"/>
  <c r="V500" i="24" a="1"/>
  <c r="V202" i="24" a="1"/>
  <c r="V331" i="24" a="1"/>
  <c r="V441" i="24" a="1"/>
  <c r="V488" i="24" a="1"/>
  <c r="V272" i="24" a="1"/>
  <c r="V522" i="24" a="1"/>
  <c r="V243" i="24" a="1"/>
  <c r="V181" i="24" a="1"/>
  <c r="V482" i="24" a="1"/>
  <c r="V570" i="24" a="1"/>
  <c r="V375" i="24" a="1"/>
  <c r="V491" i="24" a="1"/>
  <c r="V204" i="24" a="1"/>
  <c r="V166" i="24" a="1"/>
  <c r="V476" i="24" a="1"/>
  <c r="V521" i="24" a="1"/>
  <c r="V572" i="24" a="1"/>
  <c r="V361" i="24" a="1"/>
  <c r="V130" i="24" a="1"/>
  <c r="V223" i="24" a="1"/>
  <c r="V285" i="24" a="1"/>
  <c r="V461" i="24" a="1"/>
  <c r="V492" i="24" a="1"/>
  <c r="V275" i="24" a="1"/>
  <c r="V337" i="24" a="1"/>
  <c r="V291" i="24" a="1"/>
  <c r="V486" i="24" a="1"/>
  <c r="V426" i="24" a="1"/>
  <c r="V377" i="24" a="1"/>
  <c r="V66" i="24" a="1"/>
  <c r="V39" i="24" a="1"/>
  <c r="V392" i="24" a="1"/>
  <c r="V71" i="24" a="1"/>
  <c r="V51" i="24" a="1"/>
  <c r="V256" i="24" a="1"/>
  <c r="V95" i="24" a="1"/>
  <c r="V47" i="24" a="1"/>
  <c r="V203" i="24" a="1"/>
  <c r="V217" i="24" a="1"/>
  <c r="V292" i="24" a="1"/>
  <c r="V411" i="24" a="1"/>
  <c r="V233" i="24" a="1"/>
  <c r="V495" i="24" a="1"/>
  <c r="V189" i="24" a="1"/>
  <c r="V314" i="24" a="1"/>
  <c r="V450" i="24" a="1"/>
  <c r="V513" i="24" a="1"/>
  <c r="V197" i="24" a="1"/>
  <c r="V323" i="24" a="1"/>
  <c r="V13" i="24" a="1"/>
  <c r="V383" i="24" a="1"/>
  <c r="V237" i="24" a="1"/>
  <c r="V324" i="24" a="1"/>
  <c r="V157" i="24" a="1"/>
  <c r="V116" i="24" a="1"/>
  <c r="V231" i="24" a="1"/>
  <c r="V245" i="24" a="1"/>
  <c r="V475" i="24" a="1"/>
  <c r="V119" i="24" a="1"/>
  <c r="V246" i="24" a="1"/>
  <c r="V284" i="24" a="1"/>
  <c r="V33" i="24" a="1"/>
  <c r="V428" i="24" a="1"/>
  <c r="V364" i="24" a="1"/>
  <c r="V77" i="24" a="1"/>
  <c r="V63" i="24" a="1"/>
  <c r="V85" i="24" a="1"/>
  <c r="V36" i="24" a="1"/>
  <c r="V385" i="24" a="1"/>
  <c r="V297" i="24" a="1"/>
  <c r="V74" i="24" a="1"/>
  <c r="V305" i="24" a="1"/>
  <c r="V76" i="24" a="1"/>
  <c r="V139" i="24" a="1"/>
  <c r="V43" i="24" a="1"/>
  <c r="V142" i="24" a="1"/>
  <c r="V221" i="24" a="1"/>
  <c r="V421" i="24" a="1"/>
  <c r="V159" i="24" a="1"/>
  <c r="V154" i="24" a="1"/>
  <c r="V50" i="24" a="1"/>
  <c r="V416" i="24" a="1"/>
  <c r="V191" i="24" a="1"/>
  <c r="V312" i="24" a="1"/>
  <c r="V350" i="24" a="1"/>
  <c r="V8" i="24" a="1"/>
  <c r="V401" i="24" a="1"/>
  <c r="V240" i="24" a="1"/>
  <c r="V162" i="24" a="1"/>
  <c r="V473" i="24" a="1"/>
  <c r="V503" i="24" a="1"/>
  <c r="V507" i="24" a="1"/>
  <c r="V185" i="24" a="1"/>
  <c r="V352" i="24" a="1"/>
  <c r="V472" i="24" a="1"/>
  <c r="V566" i="24" a="1"/>
  <c r="V273" i="24" a="1"/>
  <c r="V514" i="24" a="1"/>
  <c r="V186" i="24" a="1"/>
  <c r="V315" i="24" a="1"/>
  <c r="V481" i="24" a="1"/>
  <c r="V496" i="24" a="1"/>
  <c r="V150" i="24" a="1"/>
  <c r="V260" i="24" a="1"/>
  <c r="V318" i="24" a="1"/>
  <c r="V165" i="24" a="1"/>
  <c r="V466" i="24" a="1"/>
  <c r="V578" i="24" a="1"/>
  <c r="V129" i="24" a="1"/>
  <c r="V581" i="24" a="1"/>
  <c r="V251" i="24" a="1"/>
  <c r="V175" i="24" a="1"/>
  <c r="V21" i="24" a="1"/>
  <c r="V393" i="24" a="1"/>
  <c r="V258" i="24" a="1"/>
  <c r="V362" i="24" a="1"/>
  <c r="V114" i="24" a="1"/>
  <c r="V253" i="24" a="1"/>
  <c r="V294" i="24" a="1"/>
  <c r="V445" i="24" a="1"/>
  <c r="V501" i="24" a="1"/>
  <c r="V259" i="24" a="1"/>
  <c r="V490" i="24" a="1"/>
  <c r="V443" i="24" a="1"/>
  <c r="V525" i="24" a="1"/>
  <c r="V438" i="24" a="1"/>
  <c r="V17" i="24" a="1"/>
  <c r="V591" i="24" a="1"/>
  <c r="V193" i="24" a="1"/>
  <c r="V12" i="24" a="1"/>
  <c r="V151" i="24" a="1"/>
  <c r="V369" i="24" a="1"/>
  <c r="V195" i="24" a="1"/>
  <c r="V298" i="24" a="1"/>
  <c r="V465" i="24" a="1"/>
  <c r="V569" i="24" a="1"/>
  <c r="V213" i="24" a="1"/>
  <c r="V148" i="24" a="1"/>
  <c r="V308" i="24" a="1"/>
  <c r="V354" i="24" a="1"/>
  <c r="V20" i="24" a="1"/>
  <c r="V512" i="24" a="1"/>
  <c r="V122" i="24" a="1"/>
  <c r="V268" i="24" a="1"/>
  <c r="V309" i="24" a="1"/>
  <c r="V355" i="24" a="1"/>
  <c r="V6" i="24" a="1"/>
  <c r="V113" i="24" a="1"/>
  <c r="V94" i="24" a="1"/>
  <c r="V379" i="24" a="1"/>
  <c r="V123" i="24" a="1"/>
  <c r="V238" i="24" a="1"/>
  <c r="V160" i="24" a="1"/>
  <c r="V454" i="24" a="1"/>
  <c r="V589" i="24" a="1"/>
  <c r="V267" i="24" a="1"/>
  <c r="V257" i="24" a="1"/>
  <c r="V587" i="24" a="1"/>
  <c r="V143" i="24" a="1"/>
  <c r="V502" i="24" a="1"/>
  <c r="V289" i="24" a="1"/>
  <c r="V145" i="24" a="1"/>
  <c r="V248" i="24" a="1"/>
  <c r="V463" i="24" a="1"/>
  <c r="V37" i="24" a="1"/>
  <c r="V372" i="24" a="1"/>
  <c r="V422" i="24" a="1"/>
  <c r="V59" i="24" a="1"/>
  <c r="V55" i="24" a="1"/>
  <c r="V402" i="24" a="1"/>
  <c r="V390" i="24" a="1"/>
  <c r="V394" i="24" a="1"/>
  <c r="V72" i="24" a="1"/>
  <c r="V404" i="24" a="1"/>
  <c r="V163" i="24" a="1"/>
  <c r="V433" i="24" a="1"/>
  <c r="V409" i="24" a="1"/>
  <c r="V378" i="24" a="1"/>
  <c r="V111" i="24" a="1"/>
  <c r="V78" i="24" a="1"/>
  <c r="V149" i="24" a="1"/>
  <c r="V325" i="24" a="1"/>
  <c r="V133" i="24" a="1"/>
  <c r="V34" i="24" a="1"/>
  <c r="V108" i="24" a="1"/>
  <c r="V84" i="24" a="1"/>
  <c r="V135" i="24" a="1"/>
  <c r="V215" i="24" a="1"/>
  <c r="V302" i="24" a="1"/>
  <c r="V342" i="24" a="1"/>
  <c r="V493" i="24" a="1"/>
  <c r="V136" i="24" a="1"/>
  <c r="V329" i="24" a="1"/>
  <c r="V351" i="24" a="1"/>
  <c r="V471" i="24" a="1"/>
  <c r="V575" i="24" a="1"/>
  <c r="V266" i="24" a="1"/>
  <c r="V219" i="24" a="1"/>
  <c r="V345" i="24" a="1"/>
  <c r="V3" i="24" a="1"/>
  <c r="V278" i="24" a="1"/>
  <c r="V205" i="24" a="1"/>
  <c r="V387" i="24" a="1"/>
  <c r="V226" i="24" a="1"/>
  <c r="V180" i="24" a="1"/>
  <c r="V474" i="24" a="1"/>
  <c r="V593" i="24" a="1"/>
  <c r="V300" i="24" a="1"/>
  <c r="V196" i="24" a="1"/>
  <c r="V316" i="24" a="1"/>
  <c r="V338" i="24" a="1"/>
  <c r="V5" i="24" a="1"/>
  <c r="V568" i="24" a="1"/>
  <c r="V252" i="24" a="1"/>
  <c r="V69" i="24" a="1"/>
  <c r="V317" i="24" a="1"/>
  <c r="V339" i="24" a="1"/>
  <c r="V14" i="24" a="1"/>
  <c r="V222" i="24" a="1"/>
  <c r="V30" i="24" a="1"/>
  <c r="V395" i="24" a="1"/>
  <c r="V206" i="24" a="1"/>
  <c r="V595" i="24" a="1"/>
  <c r="V168" i="24" a="1"/>
  <c r="V485" i="24" a="1"/>
  <c r="V573" i="24" a="1"/>
  <c r="V592" i="24" a="1"/>
  <c r="V574" i="24" a="1"/>
  <c r="V281" i="24" a="1"/>
  <c r="V176" i="24" a="1"/>
  <c r="V216" i="24" a="1"/>
  <c r="V92" i="24" a="1"/>
  <c r="V98" i="24" a="1"/>
  <c r="V418" i="24" a="1"/>
  <c r="V171" i="24" a="1"/>
  <c r="V534" i="24" a="1"/>
  <c r="V49" i="24" a="1"/>
  <c r="V414" i="24" a="1"/>
  <c r="V388" i="24" a="1"/>
  <c r="V81" i="24" a="1"/>
  <c r="V105" i="24" a="1"/>
  <c r="V91" i="24" a="1"/>
  <c r="V420" i="24" a="1"/>
  <c r="V97" i="24" a="1"/>
  <c r="V88" i="24" a="1"/>
  <c r="V419" i="24" a="1"/>
  <c r="V172" i="24" a="1"/>
  <c r="V405" i="24" a="1"/>
  <c r="V417" i="24" a="1"/>
  <c r="V435" i="24" a="1"/>
  <c r="V120" i="24" a="1"/>
  <c r="V399" i="24" a="1"/>
  <c r="V128" i="24" a="1"/>
  <c r="V90" i="24" a="1"/>
  <c r="V141" i="24" a="1"/>
  <c r="V52" i="24" a="1"/>
  <c r="V194" i="24" a="1"/>
  <c r="V427" i="24" a="1"/>
  <c r="V144" i="24" a="1"/>
  <c r="V224" i="24" a="1"/>
  <c r="V286" i="24" a="1"/>
  <c r="V446" i="24" a="1"/>
  <c r="V590" i="24" a="1"/>
  <c r="V124" i="24" a="1"/>
  <c r="V322" i="24" a="1"/>
  <c r="V335" i="24" a="1"/>
  <c r="V2" i="24" a="1"/>
  <c r="V584" i="24" a="1"/>
  <c r="V155" i="24" a="1"/>
  <c r="V209" i="24" a="1"/>
  <c r="V456" i="24" a="1"/>
  <c r="V10" i="24" a="1"/>
  <c r="V262" i="24" a="1"/>
  <c r="V326" i="24" a="1"/>
  <c r="V423" i="24" a="1"/>
  <c r="V210" i="24" a="1"/>
  <c r="V164" i="24" a="1"/>
  <c r="V19" i="24" a="1"/>
  <c r="V577" i="24" a="1"/>
  <c r="V356" i="24" a="1"/>
  <c r="V211" i="24" a="1"/>
  <c r="V282" i="24" a="1"/>
  <c r="V347" i="24" a="1"/>
  <c r="V505" i="24" a="1"/>
  <c r="V520" i="24" a="1"/>
  <c r="V167" i="24" a="1"/>
  <c r="V391" i="24" a="1"/>
  <c r="V293" i="24" a="1"/>
  <c r="V348" i="24" a="1"/>
  <c r="V506" i="24" a="1"/>
  <c r="V169" i="24" a="1"/>
  <c r="V48" i="24" a="1"/>
  <c r="V396" i="24" a="1"/>
  <c r="V190" i="24" a="1"/>
  <c r="V327" i="24" a="1"/>
  <c r="V343" i="24" a="1"/>
  <c r="V478" i="24" a="1"/>
  <c r="V582" i="24" a="1"/>
  <c r="V585" i="24" a="1"/>
  <c r="V174" i="24" a="1"/>
  <c r="V556" i="24" a="1"/>
  <c r="V594" i="24" a="1"/>
  <c r="V313" i="24" a="1"/>
  <c r="V179" i="24" a="1"/>
  <c r="V236" i="24" a="1"/>
  <c r="V334" i="24" a="1"/>
  <c r="V430" i="24" a="1"/>
  <c r="V75" i="24" a="1"/>
  <c r="V103" i="24" a="1"/>
  <c r="V93" i="24" a="1"/>
  <c r="V41" i="24" a="1"/>
  <c r="V29" i="24" a="1"/>
  <c r="V99" i="24" a="1"/>
  <c r="V408" i="24" a="1"/>
  <c r="V89" i="24" a="1"/>
  <c r="V118" i="24" a="1"/>
  <c r="V46" i="24" a="1"/>
  <c r="V126" i="24" a="1"/>
  <c r="V68" i="24" a="1"/>
  <c r="V371" i="24" a="1"/>
  <c r="V187" i="24" a="1"/>
  <c r="V400" i="24" a="1"/>
  <c r="V121" i="24" a="1"/>
  <c r="V28" i="24" a="1"/>
  <c r="V198" i="24" a="1"/>
  <c r="V70" i="24" a="1"/>
  <c r="V184" i="24" a="1"/>
  <c r="V363" i="24" a="1"/>
  <c r="V117" i="24" a="1"/>
  <c r="V254" i="24" a="1"/>
  <c r="V295" i="24" a="1"/>
  <c r="V462" i="24" a="1"/>
  <c r="V583" i="24" a="1"/>
  <c r="V208" i="24" a="1"/>
  <c r="V303" i="24" a="1"/>
  <c r="V344" i="24" a="1"/>
  <c r="V9" i="24" a="1"/>
  <c r="V565" i="24" a="1"/>
  <c r="V137" i="24" a="1"/>
  <c r="V249" i="24" a="1"/>
  <c r="V440" i="24" a="1"/>
  <c r="V487" i="24" a="1"/>
  <c r="V271" i="24" a="1"/>
  <c r="V332" i="24" a="1"/>
  <c r="V156" i="24" a="1"/>
  <c r="V234" i="24" a="1"/>
  <c r="V173" i="24" a="1"/>
  <c r="V4" i="24" a="1"/>
  <c r="V586" i="24" a="1"/>
  <c r="V444" i="24" a="1"/>
  <c r="V220" i="24" a="1"/>
  <c r="V306" i="24" a="1"/>
  <c r="V458" i="24" a="1"/>
  <c r="V489" i="24" a="1"/>
  <c r="V529" i="24" a="1"/>
  <c r="V340" i="24" a="1"/>
  <c r="V410" i="24" a="1"/>
  <c r="V283" i="24" a="1"/>
  <c r="V459" i="24" a="1"/>
  <c r="V499" i="24" a="1"/>
  <c r="V349" i="24" a="1"/>
  <c r="V64" i="24" a="1"/>
  <c r="V413" i="24" a="1"/>
  <c r="V199" i="24" a="1"/>
  <c r="V311" i="24" a="1"/>
  <c r="V333" i="24" a="1"/>
  <c r="V23" i="24" a="1"/>
  <c r="V545" i="24" a="1"/>
  <c r="V518" i="24" a="1"/>
  <c r="V467" i="24" a="1"/>
  <c r="V106" i="24" a="1"/>
  <c r="V509" i="24" a="1"/>
  <c r="V25" i="24" a="1"/>
  <c r="V403" i="24" a="1"/>
  <c r="V140" i="24" a="1"/>
  <c r="V321" i="24" a="1"/>
  <c r="V406" i="24" a="1"/>
  <c r="V79" i="24" a="1"/>
  <c r="V101" i="24" a="1"/>
  <c r="V432" i="24" a="1"/>
  <c r="V61" i="24" a="1"/>
  <c r="V35" i="24" a="1"/>
  <c r="V360" i="24" a="1"/>
  <c r="V431" i="24" a="1"/>
  <c r="V201" i="24" a="1"/>
  <c r="V102" i="24" a="1"/>
  <c r="V110" i="24" a="1"/>
  <c r="V104" i="24" a="1"/>
  <c r="V389" i="24" a="1"/>
  <c r="V227" i="24" a="1"/>
  <c r="V357" i="24" a="1"/>
  <c r="V188" i="24" a="1"/>
  <c r="V44" i="24" a="1"/>
  <c r="V229" i="24" a="1"/>
  <c r="V86" i="24" a="1"/>
  <c r="V192" i="24" a="1"/>
  <c r="V397" i="24" a="1"/>
  <c r="V115" i="24" a="1"/>
  <c r="V239" i="24" a="1"/>
  <c r="V177" i="24" a="1"/>
  <c r="V470" i="24" a="1"/>
  <c r="V516" i="24" a="1"/>
  <c r="V232" i="24" a="1"/>
  <c r="V287" i="24" a="1"/>
  <c r="V455" i="24" a="1"/>
  <c r="V18" i="24" a="1"/>
  <c r="V517" i="24" a="1"/>
  <c r="V146" i="24" a="1"/>
  <c r="V330" i="24" a="1"/>
  <c r="V449" i="24" a="1"/>
  <c r="V511" i="24" a="1"/>
  <c r="V519" i="24" a="1"/>
  <c r="V460" i="24" a="1"/>
  <c r="V138" i="24" a="1"/>
  <c r="V242" i="24" a="1"/>
  <c r="V346" i="24" a="1"/>
  <c r="V11" i="24" a="1"/>
  <c r="V567" i="24" a="1"/>
  <c r="V7" i="24" a="1"/>
  <c r="V250" i="24" a="1"/>
  <c r="V290" i="24" a="1"/>
  <c r="V442" i="24" a="1"/>
  <c r="V497" i="24" a="1"/>
  <c r="V280" i="24" a="1"/>
  <c r="V453" i="24" a="1"/>
  <c r="V132" i="24" a="1"/>
  <c r="V158" i="24" a="1"/>
  <c r="V452" i="24" a="1"/>
  <c r="V571" i="24" a="1"/>
  <c r="V484" i="24" a="1"/>
  <c r="V82" i="24" a="1"/>
  <c r="V152" i="24" a="1"/>
  <c r="V230" i="24" a="1"/>
  <c r="V320" i="24" a="1"/>
  <c r="V341" i="24" a="1"/>
  <c r="V16" i="24" a="1"/>
  <c r="V515" i="24" a="1"/>
  <c r="V274" i="24" a="1"/>
  <c r="V579" i="24" a="1"/>
  <c r="V469" i="24" a="1"/>
  <c r="V270" i="24" a="1"/>
  <c r="V277" i="24" a="1"/>
  <c r="V60" i="24" a="1"/>
  <c r="V200" i="24" a="1"/>
  <c r="V434" i="24" a="1"/>
  <c r="V366" i="24" a="1"/>
  <c r="V436" i="24" a="1"/>
  <c r="V367" i="24" a="1"/>
  <c r="V218" i="24" a="1"/>
  <c r="V40" i="24" a="1"/>
  <c r="V407" i="24" a="1"/>
  <c r="V26" i="24" a="1"/>
  <c r="V373" i="24" a="1"/>
  <c r="V228" i="24" a="1"/>
  <c r="V62" i="24" a="1"/>
  <c r="V310" i="24" a="1"/>
  <c r="V429" i="24" a="1"/>
  <c r="V96" i="24" a="1"/>
  <c r="V398" i="24" a="1"/>
  <c r="V183" i="24" a="1"/>
  <c r="V247" i="24" a="1"/>
  <c r="V161" i="24" a="1"/>
  <c r="V479" i="24" a="1"/>
  <c r="V276" i="24" a="1"/>
  <c r="V225" i="24" a="1"/>
  <c r="V296" i="24" a="1"/>
  <c r="V439" i="24" a="1"/>
  <c r="V510" i="24" a="1"/>
  <c r="V526" i="24" a="1"/>
  <c r="V125" i="24" a="1"/>
  <c r="V304" i="24" a="1"/>
  <c r="V480" i="24" a="1"/>
  <c r="V504" i="24" a="1"/>
  <c r="V528" i="24" a="1"/>
  <c r="V477" i="24" a="1"/>
  <c r="V147" i="24" a="1"/>
  <c r="V307" i="24" a="1"/>
  <c r="V457" i="24" a="1"/>
  <c r="V498" i="24" a="1"/>
  <c r="V279" i="24" a="1"/>
  <c r="V588" i="24" a="1"/>
  <c r="V235" i="24" a="1"/>
  <c r="V299" i="24" a="1"/>
  <c r="V451" i="24" a="1"/>
  <c r="V580" i="24" a="1"/>
  <c r="V264" i="24" a="1"/>
  <c r="V22" i="24" a="1"/>
  <c r="V112" i="24" a="1"/>
  <c r="V182" i="24" a="1"/>
  <c r="V483" i="24" a="1"/>
  <c r="V523" i="24" a="1"/>
  <c r="V15" i="24" a="1"/>
  <c r="V425" i="24" a="1"/>
  <c r="V134" i="24" a="1"/>
  <c r="V214" i="24" a="1"/>
  <c r="V301" i="24" a="1"/>
  <c r="V437" i="24" a="1"/>
  <c r="V508" i="24" a="1"/>
  <c r="V524" i="24" a="1"/>
  <c r="V353" i="24" a="1"/>
  <c r="V265" i="24" a="1"/>
  <c r="V448" i="24" a="1"/>
  <c r="V381" i="24" a="1"/>
  <c r="V261" i="24" a="1"/>
  <c r="R505" i="24"/>
  <c r="K407" i="24" a="1"/>
  <c r="K363" i="24" a="1"/>
  <c r="K377" i="24" a="1"/>
  <c r="K76" i="24" a="1"/>
  <c r="K50" i="24" a="1"/>
  <c r="K40" i="24" a="1"/>
  <c r="K32" i="24" a="1"/>
  <c r="R10" i="24"/>
  <c r="K423" i="24" a="1"/>
  <c r="K413" i="24" a="1"/>
  <c r="R405" i="24"/>
  <c r="A405" i="24" s="1"/>
  <c r="K395" i="24" a="1"/>
  <c r="K387" i="24" a="1"/>
  <c r="R379" i="24"/>
  <c r="A379" i="24" s="1"/>
  <c r="K369" i="24" a="1"/>
  <c r="K361" i="24" a="1"/>
  <c r="R425" i="24"/>
  <c r="A425" i="24" s="1"/>
  <c r="R48" i="24"/>
  <c r="A48" i="24" s="1"/>
  <c r="K38" i="24" a="1"/>
  <c r="K30" i="24" a="1"/>
  <c r="R254" i="24"/>
  <c r="K419" i="24" a="1"/>
  <c r="K403" i="24" a="1"/>
  <c r="K393" i="24" a="1"/>
  <c r="K375" i="24" a="1"/>
  <c r="K367" i="24" a="1"/>
  <c r="K359" i="24" a="1"/>
  <c r="K421" i="24" a="1"/>
  <c r="K80" i="24" a="1"/>
  <c r="K36" i="24" a="1"/>
  <c r="K364" i="24" a="1"/>
  <c r="K378" i="24" a="1"/>
  <c r="K77" i="24" a="1"/>
  <c r="K51" i="24" a="1"/>
  <c r="K41" i="24" a="1"/>
  <c r="K33" i="24" a="1"/>
  <c r="R450" i="24"/>
  <c r="R119" i="24"/>
  <c r="K424" i="24" a="1"/>
  <c r="K414" i="24" a="1"/>
  <c r="R406" i="24"/>
  <c r="A406" i="24" s="1"/>
  <c r="K388" i="24" a="1"/>
  <c r="R380" i="24"/>
  <c r="A380" i="24" s="1"/>
  <c r="K370" i="24" a="1"/>
  <c r="K362" i="24" a="1"/>
  <c r="K434" i="24" a="1"/>
  <c r="R426" i="24"/>
  <c r="A426" i="24" s="1"/>
  <c r="R49" i="24"/>
  <c r="A49" i="24" s="1"/>
  <c r="K39" i="24" a="1"/>
  <c r="K31" i="24" a="1"/>
  <c r="R164" i="24" l="1"/>
  <c r="R483" i="24"/>
  <c r="R170" i="24"/>
  <c r="R179" i="24"/>
  <c r="R169" i="24"/>
  <c r="R594" i="24"/>
  <c r="S594" i="24" s="1"/>
  <c r="T594" i="24" s="1"/>
  <c r="R22" i="24"/>
  <c r="R20" i="24"/>
  <c r="R151" i="24"/>
  <c r="R143" i="24"/>
  <c r="R568" i="24"/>
  <c r="R235" i="24"/>
  <c r="R148" i="24"/>
  <c r="R216" i="24"/>
  <c r="R133" i="24"/>
  <c r="R526" i="24"/>
  <c r="R463" i="24"/>
  <c r="R435" i="24"/>
  <c r="A435" i="24" s="1"/>
  <c r="R383" i="24"/>
  <c r="A383" i="24" s="1"/>
  <c r="R412" i="24"/>
  <c r="A412" i="24" s="1"/>
  <c r="R436" i="24"/>
  <c r="A436" i="24" s="1"/>
  <c r="R58" i="24"/>
  <c r="R401" i="24"/>
  <c r="A401" i="24" s="1"/>
  <c r="R402" i="24"/>
  <c r="A402" i="24" s="1"/>
  <c r="R385" i="24"/>
  <c r="A385" i="24" s="1"/>
  <c r="R400" i="24"/>
  <c r="R72" i="24"/>
  <c r="R399" i="24"/>
  <c r="R59" i="24"/>
  <c r="A59" i="24" s="1"/>
  <c r="R389" i="24"/>
  <c r="A389" i="24" s="1"/>
  <c r="R88" i="24"/>
  <c r="A88" i="24" s="1"/>
  <c r="S425" i="24"/>
  <c r="T425" i="24" s="1"/>
  <c r="R78" i="24"/>
  <c r="A78" i="24" s="1"/>
  <c r="R390" i="24"/>
  <c r="A390" i="24" s="1"/>
  <c r="R411" i="24"/>
  <c r="A411" i="24" s="1"/>
  <c r="R428" i="24"/>
  <c r="A428" i="24" s="1"/>
  <c r="R416" i="24"/>
  <c r="A416" i="24" s="1"/>
  <c r="R79" i="24"/>
  <c r="A79" i="24" s="1"/>
  <c r="R84" i="24"/>
  <c r="A84" i="24" s="1"/>
  <c r="R73" i="24"/>
  <c r="A73" i="24" s="1"/>
  <c r="R386" i="24"/>
  <c r="A386" i="24" s="1"/>
  <c r="R85" i="24"/>
  <c r="A85" i="24" s="1"/>
  <c r="R415" i="24"/>
  <c r="A415" i="24" s="1"/>
  <c r="R89" i="24"/>
  <c r="S48" i="24"/>
  <c r="T48" i="24" s="1"/>
  <c r="S10" i="24"/>
  <c r="T10" i="24" s="1"/>
  <c r="S379" i="24"/>
  <c r="T379" i="24" s="1"/>
  <c r="S96" i="24"/>
  <c r="T96" i="24" s="1"/>
  <c r="S91" i="24"/>
  <c r="T91" i="24" s="1"/>
  <c r="S119" i="24"/>
  <c r="T119" i="24" s="1"/>
  <c r="S104" i="24"/>
  <c r="T104" i="24" s="1"/>
  <c r="S380" i="24"/>
  <c r="T380" i="24" s="1"/>
  <c r="S505" i="24"/>
  <c r="T505" i="24" s="1"/>
  <c r="S405" i="24"/>
  <c r="T405" i="24" s="1"/>
  <c r="S254" i="24"/>
  <c r="T254" i="24" s="1"/>
  <c r="A10" i="24" l="1"/>
  <c r="A119" i="24"/>
  <c r="S89" i="24"/>
  <c r="T89" i="24" s="1"/>
  <c r="A89" i="24"/>
  <c r="S399" i="24"/>
  <c r="T399" i="24" s="1"/>
  <c r="A399" i="24"/>
  <c r="S400" i="24"/>
  <c r="T400" i="24" s="1"/>
  <c r="A400" i="24"/>
  <c r="S58" i="24"/>
  <c r="T58" i="24" s="1"/>
  <c r="A58" i="24"/>
  <c r="A254" i="24"/>
  <c r="A505" i="24"/>
  <c r="S235" i="24"/>
  <c r="T235" i="24" s="1"/>
  <c r="S148" i="24"/>
  <c r="T148" i="24" s="1"/>
  <c r="S72" i="24"/>
  <c r="T72" i="24" s="1"/>
  <c r="A72" i="24"/>
  <c r="S463" i="24"/>
  <c r="T463" i="24" s="1"/>
  <c r="S22" i="24"/>
  <c r="T22" i="24" s="1"/>
  <c r="S573" i="24"/>
  <c r="S429" i="24"/>
  <c r="T429" i="24" s="1"/>
  <c r="S415" i="24"/>
  <c r="T415" i="24" s="1"/>
  <c r="S49" i="24"/>
  <c r="T49" i="24" s="1"/>
  <c r="S216" i="24"/>
  <c r="T216" i="24" s="1"/>
  <c r="S426" i="24"/>
  <c r="S412" i="24"/>
  <c r="T412" i="24" s="1"/>
  <c r="S450" i="24"/>
  <c r="S20" i="24"/>
  <c r="T20" i="24" s="1"/>
  <c r="S409" i="24"/>
  <c r="T409" i="24" s="1"/>
  <c r="S99" i="24"/>
  <c r="T99" i="24" s="1"/>
  <c r="S428" i="24"/>
  <c r="S385" i="24"/>
  <c r="T385" i="24" s="1"/>
  <c r="S169" i="24"/>
  <c r="T169" i="24" s="1"/>
  <c r="S410" i="24"/>
  <c r="T410" i="24" s="1"/>
  <c r="S84" i="24"/>
  <c r="T84" i="24" s="1"/>
  <c r="S179" i="24"/>
  <c r="S568" i="24"/>
  <c r="T568" i="24" s="1"/>
  <c r="S390" i="24"/>
  <c r="T390" i="24" s="1"/>
  <c r="S78" i="24"/>
  <c r="T78" i="24" s="1"/>
  <c r="S386" i="24"/>
  <c r="T386" i="24" s="1"/>
  <c r="S436" i="24"/>
  <c r="T436" i="24" s="1"/>
  <c r="S42" i="24"/>
  <c r="S374" i="24"/>
  <c r="T374" i="24" s="1"/>
  <c r="S143" i="24"/>
  <c r="T143" i="24" s="1"/>
  <c r="S373" i="24"/>
  <c r="T373" i="24" s="1"/>
  <c r="S79" i="24"/>
  <c r="T79" i="24" s="1"/>
  <c r="S68" i="24"/>
  <c r="T68" i="24" s="1"/>
  <c r="S411" i="24"/>
  <c r="T411" i="24" s="1"/>
  <c r="S85" i="24"/>
  <c r="T85" i="24" s="1"/>
  <c r="S29" i="24"/>
  <c r="T29" i="24" s="1"/>
  <c r="S401" i="24"/>
  <c r="T401" i="24" s="1"/>
  <c r="S69" i="24"/>
  <c r="T69" i="24" s="1"/>
  <c r="S170" i="24"/>
  <c r="T170" i="24" s="1"/>
  <c r="S430" i="24"/>
  <c r="T430" i="24" s="1"/>
  <c r="S43" i="24"/>
  <c r="S526" i="24"/>
  <c r="T526" i="24" s="1"/>
  <c r="S73" i="24"/>
  <c r="T73" i="24" s="1"/>
  <c r="S98" i="24"/>
  <c r="T98" i="24" s="1"/>
  <c r="S389" i="24"/>
  <c r="T389" i="24" s="1"/>
  <c r="S59" i="24"/>
  <c r="T59" i="24" s="1"/>
  <c r="S97" i="24"/>
  <c r="T97" i="24" s="1"/>
  <c r="S133" i="24"/>
  <c r="T133" i="24" s="1"/>
  <c r="S402" i="24"/>
  <c r="T402" i="24" s="1"/>
  <c r="S435" i="24"/>
  <c r="T435" i="24" s="1"/>
  <c r="S105" i="24"/>
  <c r="T105" i="24" s="1"/>
  <c r="S151" i="24"/>
  <c r="T151" i="24" s="1"/>
  <c r="S483" i="24"/>
  <c r="T483" i="24" s="1"/>
  <c r="S164" i="24"/>
  <c r="T164" i="24" s="1"/>
  <c r="S90" i="24"/>
  <c r="T90" i="24" s="1"/>
  <c r="S28" i="24"/>
  <c r="T28" i="24" s="1"/>
  <c r="S416" i="24"/>
  <c r="T416" i="24" s="1"/>
  <c r="S406" i="24"/>
  <c r="T406" i="24" s="1"/>
  <c r="S88" i="24"/>
  <c r="T88" i="24" s="1"/>
  <c r="S383" i="24"/>
  <c r="A463" i="24" l="1"/>
  <c r="A526" i="24"/>
  <c r="A568" i="24"/>
  <c r="A143" i="24"/>
  <c r="A151" i="24"/>
  <c r="A164" i="24"/>
  <c r="A170" i="24"/>
  <c r="A20" i="24"/>
  <c r="A235" i="24"/>
  <c r="A133" i="24"/>
  <c r="A483" i="24"/>
  <c r="A22" i="24"/>
  <c r="A169" i="24"/>
  <c r="A216" i="24"/>
  <c r="A148" i="24"/>
  <c r="T179" i="24"/>
  <c r="A179" i="24" s="1"/>
  <c r="T450" i="24"/>
  <c r="A450" i="24" s="1"/>
  <c r="T42" i="24"/>
  <c r="T43" i="24"/>
  <c r="T383" i="24"/>
  <c r="T426" i="24"/>
  <c r="T428" i="24"/>
  <c r="T573" i="24"/>
  <c r="A573" i="24" s="1"/>
  <c r="L12" i="22" l="1"/>
  <c r="L13" i="22"/>
  <c r="L14" i="22"/>
  <c r="L15" i="22"/>
  <c r="K2" i="22"/>
  <c r="F6" i="21"/>
  <c r="F7" i="21" s="1"/>
  <c r="F8" i="21" s="1"/>
  <c r="F9" i="21" s="1"/>
  <c r="F10" i="21" s="1"/>
  <c r="F11" i="21" s="1"/>
  <c r="F12" i="21" s="1"/>
  <c r="F13" i="21" s="1"/>
  <c r="F14" i="21" s="1"/>
  <c r="F15" i="21" s="1"/>
  <c r="F16" i="21" s="1"/>
  <c r="F17" i="21" s="1"/>
  <c r="F18" i="21" s="1"/>
  <c r="F19" i="21" s="1"/>
  <c r="F20" i="21" s="1"/>
  <c r="F21" i="21" s="1"/>
  <c r="F22" i="21" s="1"/>
  <c r="F23" i="21" s="1"/>
  <c r="F24" i="21" s="1"/>
  <c r="F25" i="21" s="1"/>
  <c r="F26" i="21" s="1"/>
  <c r="F27" i="21" s="1"/>
  <c r="F28" i="21" s="1"/>
  <c r="F29" i="21" s="1"/>
  <c r="F30" i="21" s="1"/>
  <c r="F31" i="21" s="1"/>
  <c r="F32" i="21" s="1"/>
  <c r="F33" i="21" s="1"/>
  <c r="F34" i="21" s="1"/>
  <c r="F35" i="21" s="1"/>
  <c r="F36" i="21" s="1"/>
  <c r="F37" i="21" s="1"/>
  <c r="F38" i="21" s="1"/>
  <c r="F39" i="21" s="1"/>
  <c r="F40" i="21" s="1"/>
  <c r="F41" i="21" s="1"/>
  <c r="H2" i="22" l="1"/>
  <c r="L15" i="21"/>
  <c r="L14" i="21"/>
  <c r="L13" i="21"/>
  <c r="L12" i="21"/>
  <c r="K2" i="21" l="1"/>
  <c r="J4" i="17" l="1"/>
  <c r="J5" i="17"/>
  <c r="J6" i="17"/>
  <c r="J7" i="17"/>
  <c r="J8" i="17"/>
  <c r="J9" i="17"/>
  <c r="J10" i="17"/>
  <c r="K10" i="17" s="1"/>
  <c r="J11" i="17"/>
  <c r="K11" i="17" s="1"/>
  <c r="J12" i="17"/>
  <c r="K12" i="17" s="1"/>
  <c r="J13" i="17"/>
  <c r="J14" i="17"/>
  <c r="K14" i="17" s="1"/>
  <c r="J15" i="17"/>
  <c r="J16" i="17"/>
  <c r="J17" i="17"/>
  <c r="J18" i="17"/>
  <c r="K18" i="17" s="1"/>
  <c r="J19" i="17"/>
  <c r="K19" i="17" s="1"/>
  <c r="J20" i="17"/>
  <c r="K20" i="17" s="1"/>
  <c r="J21" i="17"/>
  <c r="J22" i="17"/>
  <c r="J23" i="17"/>
  <c r="J3" i="17"/>
  <c r="K5" i="17"/>
  <c r="K13" i="17"/>
  <c r="K21" i="17"/>
  <c r="K4" i="17"/>
  <c r="K6" i="17"/>
  <c r="K7" i="17"/>
  <c r="K8" i="17"/>
  <c r="K9" i="17"/>
  <c r="K15" i="17"/>
  <c r="K16" i="17"/>
  <c r="K17" i="17"/>
  <c r="K22" i="17"/>
  <c r="K23" i="17"/>
  <c r="K3" i="17"/>
  <c r="R589" i="24"/>
  <c r="R427" i="24"/>
  <c r="S589" i="24" l="1"/>
  <c r="T589" i="24" s="1"/>
  <c r="S427" i="24"/>
  <c r="T427" i="24" s="1"/>
  <c r="A427" i="24"/>
  <c r="R267" i="24"/>
  <c r="R209" i="24"/>
  <c r="R200" i="24"/>
  <c r="R572" i="24"/>
  <c r="A589" i="24" l="1"/>
  <c r="S572" i="24"/>
  <c r="T572" i="24" s="1"/>
  <c r="S267" i="24"/>
  <c r="T267" i="24" s="1"/>
  <c r="S209" i="24"/>
  <c r="T209" i="24" s="1"/>
  <c r="S200" i="24"/>
  <c r="T200" i="24" s="1"/>
  <c r="V595" i="24"/>
  <c r="K595" i="24"/>
  <c r="A595" i="24" s="1"/>
  <c r="V594" i="24"/>
  <c r="V593" i="24"/>
  <c r="K593" i="24"/>
  <c r="V592" i="24"/>
  <c r="K592" i="24"/>
  <c r="V591" i="24"/>
  <c r="K591" i="24"/>
  <c r="V590" i="24"/>
  <c r="K590" i="24"/>
  <c r="V589" i="24"/>
  <c r="V588" i="24"/>
  <c r="K588" i="24"/>
  <c r="V587" i="24"/>
  <c r="K587" i="24"/>
  <c r="V586" i="24"/>
  <c r="K586" i="24"/>
  <c r="V585" i="24"/>
  <c r="K585" i="24"/>
  <c r="V584" i="24"/>
  <c r="K584" i="24"/>
  <c r="V583" i="24"/>
  <c r="K583" i="24"/>
  <c r="V582" i="24"/>
  <c r="K582" i="24"/>
  <c r="V581" i="24"/>
  <c r="K581" i="24"/>
  <c r="V580" i="24"/>
  <c r="K580" i="24"/>
  <c r="V579" i="24"/>
  <c r="K579" i="24"/>
  <c r="V578" i="24"/>
  <c r="K578" i="24"/>
  <c r="V577" i="24"/>
  <c r="K577" i="24"/>
  <c r="V576" i="24"/>
  <c r="K576" i="24"/>
  <c r="V575" i="24"/>
  <c r="K575" i="24"/>
  <c r="V574" i="24"/>
  <c r="K574" i="24"/>
  <c r="V573" i="24"/>
  <c r="V572" i="24"/>
  <c r="V571" i="24"/>
  <c r="K571" i="24"/>
  <c r="V570" i="24"/>
  <c r="K570" i="24"/>
  <c r="V569" i="24"/>
  <c r="K569" i="24"/>
  <c r="V568" i="24"/>
  <c r="V567" i="24"/>
  <c r="K567" i="24"/>
  <c r="V566" i="24"/>
  <c r="K566" i="24"/>
  <c r="V565" i="24"/>
  <c r="K565" i="24"/>
  <c r="V564" i="24"/>
  <c r="K564" i="24"/>
  <c r="V563" i="24"/>
  <c r="K563" i="24"/>
  <c r="V562" i="24"/>
  <c r="K562" i="24"/>
  <c r="A562" i="24" s="1"/>
  <c r="V561" i="24"/>
  <c r="K561" i="24"/>
  <c r="V560" i="24"/>
  <c r="K560" i="24"/>
  <c r="V559" i="24"/>
  <c r="K559" i="24"/>
  <c r="V558" i="24"/>
  <c r="K558" i="24"/>
  <c r="V557" i="24"/>
  <c r="K557" i="24"/>
  <c r="V556" i="24"/>
  <c r="K556" i="24"/>
  <c r="V555" i="24"/>
  <c r="K555" i="24"/>
  <c r="V554" i="24"/>
  <c r="K554" i="24"/>
  <c r="V553" i="24"/>
  <c r="K553" i="24"/>
  <c r="V552" i="24"/>
  <c r="K552" i="24"/>
  <c r="V551" i="24"/>
  <c r="K551" i="24"/>
  <c r="V550" i="24"/>
  <c r="K550" i="24"/>
  <c r="V549" i="24"/>
  <c r="K549" i="24"/>
  <c r="V548" i="24"/>
  <c r="K548" i="24"/>
  <c r="V547" i="24"/>
  <c r="K547" i="24"/>
  <c r="V546" i="24"/>
  <c r="K546" i="24"/>
  <c r="V545" i="24"/>
  <c r="K545" i="24"/>
  <c r="V544" i="24"/>
  <c r="K544" i="24"/>
  <c r="V543" i="24"/>
  <c r="K543" i="24"/>
  <c r="V542" i="24"/>
  <c r="K542" i="24"/>
  <c r="V541" i="24"/>
  <c r="K541" i="24"/>
  <c r="V540" i="24"/>
  <c r="K540" i="24"/>
  <c r="V539" i="24"/>
  <c r="V538" i="24"/>
  <c r="K538" i="24"/>
  <c r="V537" i="24"/>
  <c r="K537" i="24"/>
  <c r="V536" i="24"/>
  <c r="K536" i="24"/>
  <c r="V535" i="24"/>
  <c r="K535" i="24"/>
  <c r="V534" i="24"/>
  <c r="K534" i="24"/>
  <c r="V533" i="24"/>
  <c r="V532" i="24"/>
  <c r="V531" i="24"/>
  <c r="K531" i="24"/>
  <c r="V530" i="24"/>
  <c r="K530" i="24"/>
  <c r="V529" i="24"/>
  <c r="K529" i="24"/>
  <c r="V528" i="24"/>
  <c r="K528" i="24"/>
  <c r="V527" i="24"/>
  <c r="K527" i="24"/>
  <c r="V526" i="24"/>
  <c r="V525" i="24"/>
  <c r="K525" i="24"/>
  <c r="V524" i="24"/>
  <c r="K524" i="24"/>
  <c r="V523" i="24"/>
  <c r="K523" i="24"/>
  <c r="V522" i="24"/>
  <c r="K522" i="24"/>
  <c r="V521" i="24"/>
  <c r="K521" i="24"/>
  <c r="V520" i="24"/>
  <c r="K520" i="24"/>
  <c r="V519" i="24"/>
  <c r="K519" i="24"/>
  <c r="V518" i="24"/>
  <c r="K518" i="24"/>
  <c r="V517" i="24"/>
  <c r="K517" i="24"/>
  <c r="V516" i="24"/>
  <c r="K516" i="24"/>
  <c r="V515" i="24"/>
  <c r="K515" i="24"/>
  <c r="V514" i="24"/>
  <c r="K514" i="24"/>
  <c r="V513" i="24"/>
  <c r="K513" i="24"/>
  <c r="V512" i="24"/>
  <c r="K512" i="24"/>
  <c r="V511" i="24"/>
  <c r="K511" i="24"/>
  <c r="V510" i="24"/>
  <c r="K510" i="24"/>
  <c r="V509" i="24"/>
  <c r="K509" i="24"/>
  <c r="V508" i="24"/>
  <c r="K508" i="24"/>
  <c r="V507" i="24"/>
  <c r="K507" i="24"/>
  <c r="V506" i="24"/>
  <c r="K506" i="24"/>
  <c r="V505" i="24"/>
  <c r="V504" i="24"/>
  <c r="K504" i="24"/>
  <c r="V503" i="24"/>
  <c r="K503" i="24"/>
  <c r="V502" i="24"/>
  <c r="K502" i="24"/>
  <c r="V501" i="24"/>
  <c r="K501" i="24"/>
  <c r="V500" i="24"/>
  <c r="K500" i="24"/>
  <c r="V499" i="24"/>
  <c r="K499" i="24"/>
  <c r="V498" i="24"/>
  <c r="K498" i="24"/>
  <c r="V497" i="24"/>
  <c r="K497" i="24"/>
  <c r="V496" i="24"/>
  <c r="K496" i="24"/>
  <c r="V495" i="24"/>
  <c r="K495" i="24"/>
  <c r="V494" i="24"/>
  <c r="K494" i="24"/>
  <c r="V493" i="24"/>
  <c r="V492" i="24"/>
  <c r="K492" i="24"/>
  <c r="V491" i="24"/>
  <c r="K491" i="24"/>
  <c r="V490" i="24"/>
  <c r="K490" i="24"/>
  <c r="V489" i="24"/>
  <c r="K489" i="24"/>
  <c r="V488" i="24"/>
  <c r="K488" i="24"/>
  <c r="V487" i="24"/>
  <c r="V486" i="24"/>
  <c r="K486" i="24"/>
  <c r="A486" i="24" s="1"/>
  <c r="V485" i="24"/>
  <c r="V484" i="24"/>
  <c r="K484" i="24"/>
  <c r="V483" i="24"/>
  <c r="V482" i="24"/>
  <c r="K482" i="24"/>
  <c r="V481" i="24"/>
  <c r="K481" i="24"/>
  <c r="V480" i="24"/>
  <c r="K480" i="24"/>
  <c r="V479" i="24"/>
  <c r="K479" i="24"/>
  <c r="V478" i="24"/>
  <c r="K478" i="24"/>
  <c r="V477" i="24"/>
  <c r="K477" i="24"/>
  <c r="A477" i="24" s="1"/>
  <c r="V476" i="24"/>
  <c r="K476" i="24"/>
  <c r="V475" i="24"/>
  <c r="K475" i="24"/>
  <c r="V474" i="24"/>
  <c r="K474" i="24"/>
  <c r="V473" i="24"/>
  <c r="K473" i="24"/>
  <c r="V472" i="24"/>
  <c r="K472" i="24"/>
  <c r="V471" i="24"/>
  <c r="K471" i="24"/>
  <c r="V470" i="24"/>
  <c r="K470" i="24"/>
  <c r="V469" i="24"/>
  <c r="K469" i="24"/>
  <c r="V468" i="24"/>
  <c r="K468" i="24"/>
  <c r="V467" i="24"/>
  <c r="K467" i="24"/>
  <c r="V466" i="24"/>
  <c r="K466" i="24"/>
  <c r="V465" i="24"/>
  <c r="K465" i="24"/>
  <c r="V464" i="24"/>
  <c r="K464" i="24"/>
  <c r="V463" i="24"/>
  <c r="V462" i="24"/>
  <c r="K462" i="24"/>
  <c r="V461" i="24"/>
  <c r="K461" i="24"/>
  <c r="V460" i="24"/>
  <c r="K460" i="24"/>
  <c r="V459" i="24"/>
  <c r="K459" i="24"/>
  <c r="V458" i="24"/>
  <c r="K458" i="24"/>
  <c r="A458" i="24" s="1"/>
  <c r="V457" i="24"/>
  <c r="K457" i="24"/>
  <c r="V456" i="24"/>
  <c r="K456" i="24"/>
  <c r="V455" i="24"/>
  <c r="K455" i="24"/>
  <c r="V454" i="24"/>
  <c r="K454" i="24"/>
  <c r="V453" i="24"/>
  <c r="K453" i="24"/>
  <c r="V452" i="24"/>
  <c r="K452" i="24"/>
  <c r="V451" i="24"/>
  <c r="K451" i="24"/>
  <c r="V450" i="24"/>
  <c r="V449" i="24"/>
  <c r="K449" i="24"/>
  <c r="V448" i="24"/>
  <c r="V447" i="24"/>
  <c r="K447" i="24"/>
  <c r="V446" i="24"/>
  <c r="K446" i="24"/>
  <c r="V445" i="24"/>
  <c r="K445" i="24"/>
  <c r="V444" i="24"/>
  <c r="K444" i="24"/>
  <c r="V443" i="24"/>
  <c r="K443" i="24"/>
  <c r="V442" i="24"/>
  <c r="K442" i="24"/>
  <c r="V441" i="24"/>
  <c r="K441" i="24"/>
  <c r="V440" i="24"/>
  <c r="K440" i="24"/>
  <c r="V439" i="24"/>
  <c r="K439" i="24"/>
  <c r="V438" i="24"/>
  <c r="K438" i="24"/>
  <c r="V437" i="24"/>
  <c r="K437" i="24"/>
  <c r="V436" i="24"/>
  <c r="V435" i="24"/>
  <c r="V434" i="24"/>
  <c r="K434" i="24"/>
  <c r="V433" i="24"/>
  <c r="V432" i="24"/>
  <c r="K432" i="24"/>
  <c r="V431" i="24"/>
  <c r="K431" i="24"/>
  <c r="V430" i="24"/>
  <c r="V429" i="24"/>
  <c r="V428" i="24"/>
  <c r="V427" i="24"/>
  <c r="V426" i="24"/>
  <c r="V425" i="24"/>
  <c r="V424" i="24"/>
  <c r="K424" i="24"/>
  <c r="V423" i="24"/>
  <c r="K423" i="24"/>
  <c r="V422" i="24"/>
  <c r="K422" i="24"/>
  <c r="V421" i="24"/>
  <c r="K421" i="24"/>
  <c r="V420" i="24"/>
  <c r="K420" i="24"/>
  <c r="V419" i="24"/>
  <c r="K419" i="24"/>
  <c r="V418" i="24"/>
  <c r="K418" i="24"/>
  <c r="V417" i="24"/>
  <c r="K417" i="24"/>
  <c r="V416" i="24"/>
  <c r="V415" i="24"/>
  <c r="V414" i="24"/>
  <c r="K414" i="24"/>
  <c r="V413" i="24"/>
  <c r="K413" i="24"/>
  <c r="V412" i="24"/>
  <c r="V411" i="24"/>
  <c r="V410" i="24"/>
  <c r="V409" i="24"/>
  <c r="V408" i="24"/>
  <c r="K408" i="24"/>
  <c r="V407" i="24"/>
  <c r="K407" i="24"/>
  <c r="V406" i="24"/>
  <c r="V405" i="24"/>
  <c r="V404" i="24"/>
  <c r="K404" i="24"/>
  <c r="V403" i="24"/>
  <c r="K403" i="24"/>
  <c r="V402" i="24"/>
  <c r="V401" i="24"/>
  <c r="V400" i="24"/>
  <c r="V399" i="24"/>
  <c r="V398" i="24"/>
  <c r="K398" i="24"/>
  <c r="V397" i="24"/>
  <c r="K397" i="24"/>
  <c r="V396" i="24"/>
  <c r="K396" i="24"/>
  <c r="V395" i="24"/>
  <c r="K395" i="24"/>
  <c r="V394" i="24"/>
  <c r="K394" i="24"/>
  <c r="V393" i="24"/>
  <c r="K393" i="24"/>
  <c r="V392" i="24"/>
  <c r="K392" i="24"/>
  <c r="V391" i="24"/>
  <c r="K391" i="24"/>
  <c r="V390" i="24"/>
  <c r="V389" i="24"/>
  <c r="V388" i="24"/>
  <c r="K388" i="24"/>
  <c r="V387" i="24"/>
  <c r="K387" i="24"/>
  <c r="V386" i="24"/>
  <c r="V385" i="24"/>
  <c r="V384" i="24"/>
  <c r="K384" i="24"/>
  <c r="V383" i="24"/>
  <c r="V382" i="24"/>
  <c r="V381" i="24"/>
  <c r="V380" i="24"/>
  <c r="V379" i="24"/>
  <c r="V378" i="24"/>
  <c r="K378" i="24"/>
  <c r="V377" i="24"/>
  <c r="K377" i="24"/>
  <c r="V376" i="24"/>
  <c r="K376" i="24"/>
  <c r="V375" i="24"/>
  <c r="K375" i="24"/>
  <c r="V374" i="24"/>
  <c r="V373" i="24"/>
  <c r="V372" i="24"/>
  <c r="K372" i="24"/>
  <c r="V371" i="24"/>
  <c r="K371" i="24"/>
  <c r="V370" i="24"/>
  <c r="K370" i="24"/>
  <c r="V369" i="24"/>
  <c r="K369" i="24"/>
  <c r="V368" i="24"/>
  <c r="K368" i="24"/>
  <c r="V367" i="24"/>
  <c r="K367" i="24"/>
  <c r="V366" i="24"/>
  <c r="K366" i="24"/>
  <c r="V365" i="24"/>
  <c r="K365" i="24"/>
  <c r="V364" i="24"/>
  <c r="K364" i="24"/>
  <c r="V363" i="24"/>
  <c r="K363" i="24"/>
  <c r="V362" i="24"/>
  <c r="K362" i="24"/>
  <c r="V361" i="24"/>
  <c r="K361" i="24"/>
  <c r="V360" i="24"/>
  <c r="K360" i="24"/>
  <c r="V359" i="24"/>
  <c r="K359" i="24"/>
  <c r="V358" i="24"/>
  <c r="K358" i="24"/>
  <c r="V357" i="24"/>
  <c r="V356" i="24"/>
  <c r="K356" i="24"/>
  <c r="V355" i="24"/>
  <c r="K355" i="24"/>
  <c r="V354" i="24"/>
  <c r="K354" i="24"/>
  <c r="V353" i="24"/>
  <c r="K353" i="24"/>
  <c r="V352" i="24"/>
  <c r="K352" i="24"/>
  <c r="V351" i="24"/>
  <c r="K351" i="24"/>
  <c r="V350" i="24"/>
  <c r="K350" i="24"/>
  <c r="V349" i="24"/>
  <c r="K349" i="24"/>
  <c r="V348" i="24"/>
  <c r="K348" i="24"/>
  <c r="V347" i="24"/>
  <c r="K347" i="24"/>
  <c r="V346" i="24"/>
  <c r="K346" i="24"/>
  <c r="V345" i="24"/>
  <c r="K345" i="24"/>
  <c r="V344" i="24"/>
  <c r="K344" i="24"/>
  <c r="V343" i="24"/>
  <c r="K343" i="24"/>
  <c r="V342" i="24"/>
  <c r="K342" i="24"/>
  <c r="V341" i="24"/>
  <c r="K341" i="24"/>
  <c r="V340" i="24"/>
  <c r="K340" i="24"/>
  <c r="V339" i="24"/>
  <c r="K339" i="24"/>
  <c r="V338" i="24"/>
  <c r="K338" i="24"/>
  <c r="V337" i="24"/>
  <c r="K337" i="24"/>
  <c r="V336" i="24"/>
  <c r="K336" i="24"/>
  <c r="V335" i="24"/>
  <c r="V334" i="24"/>
  <c r="K334" i="24"/>
  <c r="V333" i="24"/>
  <c r="K333" i="24"/>
  <c r="V332" i="24"/>
  <c r="K332" i="24"/>
  <c r="V331" i="24"/>
  <c r="K331" i="24"/>
  <c r="V330" i="24"/>
  <c r="K330" i="24"/>
  <c r="V329" i="24"/>
  <c r="K329" i="24"/>
  <c r="V328" i="24"/>
  <c r="K328" i="24"/>
  <c r="V327" i="24"/>
  <c r="K327" i="24"/>
  <c r="V326" i="24"/>
  <c r="K326" i="24"/>
  <c r="V325" i="24"/>
  <c r="K325" i="24"/>
  <c r="V324" i="24"/>
  <c r="V323" i="24"/>
  <c r="V322" i="24"/>
  <c r="K322" i="24"/>
  <c r="V321" i="24"/>
  <c r="K321" i="24"/>
  <c r="V320" i="24"/>
  <c r="K320" i="24"/>
  <c r="V319" i="24"/>
  <c r="K319" i="24"/>
  <c r="V318" i="24"/>
  <c r="K318" i="24"/>
  <c r="V317" i="24"/>
  <c r="K317" i="24"/>
  <c r="V316" i="24"/>
  <c r="K316" i="24"/>
  <c r="V315" i="24"/>
  <c r="K315" i="24"/>
  <c r="V314" i="24"/>
  <c r="K314" i="24"/>
  <c r="V313" i="24"/>
  <c r="K313" i="24"/>
  <c r="V312" i="24"/>
  <c r="K312" i="24"/>
  <c r="V311" i="24"/>
  <c r="K311" i="24"/>
  <c r="V310" i="24"/>
  <c r="K310" i="24"/>
  <c r="V309" i="24"/>
  <c r="K309" i="24"/>
  <c r="V308" i="24"/>
  <c r="K308" i="24"/>
  <c r="V307" i="24"/>
  <c r="K307" i="24"/>
  <c r="V306" i="24"/>
  <c r="K306" i="24"/>
  <c r="V305" i="24"/>
  <c r="K305" i="24"/>
  <c r="V304" i="24"/>
  <c r="K304" i="24"/>
  <c r="V303" i="24"/>
  <c r="K303" i="24"/>
  <c r="V302" i="24"/>
  <c r="K302" i="24"/>
  <c r="V301" i="24"/>
  <c r="K301" i="24"/>
  <c r="V300" i="24"/>
  <c r="K300" i="24"/>
  <c r="V299" i="24"/>
  <c r="K299" i="24"/>
  <c r="A299" i="24" s="1"/>
  <c r="V298" i="24"/>
  <c r="K298" i="24"/>
  <c r="V297" i="24"/>
  <c r="K297" i="24"/>
  <c r="V296" i="24"/>
  <c r="K296" i="24"/>
  <c r="V295" i="24"/>
  <c r="K295" i="24"/>
  <c r="V294" i="24"/>
  <c r="K294" i="24"/>
  <c r="V293" i="24"/>
  <c r="K293" i="24"/>
  <c r="V292" i="24"/>
  <c r="K292" i="24"/>
  <c r="V291" i="24"/>
  <c r="K291" i="24"/>
  <c r="V290" i="24"/>
  <c r="K290" i="24"/>
  <c r="V289" i="24"/>
  <c r="K289" i="24"/>
  <c r="V288" i="24"/>
  <c r="K288" i="24"/>
  <c r="V287" i="24"/>
  <c r="K287" i="24"/>
  <c r="V286" i="24"/>
  <c r="K286" i="24"/>
  <c r="V285" i="24"/>
  <c r="K285" i="24"/>
  <c r="V284" i="24"/>
  <c r="K284" i="24"/>
  <c r="A284" i="24" s="1"/>
  <c r="V283" i="24"/>
  <c r="K283" i="24"/>
  <c r="V282" i="24"/>
  <c r="K282" i="24"/>
  <c r="V281" i="24"/>
  <c r="K281" i="24"/>
  <c r="V280" i="24"/>
  <c r="K280" i="24"/>
  <c r="V279" i="24"/>
  <c r="K279" i="24"/>
  <c r="V278" i="24"/>
  <c r="K278" i="24"/>
  <c r="V277" i="24"/>
  <c r="K277" i="24"/>
  <c r="V276" i="24"/>
  <c r="K276" i="24"/>
  <c r="V275" i="24"/>
  <c r="K275" i="24"/>
  <c r="V274" i="24"/>
  <c r="K274" i="24"/>
  <c r="V273" i="24"/>
  <c r="K273" i="24"/>
  <c r="V272" i="24"/>
  <c r="K272" i="24"/>
  <c r="V271" i="24"/>
  <c r="K271" i="24"/>
  <c r="V270" i="24"/>
  <c r="K270" i="24"/>
  <c r="V269" i="24"/>
  <c r="K269" i="24"/>
  <c r="V268" i="24"/>
  <c r="K268" i="24"/>
  <c r="V267" i="24"/>
  <c r="V266" i="24"/>
  <c r="K266" i="24"/>
  <c r="V265" i="24"/>
  <c r="K265" i="24"/>
  <c r="V264" i="24"/>
  <c r="K264" i="24"/>
  <c r="V263" i="24"/>
  <c r="K263" i="24"/>
  <c r="V262" i="24"/>
  <c r="K262" i="24"/>
  <c r="V261" i="24"/>
  <c r="K261" i="24"/>
  <c r="V260" i="24"/>
  <c r="K260" i="24"/>
  <c r="V259" i="24"/>
  <c r="K259" i="24"/>
  <c r="V258" i="24"/>
  <c r="K258" i="24"/>
  <c r="V257" i="24"/>
  <c r="K257" i="24"/>
  <c r="V256" i="24"/>
  <c r="K256" i="24"/>
  <c r="V255" i="24"/>
  <c r="V254" i="24"/>
  <c r="V253" i="24"/>
  <c r="K253" i="24"/>
  <c r="V252" i="24"/>
  <c r="K252" i="24"/>
  <c r="V251" i="24"/>
  <c r="K251" i="24"/>
  <c r="V250" i="24"/>
  <c r="K250" i="24"/>
  <c r="V249" i="24"/>
  <c r="K249" i="24"/>
  <c r="V248" i="24"/>
  <c r="K248" i="24"/>
  <c r="V247" i="24"/>
  <c r="K247" i="24"/>
  <c r="V246" i="24"/>
  <c r="K246" i="24"/>
  <c r="V245" i="24"/>
  <c r="K245" i="24"/>
  <c r="V244" i="24"/>
  <c r="K244" i="24"/>
  <c r="V243" i="24"/>
  <c r="K243" i="24"/>
  <c r="V242" i="24"/>
  <c r="K242" i="24"/>
  <c r="V241" i="24"/>
  <c r="K241" i="24"/>
  <c r="V240" i="24"/>
  <c r="K240" i="24"/>
  <c r="V239" i="24"/>
  <c r="K239" i="24"/>
  <c r="V238" i="24"/>
  <c r="K238" i="24"/>
  <c r="V237" i="24"/>
  <c r="K237" i="24"/>
  <c r="V236" i="24"/>
  <c r="K236" i="24"/>
  <c r="V235" i="24"/>
  <c r="V234" i="24"/>
  <c r="K234" i="24"/>
  <c r="V233" i="24"/>
  <c r="K233" i="24"/>
  <c r="V232" i="24"/>
  <c r="K232" i="24"/>
  <c r="V231" i="24"/>
  <c r="K231" i="24"/>
  <c r="V230" i="24"/>
  <c r="K230" i="24"/>
  <c r="V229" i="24"/>
  <c r="K229" i="24"/>
  <c r="V228" i="24"/>
  <c r="K228" i="24"/>
  <c r="V227" i="24"/>
  <c r="K227" i="24"/>
  <c r="V226" i="24"/>
  <c r="K226" i="24"/>
  <c r="V225" i="24"/>
  <c r="K225" i="24"/>
  <c r="V224" i="24"/>
  <c r="K224" i="24"/>
  <c r="V223" i="24"/>
  <c r="K223" i="24"/>
  <c r="V222" i="24"/>
  <c r="K222" i="24"/>
  <c r="V221" i="24"/>
  <c r="K221" i="24"/>
  <c r="V220" i="24"/>
  <c r="K220" i="24"/>
  <c r="V219" i="24"/>
  <c r="K219" i="24"/>
  <c r="V218" i="24"/>
  <c r="K218" i="24"/>
  <c r="V217" i="24"/>
  <c r="K217" i="24"/>
  <c r="V216" i="24"/>
  <c r="V215" i="24"/>
  <c r="K215" i="24"/>
  <c r="V214" i="24"/>
  <c r="K214" i="24"/>
  <c r="V213" i="24"/>
  <c r="K213" i="24"/>
  <c r="V212" i="24"/>
  <c r="K212" i="24"/>
  <c r="V211" i="24"/>
  <c r="K211" i="24"/>
  <c r="V210" i="24"/>
  <c r="K210" i="24"/>
  <c r="V209" i="24"/>
  <c r="V208" i="24"/>
  <c r="K208" i="24"/>
  <c r="V207" i="24"/>
  <c r="K207" i="24"/>
  <c r="V206" i="24"/>
  <c r="K206" i="24"/>
  <c r="V205" i="24"/>
  <c r="K205" i="24"/>
  <c r="V204" i="24"/>
  <c r="K204" i="24"/>
  <c r="V203" i="24"/>
  <c r="K203" i="24"/>
  <c r="V202" i="24"/>
  <c r="K202" i="24"/>
  <c r="V201" i="24"/>
  <c r="K201" i="24"/>
  <c r="V200" i="24"/>
  <c r="V199" i="24"/>
  <c r="K199" i="24"/>
  <c r="V198" i="24"/>
  <c r="K198" i="24"/>
  <c r="V197" i="24"/>
  <c r="K197" i="24"/>
  <c r="V196" i="24"/>
  <c r="K196" i="24"/>
  <c r="V195" i="24"/>
  <c r="K195" i="24"/>
  <c r="V194" i="24"/>
  <c r="K194" i="24"/>
  <c r="V193" i="24"/>
  <c r="K193" i="24"/>
  <c r="V192" i="24"/>
  <c r="K192" i="24"/>
  <c r="V191" i="24"/>
  <c r="K191" i="24"/>
  <c r="A191" i="24" s="1"/>
  <c r="V190" i="24"/>
  <c r="K190" i="24"/>
  <c r="V189" i="24"/>
  <c r="K189" i="24"/>
  <c r="V188" i="24"/>
  <c r="K188" i="24"/>
  <c r="V187" i="24"/>
  <c r="K187" i="24"/>
  <c r="V186" i="24"/>
  <c r="K186" i="24"/>
  <c r="V185" i="24"/>
  <c r="K185" i="24"/>
  <c r="V184" i="24"/>
  <c r="K184" i="24"/>
  <c r="V183" i="24"/>
  <c r="K183" i="24"/>
  <c r="V182" i="24"/>
  <c r="V181" i="24"/>
  <c r="K181" i="24"/>
  <c r="V180" i="24"/>
  <c r="K180" i="24"/>
  <c r="V179" i="24"/>
  <c r="V178" i="24"/>
  <c r="K178" i="24"/>
  <c r="V177" i="24"/>
  <c r="K177" i="24"/>
  <c r="V176" i="24"/>
  <c r="K176" i="24"/>
  <c r="V175" i="24"/>
  <c r="K175" i="24"/>
  <c r="V174" i="24"/>
  <c r="K174" i="24"/>
  <c r="V173" i="24"/>
  <c r="K173" i="24"/>
  <c r="V172" i="24"/>
  <c r="K172" i="24"/>
  <c r="V171" i="24"/>
  <c r="K171" i="24"/>
  <c r="V170" i="24"/>
  <c r="V169" i="24"/>
  <c r="V168" i="24"/>
  <c r="K168" i="24"/>
  <c r="V167" i="24"/>
  <c r="K167" i="24"/>
  <c r="V166" i="24"/>
  <c r="K166" i="24"/>
  <c r="V165" i="24"/>
  <c r="K165" i="24"/>
  <c r="V164" i="24"/>
  <c r="V163" i="24"/>
  <c r="K163" i="24"/>
  <c r="V162" i="24"/>
  <c r="K162" i="24"/>
  <c r="V161" i="24"/>
  <c r="K161" i="24"/>
  <c r="V160" i="24"/>
  <c r="K160" i="24"/>
  <c r="V159" i="24"/>
  <c r="K159" i="24"/>
  <c r="V158" i="24"/>
  <c r="K158" i="24"/>
  <c r="V157" i="24"/>
  <c r="K157" i="24"/>
  <c r="V156" i="24"/>
  <c r="K156" i="24"/>
  <c r="V155" i="24"/>
  <c r="K155" i="24"/>
  <c r="V154" i="24"/>
  <c r="K154" i="24"/>
  <c r="V153" i="24"/>
  <c r="K153" i="24"/>
  <c r="V152" i="24"/>
  <c r="K152" i="24"/>
  <c r="V151" i="24"/>
  <c r="V150" i="24"/>
  <c r="K150" i="24"/>
  <c r="V149" i="24"/>
  <c r="K149" i="24"/>
  <c r="V148" i="24"/>
  <c r="V147" i="24"/>
  <c r="K147" i="24"/>
  <c r="V146" i="24"/>
  <c r="K146" i="24"/>
  <c r="V145" i="24"/>
  <c r="K145" i="24"/>
  <c r="V144" i="24"/>
  <c r="K144" i="24"/>
  <c r="V143" i="24"/>
  <c r="V142" i="24"/>
  <c r="K142" i="24"/>
  <c r="V141" i="24"/>
  <c r="K141" i="24"/>
  <c r="V140" i="24"/>
  <c r="K140" i="24"/>
  <c r="V139" i="24"/>
  <c r="K139" i="24"/>
  <c r="V138" i="24"/>
  <c r="K138" i="24"/>
  <c r="V137" i="24"/>
  <c r="K137" i="24"/>
  <c r="V136" i="24"/>
  <c r="K136" i="24"/>
  <c r="V135" i="24"/>
  <c r="K135" i="24"/>
  <c r="V134" i="24"/>
  <c r="K134" i="24"/>
  <c r="V133" i="24"/>
  <c r="V132" i="24"/>
  <c r="K132" i="24"/>
  <c r="V131" i="24"/>
  <c r="K131" i="24"/>
  <c r="V130" i="24"/>
  <c r="K130" i="24"/>
  <c r="V129" i="24"/>
  <c r="K129" i="24"/>
  <c r="V128" i="24"/>
  <c r="K128" i="24"/>
  <c r="V127" i="24"/>
  <c r="K127" i="24"/>
  <c r="V126" i="24"/>
  <c r="K126" i="24"/>
  <c r="V125" i="24"/>
  <c r="K125" i="24"/>
  <c r="V124" i="24"/>
  <c r="K124" i="24"/>
  <c r="V123" i="24"/>
  <c r="K123" i="24"/>
  <c r="V122" i="24"/>
  <c r="K122" i="24"/>
  <c r="V121" i="24"/>
  <c r="K121" i="24"/>
  <c r="V120" i="24"/>
  <c r="K120" i="24"/>
  <c r="V119" i="24"/>
  <c r="V118" i="24"/>
  <c r="K118" i="24"/>
  <c r="V117" i="24"/>
  <c r="K117" i="24"/>
  <c r="V116" i="24"/>
  <c r="K116" i="24"/>
  <c r="V115" i="24"/>
  <c r="K115" i="24"/>
  <c r="V114" i="24"/>
  <c r="K114" i="24"/>
  <c r="V113" i="24"/>
  <c r="K113" i="24"/>
  <c r="V112" i="24"/>
  <c r="K112" i="24"/>
  <c r="V111" i="24"/>
  <c r="K111" i="24"/>
  <c r="V110" i="24"/>
  <c r="K110" i="24"/>
  <c r="V109" i="24"/>
  <c r="K109" i="24"/>
  <c r="V108" i="24"/>
  <c r="K108" i="24"/>
  <c r="V107" i="24"/>
  <c r="K107" i="24"/>
  <c r="V106" i="24"/>
  <c r="K106" i="24"/>
  <c r="V105" i="24"/>
  <c r="V104" i="24"/>
  <c r="V103" i="24"/>
  <c r="K103" i="24"/>
  <c r="V102" i="24"/>
  <c r="K102" i="24"/>
  <c r="V101" i="24"/>
  <c r="K101" i="24"/>
  <c r="V100" i="24"/>
  <c r="K100" i="24"/>
  <c r="V99" i="24"/>
  <c r="V98" i="24"/>
  <c r="V97" i="24"/>
  <c r="V96" i="24"/>
  <c r="V95" i="24"/>
  <c r="K95" i="24"/>
  <c r="V94" i="24"/>
  <c r="K94" i="24"/>
  <c r="V93" i="24"/>
  <c r="V92" i="24"/>
  <c r="V91" i="24"/>
  <c r="V90" i="24"/>
  <c r="V89" i="24"/>
  <c r="V88" i="24"/>
  <c r="V87" i="24"/>
  <c r="K87" i="24"/>
  <c r="V86" i="24"/>
  <c r="K86" i="24"/>
  <c r="V85" i="24"/>
  <c r="V84" i="24"/>
  <c r="V83" i="24"/>
  <c r="K83" i="24"/>
  <c r="V82" i="24"/>
  <c r="K82" i="24"/>
  <c r="V81" i="24"/>
  <c r="K81" i="24"/>
  <c r="V80" i="24"/>
  <c r="K80" i="24"/>
  <c r="V79" i="24"/>
  <c r="V78" i="24"/>
  <c r="V77" i="24"/>
  <c r="K77" i="24"/>
  <c r="V76" i="24"/>
  <c r="K76" i="24"/>
  <c r="V75" i="24"/>
  <c r="K75" i="24"/>
  <c r="V74" i="24"/>
  <c r="K74" i="24"/>
  <c r="V73" i="24"/>
  <c r="V72" i="24"/>
  <c r="V71" i="24"/>
  <c r="K71" i="24"/>
  <c r="V70" i="24"/>
  <c r="K70" i="24"/>
  <c r="V69" i="24"/>
  <c r="V68" i="24"/>
  <c r="V67" i="24"/>
  <c r="K67" i="24"/>
  <c r="V66" i="24"/>
  <c r="K66" i="24"/>
  <c r="V65" i="24"/>
  <c r="V64" i="24"/>
  <c r="V63" i="24"/>
  <c r="K63" i="24"/>
  <c r="V62" i="24"/>
  <c r="K62" i="24"/>
  <c r="V61" i="24"/>
  <c r="K61" i="24"/>
  <c r="V60" i="24"/>
  <c r="K60" i="24"/>
  <c r="V59" i="24"/>
  <c r="V58" i="24"/>
  <c r="V57" i="24"/>
  <c r="K57" i="24"/>
  <c r="V56" i="24"/>
  <c r="K56" i="24"/>
  <c r="V55" i="24"/>
  <c r="K55" i="24"/>
  <c r="V54" i="24"/>
  <c r="K54" i="24"/>
  <c r="V53" i="24"/>
  <c r="K53" i="24"/>
  <c r="V52" i="24"/>
  <c r="K52" i="24"/>
  <c r="V51" i="24"/>
  <c r="K51" i="24"/>
  <c r="V50" i="24"/>
  <c r="K50" i="24"/>
  <c r="V49" i="24"/>
  <c r="V48" i="24"/>
  <c r="V47" i="24"/>
  <c r="K47" i="24"/>
  <c r="V46" i="24"/>
  <c r="K46" i="24"/>
  <c r="V45" i="24"/>
  <c r="K45" i="24"/>
  <c r="V44" i="24"/>
  <c r="K44" i="24"/>
  <c r="V43" i="24"/>
  <c r="V42" i="24"/>
  <c r="V41" i="24"/>
  <c r="K41" i="24"/>
  <c r="V40" i="24"/>
  <c r="K40" i="24"/>
  <c r="V39" i="24"/>
  <c r="K39" i="24"/>
  <c r="V38" i="24"/>
  <c r="K38" i="24"/>
  <c r="V37" i="24"/>
  <c r="K37" i="24"/>
  <c r="V36" i="24"/>
  <c r="K36" i="24"/>
  <c r="V35" i="24"/>
  <c r="K35" i="24"/>
  <c r="V34" i="24"/>
  <c r="K34" i="24"/>
  <c r="V33" i="24"/>
  <c r="K33" i="24"/>
  <c r="V32" i="24"/>
  <c r="K32" i="24"/>
  <c r="V31" i="24"/>
  <c r="K31" i="24"/>
  <c r="V30" i="24"/>
  <c r="K30" i="24"/>
  <c r="V29" i="24"/>
  <c r="V28" i="24"/>
  <c r="V27" i="24"/>
  <c r="K27" i="24"/>
  <c r="V26" i="24"/>
  <c r="K26" i="24"/>
  <c r="V25" i="24"/>
  <c r="K25" i="24"/>
  <c r="V24" i="24"/>
  <c r="K24" i="24"/>
  <c r="V23" i="24"/>
  <c r="K23" i="24"/>
  <c r="V22" i="24"/>
  <c r="V21" i="24"/>
  <c r="K21" i="24"/>
  <c r="V20" i="24"/>
  <c r="V19" i="24"/>
  <c r="K19" i="24"/>
  <c r="V18" i="24"/>
  <c r="K18" i="24"/>
  <c r="V17" i="24"/>
  <c r="K17" i="24"/>
  <c r="V16" i="24"/>
  <c r="K16" i="24"/>
  <c r="V15" i="24"/>
  <c r="K15" i="24"/>
  <c r="V14" i="24"/>
  <c r="K14" i="24"/>
  <c r="V13" i="24"/>
  <c r="K13" i="24"/>
  <c r="V12" i="24"/>
  <c r="K12" i="24"/>
  <c r="V11" i="24"/>
  <c r="K11" i="24"/>
  <c r="V10" i="24"/>
  <c r="V9" i="24"/>
  <c r="K9" i="24"/>
  <c r="V8" i="24"/>
  <c r="K8" i="24"/>
  <c r="V7" i="24"/>
  <c r="K7" i="24"/>
  <c r="V6" i="24"/>
  <c r="K6" i="24"/>
  <c r="V5" i="24"/>
  <c r="K5" i="24"/>
  <c r="V4" i="24"/>
  <c r="K4" i="24"/>
  <c r="V3" i="24"/>
  <c r="K3" i="24"/>
  <c r="V2" i="24"/>
  <c r="K2" i="24"/>
  <c r="C41" i="21"/>
  <c r="C40" i="21"/>
  <c r="C39" i="21"/>
  <c r="C38" i="21"/>
  <c r="C37" i="21"/>
  <c r="C36" i="21"/>
  <c r="C35" i="21"/>
  <c r="D35" i="21" s="1" a="1"/>
  <c r="D35" i="21" s="1"/>
  <c r="K17" i="21"/>
  <c r="B6" i="21"/>
  <c r="AE1" i="21"/>
  <c r="A572" i="24" l="1"/>
  <c r="A209" i="24"/>
  <c r="A200" i="24"/>
  <c r="A267" i="24"/>
  <c r="R588" i="24"/>
  <c r="S588" i="24" s="1"/>
  <c r="T588" i="24" s="1"/>
  <c r="R587" i="24" s="1"/>
  <c r="S587" i="24" s="1"/>
  <c r="T587" i="24" s="1"/>
  <c r="R206" i="24"/>
  <c r="S206" i="24" s="1"/>
  <c r="T206" i="24" s="1"/>
  <c r="R205" i="24"/>
  <c r="S205" i="24" s="1"/>
  <c r="T205" i="24" s="1"/>
  <c r="R593" i="24"/>
  <c r="S593" i="24" s="1"/>
  <c r="T593" i="24" s="1"/>
  <c r="R423" i="24"/>
  <c r="S423" i="24" s="1"/>
  <c r="T423" i="24" s="1"/>
  <c r="R591" i="24"/>
  <c r="S591" i="24" s="1"/>
  <c r="T591" i="24" s="1"/>
  <c r="R590" i="24" s="1"/>
  <c r="S590" i="24" s="1"/>
  <c r="T590" i="24" s="1"/>
  <c r="R592" i="24"/>
  <c r="S592" i="24" s="1"/>
  <c r="T592" i="24" s="1"/>
  <c r="R583" i="24"/>
  <c r="A583" i="24" s="1"/>
  <c r="R204" i="24"/>
  <c r="S204" i="24" s="1"/>
  <c r="T204" i="24" s="1"/>
  <c r="R203" i="24" s="1"/>
  <c r="S203" i="24" s="1"/>
  <c r="T203" i="24" s="1"/>
  <c r="R202" i="24" s="1"/>
  <c r="S202" i="24" s="1"/>
  <c r="T202" i="24" s="1"/>
  <c r="R198" i="24" s="1"/>
  <c r="S198" i="24" s="1"/>
  <c r="T198" i="24" s="1"/>
  <c r="R194" i="24" s="1"/>
  <c r="S194" i="24" s="1"/>
  <c r="T194" i="24" s="1"/>
  <c r="R193" i="24" s="1"/>
  <c r="S193" i="24" s="1"/>
  <c r="T193" i="24" s="1"/>
  <c r="R190" i="24" s="1"/>
  <c r="S190" i="24" s="1"/>
  <c r="T190" i="24" s="1"/>
  <c r="R189" i="24" s="1"/>
  <c r="S189" i="24" s="1"/>
  <c r="T189" i="24" s="1"/>
  <c r="R188" i="24" s="1"/>
  <c r="S188" i="24" s="1"/>
  <c r="T188" i="24" s="1"/>
  <c r="R185" i="24" s="1"/>
  <c r="S185" i="24" s="1"/>
  <c r="T185" i="24" s="1"/>
  <c r="R184" i="24" s="1"/>
  <c r="S184" i="24" s="1"/>
  <c r="T184" i="24" s="1"/>
  <c r="R183" i="24" s="1"/>
  <c r="S183" i="24" s="1"/>
  <c r="T183" i="24" s="1"/>
  <c r="R182" i="24" s="1"/>
  <c r="B7" i="21" a="1"/>
  <c r="B7" i="21" s="1"/>
  <c r="B8" i="21" s="1" a="1"/>
  <c r="B8" i="21" s="1"/>
  <c r="C6" i="21" a="1"/>
  <c r="C6" i="21" s="1"/>
  <c r="R422" i="24"/>
  <c r="A422" i="24" s="1"/>
  <c r="R226" i="24"/>
  <c r="S226" i="24" s="1"/>
  <c r="T226" i="24" s="1"/>
  <c r="R230" i="24"/>
  <c r="S230" i="24" s="1"/>
  <c r="T230" i="24" s="1"/>
  <c r="R344" i="24"/>
  <c r="S344" i="24" s="1"/>
  <c r="T344" i="24" s="1"/>
  <c r="R368" i="24"/>
  <c r="S368" i="24" s="1"/>
  <c r="T368" i="24" s="1"/>
  <c r="R372" i="24"/>
  <c r="S372" i="24" s="1"/>
  <c r="T372" i="24" s="1"/>
  <c r="R543" i="24"/>
  <c r="S543" i="24" s="1"/>
  <c r="T543" i="24" s="1"/>
  <c r="R547" i="24"/>
  <c r="S547" i="24" s="1"/>
  <c r="T547" i="24" s="1"/>
  <c r="R551" i="24"/>
  <c r="S551" i="24" s="1"/>
  <c r="T551" i="24" s="1"/>
  <c r="R555" i="24"/>
  <c r="S555" i="24" s="1"/>
  <c r="T555" i="24" s="1"/>
  <c r="R559" i="24"/>
  <c r="S559" i="24" s="1"/>
  <c r="T559" i="24" s="1"/>
  <c r="R563" i="24"/>
  <c r="S563" i="24" s="1"/>
  <c r="T563" i="24" s="1"/>
  <c r="R567" i="24"/>
  <c r="S567" i="24" s="1"/>
  <c r="T567" i="24" s="1"/>
  <c r="R2" i="24"/>
  <c r="S2" i="24" s="1"/>
  <c r="T2" i="24" s="1"/>
  <c r="R147" i="24"/>
  <c r="S147" i="24" s="1"/>
  <c r="T147" i="24" s="1"/>
  <c r="R152" i="24"/>
  <c r="S152" i="24" s="1"/>
  <c r="T152" i="24" s="1"/>
  <c r="R156" i="24"/>
  <c r="S156" i="24" s="1"/>
  <c r="T156" i="24" s="1"/>
  <c r="R228" i="24"/>
  <c r="S228" i="24" s="1"/>
  <c r="T228" i="24" s="1"/>
  <c r="R519" i="24"/>
  <c r="S519" i="24" s="1"/>
  <c r="T519" i="24" s="1"/>
  <c r="R541" i="24"/>
  <c r="S541" i="24" s="1"/>
  <c r="T541" i="24" s="1"/>
  <c r="R549" i="24"/>
  <c r="S549" i="24" s="1"/>
  <c r="T549" i="24" s="1"/>
  <c r="R553" i="24"/>
  <c r="S553" i="24" s="1"/>
  <c r="T553" i="24" s="1"/>
  <c r="R557" i="24"/>
  <c r="S557" i="24" s="1"/>
  <c r="T557" i="24" s="1"/>
  <c r="R561" i="24"/>
  <c r="S561" i="24" s="1"/>
  <c r="T561" i="24" s="1"/>
  <c r="R565" i="24"/>
  <c r="S565" i="24" s="1"/>
  <c r="T565" i="24" s="1"/>
  <c r="R11" i="24"/>
  <c r="S11" i="24" s="1"/>
  <c r="T11" i="24" s="1"/>
  <c r="R15" i="24"/>
  <c r="S15" i="24" s="1"/>
  <c r="T15" i="24" s="1"/>
  <c r="R55" i="24"/>
  <c r="S55" i="24" s="1"/>
  <c r="T55" i="24" s="1"/>
  <c r="R74" i="24"/>
  <c r="S74" i="24" s="1"/>
  <c r="T74" i="24" s="1"/>
  <c r="R83" i="24"/>
  <c r="S83" i="24" s="1"/>
  <c r="T83" i="24" s="1"/>
  <c r="R95" i="24"/>
  <c r="S95" i="24" s="1"/>
  <c r="T95" i="24" s="1"/>
  <c r="R101" i="24"/>
  <c r="S101" i="24" s="1"/>
  <c r="T101" i="24" s="1"/>
  <c r="R118" i="24"/>
  <c r="S118" i="24" s="1"/>
  <c r="T118" i="24" s="1"/>
  <c r="R135" i="24"/>
  <c r="S135" i="24" s="1"/>
  <c r="T135" i="24" s="1"/>
  <c r="R195" i="24"/>
  <c r="S195" i="24" s="1"/>
  <c r="T195" i="24" s="1"/>
  <c r="R241" i="24"/>
  <c r="S241" i="24" s="1"/>
  <c r="T241" i="24" s="1"/>
  <c r="R245" i="24"/>
  <c r="S245" i="24" s="1"/>
  <c r="T245" i="24" s="1"/>
  <c r="R253" i="24"/>
  <c r="S253" i="24" s="1"/>
  <c r="T253" i="24" s="1"/>
  <c r="R306" i="24"/>
  <c r="S306" i="24" s="1"/>
  <c r="T306" i="24" s="1"/>
  <c r="R326" i="24"/>
  <c r="S326" i="24" s="1"/>
  <c r="T326" i="24" s="1"/>
  <c r="R417" i="24"/>
  <c r="S417" i="24" s="1"/>
  <c r="T417" i="24" s="1"/>
  <c r="R432" i="24"/>
  <c r="S432" i="24" s="1"/>
  <c r="T432" i="24" s="1"/>
  <c r="R441" i="24"/>
  <c r="S441" i="24" s="1"/>
  <c r="T441" i="24" s="1"/>
  <c r="R449" i="24"/>
  <c r="S449" i="24" s="1"/>
  <c r="T449" i="24" s="1"/>
  <c r="R466" i="24"/>
  <c r="S466" i="24" s="1"/>
  <c r="T466" i="24" s="1"/>
  <c r="R482" i="24"/>
  <c r="S482" i="24" s="1"/>
  <c r="T482" i="24" s="1"/>
  <c r="R491" i="24"/>
  <c r="S491" i="24" s="1"/>
  <c r="T491" i="24" s="1"/>
  <c r="R499" i="24"/>
  <c r="S499" i="24" s="1"/>
  <c r="T499" i="24" s="1"/>
  <c r="R537" i="24"/>
  <c r="S537" i="24" s="1"/>
  <c r="T537" i="24" s="1"/>
  <c r="R579" i="24"/>
  <c r="S579" i="24" s="1"/>
  <c r="T579" i="24" s="1"/>
  <c r="R208" i="24"/>
  <c r="S208" i="24" s="1"/>
  <c r="T208" i="24" s="1"/>
  <c r="R221" i="24"/>
  <c r="S221" i="24" s="1"/>
  <c r="T221" i="24" s="1"/>
  <c r="R229" i="24"/>
  <c r="S229" i="24" s="1"/>
  <c r="T229" i="24" s="1"/>
  <c r="R355" i="24"/>
  <c r="S355" i="24" s="1"/>
  <c r="T355" i="24" s="1"/>
  <c r="R371" i="24"/>
  <c r="S371" i="24" s="1"/>
  <c r="T371" i="24" s="1"/>
  <c r="R454" i="24"/>
  <c r="S454" i="24" s="1"/>
  <c r="T454" i="24" s="1"/>
  <c r="R508" i="24"/>
  <c r="S508" i="24" s="1"/>
  <c r="T508" i="24" s="1"/>
  <c r="R542" i="24"/>
  <c r="S542" i="24" s="1"/>
  <c r="T542" i="24" s="1"/>
  <c r="R546" i="24"/>
  <c r="S546" i="24" s="1"/>
  <c r="T546" i="24" s="1"/>
  <c r="R550" i="24"/>
  <c r="S550" i="24" s="1"/>
  <c r="T550" i="24" s="1"/>
  <c r="R554" i="24"/>
  <c r="S554" i="24" s="1"/>
  <c r="T554" i="24" s="1"/>
  <c r="R558" i="24"/>
  <c r="S558" i="24" s="1"/>
  <c r="T558" i="24" s="1"/>
  <c r="R562" i="24"/>
  <c r="S562" i="24" s="1"/>
  <c r="T562" i="24" s="1"/>
  <c r="R566" i="24"/>
  <c r="S566" i="24" s="1"/>
  <c r="T566" i="24" s="1"/>
  <c r="R16" i="24"/>
  <c r="S16" i="24" s="1"/>
  <c r="T16" i="24" s="1"/>
  <c r="R25" i="24"/>
  <c r="S25" i="24" s="1"/>
  <c r="T25" i="24" s="1"/>
  <c r="R52" i="24"/>
  <c r="S52" i="24" s="1"/>
  <c r="T52" i="24" s="1"/>
  <c r="R75" i="24"/>
  <c r="S75" i="24" s="1"/>
  <c r="T75" i="24" s="1"/>
  <c r="R140" i="24"/>
  <c r="S140" i="24" s="1"/>
  <c r="T140" i="24" s="1"/>
  <c r="R166" i="24"/>
  <c r="S166" i="24" s="1"/>
  <c r="T166" i="24" s="1"/>
  <c r="R171" i="24"/>
  <c r="S171" i="24" s="1"/>
  <c r="T171" i="24" s="1"/>
  <c r="R213" i="24"/>
  <c r="S213" i="24" s="1"/>
  <c r="T213" i="24" s="1"/>
  <c r="R279" i="24"/>
  <c r="S279" i="24" s="1"/>
  <c r="T279" i="24" s="1"/>
  <c r="R291" i="24"/>
  <c r="S291" i="24" s="1"/>
  <c r="T291" i="24" s="1"/>
  <c r="R311" i="24"/>
  <c r="S311" i="24" s="1"/>
  <c r="T311" i="24" s="1"/>
  <c r="R442" i="24"/>
  <c r="S442" i="24" s="1"/>
  <c r="T442" i="24" s="1"/>
  <c r="R475" i="24"/>
  <c r="S475" i="24" s="1"/>
  <c r="T475" i="24" s="1"/>
  <c r="R488" i="24"/>
  <c r="S488" i="24" s="1"/>
  <c r="T488" i="24" s="1"/>
  <c r="R496" i="24"/>
  <c r="S496" i="24" s="1"/>
  <c r="T496" i="24" s="1"/>
  <c r="R504" i="24"/>
  <c r="S504" i="24" s="1"/>
  <c r="T504" i="24" s="1"/>
  <c r="R538" i="24"/>
  <c r="S538" i="24" s="1"/>
  <c r="T538" i="24" s="1"/>
  <c r="R571" i="24"/>
  <c r="S571" i="24" s="1"/>
  <c r="T571" i="24" s="1"/>
  <c r="R4" i="24"/>
  <c r="S4" i="24" s="1"/>
  <c r="T4" i="24" s="1"/>
  <c r="R21" i="24"/>
  <c r="S21" i="24" s="1"/>
  <c r="T21" i="24" s="1"/>
  <c r="R154" i="24"/>
  <c r="S154" i="24" s="1"/>
  <c r="T154" i="24" s="1"/>
  <c r="R201" i="24"/>
  <c r="S201" i="24" s="1"/>
  <c r="T201" i="24" s="1"/>
  <c r="R439" i="24"/>
  <c r="S439" i="24" s="1"/>
  <c r="T439" i="24" s="1"/>
  <c r="R464" i="24"/>
  <c r="S464" i="24" s="1"/>
  <c r="T464" i="24" s="1"/>
  <c r="R476" i="24"/>
  <c r="S476" i="24" s="1"/>
  <c r="T476" i="24" s="1"/>
  <c r="R530" i="24"/>
  <c r="S530" i="24" s="1"/>
  <c r="T530" i="24" s="1"/>
  <c r="R535" i="24"/>
  <c r="S535" i="24" s="1"/>
  <c r="T535" i="24" s="1"/>
  <c r="R219" i="24"/>
  <c r="S219" i="24" s="1"/>
  <c r="T219" i="24" s="1"/>
  <c r="R223" i="24"/>
  <c r="S223" i="24" s="1"/>
  <c r="T223" i="24" s="1"/>
  <c r="R349" i="24"/>
  <c r="S349" i="24" s="1"/>
  <c r="T349" i="24" s="1"/>
  <c r="R357" i="24"/>
  <c r="S357" i="24" s="1"/>
  <c r="T357" i="24" s="1"/>
  <c r="R452" i="24"/>
  <c r="S452" i="24" s="1"/>
  <c r="T452" i="24" s="1"/>
  <c r="R456" i="24"/>
  <c r="S456" i="24" s="1"/>
  <c r="T456" i="24" s="1"/>
  <c r="R506" i="24"/>
  <c r="S506" i="24" s="1"/>
  <c r="T506" i="24" s="1"/>
  <c r="R510" i="24"/>
  <c r="S510" i="24" s="1"/>
  <c r="T510" i="24" s="1"/>
  <c r="R514" i="24"/>
  <c r="S514" i="24" s="1"/>
  <c r="T514" i="24" s="1"/>
  <c r="R540" i="24"/>
  <c r="S540" i="24" s="1"/>
  <c r="T540" i="24" s="1"/>
  <c r="R544" i="24"/>
  <c r="S544" i="24" s="1"/>
  <c r="T544" i="24" s="1"/>
  <c r="R548" i="24"/>
  <c r="S548" i="24" s="1"/>
  <c r="T548" i="24" s="1"/>
  <c r="R552" i="24"/>
  <c r="S552" i="24" s="1"/>
  <c r="T552" i="24" s="1"/>
  <c r="R560" i="24"/>
  <c r="S560" i="24" s="1"/>
  <c r="T560" i="24" s="1"/>
  <c r="R564" i="24"/>
  <c r="S564" i="24" s="1"/>
  <c r="T564" i="24" s="1"/>
  <c r="R53" i="24"/>
  <c r="S53" i="24" s="1"/>
  <c r="T53" i="24" s="1"/>
  <c r="R62" i="24"/>
  <c r="S62" i="24" s="1"/>
  <c r="T62" i="24" s="1"/>
  <c r="R116" i="24"/>
  <c r="S116" i="24" s="1"/>
  <c r="T116" i="24" s="1"/>
  <c r="R172" i="24"/>
  <c r="S172" i="24" s="1"/>
  <c r="T172" i="24" s="1"/>
  <c r="R272" i="24"/>
  <c r="S272" i="24" s="1"/>
  <c r="T272" i="24" s="1"/>
  <c r="R288" i="24"/>
  <c r="S288" i="24" s="1"/>
  <c r="T288" i="24" s="1"/>
  <c r="R304" i="24"/>
  <c r="S304" i="24" s="1"/>
  <c r="T304" i="24" s="1"/>
  <c r="R320" i="24"/>
  <c r="S320" i="24" s="1"/>
  <c r="T320" i="24" s="1"/>
  <c r="R397" i="24"/>
  <c r="S397" i="24" s="1"/>
  <c r="T397" i="24" s="1"/>
  <c r="R408" i="24"/>
  <c r="S408" i="24" s="1"/>
  <c r="T408" i="24" s="1"/>
  <c r="R9" i="24"/>
  <c r="S9" i="24" s="1"/>
  <c r="T9" i="24" s="1"/>
  <c r="R146" i="24"/>
  <c r="S146" i="24" s="1"/>
  <c r="T146" i="24" s="1"/>
  <c r="R159" i="24"/>
  <c r="S159" i="24" s="1"/>
  <c r="T159" i="24" s="1"/>
  <c r="R163" i="24"/>
  <c r="S163" i="24" s="1"/>
  <c r="T163" i="24" s="1"/>
  <c r="R181" i="24"/>
  <c r="S181" i="24" s="1"/>
  <c r="T181" i="24" s="1"/>
  <c r="R14" i="24"/>
  <c r="S14" i="24" s="1"/>
  <c r="T14" i="24" s="1"/>
  <c r="R18" i="24"/>
  <c r="S18" i="24" s="1"/>
  <c r="T18" i="24" s="1"/>
  <c r="R63" i="24"/>
  <c r="S63" i="24" s="1"/>
  <c r="T63" i="24" s="1"/>
  <c r="R82" i="24"/>
  <c r="S82" i="24" s="1"/>
  <c r="T82" i="24" s="1"/>
  <c r="R100" i="24"/>
  <c r="S100" i="24" s="1"/>
  <c r="T100" i="24" s="1"/>
  <c r="R109" i="24"/>
  <c r="S109" i="24" s="1"/>
  <c r="T109" i="24" s="1"/>
  <c r="R173" i="24"/>
  <c r="S173" i="24" s="1"/>
  <c r="T173" i="24" s="1"/>
  <c r="R236" i="24"/>
  <c r="S236" i="24" s="1"/>
  <c r="T236" i="24" s="1"/>
  <c r="R244" i="24"/>
  <c r="S244" i="24" s="1"/>
  <c r="T244" i="24" s="1"/>
  <c r="R269" i="24"/>
  <c r="S269" i="24" s="1"/>
  <c r="T269" i="24" s="1"/>
  <c r="R273" i="24"/>
  <c r="S273" i="24" s="1"/>
  <c r="T273" i="24" s="1"/>
  <c r="R285" i="24"/>
  <c r="S285" i="24" s="1"/>
  <c r="T285" i="24" s="1"/>
  <c r="R309" i="24"/>
  <c r="S309" i="24" s="1"/>
  <c r="T309" i="24" s="1"/>
  <c r="R398" i="24"/>
  <c r="S398" i="24" s="1"/>
  <c r="T398" i="24" s="1"/>
  <c r="R431" i="24"/>
  <c r="S431" i="24" s="1"/>
  <c r="T431" i="24" s="1"/>
  <c r="R473" i="24"/>
  <c r="S473" i="24" s="1"/>
  <c r="T473" i="24" s="1"/>
  <c r="R531" i="24"/>
  <c r="S531" i="24" s="1"/>
  <c r="T531" i="24" s="1"/>
  <c r="R536" i="24"/>
  <c r="S536" i="24" s="1"/>
  <c r="T536" i="24" s="1"/>
  <c r="R569" i="24"/>
  <c r="S569" i="24" s="1"/>
  <c r="T569" i="24" s="1"/>
  <c r="R586" i="24"/>
  <c r="S586" i="24" s="1"/>
  <c r="T586" i="24" s="1"/>
  <c r="R595" i="24"/>
  <c r="S595" i="24" s="1"/>
  <c r="T595" i="24" s="1"/>
  <c r="R158" i="24"/>
  <c r="S158" i="24" s="1"/>
  <c r="T158" i="24" s="1"/>
  <c r="R348" i="24"/>
  <c r="S348" i="24" s="1"/>
  <c r="T348" i="24" s="1"/>
  <c r="R487" i="24"/>
  <c r="R353" i="24"/>
  <c r="S353" i="24" s="1"/>
  <c r="T353" i="24" s="1"/>
  <c r="R175" i="24"/>
  <c r="S175" i="24" s="1"/>
  <c r="T175" i="24" s="1"/>
  <c r="R234" i="24"/>
  <c r="S234" i="24" s="1"/>
  <c r="T234" i="24" s="1"/>
  <c r="R289" i="24"/>
  <c r="S289" i="24" s="1"/>
  <c r="T289" i="24" s="1"/>
  <c r="R305" i="24"/>
  <c r="S305" i="24" s="1"/>
  <c r="T305" i="24" s="1"/>
  <c r="R325" i="24"/>
  <c r="S325" i="24" s="1"/>
  <c r="T325" i="24" s="1"/>
  <c r="R490" i="24"/>
  <c r="S490" i="24" s="1"/>
  <c r="T490" i="24" s="1"/>
  <c r="R51" i="24"/>
  <c r="S51" i="24" s="1"/>
  <c r="T51" i="24" s="1"/>
  <c r="R60" i="24"/>
  <c r="S60" i="24" s="1"/>
  <c r="T60" i="24" s="1"/>
  <c r="R114" i="24"/>
  <c r="S114" i="24" s="1"/>
  <c r="T114" i="24" s="1"/>
  <c r="R139" i="24"/>
  <c r="S139" i="24" s="1"/>
  <c r="T139" i="24" s="1"/>
  <c r="R165" i="24"/>
  <c r="S165" i="24" s="1"/>
  <c r="T165" i="24" s="1"/>
  <c r="R174" i="24"/>
  <c r="S174" i="24" s="1"/>
  <c r="T174" i="24" s="1"/>
  <c r="R178" i="24"/>
  <c r="S178" i="24" s="1"/>
  <c r="T178" i="24" s="1"/>
  <c r="R187" i="24"/>
  <c r="S187" i="24" s="1"/>
  <c r="T187" i="24" s="1"/>
  <c r="R191" i="24"/>
  <c r="S191" i="24" s="1"/>
  <c r="T191" i="24" s="1"/>
  <c r="R237" i="24"/>
  <c r="S237" i="24" s="1"/>
  <c r="T237" i="24" s="1"/>
  <c r="R270" i="24"/>
  <c r="S270" i="24" s="1"/>
  <c r="T270" i="24" s="1"/>
  <c r="R282" i="24"/>
  <c r="S282" i="24" s="1"/>
  <c r="T282" i="24" s="1"/>
  <c r="R290" i="24"/>
  <c r="S290" i="24" s="1"/>
  <c r="T290" i="24" s="1"/>
  <c r="R294" i="24"/>
  <c r="S294" i="24" s="1"/>
  <c r="T294" i="24" s="1"/>
  <c r="R302" i="24"/>
  <c r="S302" i="24" s="1"/>
  <c r="T302" i="24" s="1"/>
  <c r="R310" i="24"/>
  <c r="S310" i="24" s="1"/>
  <c r="T310" i="24" s="1"/>
  <c r="R318" i="24"/>
  <c r="S318" i="24" s="1"/>
  <c r="T318" i="24" s="1"/>
  <c r="R322" i="24"/>
  <c r="S322" i="24" s="1"/>
  <c r="T322" i="24" s="1"/>
  <c r="R421" i="24"/>
  <c r="S421" i="24" s="1"/>
  <c r="T421" i="24" s="1"/>
  <c r="R445" i="24"/>
  <c r="S445" i="24" s="1"/>
  <c r="T445" i="24" s="1"/>
  <c r="R266" i="24"/>
  <c r="S266" i="24" s="1"/>
  <c r="T266" i="24" s="1"/>
  <c r="R339" i="24"/>
  <c r="S339" i="24" s="1"/>
  <c r="T339" i="24" s="1"/>
  <c r="R347" i="24"/>
  <c r="S347" i="24" s="1"/>
  <c r="T347" i="24" s="1"/>
  <c r="R381" i="24"/>
  <c r="R458" i="24"/>
  <c r="S458" i="24" s="1"/>
  <c r="T458" i="24" s="1"/>
  <c r="R462" i="24"/>
  <c r="S462" i="24" s="1"/>
  <c r="T462" i="24" s="1"/>
  <c r="R503" i="24"/>
  <c r="S503" i="24" s="1"/>
  <c r="T503" i="24" s="1"/>
  <c r="R575" i="24"/>
  <c r="S575" i="24" s="1"/>
  <c r="T575" i="24" s="1"/>
  <c r="R64" i="24"/>
  <c r="R106" i="24"/>
  <c r="S106" i="24" s="1"/>
  <c r="T106" i="24" s="1"/>
  <c r="R199" i="24"/>
  <c r="S199" i="24" s="1"/>
  <c r="T199" i="24" s="1"/>
  <c r="R330" i="24"/>
  <c r="S330" i="24" s="1"/>
  <c r="T330" i="24" s="1"/>
  <c r="R437" i="24"/>
  <c r="S437" i="24" s="1"/>
  <c r="T437" i="24" s="1"/>
  <c r="R478" i="24"/>
  <c r="S478" i="24" s="1"/>
  <c r="T478" i="24" s="1"/>
  <c r="R507" i="24"/>
  <c r="S507" i="24" s="1"/>
  <c r="T507" i="24" s="1"/>
  <c r="R515" i="24"/>
  <c r="S515" i="24" s="1"/>
  <c r="T515" i="24" s="1"/>
  <c r="R545" i="24"/>
  <c r="S545" i="24" s="1"/>
  <c r="T545" i="24" s="1"/>
  <c r="R123" i="24"/>
  <c r="S123" i="24" s="1"/>
  <c r="T123" i="24" s="1"/>
  <c r="R127" i="24"/>
  <c r="S127" i="24" s="1"/>
  <c r="T127" i="24" s="1"/>
  <c r="R131" i="24"/>
  <c r="S131" i="24" s="1"/>
  <c r="T131" i="24" s="1"/>
  <c r="R153" i="24"/>
  <c r="S153" i="24" s="1"/>
  <c r="T153" i="24" s="1"/>
  <c r="R157" i="24"/>
  <c r="S157" i="24" s="1"/>
  <c r="T157" i="24" s="1"/>
  <c r="R161" i="24"/>
  <c r="S161" i="24" s="1"/>
  <c r="T161" i="24" s="1"/>
  <c r="R363" i="24"/>
  <c r="S363" i="24" s="1"/>
  <c r="T363" i="24" s="1"/>
  <c r="R38" i="24"/>
  <c r="S38" i="24" s="1"/>
  <c r="T38" i="24" s="1"/>
  <c r="R61" i="24"/>
  <c r="S61" i="24" s="1"/>
  <c r="T61" i="24" s="1"/>
  <c r="R70" i="24"/>
  <c r="S70" i="24" s="1"/>
  <c r="T70" i="24" s="1"/>
  <c r="R80" i="24"/>
  <c r="S80" i="24" s="1"/>
  <c r="T80" i="24" s="1"/>
  <c r="R107" i="24"/>
  <c r="S107" i="24" s="1"/>
  <c r="T107" i="24" s="1"/>
  <c r="R111" i="24"/>
  <c r="S111" i="24" s="1"/>
  <c r="T111" i="24" s="1"/>
  <c r="R115" i="24"/>
  <c r="S115" i="24" s="1"/>
  <c r="T115" i="24" s="1"/>
  <c r="R136" i="24"/>
  <c r="S136" i="24" s="1"/>
  <c r="T136" i="24" s="1"/>
  <c r="R192" i="24"/>
  <c r="S192" i="24" s="1"/>
  <c r="T192" i="24" s="1"/>
  <c r="R196" i="24"/>
  <c r="S196" i="24" s="1"/>
  <c r="T196" i="24" s="1"/>
  <c r="R238" i="24"/>
  <c r="S238" i="24" s="1"/>
  <c r="T238" i="24" s="1"/>
  <c r="R246" i="24"/>
  <c r="S246" i="24" s="1"/>
  <c r="T246" i="24" s="1"/>
  <c r="R250" i="24"/>
  <c r="S250" i="24" s="1"/>
  <c r="T250" i="24" s="1"/>
  <c r="R271" i="24"/>
  <c r="S271" i="24" s="1"/>
  <c r="T271" i="24" s="1"/>
  <c r="R275" i="24"/>
  <c r="S275" i="24" s="1"/>
  <c r="T275" i="24" s="1"/>
  <c r="R287" i="24"/>
  <c r="S287" i="24" s="1"/>
  <c r="T287" i="24" s="1"/>
  <c r="R295" i="24"/>
  <c r="S295" i="24" s="1"/>
  <c r="T295" i="24" s="1"/>
  <c r="R299" i="24"/>
  <c r="S299" i="24" s="1"/>
  <c r="T299" i="24" s="1"/>
  <c r="R303" i="24"/>
  <c r="S303" i="24" s="1"/>
  <c r="T303" i="24" s="1"/>
  <c r="R319" i="24"/>
  <c r="S319" i="24" s="1"/>
  <c r="T319" i="24" s="1"/>
  <c r="R327" i="24"/>
  <c r="S327" i="24" s="1"/>
  <c r="T327" i="24" s="1"/>
  <c r="R331" i="24"/>
  <c r="S331" i="24" s="1"/>
  <c r="T331" i="24" s="1"/>
  <c r="R387" i="24"/>
  <c r="S387" i="24" s="1"/>
  <c r="T387" i="24" s="1"/>
  <c r="R392" i="24"/>
  <c r="S392" i="24" s="1"/>
  <c r="T392" i="24" s="1"/>
  <c r="R433" i="24"/>
  <c r="R467" i="24"/>
  <c r="S467" i="24" s="1"/>
  <c r="T467" i="24" s="1"/>
  <c r="R471" i="24"/>
  <c r="S471" i="24" s="1"/>
  <c r="T471" i="24" s="1"/>
  <c r="R512" i="24"/>
  <c r="S512" i="24" s="1"/>
  <c r="T512" i="24" s="1"/>
  <c r="R516" i="24"/>
  <c r="S516" i="24" s="1"/>
  <c r="T516" i="24" s="1"/>
  <c r="R520" i="24"/>
  <c r="S520" i="24" s="1"/>
  <c r="T520" i="24" s="1"/>
  <c r="R524" i="24"/>
  <c r="S524" i="24" s="1"/>
  <c r="T524" i="24" s="1"/>
  <c r="R580" i="24"/>
  <c r="S580" i="24" s="1"/>
  <c r="T580" i="24" s="1"/>
  <c r="R577" i="24" s="1"/>
  <c r="S577" i="24" s="1"/>
  <c r="T577" i="24" s="1"/>
  <c r="R576" i="24" s="1"/>
  <c r="S576" i="24" s="1"/>
  <c r="T576" i="24" s="1"/>
  <c r="R574" i="24" s="1"/>
  <c r="S574" i="24" s="1"/>
  <c r="T574" i="24" s="1"/>
  <c r="R570" i="24" s="1"/>
  <c r="S570" i="24" s="1"/>
  <c r="T570" i="24" s="1"/>
  <c r="R534" i="24" s="1"/>
  <c r="S534" i="24" s="1"/>
  <c r="T534" i="24" s="1"/>
  <c r="R528" i="24" s="1"/>
  <c r="S528" i="24" s="1"/>
  <c r="T528" i="24" s="1"/>
  <c r="R527" i="24" s="1"/>
  <c r="S527" i="24" s="1"/>
  <c r="T527" i="24" s="1"/>
  <c r="R525" i="24" s="1"/>
  <c r="S525" i="24" s="1"/>
  <c r="T525" i="24" s="1"/>
  <c r="R523" i="24" s="1"/>
  <c r="S523" i="24" s="1"/>
  <c r="T523" i="24" s="1"/>
  <c r="R521" i="24" s="1"/>
  <c r="S521" i="24" s="1"/>
  <c r="T521" i="24" s="1"/>
  <c r="R518" i="24" s="1"/>
  <c r="S518" i="24" s="1"/>
  <c r="T518" i="24" s="1"/>
  <c r="R513" i="24" s="1"/>
  <c r="S513" i="24" s="1"/>
  <c r="T513" i="24" s="1"/>
  <c r="R511" i="24" s="1"/>
  <c r="S511" i="24" s="1"/>
  <c r="T511" i="24" s="1"/>
  <c r="R497" i="24" s="1"/>
  <c r="S497" i="24" s="1"/>
  <c r="T497" i="24" s="1"/>
  <c r="R495" i="24" s="1"/>
  <c r="S495" i="24" s="1"/>
  <c r="T495" i="24" s="1"/>
  <c r="R492" i="24" s="1"/>
  <c r="S492" i="24" s="1"/>
  <c r="T492" i="24" s="1"/>
  <c r="R481" i="24" s="1"/>
  <c r="A481" i="24" s="1"/>
  <c r="R420" i="24"/>
  <c r="A420" i="24" s="1"/>
  <c r="R443" i="24"/>
  <c r="S443" i="24" s="1"/>
  <c r="T443" i="24" s="1"/>
  <c r="R447" i="24"/>
  <c r="S447" i="24" s="1"/>
  <c r="T447" i="24" s="1"/>
  <c r="R468" i="24"/>
  <c r="S468" i="24" s="1"/>
  <c r="T468" i="24" s="1"/>
  <c r="R509" i="24"/>
  <c r="S509" i="24" s="1"/>
  <c r="T509" i="24" s="1"/>
  <c r="R517" i="24"/>
  <c r="S517" i="24" s="1"/>
  <c r="T517" i="24" s="1"/>
  <c r="R93" i="24"/>
  <c r="A93" i="24" s="1"/>
  <c r="R255" i="24"/>
  <c r="R263" i="24"/>
  <c r="S263" i="24" s="1"/>
  <c r="T263" i="24" s="1"/>
  <c r="R340" i="24"/>
  <c r="S340" i="24" s="1"/>
  <c r="T340" i="24" s="1"/>
  <c r="R360" i="24"/>
  <c r="S360" i="24" s="1"/>
  <c r="T360" i="24" s="1"/>
  <c r="R377" i="24"/>
  <c r="S377" i="24" s="1"/>
  <c r="T377" i="24" s="1"/>
  <c r="R455" i="24"/>
  <c r="S455" i="24" s="1"/>
  <c r="T455" i="24" s="1"/>
  <c r="R484" i="24"/>
  <c r="S484" i="24" s="1"/>
  <c r="T484" i="24" s="1"/>
  <c r="R529" i="24"/>
  <c r="S529" i="24" s="1"/>
  <c r="T529" i="24" s="1"/>
  <c r="R39" i="24"/>
  <c r="S39" i="24" s="1"/>
  <c r="T39" i="24" s="1"/>
  <c r="R71" i="24"/>
  <c r="S71" i="24" s="1"/>
  <c r="T71" i="24" s="1"/>
  <c r="R81" i="24"/>
  <c r="S81" i="24" s="1"/>
  <c r="T81" i="24" s="1"/>
  <c r="R108" i="24"/>
  <c r="S108" i="24" s="1"/>
  <c r="T108" i="24" s="1"/>
  <c r="R167" i="24"/>
  <c r="S167" i="24" s="1"/>
  <c r="T167" i="24" s="1"/>
  <c r="R214" i="24"/>
  <c r="S214" i="24" s="1"/>
  <c r="T214" i="24" s="1"/>
  <c r="R5" i="24"/>
  <c r="S5" i="24" s="1"/>
  <c r="T5" i="24" s="1"/>
  <c r="R121" i="24"/>
  <c r="S121" i="24" s="1"/>
  <c r="T121" i="24" s="1"/>
  <c r="R129" i="24"/>
  <c r="S129" i="24" s="1"/>
  <c r="T129" i="24" s="1"/>
  <c r="R227" i="24"/>
  <c r="S227" i="24" s="1"/>
  <c r="T227" i="24" s="1"/>
  <c r="R231" i="24"/>
  <c r="S231" i="24" s="1"/>
  <c r="T231" i="24" s="1"/>
  <c r="R256" i="24"/>
  <c r="S256" i="24" s="1"/>
  <c r="T256" i="24" s="1"/>
  <c r="R341" i="24"/>
  <c r="S341" i="24" s="1"/>
  <c r="T341" i="24" s="1"/>
  <c r="R369" i="24"/>
  <c r="S369" i="24" s="1"/>
  <c r="T369" i="24" s="1"/>
  <c r="R378" i="24"/>
  <c r="S378" i="24" s="1"/>
  <c r="T378" i="24" s="1"/>
  <c r="R485" i="24"/>
  <c r="R489" i="24"/>
  <c r="S489" i="24" s="1"/>
  <c r="T489" i="24" s="1"/>
  <c r="R493" i="24"/>
  <c r="R501" i="24"/>
  <c r="S501" i="24" s="1"/>
  <c r="T501" i="24" s="1"/>
  <c r="R581" i="24"/>
  <c r="S581" i="24" s="1"/>
  <c r="T581" i="24" s="1"/>
  <c r="R585" i="24"/>
  <c r="S585" i="24" s="1"/>
  <c r="T585" i="24" s="1"/>
  <c r="R8" i="24"/>
  <c r="S8" i="24" s="1"/>
  <c r="T8" i="24" s="1"/>
  <c r="R124" i="24"/>
  <c r="S124" i="24" s="1"/>
  <c r="T124" i="24" s="1"/>
  <c r="R162" i="24"/>
  <c r="S162" i="24" s="1"/>
  <c r="T162" i="24" s="1"/>
  <c r="R180" i="24"/>
  <c r="S180" i="24" s="1"/>
  <c r="T180" i="24" s="1"/>
  <c r="R222" i="24"/>
  <c r="S222" i="24" s="1"/>
  <c r="T222" i="24" s="1"/>
  <c r="R451" i="24"/>
  <c r="S451" i="24" s="1"/>
  <c r="T451" i="24" s="1"/>
  <c r="R500" i="24"/>
  <c r="S500" i="24" s="1"/>
  <c r="T500" i="24" s="1"/>
  <c r="R137" i="24"/>
  <c r="S137" i="24" s="1"/>
  <c r="T137" i="24" s="1"/>
  <c r="R150" i="24"/>
  <c r="S150" i="24" s="1"/>
  <c r="T150" i="24" s="1"/>
  <c r="R176" i="24"/>
  <c r="S176" i="24" s="1"/>
  <c r="T176" i="24" s="1"/>
  <c r="R210" i="24"/>
  <c r="S210" i="24" s="1"/>
  <c r="T210" i="24" s="1"/>
  <c r="R243" i="24"/>
  <c r="S243" i="24" s="1"/>
  <c r="T243" i="24" s="1"/>
  <c r="R292" i="24"/>
  <c r="S292" i="24" s="1"/>
  <c r="T292" i="24" s="1"/>
  <c r="R23" i="24"/>
  <c r="S23" i="24" s="1"/>
  <c r="T23" i="24" s="1"/>
  <c r="R32" i="24"/>
  <c r="S32" i="24" s="1"/>
  <c r="T32" i="24" s="1"/>
  <c r="R40" i="24"/>
  <c r="S40" i="24" s="1"/>
  <c r="T40" i="24" s="1"/>
  <c r="R45" i="24"/>
  <c r="S45" i="24" s="1"/>
  <c r="T45" i="24" s="1"/>
  <c r="R50" i="24"/>
  <c r="S50" i="24" s="1"/>
  <c r="T50" i="24" s="1"/>
  <c r="R113" i="24"/>
  <c r="S113" i="24" s="1"/>
  <c r="T113" i="24" s="1"/>
  <c r="R117" i="24"/>
  <c r="S117" i="24" s="1"/>
  <c r="T117" i="24" s="1"/>
  <c r="R134" i="24"/>
  <c r="S134" i="24" s="1"/>
  <c r="T134" i="24" s="1"/>
  <c r="R142" i="24"/>
  <c r="S142" i="24" s="1"/>
  <c r="T142" i="24" s="1"/>
  <c r="R168" i="24"/>
  <c r="S168" i="24" s="1"/>
  <c r="T168" i="24" s="1"/>
  <c r="R177" i="24"/>
  <c r="S177" i="24" s="1"/>
  <c r="T177" i="24" s="1"/>
  <c r="R186" i="24"/>
  <c r="S186" i="24" s="1"/>
  <c r="T186" i="24" s="1"/>
  <c r="R215" i="24"/>
  <c r="S215" i="24" s="1"/>
  <c r="T215" i="24" s="1"/>
  <c r="R240" i="24"/>
  <c r="S240" i="24" s="1"/>
  <c r="T240" i="24" s="1"/>
  <c r="R248" i="24"/>
  <c r="S248" i="24" s="1"/>
  <c r="T248" i="24" s="1"/>
  <c r="R252" i="24"/>
  <c r="S252" i="24" s="1"/>
  <c r="T252" i="24" s="1"/>
  <c r="R301" i="24"/>
  <c r="S301" i="24" s="1"/>
  <c r="T301" i="24" s="1"/>
  <c r="R313" i="24"/>
  <c r="S313" i="24" s="1"/>
  <c r="T313" i="24" s="1"/>
  <c r="R317" i="24"/>
  <c r="S317" i="24" s="1"/>
  <c r="T317" i="24" s="1"/>
  <c r="R321" i="24"/>
  <c r="S321" i="24" s="1"/>
  <c r="T321" i="24" s="1"/>
  <c r="R329" i="24"/>
  <c r="S329" i="24" s="1"/>
  <c r="T329" i="24" s="1"/>
  <c r="R384" i="24"/>
  <c r="S384" i="24" s="1"/>
  <c r="T384" i="24" s="1"/>
  <c r="R394" i="24"/>
  <c r="S394" i="24" s="1"/>
  <c r="T394" i="24" s="1"/>
  <c r="R404" i="24"/>
  <c r="S404" i="24" s="1"/>
  <c r="T404" i="24" s="1"/>
  <c r="R424" i="24"/>
  <c r="S424" i="24" s="1"/>
  <c r="T424" i="24" s="1"/>
  <c r="R444" i="24"/>
  <c r="S444" i="24" s="1"/>
  <c r="T444" i="24" s="1"/>
  <c r="R448" i="24"/>
  <c r="R469" i="24"/>
  <c r="S469" i="24" s="1"/>
  <c r="T469" i="24" s="1"/>
  <c r="R477" i="24"/>
  <c r="S477" i="24" s="1"/>
  <c r="T477" i="24" s="1"/>
  <c r="R522" i="24"/>
  <c r="S522" i="24" s="1"/>
  <c r="T522" i="24" s="1"/>
  <c r="R556" i="24"/>
  <c r="S556" i="24" s="1"/>
  <c r="T556" i="24" s="1"/>
  <c r="R24" i="24"/>
  <c r="S24" i="24" s="1"/>
  <c r="T24" i="24" s="1"/>
  <c r="R120" i="24"/>
  <c r="S120" i="24" s="1"/>
  <c r="T120" i="24" s="1"/>
  <c r="R584" i="24"/>
  <c r="S584" i="24" s="1"/>
  <c r="T584" i="24" s="1"/>
  <c r="R13" i="24"/>
  <c r="S13" i="24" s="1"/>
  <c r="T13" i="24" s="1"/>
  <c r="R141" i="24"/>
  <c r="S141" i="24" s="1"/>
  <c r="T141" i="24" s="1"/>
  <c r="R197" i="24"/>
  <c r="S197" i="24" s="1"/>
  <c r="T197" i="24" s="1"/>
  <c r="R239" i="24"/>
  <c r="S239" i="24" s="1"/>
  <c r="T239" i="24" s="1"/>
  <c r="R247" i="24"/>
  <c r="S247" i="24" s="1"/>
  <c r="T247" i="24" s="1"/>
  <c r="R284" i="24"/>
  <c r="S284" i="24" s="1"/>
  <c r="T284" i="24" s="1"/>
  <c r="R296" i="24"/>
  <c r="S296" i="24" s="1"/>
  <c r="T296" i="24" s="1"/>
  <c r="R300" i="24"/>
  <c r="S300" i="24" s="1"/>
  <c r="T300" i="24" s="1"/>
  <c r="R316" i="24"/>
  <c r="S316" i="24" s="1"/>
  <c r="T316" i="24" s="1"/>
  <c r="R328" i="24"/>
  <c r="S328" i="24" s="1"/>
  <c r="T328" i="24" s="1"/>
  <c r="R332" i="24"/>
  <c r="S332" i="24" s="1"/>
  <c r="T332" i="24" s="1"/>
  <c r="R393" i="24"/>
  <c r="S393" i="24" s="1"/>
  <c r="T393" i="24" s="1"/>
  <c r="R403" i="24"/>
  <c r="S403" i="24" s="1"/>
  <c r="T403" i="24" s="1"/>
  <c r="R6" i="24"/>
  <c r="S6" i="24" s="1"/>
  <c r="T6" i="24" s="1"/>
  <c r="R122" i="24"/>
  <c r="S122" i="24" s="1"/>
  <c r="T122" i="24" s="1"/>
  <c r="R160" i="24"/>
  <c r="S160" i="24" s="1"/>
  <c r="T160" i="24" s="1"/>
  <c r="R220" i="24"/>
  <c r="S220" i="24" s="1"/>
  <c r="T220" i="24" s="1"/>
  <c r="R224" i="24"/>
  <c r="S224" i="24" s="1"/>
  <c r="T224" i="24" s="1"/>
  <c r="R232" i="24"/>
  <c r="S232" i="24" s="1"/>
  <c r="T232" i="24" s="1"/>
  <c r="R354" i="24"/>
  <c r="S354" i="24" s="1"/>
  <c r="T354" i="24" s="1"/>
  <c r="R358" i="24"/>
  <c r="S358" i="24" s="1"/>
  <c r="T358" i="24" s="1"/>
  <c r="R362" i="24"/>
  <c r="S362" i="24" s="1"/>
  <c r="T362" i="24" s="1"/>
  <c r="R370" i="24"/>
  <c r="S370" i="24" s="1"/>
  <c r="T370" i="24" s="1"/>
  <c r="R375" i="24"/>
  <c r="S375" i="24" s="1"/>
  <c r="T375" i="24" s="1"/>
  <c r="R453" i="24"/>
  <c r="S453" i="24" s="1"/>
  <c r="T453" i="24" s="1"/>
  <c r="R457" i="24"/>
  <c r="S457" i="24" s="1"/>
  <c r="T457" i="24" s="1"/>
  <c r="R461" i="24"/>
  <c r="S461" i="24" s="1"/>
  <c r="T461" i="24" s="1"/>
  <c r="R486" i="24"/>
  <c r="S486" i="24" s="1"/>
  <c r="T486" i="24" s="1"/>
  <c r="R494" i="24"/>
  <c r="S494" i="24" s="1"/>
  <c r="T494" i="24" s="1"/>
  <c r="R498" i="24"/>
  <c r="S498" i="24" s="1"/>
  <c r="T498" i="24" s="1"/>
  <c r="R502" i="24"/>
  <c r="S502" i="24" s="1"/>
  <c r="T502" i="24" s="1"/>
  <c r="R578" i="24"/>
  <c r="S578" i="24" s="1"/>
  <c r="T578" i="24" s="1"/>
  <c r="R582" i="24"/>
  <c r="S582" i="24" s="1"/>
  <c r="T582" i="24" s="1"/>
  <c r="I2" i="23" a="1"/>
  <c r="I2" i="23" s="1"/>
  <c r="H2" i="23" a="1"/>
  <c r="H2" i="23" s="1"/>
  <c r="J2" i="23" a="1"/>
  <c r="J2" i="23" s="1"/>
  <c r="K2" i="23" a="1"/>
  <c r="K2" i="23" s="1"/>
  <c r="A2" i="23" a="1"/>
  <c r="A2" i="23" s="1"/>
  <c r="B2" i="23" a="1"/>
  <c r="B2" i="23" s="1"/>
  <c r="D2" i="23" a="1"/>
  <c r="D2" i="23" s="1"/>
  <c r="F2" i="23" a="1"/>
  <c r="F2" i="23" s="1"/>
  <c r="E2" i="23" a="1"/>
  <c r="E2" i="23" s="1"/>
  <c r="C2" i="23" a="1"/>
  <c r="C2" i="23" s="1"/>
  <c r="G2" i="23" a="1"/>
  <c r="G2" i="23" s="1"/>
  <c r="S433" i="24" l="1"/>
  <c r="T433" i="24" s="1"/>
  <c r="A433" i="24"/>
  <c r="A384" i="24"/>
  <c r="S583" i="24"/>
  <c r="T583" i="24" s="1"/>
  <c r="A490" i="24"/>
  <c r="A163" i="24"/>
  <c r="A543" i="24"/>
  <c r="A152" i="24"/>
  <c r="A147" i="24"/>
  <c r="A566" i="24"/>
  <c r="A431" i="24"/>
  <c r="A213" i="24"/>
  <c r="A326" i="24"/>
  <c r="A491" i="24"/>
  <c r="A101" i="24"/>
  <c r="A290" i="24"/>
  <c r="A142" i="24"/>
  <c r="A224" i="24"/>
  <c r="A39" i="24"/>
  <c r="A202" i="24"/>
  <c r="A441" i="24"/>
  <c r="A545" i="24"/>
  <c r="A159" i="24"/>
  <c r="A496" i="24"/>
  <c r="A452" i="24"/>
  <c r="A300" i="24"/>
  <c r="A552" i="24"/>
  <c r="A454" i="24"/>
  <c r="A171" i="24"/>
  <c r="A198" i="24"/>
  <c r="A548" i="24"/>
  <c r="A272" i="24"/>
  <c r="A499" i="24"/>
  <c r="A322" i="24"/>
  <c r="A194" i="24"/>
  <c r="A187" i="24"/>
  <c r="A549" i="24"/>
  <c r="A327" i="24"/>
  <c r="A294" i="24"/>
  <c r="A228" i="24"/>
  <c r="A593" i="24"/>
  <c r="A578" i="24"/>
  <c r="A494" i="24"/>
  <c r="A215" i="24"/>
  <c r="A168" i="24"/>
  <c r="A462" i="24"/>
  <c r="A205" i="24"/>
  <c r="A560" i="24"/>
  <c r="A514" i="24"/>
  <c r="A387" i="24"/>
  <c r="A305" i="24"/>
  <c r="A273" i="24"/>
  <c r="A121" i="24"/>
  <c r="A517" i="24"/>
  <c r="A230" i="24"/>
  <c r="A482" i="24"/>
  <c r="A535" i="24"/>
  <c r="A375" i="24"/>
  <c r="A239" i="24"/>
  <c r="A172" i="24"/>
  <c r="A52" i="24"/>
  <c r="A580" i="24"/>
  <c r="A24" i="24"/>
  <c r="A473" i="24"/>
  <c r="A165" i="24"/>
  <c r="A192" i="24"/>
  <c r="A554" i="24"/>
  <c r="A287" i="24"/>
  <c r="A377" i="24"/>
  <c r="A70" i="24"/>
  <c r="A404" i="24"/>
  <c r="A127" i="24"/>
  <c r="A237" i="24"/>
  <c r="A556" i="24"/>
  <c r="A510" i="24"/>
  <c r="A442" i="24"/>
  <c r="A301" i="24"/>
  <c r="A269" i="24"/>
  <c r="A181" i="24"/>
  <c r="A21" i="24"/>
  <c r="A488" i="24"/>
  <c r="A466" i="24"/>
  <c r="A530" i="24"/>
  <c r="A370" i="24"/>
  <c r="A214" i="24"/>
  <c r="A167" i="24"/>
  <c r="A513" i="24"/>
  <c r="A234" i="24"/>
  <c r="A538" i="24"/>
  <c r="A263" i="24"/>
  <c r="A394" i="24"/>
  <c r="A575" i="24"/>
  <c r="A245" i="24"/>
  <c r="A558" i="24"/>
  <c r="A208" i="24"/>
  <c r="A372" i="24"/>
  <c r="A118" i="24"/>
  <c r="A524" i="24"/>
  <c r="A275" i="24"/>
  <c r="A74" i="24"/>
  <c r="A55" i="24"/>
  <c r="A328" i="24"/>
  <c r="A2" i="24"/>
  <c r="A591" i="24"/>
  <c r="A541" i="24"/>
  <c r="A456" i="24"/>
  <c r="A408" i="24"/>
  <c r="A318" i="24"/>
  <c r="A220" i="24"/>
  <c r="A551" i="24"/>
  <c r="A569" i="24"/>
  <c r="A476" i="24"/>
  <c r="A82" i="24"/>
  <c r="A180" i="24"/>
  <c r="A449" i="24"/>
  <c r="A506" i="24"/>
  <c r="A330" i="24"/>
  <c r="A231" i="24"/>
  <c r="A8" i="24"/>
  <c r="A445" i="24"/>
  <c r="A162" i="24"/>
  <c r="A378" i="24"/>
  <c r="A501" i="24"/>
  <c r="A210" i="24"/>
  <c r="A150" i="24"/>
  <c r="A81" i="24"/>
  <c r="A38" i="24"/>
  <c r="A201" i="24"/>
  <c r="A500" i="24"/>
  <c r="A246" i="24"/>
  <c r="A592" i="24"/>
  <c r="A319" i="24"/>
  <c r="A570" i="24"/>
  <c r="A174" i="24"/>
  <c r="A184" i="24"/>
  <c r="A520" i="24"/>
  <c r="A157" i="24"/>
  <c r="A360" i="24"/>
  <c r="A140" i="24"/>
  <c r="A508" i="24"/>
  <c r="A221" i="24"/>
  <c r="A340" i="24"/>
  <c r="A45" i="24"/>
  <c r="A311" i="24"/>
  <c r="A579" i="24"/>
  <c r="A523" i="24"/>
  <c r="A403" i="24"/>
  <c r="A282" i="24"/>
  <c r="A122" i="24"/>
  <c r="A525" i="24"/>
  <c r="A222" i="24"/>
  <c r="A536" i="24"/>
  <c r="A355" i="24"/>
  <c r="A252" i="24"/>
  <c r="A134" i="24"/>
  <c r="A320" i="24"/>
  <c r="A489" i="24"/>
  <c r="A227" i="24"/>
  <c r="A4" i="24"/>
  <c r="A421" i="24"/>
  <c r="A497" i="24"/>
  <c r="A362" i="24"/>
  <c r="A197" i="24"/>
  <c r="A141" i="24"/>
  <c r="A432" i="24"/>
  <c r="A154" i="24"/>
  <c r="A478" i="24"/>
  <c r="A303" i="24"/>
  <c r="A503" i="24"/>
  <c r="A114" i="24"/>
  <c r="A166" i="24"/>
  <c r="A131" i="24"/>
  <c r="A344" i="24"/>
  <c r="A83" i="24"/>
  <c r="A107" i="24"/>
  <c r="A453" i="24"/>
  <c r="A153" i="24"/>
  <c r="A32" i="24"/>
  <c r="A11" i="24"/>
  <c r="A295" i="24"/>
  <c r="A139" i="24"/>
  <c r="A565" i="24"/>
  <c r="A519" i="24"/>
  <c r="A447" i="24"/>
  <c r="A397" i="24"/>
  <c r="A310" i="24"/>
  <c r="A203" i="24"/>
  <c r="A9" i="24"/>
  <c r="A509" i="24"/>
  <c r="A158" i="24"/>
  <c r="A531" i="24"/>
  <c r="A468" i="24"/>
  <c r="A248" i="24"/>
  <c r="A190" i="24"/>
  <c r="A117" i="24"/>
  <c r="A304" i="24"/>
  <c r="A120" i="24"/>
  <c r="A353" i="24"/>
  <c r="A544" i="24"/>
  <c r="A484" i="24"/>
  <c r="A321" i="24"/>
  <c r="A289" i="24"/>
  <c r="A223" i="24"/>
  <c r="A25" i="24"/>
  <c r="A329" i="24"/>
  <c r="A358" i="24"/>
  <c r="A256" i="24"/>
  <c r="A193" i="24"/>
  <c r="A137" i="24"/>
  <c r="A71" i="24"/>
  <c r="A196" i="24"/>
  <c r="A550" i="24"/>
  <c r="A291" i="24"/>
  <c r="A95" i="24"/>
  <c r="A136" i="24"/>
  <c r="A444" i="24"/>
  <c r="A6" i="24"/>
  <c r="A266" i="24"/>
  <c r="A50" i="24"/>
  <c r="A80" i="24"/>
  <c r="A424" i="24"/>
  <c r="A123" i="24"/>
  <c r="A14" i="24"/>
  <c r="A542" i="24"/>
  <c r="A279" i="24"/>
  <c r="A368" i="24"/>
  <c r="A106" i="24"/>
  <c r="S381" i="24"/>
  <c r="T381" i="24" s="1"/>
  <c r="A561" i="24"/>
  <c r="A515" i="24"/>
  <c r="A443" i="24"/>
  <c r="A393" i="24"/>
  <c r="A306" i="24"/>
  <c r="A160" i="24"/>
  <c r="A5" i="24"/>
  <c r="A437" i="24"/>
  <c r="A124" i="24"/>
  <c r="A527" i="24"/>
  <c r="A464" i="24"/>
  <c r="A347" i="24"/>
  <c r="A244" i="24"/>
  <c r="A186" i="24"/>
  <c r="A113" i="24"/>
  <c r="A62" i="24"/>
  <c r="A555" i="24"/>
  <c r="A292" i="24"/>
  <c r="A576" i="24"/>
  <c r="A341" i="24"/>
  <c r="A540" i="24"/>
  <c r="A317" i="24"/>
  <c r="A285" i="24"/>
  <c r="A219" i="24"/>
  <c r="A146" i="24"/>
  <c r="A316" i="24"/>
  <c r="A584" i="24"/>
  <c r="A585" i="24"/>
  <c r="A475" i="24"/>
  <c r="A354" i="24"/>
  <c r="A189" i="24"/>
  <c r="A116" i="24"/>
  <c r="A16" i="24"/>
  <c r="A325" i="24"/>
  <c r="A369" i="24"/>
  <c r="A175" i="24"/>
  <c r="A546" i="24"/>
  <c r="A271" i="24"/>
  <c r="A241" i="24"/>
  <c r="A51" i="24"/>
  <c r="A398" i="24"/>
  <c r="A587" i="24"/>
  <c r="A195" i="24"/>
  <c r="A188" i="24"/>
  <c r="A516" i="24"/>
  <c r="A348" i="24"/>
  <c r="A63" i="24"/>
  <c r="A574" i="24"/>
  <c r="A363" i="24"/>
  <c r="S448" i="24"/>
  <c r="T448" i="24" s="1"/>
  <c r="A557" i="24"/>
  <c r="A511" i="24"/>
  <c r="A439" i="24"/>
  <c r="A302" i="24"/>
  <c r="A270" i="24"/>
  <c r="A156" i="24"/>
  <c r="A417" i="24"/>
  <c r="A586" i="24"/>
  <c r="A502" i="24"/>
  <c r="A240" i="24"/>
  <c r="A177" i="24"/>
  <c r="A109" i="24"/>
  <c r="A521" i="24"/>
  <c r="A571" i="24"/>
  <c r="A590" i="24"/>
  <c r="A522" i="24"/>
  <c r="A455" i="24"/>
  <c r="A313" i="24"/>
  <c r="A206" i="24"/>
  <c r="A129" i="24"/>
  <c r="A559" i="24"/>
  <c r="A296" i="24"/>
  <c r="A534" i="24"/>
  <c r="A581" i="24"/>
  <c r="A471" i="24"/>
  <c r="A247" i="24"/>
  <c r="A185" i="24"/>
  <c r="A61" i="24"/>
  <c r="A567" i="24"/>
  <c r="A588" i="24"/>
  <c r="A357" i="24"/>
  <c r="A115" i="24"/>
  <c r="A512" i="24"/>
  <c r="A229" i="24"/>
  <c r="A60" i="24"/>
  <c r="A528" i="24"/>
  <c r="A199" i="24"/>
  <c r="A250" i="24"/>
  <c r="A332" i="24"/>
  <c r="A537" i="24"/>
  <c r="A178" i="24"/>
  <c r="A461" i="24"/>
  <c r="A40" i="24"/>
  <c r="A553" i="24"/>
  <c r="A507" i="24"/>
  <c r="A423" i="24"/>
  <c r="A331" i="24"/>
  <c r="A232" i="24"/>
  <c r="A13" i="24"/>
  <c r="A582" i="24"/>
  <c r="A498" i="24"/>
  <c r="A371" i="24"/>
  <c r="A339" i="24"/>
  <c r="A236" i="24"/>
  <c r="A173" i="24"/>
  <c r="A100" i="24"/>
  <c r="A53" i="24"/>
  <c r="A492" i="24"/>
  <c r="A226" i="24"/>
  <c r="A529" i="24"/>
  <c r="A564" i="24"/>
  <c r="A518" i="24"/>
  <c r="A451" i="24"/>
  <c r="A392" i="24"/>
  <c r="A309" i="24"/>
  <c r="A547" i="24"/>
  <c r="A504" i="24"/>
  <c r="A577" i="24"/>
  <c r="A467" i="24"/>
  <c r="A243" i="24"/>
  <c r="A176" i="24"/>
  <c r="A108" i="24"/>
  <c r="A563" i="24"/>
  <c r="A288" i="24"/>
  <c r="A349" i="24"/>
  <c r="A75" i="24"/>
  <c r="A457" i="24"/>
  <c r="A204" i="24"/>
  <c r="A18" i="24"/>
  <c r="A495" i="24"/>
  <c r="A183" i="24"/>
  <c r="A238" i="24"/>
  <c r="A15" i="24"/>
  <c r="A469" i="24"/>
  <c r="A135" i="24"/>
  <c r="A111" i="24"/>
  <c r="A161" i="24"/>
  <c r="A253" i="24"/>
  <c r="A23" i="24"/>
  <c r="S493" i="24"/>
  <c r="T493" i="24" s="1"/>
  <c r="S487" i="24"/>
  <c r="T487" i="24" s="1"/>
  <c r="S485" i="24"/>
  <c r="T485" i="24" s="1"/>
  <c r="S255" i="24"/>
  <c r="T255" i="24" s="1"/>
  <c r="S182" i="24"/>
  <c r="T182" i="24" s="1"/>
  <c r="R155" i="24" s="1"/>
  <c r="S64" i="24"/>
  <c r="T64" i="24" s="1"/>
  <c r="A64" i="24"/>
  <c r="D6" i="21" a="1"/>
  <c r="D6" i="21" s="1"/>
  <c r="C8" i="21" a="1"/>
  <c r="C8" i="21" s="1"/>
  <c r="B9" i="21" a="1"/>
  <c r="B9" i="21" s="1"/>
  <c r="S422" i="24"/>
  <c r="T422" i="24" s="1"/>
  <c r="R419" i="24"/>
  <c r="A419" i="24" s="1"/>
  <c r="S420" i="24"/>
  <c r="T420" i="24" s="1"/>
  <c r="R480" i="24"/>
  <c r="S481" i="24"/>
  <c r="T481" i="24" s="1"/>
  <c r="C7" i="21" a="1"/>
  <c r="C7" i="21" s="1"/>
  <c r="R92" i="24"/>
  <c r="A92" i="24" s="1"/>
  <c r="S93" i="24"/>
  <c r="T93" i="24" s="1"/>
  <c r="A493" i="24" l="1"/>
  <c r="A487" i="24"/>
  <c r="A255" i="24"/>
  <c r="A448" i="24"/>
  <c r="A182" i="24"/>
  <c r="S480" i="24"/>
  <c r="T480" i="24" s="1"/>
  <c r="R479" i="24" s="1"/>
  <c r="S155" i="24"/>
  <c r="T155" i="24" s="1"/>
  <c r="R149" i="24" s="1"/>
  <c r="A485" i="24"/>
  <c r="A381" i="24"/>
  <c r="D7" i="21" a="1"/>
  <c r="D7" i="21" s="1"/>
  <c r="B10" i="21" a="1"/>
  <c r="B10" i="21" s="1"/>
  <c r="C9" i="21" a="1"/>
  <c r="C9" i="21" s="1"/>
  <c r="D8" i="21" a="1"/>
  <c r="D8" i="21" s="1"/>
  <c r="R418" i="24"/>
  <c r="A418" i="24" s="1"/>
  <c r="S419" i="24"/>
  <c r="T419" i="24" s="1"/>
  <c r="R87" i="24"/>
  <c r="A87" i="24" s="1"/>
  <c r="S92" i="24"/>
  <c r="T92" i="24" s="1"/>
  <c r="A480" i="24" l="1"/>
  <c r="A155" i="24"/>
  <c r="S149" i="24"/>
  <c r="T149" i="24" s="1"/>
  <c r="R145" i="24" s="1"/>
  <c r="S479" i="24"/>
  <c r="T479" i="24" s="1"/>
  <c r="R474" i="24" s="1"/>
  <c r="D9" i="21" a="1"/>
  <c r="D9" i="21" s="1"/>
  <c r="C10" i="21" a="1"/>
  <c r="C10" i="21" s="1"/>
  <c r="B11" i="21" a="1"/>
  <c r="R86" i="24"/>
  <c r="A86" i="24" s="1"/>
  <c r="S87" i="24"/>
  <c r="T87" i="24" s="1"/>
  <c r="R414" i="24"/>
  <c r="A414" i="24" s="1"/>
  <c r="S418" i="24"/>
  <c r="T418" i="24" s="1"/>
  <c r="A479" i="24" l="1"/>
  <c r="A149" i="24"/>
  <c r="S474" i="24"/>
  <c r="T474" i="24" s="1"/>
  <c r="R472" i="24" s="1"/>
  <c r="S145" i="24"/>
  <c r="T145" i="24" s="1"/>
  <c r="R144" i="24" s="1"/>
  <c r="D10" i="21" a="1"/>
  <c r="D10" i="21" s="1"/>
  <c r="B11" i="21"/>
  <c r="R413" i="24"/>
  <c r="A413" i="24" s="1"/>
  <c r="S414" i="24"/>
  <c r="T414" i="24" s="1"/>
  <c r="R77" i="24"/>
  <c r="A77" i="24" s="1"/>
  <c r="S86" i="24"/>
  <c r="T86" i="24" s="1"/>
  <c r="A145" i="24" l="1"/>
  <c r="A474" i="24"/>
  <c r="S144" i="24"/>
  <c r="T144" i="24" s="1"/>
  <c r="R138" i="24" s="1"/>
  <c r="S472" i="24"/>
  <c r="T472" i="24" s="1"/>
  <c r="R470" i="24" s="1"/>
  <c r="B12" i="21" a="1"/>
  <c r="B12" i="21" s="1"/>
  <c r="C11" i="21" a="1"/>
  <c r="C11" i="21" s="1"/>
  <c r="R76" i="24"/>
  <c r="A76" i="24" s="1"/>
  <c r="S77" i="24"/>
  <c r="T77" i="24" s="1"/>
  <c r="R407" i="24"/>
  <c r="S413" i="24"/>
  <c r="T413" i="24" s="1"/>
  <c r="A472" i="24" l="1"/>
  <c r="A144" i="24"/>
  <c r="S470" i="24"/>
  <c r="T470" i="24" s="1"/>
  <c r="R465" i="24" s="1"/>
  <c r="S407" i="24"/>
  <c r="T407" i="24" s="1"/>
  <c r="R396" i="24" s="1"/>
  <c r="S138" i="24"/>
  <c r="T138" i="24" s="1"/>
  <c r="R132" i="24" s="1"/>
  <c r="D11" i="21" a="1"/>
  <c r="D11" i="21" s="1"/>
  <c r="C12" i="21" a="1"/>
  <c r="C12" i="21" s="1"/>
  <c r="B13" i="21" a="1"/>
  <c r="B13" i="21" s="1"/>
  <c r="R67" i="24"/>
  <c r="A67" i="24" s="1"/>
  <c r="S76" i="24"/>
  <c r="T76" i="24" s="1"/>
  <c r="R367" i="24"/>
  <c r="A367" i="24" s="1"/>
  <c r="A407" i="24" l="1"/>
  <c r="A138" i="24"/>
  <c r="A470" i="24"/>
  <c r="S396" i="24"/>
  <c r="T396" i="24" s="1"/>
  <c r="R395" i="24" s="1"/>
  <c r="S132" i="24"/>
  <c r="T132" i="24" s="1"/>
  <c r="R130" i="24" s="1"/>
  <c r="S465" i="24"/>
  <c r="T465" i="24" s="1"/>
  <c r="R460" i="24" s="1"/>
  <c r="B14" i="21" a="1"/>
  <c r="B14" i="21" s="1"/>
  <c r="C13" i="21" a="1"/>
  <c r="C13" i="21" s="1"/>
  <c r="D12" i="21" a="1"/>
  <c r="D12" i="21" s="1"/>
  <c r="R66" i="24"/>
  <c r="A66" i="24" s="1"/>
  <c r="S67" i="24"/>
  <c r="T67" i="24" s="1"/>
  <c r="R366" i="24"/>
  <c r="S367" i="24"/>
  <c r="T367" i="24" s="1"/>
  <c r="A132" i="24" l="1"/>
  <c r="A465" i="24"/>
  <c r="A396" i="24"/>
  <c r="S460" i="24"/>
  <c r="T460" i="24" s="1"/>
  <c r="R459" i="24" s="1"/>
  <c r="S366" i="24"/>
  <c r="T366" i="24" s="1"/>
  <c r="R365" i="24" s="1"/>
  <c r="S130" i="24"/>
  <c r="T130" i="24" s="1"/>
  <c r="R128" i="24" s="1"/>
  <c r="S395" i="24"/>
  <c r="T395" i="24" s="1"/>
  <c r="R391" i="24" s="1"/>
  <c r="D13" i="21" a="1"/>
  <c r="D13" i="21" s="1"/>
  <c r="C14" i="21" a="1"/>
  <c r="B15" i="21" a="1"/>
  <c r="B15" i="21" s="1"/>
  <c r="R65" i="24"/>
  <c r="S66" i="24"/>
  <c r="T66" i="24" s="1"/>
  <c r="R361" i="24"/>
  <c r="A395" i="24" l="1"/>
  <c r="A366" i="24"/>
  <c r="A460" i="24"/>
  <c r="A130" i="24"/>
  <c r="S391" i="24"/>
  <c r="T391" i="24" s="1"/>
  <c r="R388" i="24" s="1"/>
  <c r="S365" i="24"/>
  <c r="T365" i="24" s="1"/>
  <c r="R364" i="24" s="1"/>
  <c r="S361" i="24"/>
  <c r="T361" i="24" s="1"/>
  <c r="R359" i="24" s="1"/>
  <c r="S128" i="24"/>
  <c r="T128" i="24" s="1"/>
  <c r="R126" i="24" s="1"/>
  <c r="S459" i="24"/>
  <c r="T459" i="24" s="1"/>
  <c r="R446" i="24" s="1"/>
  <c r="S65" i="24"/>
  <c r="T65" i="24" s="1"/>
  <c r="R57" i="24" s="1"/>
  <c r="A57" i="24" s="1"/>
  <c r="A65" i="24"/>
  <c r="C15" i="21" a="1"/>
  <c r="C15" i="21" s="1"/>
  <c r="B16" i="21" a="1"/>
  <c r="B16" i="21" s="1"/>
  <c r="C14" i="21"/>
  <c r="D14" i="21" s="1" a="1"/>
  <c r="D14" i="21" s="1"/>
  <c r="R218" i="24"/>
  <c r="R56" i="24"/>
  <c r="A56" i="24" s="1"/>
  <c r="A361" i="24" l="1"/>
  <c r="A391" i="24"/>
  <c r="A365" i="24"/>
  <c r="A459" i="24"/>
  <c r="S57" i="24"/>
  <c r="T57" i="24" s="1"/>
  <c r="A128" i="24"/>
  <c r="S126" i="24"/>
  <c r="T126" i="24" s="1"/>
  <c r="R125" i="24" s="1"/>
  <c r="S218" i="24"/>
  <c r="T218" i="24" s="1"/>
  <c r="R217" i="24" s="1"/>
  <c r="S359" i="24"/>
  <c r="T359" i="24" s="1"/>
  <c r="R356" i="24" s="1"/>
  <c r="A359" i="24"/>
  <c r="A364" i="24"/>
  <c r="S364" i="24"/>
  <c r="T364" i="24" s="1"/>
  <c r="S446" i="24"/>
  <c r="T446" i="24" s="1"/>
  <c r="R440" i="24" s="1"/>
  <c r="S388" i="24"/>
  <c r="T388" i="24" s="1"/>
  <c r="R382" i="24" s="1"/>
  <c r="C16" i="21" a="1"/>
  <c r="C16" i="21" s="1"/>
  <c r="B17" i="21" a="1"/>
  <c r="B17" i="21" s="1"/>
  <c r="D15" i="21" a="1"/>
  <c r="D15" i="21" s="1"/>
  <c r="R54" i="24"/>
  <c r="A54" i="24" s="1"/>
  <c r="S56" i="24"/>
  <c r="T56" i="24" s="1"/>
  <c r="A446" i="24" l="1"/>
  <c r="A218" i="24"/>
  <c r="A126" i="24"/>
  <c r="A388" i="24"/>
  <c r="S382" i="24"/>
  <c r="T382" i="24" s="1"/>
  <c r="R376" i="24" s="1"/>
  <c r="S217" i="24"/>
  <c r="T217" i="24" s="1"/>
  <c r="R212" i="24" s="1"/>
  <c r="S356" i="24"/>
  <c r="T356" i="24" s="1"/>
  <c r="R352" i="24" s="1"/>
  <c r="S440" i="24"/>
  <c r="T440" i="24" s="1"/>
  <c r="R438" i="24" s="1"/>
  <c r="S125" i="24"/>
  <c r="T125" i="24" s="1"/>
  <c r="R112" i="24" s="1"/>
  <c r="C17" i="21" a="1"/>
  <c r="C17" i="21" s="1"/>
  <c r="D17" i="21" s="1" a="1"/>
  <c r="D17" i="21" s="1"/>
  <c r="B18" i="21" a="1"/>
  <c r="R47" i="24"/>
  <c r="A47" i="24" s="1"/>
  <c r="S54" i="24"/>
  <c r="T54" i="24" s="1"/>
  <c r="A125" i="24" l="1"/>
  <c r="A217" i="24"/>
  <c r="A440" i="24"/>
  <c r="A356" i="24"/>
  <c r="A382" i="24"/>
  <c r="S438" i="24"/>
  <c r="T438" i="24" s="1"/>
  <c r="R434" i="24" s="1"/>
  <c r="S352" i="24"/>
  <c r="T352" i="24" s="1"/>
  <c r="R351" i="24" s="1"/>
  <c r="S212" i="24"/>
  <c r="T212" i="24" s="1"/>
  <c r="R211" i="24" s="1"/>
  <c r="S112" i="24"/>
  <c r="T112" i="24" s="1"/>
  <c r="R110" i="24" s="1"/>
  <c r="A376" i="24"/>
  <c r="S376" i="24"/>
  <c r="T376" i="24" s="1"/>
  <c r="D16" i="21" a="1"/>
  <c r="D16" i="21" s="1"/>
  <c r="B18" i="21"/>
  <c r="R46" i="24"/>
  <c r="A46" i="24" s="1"/>
  <c r="S47" i="24"/>
  <c r="T47" i="24" s="1"/>
  <c r="S434" i="24" l="1"/>
  <c r="T434" i="24" s="1"/>
  <c r="A434" i="24"/>
  <c r="A112" i="24"/>
  <c r="A438" i="24"/>
  <c r="A352" i="24"/>
  <c r="A212" i="24"/>
  <c r="S110" i="24"/>
  <c r="T110" i="24" s="1"/>
  <c r="R103" i="24" s="1"/>
  <c r="S211" i="24"/>
  <c r="T211" i="24" s="1"/>
  <c r="R207" i="24" s="1"/>
  <c r="S351" i="24"/>
  <c r="T351" i="24" s="1"/>
  <c r="R350" i="24" s="1"/>
  <c r="C18" i="21" a="1"/>
  <c r="C18" i="21" s="1"/>
  <c r="D18" i="21" s="1" a="1"/>
  <c r="D18" i="21" s="1"/>
  <c r="B19" i="21" a="1"/>
  <c r="B19" i="21" s="1"/>
  <c r="R44" i="24"/>
  <c r="A44" i="24" s="1"/>
  <c r="S46" i="24"/>
  <c r="T46" i="24" s="1"/>
  <c r="A211" i="24" l="1"/>
  <c r="A351" i="24"/>
  <c r="A110" i="24"/>
  <c r="S350" i="24"/>
  <c r="T350" i="24" s="1"/>
  <c r="R346" i="24" s="1"/>
  <c r="S207" i="24"/>
  <c r="T207" i="24" s="1"/>
  <c r="S103" i="24"/>
  <c r="T103" i="24" s="1"/>
  <c r="R102" i="24" s="1"/>
  <c r="A103" i="24"/>
  <c r="C19" i="21" a="1"/>
  <c r="C19" i="21" s="1"/>
  <c r="B20" i="21" a="1"/>
  <c r="B20" i="21" s="1"/>
  <c r="R41" i="24"/>
  <c r="A41" i="24" s="1"/>
  <c r="S44" i="24"/>
  <c r="T44" i="24" s="1"/>
  <c r="A207" i="24" l="1"/>
  <c r="A350" i="24"/>
  <c r="S102" i="24"/>
  <c r="T102" i="24" s="1"/>
  <c r="R94" i="24" s="1"/>
  <c r="A102" i="24"/>
  <c r="S346" i="24"/>
  <c r="T346" i="24" s="1"/>
  <c r="R345" i="24" s="1"/>
  <c r="B21" i="21" a="1"/>
  <c r="B21" i="21" s="1"/>
  <c r="C20" i="21" a="1"/>
  <c r="C20" i="21" s="1"/>
  <c r="D19" i="21" a="1"/>
  <c r="D19" i="21" s="1"/>
  <c r="R37" i="24"/>
  <c r="A37" i="24" s="1"/>
  <c r="S41" i="24"/>
  <c r="T41" i="24" s="1"/>
  <c r="A346" i="24" l="1"/>
  <c r="S345" i="24"/>
  <c r="T345" i="24" s="1"/>
  <c r="R343" i="24" s="1"/>
  <c r="A94" i="24"/>
  <c r="S94" i="24"/>
  <c r="T94" i="24" s="1"/>
  <c r="D20" i="21" a="1"/>
  <c r="D20" i="21" s="1"/>
  <c r="C21" i="21" a="1"/>
  <c r="C21" i="21" s="1"/>
  <c r="B22" i="21" a="1"/>
  <c r="B22" i="21" s="1"/>
  <c r="R36" i="24"/>
  <c r="A36" i="24" s="1"/>
  <c r="S37" i="24"/>
  <c r="T37" i="24" s="1"/>
  <c r="A345" i="24" l="1"/>
  <c r="S343" i="24"/>
  <c r="T343" i="24" s="1"/>
  <c r="R342" i="24" s="1"/>
  <c r="B23" i="21" a="1"/>
  <c r="B23" i="21" s="1"/>
  <c r="C22" i="21" a="1"/>
  <c r="D21" i="21" a="1"/>
  <c r="D21" i="21" s="1"/>
  <c r="R35" i="24"/>
  <c r="S36" i="24"/>
  <c r="T36" i="24" s="1"/>
  <c r="A343" i="24" l="1"/>
  <c r="S35" i="24"/>
  <c r="T35" i="24" s="1"/>
  <c r="R34" i="24" s="1"/>
  <c r="A35" i="24"/>
  <c r="S342" i="24"/>
  <c r="T342" i="24" s="1"/>
  <c r="R338" i="24" s="1"/>
  <c r="A342" i="24"/>
  <c r="B24" i="21" a="1"/>
  <c r="B24" i="21" s="1"/>
  <c r="C22" i="21"/>
  <c r="C23" i="21" a="1"/>
  <c r="C23" i="21" s="1"/>
  <c r="R31" i="24"/>
  <c r="A31" i="24" s="1"/>
  <c r="S338" i="24" l="1"/>
  <c r="T338" i="24" s="1"/>
  <c r="R337" i="24" s="1"/>
  <c r="S34" i="24"/>
  <c r="T34" i="24" s="1"/>
  <c r="R33" i="24" s="1"/>
  <c r="A34" i="24"/>
  <c r="D23" i="21" a="1"/>
  <c r="D23" i="21" s="1"/>
  <c r="D22" i="21" a="1"/>
  <c r="D22" i="21" s="1"/>
  <c r="C24" i="21" a="1"/>
  <c r="C24" i="21" s="1"/>
  <c r="B25" i="21" a="1"/>
  <c r="B25" i="21" s="1"/>
  <c r="R30" i="24"/>
  <c r="S31" i="24"/>
  <c r="T31" i="24" s="1"/>
  <c r="A338" i="24" l="1"/>
  <c r="A33" i="24"/>
  <c r="S33" i="24"/>
  <c r="T33" i="24" s="1"/>
  <c r="S30" i="24"/>
  <c r="T30" i="24" s="1"/>
  <c r="R27" i="24" s="1"/>
  <c r="A27" i="24" s="1"/>
  <c r="A30" i="24"/>
  <c r="S337" i="24"/>
  <c r="T337" i="24" s="1"/>
  <c r="R336" i="24" s="1"/>
  <c r="C25" i="21" a="1"/>
  <c r="C25" i="21" s="1"/>
  <c r="B26" i="21" a="1"/>
  <c r="B26" i="21" s="1"/>
  <c r="D24" i="21" a="1"/>
  <c r="D24" i="21" s="1"/>
  <c r="R26" i="24"/>
  <c r="A26" i="24" s="1"/>
  <c r="A337" i="24" l="1"/>
  <c r="S27" i="24"/>
  <c r="T27" i="24" s="1"/>
  <c r="S336" i="24"/>
  <c r="T336" i="24" s="1"/>
  <c r="R335" i="24" s="1"/>
  <c r="A336" i="24"/>
  <c r="C26" i="21" a="1"/>
  <c r="C26" i="21" s="1"/>
  <c r="B27" i="21" a="1"/>
  <c r="B27" i="21" s="1"/>
  <c r="D25" i="21" a="1"/>
  <c r="D25" i="21" s="1"/>
  <c r="R19" i="24"/>
  <c r="S26" i="24"/>
  <c r="T26" i="24" s="1"/>
  <c r="S19" i="24" l="1"/>
  <c r="T19" i="24" s="1"/>
  <c r="R17" i="24" s="1"/>
  <c r="A19" i="24"/>
  <c r="S335" i="24"/>
  <c r="T335" i="24" s="1"/>
  <c r="R334" i="24" s="1"/>
  <c r="A335" i="24"/>
  <c r="D40" i="21" a="1"/>
  <c r="C27" i="21" a="1"/>
  <c r="C27" i="21" s="1"/>
  <c r="B28" i="21" a="1"/>
  <c r="B28" i="21" s="1"/>
  <c r="D26" i="21" a="1"/>
  <c r="D26" i="21" s="1"/>
  <c r="S334" i="24" l="1"/>
  <c r="T334" i="24" s="1"/>
  <c r="R333" i="24" s="1"/>
  <c r="S17" i="24"/>
  <c r="T17" i="24" s="1"/>
  <c r="R12" i="24" s="1"/>
  <c r="A17" i="24"/>
  <c r="C28" i="21" a="1"/>
  <c r="C28" i="21" s="1"/>
  <c r="B29" i="21" a="1"/>
  <c r="D39" i="21" a="1"/>
  <c r="D40" i="21"/>
  <c r="A334" i="24" l="1"/>
  <c r="S12" i="24"/>
  <c r="T12" i="24" s="1"/>
  <c r="R7" i="24" s="1"/>
  <c r="A12" i="24"/>
  <c r="S333" i="24"/>
  <c r="T333" i="24" s="1"/>
  <c r="R324" i="24" s="1"/>
  <c r="A333" i="24"/>
  <c r="D38" i="21" a="1"/>
  <c r="D39" i="21"/>
  <c r="D27" i="21" a="1"/>
  <c r="D27" i="21" s="1"/>
  <c r="B29" i="21"/>
  <c r="S324" i="24" l="1"/>
  <c r="T324" i="24" s="1"/>
  <c r="R323" i="24" s="1"/>
  <c r="S7" i="24"/>
  <c r="T7" i="24" s="1"/>
  <c r="R3" i="24" s="1"/>
  <c r="A7" i="24"/>
  <c r="C29" i="21" a="1"/>
  <c r="C29" i="21" s="1"/>
  <c r="B30" i="21" a="1"/>
  <c r="D37" i="21" a="1"/>
  <c r="D38" i="21"/>
  <c r="A324" i="24" l="1"/>
  <c r="S3" i="24"/>
  <c r="T3" i="24" s="1"/>
  <c r="D41" i="21" s="1" a="1"/>
  <c r="D41" i="21" s="1"/>
  <c r="A3" i="24"/>
  <c r="S323" i="24"/>
  <c r="T323" i="24" s="1"/>
  <c r="R315" i="24" s="1"/>
  <c r="A323" i="24"/>
  <c r="D36" i="21" a="1"/>
  <c r="D36" i="21" s="1"/>
  <c r="D37" i="21"/>
  <c r="D28" i="21" a="1"/>
  <c r="D28" i="21" s="1"/>
  <c r="B30" i="21"/>
  <c r="D29" i="21" a="1"/>
  <c r="S315" i="24" l="1"/>
  <c r="T315" i="24" s="1"/>
  <c r="R314" i="24" s="1"/>
  <c r="A315" i="24"/>
  <c r="D29" i="21"/>
  <c r="C30" i="21" a="1"/>
  <c r="C30" i="21" s="1"/>
  <c r="B31" i="21" a="1"/>
  <c r="B31" i="21" s="1"/>
  <c r="S314" i="24" l="1"/>
  <c r="T314" i="24" s="1"/>
  <c r="R312" i="24" s="1"/>
  <c r="A314" i="24"/>
  <c r="C31" i="21" a="1"/>
  <c r="C31" i="21" s="1"/>
  <c r="B32" i="21" a="1"/>
  <c r="B32" i="21" s="1"/>
  <c r="D30" i="21" a="1"/>
  <c r="D30" i="21" s="1"/>
  <c r="S312" i="24" l="1"/>
  <c r="T312" i="24" s="1"/>
  <c r="R308" i="24" s="1"/>
  <c r="A312" i="24"/>
  <c r="C32" i="21" a="1"/>
  <c r="C32" i="21" s="1"/>
  <c r="B33" i="21" a="1"/>
  <c r="B33" i="21" s="1"/>
  <c r="D31" i="21" a="1"/>
  <c r="D31" i="21" s="1"/>
  <c r="S308" i="24" l="1"/>
  <c r="T308" i="24" s="1"/>
  <c r="R307" i="24" s="1"/>
  <c r="A308" i="24"/>
  <c r="C33" i="21" a="1"/>
  <c r="C33" i="21" s="1"/>
  <c r="B34" i="21" a="1"/>
  <c r="B34" i="21" s="1"/>
  <c r="D32" i="21" a="1"/>
  <c r="S307" i="24" l="1"/>
  <c r="T307" i="24" s="1"/>
  <c r="R298" i="24" s="1"/>
  <c r="A307" i="24"/>
  <c r="G34" i="21" a="1"/>
  <c r="D32" i="21"/>
  <c r="C34" i="21" a="1"/>
  <c r="C34" i="21" s="1"/>
  <c r="G37" i="21" a="1"/>
  <c r="G37" i="21" s="1"/>
  <c r="G41" i="21" a="1"/>
  <c r="G40" i="21" a="1"/>
  <c r="G40" i="21" s="1"/>
  <c r="G35" i="21" a="1"/>
  <c r="G39" i="21" a="1"/>
  <c r="G39" i="21" s="1"/>
  <c r="G36" i="21" a="1"/>
  <c r="G36" i="21" s="1"/>
  <c r="G38" i="21" a="1"/>
  <c r="G38" i="21" s="1"/>
  <c r="G32" i="21" a="1"/>
  <c r="G32" i="21" s="1"/>
  <c r="G30" i="21" a="1"/>
  <c r="G30" i="21" s="1"/>
  <c r="S298" i="24" l="1"/>
  <c r="T298" i="24" s="1"/>
  <c r="R297" i="24" s="1"/>
  <c r="A298" i="24"/>
  <c r="H41" i="21" a="1"/>
  <c r="G41" i="21"/>
  <c r="J31" i="21"/>
  <c r="J21" i="21"/>
  <c r="J35" i="21"/>
  <c r="J20" i="21"/>
  <c r="J26" i="21"/>
  <c r="G5" i="21" a="1"/>
  <c r="G5" i="21" s="1"/>
  <c r="J19" i="21"/>
  <c r="J27" i="21"/>
  <c r="J34" i="21"/>
  <c r="J32" i="21"/>
  <c r="J30" i="21"/>
  <c r="G6" i="21" a="1"/>
  <c r="G6" i="21" s="1"/>
  <c r="J25" i="21"/>
  <c r="J23" i="21"/>
  <c r="J18" i="21"/>
  <c r="J29" i="21"/>
  <c r="J28" i="21"/>
  <c r="G7" i="21" a="1"/>
  <c r="G7" i="21" s="1"/>
  <c r="J24" i="21"/>
  <c r="G8" i="21" a="1"/>
  <c r="G8" i="21" s="1"/>
  <c r="J22" i="21"/>
  <c r="J33" i="21"/>
  <c r="G17" i="21" a="1"/>
  <c r="G17" i="21" s="1"/>
  <c r="G16" i="21" a="1"/>
  <c r="G16" i="21" s="1"/>
  <c r="G14" i="21" a="1"/>
  <c r="G14" i="21" s="1"/>
  <c r="G10" i="21" a="1"/>
  <c r="G10" i="21" s="1"/>
  <c r="G9" i="21" a="1"/>
  <c r="G9" i="21" s="1"/>
  <c r="G12" i="21" a="1"/>
  <c r="G12" i="21" s="1"/>
  <c r="G11" i="21" a="1"/>
  <c r="G11" i="21" s="1"/>
  <c r="G13" i="21" a="1"/>
  <c r="G13" i="21" s="1"/>
  <c r="G15" i="21" a="1"/>
  <c r="G15" i="21" s="1"/>
  <c r="G18" i="21" a="1"/>
  <c r="G18" i="21" s="1"/>
  <c r="G19" i="21" a="1"/>
  <c r="G19" i="21" s="1"/>
  <c r="G20" i="21" a="1"/>
  <c r="G20" i="21" s="1"/>
  <c r="G22" i="21" a="1"/>
  <c r="G22" i="21" s="1"/>
  <c r="G21" i="21" a="1"/>
  <c r="G21" i="21" s="1"/>
  <c r="G23" i="21" a="1"/>
  <c r="G23" i="21" s="1"/>
  <c r="G25" i="21" a="1"/>
  <c r="G25" i="21" s="1"/>
  <c r="G24" i="21" a="1"/>
  <c r="G24" i="21" s="1"/>
  <c r="G33" i="21" a="1"/>
  <c r="G33" i="21" s="1"/>
  <c r="G31" i="21" a="1"/>
  <c r="G27" i="21" a="1"/>
  <c r="G27" i="21" s="1"/>
  <c r="G26" i="21" a="1"/>
  <c r="G26" i="21" s="1"/>
  <c r="G29" i="21" a="1"/>
  <c r="G29" i="21" s="1"/>
  <c r="G28" i="21" a="1"/>
  <c r="G28" i="21" s="1"/>
  <c r="G35" i="21"/>
  <c r="H35" i="21" s="1" a="1"/>
  <c r="H35" i="21" s="1"/>
  <c r="D33" i="21" a="1"/>
  <c r="D33" i="21" s="1"/>
  <c r="G34" i="21"/>
  <c r="H34" i="21" s="1" a="1"/>
  <c r="H34" i="21" s="1"/>
  <c r="S297" i="24" l="1"/>
  <c r="T297" i="24" s="1"/>
  <c r="R293" i="24" s="1"/>
  <c r="A297" i="24"/>
  <c r="H33" i="21" a="1"/>
  <c r="G31" i="21"/>
  <c r="H40" i="21" a="1"/>
  <c r="H41" i="21"/>
  <c r="S293" i="24" l="1"/>
  <c r="T293" i="24" s="1"/>
  <c r="R286" i="24" s="1"/>
  <c r="A293" i="24"/>
  <c r="D34" i="21" a="1"/>
  <c r="H40" i="21"/>
  <c r="H16" i="21" a="1"/>
  <c r="H33" i="21"/>
  <c r="S286" i="24" l="1"/>
  <c r="T286" i="24" s="1"/>
  <c r="R283" i="24" s="1"/>
  <c r="A286" i="24"/>
  <c r="H28" i="21" a="1"/>
  <c r="H16" i="21"/>
  <c r="H38" i="21" a="1"/>
  <c r="D34" i="21"/>
  <c r="S283" i="24" l="1"/>
  <c r="T283" i="24" s="1"/>
  <c r="R281" i="24" s="1"/>
  <c r="A283" i="24"/>
  <c r="K13" i="21" a="1"/>
  <c r="K13" i="21" s="1"/>
  <c r="K15" i="21" a="1"/>
  <c r="K15" i="21" s="1"/>
  <c r="K14" i="21" a="1"/>
  <c r="K14" i="21" s="1"/>
  <c r="M14" i="21" a="1"/>
  <c r="M14" i="21" s="1"/>
  <c r="M13" i="21" a="1"/>
  <c r="M13" i="21" s="1"/>
  <c r="M12" i="21" a="1"/>
  <c r="M12" i="21" s="1"/>
  <c r="K12" i="21" a="1"/>
  <c r="K12" i="21" s="1"/>
  <c r="M15" i="21" a="1"/>
  <c r="M15" i="21" s="1"/>
  <c r="H36" i="21" a="1"/>
  <c r="H38" i="21"/>
  <c r="H22" i="21" a="1"/>
  <c r="H28" i="21"/>
  <c r="S281" i="24" l="1"/>
  <c r="T281" i="24" s="1"/>
  <c r="R280" i="24" s="1"/>
  <c r="A281" i="24"/>
  <c r="H20" i="21" a="1"/>
  <c r="H22" i="21"/>
  <c r="H37" i="21" a="1"/>
  <c r="H36" i="21"/>
  <c r="S280" i="24" l="1"/>
  <c r="T280" i="24" s="1"/>
  <c r="R278" i="24" s="1"/>
  <c r="A280" i="24"/>
  <c r="H39" i="21" a="1"/>
  <c r="H39" i="21" s="1"/>
  <c r="H37" i="21"/>
  <c r="H17" i="21" a="1"/>
  <c r="H20" i="21"/>
  <c r="S278" i="24" l="1"/>
  <c r="T278" i="24" s="1"/>
  <c r="R277" i="24" s="1"/>
  <c r="A278" i="24"/>
  <c r="H11" i="21" a="1"/>
  <c r="H17" i="21"/>
  <c r="S277" i="24" l="1"/>
  <c r="T277" i="24" s="1"/>
  <c r="R276" i="24" s="1"/>
  <c r="A277" i="24"/>
  <c r="H7" i="21" a="1"/>
  <c r="H11" i="21"/>
  <c r="S276" i="24" l="1"/>
  <c r="T276" i="24" s="1"/>
  <c r="R274" i="24" s="1"/>
  <c r="A276" i="24"/>
  <c r="H30" i="21" a="1"/>
  <c r="H7" i="21"/>
  <c r="S274" i="24" l="1"/>
  <c r="T274" i="24" s="1"/>
  <c r="R268" i="24" s="1"/>
  <c r="A274" i="24"/>
  <c r="H19" i="21" a="1"/>
  <c r="H30" i="21"/>
  <c r="S268" i="24" l="1"/>
  <c r="T268" i="24" s="1"/>
  <c r="R265" i="24" s="1"/>
  <c r="A268" i="24"/>
  <c r="H31" i="21" a="1"/>
  <c r="H19" i="21"/>
  <c r="S265" i="24" l="1"/>
  <c r="T265" i="24" s="1"/>
  <c r="R264" i="24" s="1"/>
  <c r="A265" i="24"/>
  <c r="H29" i="21" a="1"/>
  <c r="H31" i="21"/>
  <c r="S264" i="24" l="1"/>
  <c r="T264" i="24" s="1"/>
  <c r="R262" i="24" s="1"/>
  <c r="A264" i="24"/>
  <c r="H24" i="21" a="1"/>
  <c r="H29" i="21"/>
  <c r="S262" i="24" l="1"/>
  <c r="T262" i="24" s="1"/>
  <c r="R261" i="24" s="1"/>
  <c r="A262" i="24"/>
  <c r="H25" i="21" a="1"/>
  <c r="H24" i="21"/>
  <c r="S261" i="24" l="1"/>
  <c r="T261" i="24" s="1"/>
  <c r="R260" i="24" s="1"/>
  <c r="A261" i="24"/>
  <c r="H21" i="21" a="1"/>
  <c r="H25" i="21"/>
  <c r="S260" i="24" l="1"/>
  <c r="T260" i="24" s="1"/>
  <c r="R259" i="24" s="1"/>
  <c r="A260" i="24"/>
  <c r="H15" i="21" a="1"/>
  <c r="H21" i="21"/>
  <c r="S259" i="24" l="1"/>
  <c r="T259" i="24" s="1"/>
  <c r="R258" i="24" s="1"/>
  <c r="A259" i="24"/>
  <c r="H9" i="21" a="1"/>
  <c r="H15" i="21"/>
  <c r="S258" i="24" l="1"/>
  <c r="T258" i="24" s="1"/>
  <c r="R257" i="24" s="1"/>
  <c r="A258" i="24"/>
  <c r="H6" i="21" a="1"/>
  <c r="H9" i="21"/>
  <c r="S257" i="24" l="1"/>
  <c r="T257" i="24" s="1"/>
  <c r="R251" i="24" s="1"/>
  <c r="A257" i="24"/>
  <c r="H5" i="21" a="1"/>
  <c r="H6" i="21"/>
  <c r="S251" i="24" l="1"/>
  <c r="T251" i="24" s="1"/>
  <c r="R249" i="24" s="1"/>
  <c r="A251" i="24"/>
  <c r="H27" i="21" a="1"/>
  <c r="H5" i="21"/>
  <c r="S249" i="24" l="1"/>
  <c r="T249" i="24" s="1"/>
  <c r="R242" i="24" s="1"/>
  <c r="A249" i="24"/>
  <c r="H12" i="21" a="1"/>
  <c r="H27" i="21"/>
  <c r="S242" i="24" l="1"/>
  <c r="T242" i="24" s="1"/>
  <c r="R233" i="24" s="1"/>
  <c r="A242" i="24"/>
  <c r="H8" i="21" a="1"/>
  <c r="H12" i="21"/>
  <c r="S233" i="24" l="1"/>
  <c r="T233" i="24" s="1"/>
  <c r="R225" i="24" s="1"/>
  <c r="A233" i="24"/>
  <c r="H10" i="21" a="1"/>
  <c r="H8" i="21"/>
  <c r="A225" i="24" l="1"/>
  <c r="S225" i="24"/>
  <c r="T225" i="24" s="1"/>
  <c r="H32" i="21" a="1"/>
  <c r="H10" i="21"/>
  <c r="H26" i="21" l="1" a="1"/>
  <c r="H32" i="21"/>
  <c r="H23" i="21" l="1" a="1"/>
  <c r="H26" i="21"/>
  <c r="H18" i="21" l="1" a="1"/>
  <c r="H23" i="21"/>
  <c r="H14" i="21" l="1" a="1"/>
  <c r="H18" i="21"/>
  <c r="H13" i="21" l="1" a="1"/>
  <c r="H13" i="21" s="1"/>
  <c r="H14" i="21"/>
  <c r="H2"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tc={3D608802-B92B-4BBA-A443-91EC7B5265DF}</author>
    <author>tc={820D0512-63D9-428C-9F8F-51472DB1A931}</author>
  </authors>
  <commentList>
    <comment ref="A257" authorId="0" shapeId="0" xr:uid="{3D608802-B92B-4BBA-A443-91EC7B5265D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Ist wirklich so, da man ein Hotelgelände umgehen muss.</t>
      </text>
    </comment>
    <comment ref="A314" authorId="1" shapeId="0" xr:uid="{820D0512-63D9-428C-9F8F-51472DB1A93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Ist korrekt: Um vom Bahnhof zum Minigolfplatz zu kommen, muss man einen Umweg über den Bü südwestlich des Bahnhofs gehen.</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<sst xmlns="http://schemas.openxmlformats.org/spreadsheetml/2006/main" count="33022" uniqueCount="25374">
  <si>
    <t>Transport</t>
  </si>
  <si>
    <t>Los</t>
  </si>
  <si>
    <t>Info</t>
  </si>
  <si>
    <t>Team</t>
  </si>
  <si>
    <t>Die Hemmschuhe</t>
  </si>
  <si>
    <t>Punkte</t>
  </si>
  <si>
    <t>Uhrzeit</t>
  </si>
  <si>
    <t>Einstieg</t>
  </si>
  <si>
    <t>Nur Bahnhof besucht</t>
  </si>
  <si>
    <t>Versteigerung</t>
  </si>
  <si>
    <t>Ausstieg</t>
  </si>
  <si>
    <t>Aufgabe gelöst</t>
  </si>
  <si>
    <t>Hast</t>
  </si>
  <si>
    <t>Eintragsart</t>
  </si>
  <si>
    <t>Details</t>
  </si>
  <si>
    <t>Check</t>
  </si>
  <si>
    <t>Bahnhof</t>
  </si>
  <si>
    <t>Datum</t>
  </si>
  <si>
    <t>Sonstiges/Verspätung</t>
  </si>
  <si>
    <t>Übernachtung</t>
  </si>
  <si>
    <t>Aufgabe &amp; Bonus gelöst</t>
  </si>
  <si>
    <t>Kick</t>
  </si>
  <si>
    <t>Frankfurt(Main)Hbf</t>
  </si>
  <si>
    <t/>
  </si>
  <si>
    <t>Frühste Ankunft</t>
  </si>
  <si>
    <t>Bahnhofsfoto</t>
  </si>
  <si>
    <t>Str21</t>
  </si>
  <si>
    <t>Späteste Ankunft</t>
  </si>
  <si>
    <t>Hotel Ankunft</t>
  </si>
  <si>
    <t>Frankfurt Niederräder Landstraße</t>
  </si>
  <si>
    <t>Frühster Abgang</t>
  </si>
  <si>
    <t>Hotel Abgang</t>
  </si>
  <si>
    <t>FF-24</t>
  </si>
  <si>
    <t>Frankfurt-Niederrad</t>
  </si>
  <si>
    <t>Spätester Abgang</t>
  </si>
  <si>
    <t>Zieleinlauf</t>
  </si>
  <si>
    <t>Str12</t>
  </si>
  <si>
    <t>ICE 71</t>
  </si>
  <si>
    <t>Frankfurt Hbf/Münchener Str</t>
  </si>
  <si>
    <t>N/O/S/W</t>
  </si>
  <si>
    <t>Wert</t>
  </si>
  <si>
    <t>UK-15</t>
  </si>
  <si>
    <t>Karlsruhe Hbf</t>
  </si>
  <si>
    <t>Nord</t>
  </si>
  <si>
    <t>Leipzig Bayerischer Bahnhof</t>
  </si>
  <si>
    <t>Ost</t>
  </si>
  <si>
    <t>Zwickau-Pölbitz</t>
  </si>
  <si>
    <t>Süd</t>
  </si>
  <si>
    <t>Weil am Rhein</t>
  </si>
  <si>
    <t>Basel Badischer Bf</t>
  </si>
  <si>
    <t>West</t>
  </si>
  <si>
    <t>UK-14</t>
  </si>
  <si>
    <t>Basel Bad Bf</t>
  </si>
  <si>
    <t>MB-20</t>
  </si>
  <si>
    <t>Haltingen</t>
  </si>
  <si>
    <t>Erfüllt</t>
  </si>
  <si>
    <t>Lostopf</t>
  </si>
  <si>
    <t>RB 27</t>
  </si>
  <si>
    <t>Bhf-Paare</t>
  </si>
  <si>
    <t>Fränkische Brauereien</t>
  </si>
  <si>
    <t>Stadtaufgaben Frankfurt</t>
  </si>
  <si>
    <t>Fahrtziel Natur / Wanderbahnhöfe</t>
  </si>
  <si>
    <t>Kranke Ortsnamen</t>
  </si>
  <si>
    <t>Museumsbahnen</t>
  </si>
  <si>
    <t>Freiburg(Breisgau) Hbf</t>
  </si>
  <si>
    <t>Nürnberg Stadt</t>
  </si>
  <si>
    <t>WL-11</t>
  </si>
  <si>
    <t>Rangierbahnhöfe</t>
  </si>
  <si>
    <t>S10</t>
  </si>
  <si>
    <t>Rhein-Main-Region</t>
  </si>
  <si>
    <t>Titisee</t>
  </si>
  <si>
    <t>Stichstrecken</t>
  </si>
  <si>
    <t>WL-21</t>
  </si>
  <si>
    <t>Feldberg-Bärental</t>
  </si>
  <si>
    <t>Thüringen/Sachsen</t>
  </si>
  <si>
    <t>S1</t>
  </si>
  <si>
    <t>Umsteigebahnhöfe/Knoten</t>
  </si>
  <si>
    <t>UNESCO Weltkulturerben</t>
  </si>
  <si>
    <t>Wunschlos</t>
  </si>
  <si>
    <t>Schluchsee</t>
  </si>
  <si>
    <t>MB-11</t>
  </si>
  <si>
    <t>Los: 20; Um.:13</t>
  </si>
  <si>
    <t>FLX001</t>
  </si>
  <si>
    <t>Badeparadies Titisee Schwarzwald</t>
  </si>
  <si>
    <t>RJX 890</t>
  </si>
  <si>
    <t>Friedrichshafen Stadt</t>
  </si>
  <si>
    <t>RB 91</t>
  </si>
  <si>
    <t>Friedrichshafen Hafen</t>
  </si>
  <si>
    <t>WL-25</t>
  </si>
  <si>
    <t>Los: 12; Um.:105</t>
  </si>
  <si>
    <t>Ulm Hbf</t>
  </si>
  <si>
    <t>ag RB15</t>
  </si>
  <si>
    <t>Donauwörth</t>
  </si>
  <si>
    <t>RE 16</t>
  </si>
  <si>
    <t>Nürnberg Hbf</t>
  </si>
  <si>
    <t>FB-06</t>
  </si>
  <si>
    <t>Los: 45; Um.:25,9999999999999</t>
  </si>
  <si>
    <t>Str6</t>
  </si>
  <si>
    <t>Nürnberg Hallertor</t>
  </si>
  <si>
    <t>Nürnberg Christuskirche</t>
  </si>
  <si>
    <t>NN-16</t>
  </si>
  <si>
    <t>Nürnberg-Steinbühl</t>
  </si>
  <si>
    <t>NN-01</t>
  </si>
  <si>
    <t>NN-08</t>
  </si>
  <si>
    <t>U1</t>
  </si>
  <si>
    <t>Nürnberg Maffeiplatz</t>
  </si>
  <si>
    <t>Nürnberg Lorenzkirche</t>
  </si>
  <si>
    <t>NN-11</t>
  </si>
  <si>
    <t>NN-09</t>
  </si>
  <si>
    <t>Nürnberg Rothenburger Str.</t>
  </si>
  <si>
    <t>U3</t>
  </si>
  <si>
    <t>Nürnberg Opernhaus</t>
  </si>
  <si>
    <t>U2</t>
  </si>
  <si>
    <t>Nürnberg Schweinau</t>
  </si>
  <si>
    <t>NN-17</t>
  </si>
  <si>
    <t>Nürnberg-Schweinau</t>
  </si>
  <si>
    <t>RE 90</t>
  </si>
  <si>
    <t>RE 30</t>
  </si>
  <si>
    <t>Hof Hbf</t>
  </si>
  <si>
    <t>FB-18</t>
  </si>
  <si>
    <t>RE 31</t>
  </si>
  <si>
    <t>Oberkotzau</t>
  </si>
  <si>
    <t>KO-09</t>
  </si>
  <si>
    <t>Los: 30; Um.:27</t>
  </si>
  <si>
    <t>RE 3</t>
  </si>
  <si>
    <t>Zwickau(Sachs)Hbf</t>
  </si>
  <si>
    <t>RB-20</t>
  </si>
  <si>
    <t>TS-13</t>
  </si>
  <si>
    <t>RB 30</t>
  </si>
  <si>
    <t>Glauchau(Sachs)</t>
  </si>
  <si>
    <t>CB RE1</t>
  </si>
  <si>
    <t>Meerane</t>
  </si>
  <si>
    <t>SEV</t>
  </si>
  <si>
    <t>Gößnitz</t>
  </si>
  <si>
    <t>S 5X</t>
  </si>
  <si>
    <t>Altenburg</t>
  </si>
  <si>
    <t>S5</t>
  </si>
  <si>
    <t>Regis-Breitingen</t>
  </si>
  <si>
    <t>MB-25</t>
  </si>
  <si>
    <t>TS-09</t>
  </si>
  <si>
    <t>Los: 5; Um.:4,99999999999977</t>
  </si>
  <si>
    <t>S4</t>
  </si>
  <si>
    <t>Leipzig Hbf</t>
  </si>
  <si>
    <t>ICE 2507</t>
  </si>
  <si>
    <t>Frankfurt(Main)Süd</t>
  </si>
  <si>
    <t>FF-13</t>
  </si>
  <si>
    <t>U5</t>
  </si>
  <si>
    <t>Frankfurt Römer</t>
  </si>
  <si>
    <t>ID</t>
  </si>
  <si>
    <t>Adresse</t>
  </si>
  <si>
    <t>Punkte Bahnhof</t>
  </si>
  <si>
    <t>Punkte Aufgabe</t>
  </si>
  <si>
    <t>Punkte Bonus</t>
  </si>
  <si>
    <t>Aufgabe</t>
  </si>
  <si>
    <t>Zeit- bedarf</t>
  </si>
  <si>
    <t>Distanz in km</t>
  </si>
  <si>
    <t>Breitengrad Bahnhof</t>
  </si>
  <si>
    <t>Längengrad Bahnhof</t>
  </si>
  <si>
    <t>Breitengrad Aufgabe</t>
  </si>
  <si>
    <t>Längengrad Aufgabe</t>
  </si>
  <si>
    <t>BP-01a</t>
  </si>
  <si>
    <t>Bad Nauheim</t>
  </si>
  <si>
    <t>Bhf Paar mit Nauheim(b Gr.Gerau)</t>
  </si>
  <si>
    <t>50.367904</t>
  </si>
  <si>
    <t>8.749334</t>
  </si>
  <si>
    <t>BP-01b</t>
  </si>
  <si>
    <t>Nauheim(b Gr.Gerau)</t>
  </si>
  <si>
    <t>Bhf Paar mit Bad Nauheim</t>
  </si>
  <si>
    <t>49.942137</t>
  </si>
  <si>
    <t>8.449929</t>
  </si>
  <si>
    <t>BP-03a</t>
  </si>
  <si>
    <t>Gräfenberg</t>
  </si>
  <si>
    <t>Bhf Paar mit Gräfentonna</t>
  </si>
  <si>
    <t>49.641626</t>
  </si>
  <si>
    <t>11.250365</t>
  </si>
  <si>
    <t>BP-03b</t>
  </si>
  <si>
    <t>Gräfentonna</t>
  </si>
  <si>
    <t>Bhf Paar mit Gräfenberg</t>
  </si>
  <si>
    <t>51.089734</t>
  </si>
  <si>
    <t>10.733617</t>
  </si>
  <si>
    <t>BP-04a</t>
  </si>
  <si>
    <t>Rodgau-Rollwald</t>
  </si>
  <si>
    <t>Bhf Paar mit Rollhofen</t>
  </si>
  <si>
    <t>49.987985</t>
  </si>
  <si>
    <t>8.846545</t>
  </si>
  <si>
    <t>BP-04b</t>
  </si>
  <si>
    <t>Rollhofen</t>
  </si>
  <si>
    <t>Bhf Paar mit Rodgau-Rollwald</t>
  </si>
  <si>
    <t>49.543716</t>
  </si>
  <si>
    <t>11.335524</t>
  </si>
  <si>
    <t>BP-06a</t>
  </si>
  <si>
    <t>Schwarzburg</t>
  </si>
  <si>
    <t>Bhf Paar mit Weißenthurm</t>
  </si>
  <si>
    <t>50.642576</t>
  </si>
  <si>
    <t>11.180660</t>
  </si>
  <si>
    <t>BP-06b</t>
  </si>
  <si>
    <t>Weißenthurm</t>
  </si>
  <si>
    <t>Bhf Paar mit Schwarzburg</t>
  </si>
  <si>
    <t>50.421177</t>
  </si>
  <si>
    <t>7.450988</t>
  </si>
  <si>
    <t>BP-08a</t>
  </si>
  <si>
    <t>Rüsselbach</t>
  </si>
  <si>
    <t>Bhf Paar mit Rüsselsheim</t>
  </si>
  <si>
    <t>49.608738</t>
  </si>
  <si>
    <t>11.231771</t>
  </si>
  <si>
    <t>BP-08b</t>
  </si>
  <si>
    <t>Rüsselsheim</t>
  </si>
  <si>
    <t>Bhf Paar mit Rüsselbach</t>
  </si>
  <si>
    <t>49.991639</t>
  </si>
  <si>
    <t>8.413583</t>
  </si>
  <si>
    <t>BP-11a</t>
  </si>
  <si>
    <t>Feucht</t>
  </si>
  <si>
    <t>Bhf Paar mit Nassenbeuren</t>
  </si>
  <si>
    <t>49.381947</t>
  </si>
  <si>
    <t>11.204207</t>
  </si>
  <si>
    <t>BP-11b</t>
  </si>
  <si>
    <t>Nassenbeuren</t>
  </si>
  <si>
    <t>Bhf Paar mit Feucht</t>
  </si>
  <si>
    <t>48.078066</t>
  </si>
  <si>
    <t>10.503797</t>
  </si>
  <si>
    <t>BP-15a</t>
  </si>
  <si>
    <t>Glückauf</t>
  </si>
  <si>
    <t>Bhf Paar mit Pechbrunn</t>
  </si>
  <si>
    <t>51.389701</t>
  </si>
  <si>
    <t>10.828367</t>
  </si>
  <si>
    <t>BP-15b</t>
  </si>
  <si>
    <t>Pechbrunn</t>
  </si>
  <si>
    <t>Bhf Paar mit Glückauf</t>
  </si>
  <si>
    <t>49.969536</t>
  </si>
  <si>
    <t>12.165956</t>
  </si>
  <si>
    <t>BP-20a</t>
  </si>
  <si>
    <t>Rain</t>
  </si>
  <si>
    <t>Bhf Paar mit Regen</t>
  </si>
  <si>
    <t>48.696179</t>
  </si>
  <si>
    <t>10.927514</t>
  </si>
  <si>
    <t>BP-20b</t>
  </si>
  <si>
    <t>Regen</t>
  </si>
  <si>
    <t>Bhf Paar mit Rain</t>
  </si>
  <si>
    <t>48.968625</t>
  </si>
  <si>
    <t>13.136465</t>
  </si>
  <si>
    <t>FB-01</t>
  </si>
  <si>
    <t>EKU-Straße 1, 95326 Kulmbach</t>
  </si>
  <si>
    <t>Kulmbach</t>
  </si>
  <si>
    <t>Besucht die größte Fränkische Brauerei und macht ein Teamfoto vor einem Braukessel</t>
  </si>
  <si>
    <t>50.109822</t>
  </si>
  <si>
    <t>11.451889</t>
  </si>
  <si>
    <t>50.1104498787278</t>
  </si>
  <si>
    <t>11.44839</t>
  </si>
  <si>
    <t>Bergstraße 19, 90403 Nürnberg</t>
  </si>
  <si>
    <t>Findet ein Fass an der Hausbrauerei Altstadthof und macht ein Teamfoto davor</t>
  </si>
  <si>
    <t>49.445616</t>
  </si>
  <si>
    <t>11.082989</t>
  </si>
  <si>
    <t>49.457090863317774</t>
  </si>
  <si>
    <t>11.07488</t>
  </si>
  <si>
    <t>FB-08</t>
  </si>
  <si>
    <t>Mauer 2, 96450 Coburg + Schlossplatz Coburg</t>
  </si>
  <si>
    <t>Coburg</t>
  </si>
  <si>
    <t>Fotografiert euch mit de Schriftzug/Logo des Brauhaus Stadl auf dem Coburger Schlossplatz. Bonus: Besorgt euch im Brauhaus Stadl Getränk(e) mit dem Schriftzug der Brauerei</t>
  </si>
  <si>
    <t>50.262927</t>
  </si>
  <si>
    <t>10.957328</t>
  </si>
  <si>
    <t>50.25893910741185</t>
  </si>
  <si>
    <t>10.96770</t>
  </si>
  <si>
    <t>FB-10</t>
  </si>
  <si>
    <t>Serlbacher Str. 10, 91301 Forchheim</t>
  </si>
  <si>
    <t>Forchheim(Oberfr)</t>
  </si>
  <si>
    <t xml:space="preserve">Fotografiert euch vor dem Brauhaus der Brauerei Greif. Bonuspunkte gibt es, wenn alle auf dem Foto Kronkorken der Brauerei vor die Augen gezwickt haben. </t>
  </si>
  <si>
    <t>49.717070</t>
  </si>
  <si>
    <t>11.069859</t>
  </si>
  <si>
    <t>49.72599020046363</t>
  </si>
  <si>
    <t>11.05923</t>
  </si>
  <si>
    <t>FB-11</t>
  </si>
  <si>
    <t>Auwaldstraße, 91284 Neuhaus an der Pegnitz</t>
  </si>
  <si>
    <t>Neuhaus(Pegnitz)</t>
  </si>
  <si>
    <t>Fotografiert euch vor dem Gebäude der Kaiserbräu GmbH und Co. KG</t>
  </si>
  <si>
    <t>49.626653</t>
  </si>
  <si>
    <t>11.551709</t>
  </si>
  <si>
    <t>49.62698749644658</t>
  </si>
  <si>
    <t>11.55354</t>
  </si>
  <si>
    <t>FB-16</t>
  </si>
  <si>
    <t>Kellerstraße, 96155 Buttenheim</t>
  </si>
  <si>
    <t>Buttenheim</t>
  </si>
  <si>
    <t>Foto vom Bierkeller St. GeorgenBräu und fotografiert euch vor der Aussicht bis nach Bamberg.</t>
  </si>
  <si>
    <t>49.799397</t>
  </si>
  <si>
    <t>11.013730</t>
  </si>
  <si>
    <t>49.80155730609977</t>
  </si>
  <si>
    <t>11.03702</t>
  </si>
  <si>
    <t>Unterkotzauer Weg 14, 95028 Hof</t>
  </si>
  <si>
    <t>Fotografiert euch vor dem Brauerei Scherdel Bier Gelände. Bonuspunkte: findet in Hof Getränke von Scherdel und fotografiert euch mit diesen.</t>
  </si>
  <si>
    <t>50.307743</t>
  </si>
  <si>
    <t>11.923067</t>
  </si>
  <si>
    <t>50.32360197467034</t>
  </si>
  <si>
    <t>11.91157</t>
  </si>
  <si>
    <t>FB-23</t>
  </si>
  <si>
    <t>Metzgergasse 12, 91438 Bad Windsheim</t>
  </si>
  <si>
    <t>Bad Windsheim</t>
  </si>
  <si>
    <t>Macht ein Foto vor dem Haus "Bürgerbräu Bad Windsheim"</t>
  </si>
  <si>
    <t>49.506600</t>
  </si>
  <si>
    <t>10.412942</t>
  </si>
  <si>
    <t>49.50227717206902</t>
  </si>
  <si>
    <t>10.42049</t>
  </si>
  <si>
    <t>FB-24</t>
  </si>
  <si>
    <t>Aschaffenburger Str. 18, 63825 Schöllkrippen</t>
  </si>
  <si>
    <t>Schöllkrippen</t>
  </si>
  <si>
    <t>Macht ein Foto mit dem Logo des Brauhaus Barbarossa im Bild. Bonuspunkte bekommt ihr, wenn das Logo auf mindestens einem Glas im Foto zu sehen ist. Pro Glas gibt es 5 Bonuspunkte</t>
  </si>
  <si>
    <t>50.085839</t>
  </si>
  <si>
    <t>9.244214</t>
  </si>
  <si>
    <t>50.083752408555746</t>
  </si>
  <si>
    <t>9.24531</t>
  </si>
  <si>
    <t>FB-25</t>
  </si>
  <si>
    <t>Fabrikstraße 1, 95111 Rehau</t>
  </si>
  <si>
    <t>Rehau</t>
  </si>
  <si>
    <t>Macht ein Foto mit dem Braugebäude "Kommunbräu Rehau"</t>
  </si>
  <si>
    <t>50.250556</t>
  </si>
  <si>
    <t>12.032457</t>
  </si>
  <si>
    <t>50.249815743417514</t>
  </si>
  <si>
    <t>12.03599</t>
  </si>
  <si>
    <t>FF-06</t>
  </si>
  <si>
    <t>Ziegelhüttenweg 51, 60598 Frankfurt am Main</t>
  </si>
  <si>
    <t>Frankfurt(M)Stresemannallee</t>
  </si>
  <si>
    <t>Gruppenfoto vor dem Bahnübergang (einer der wenigen im Frankfurter Stadtgebiet); Bonus: Auf dem Foto ist ein Zug bei der Durchfahrt durch den BÜ zu sehen</t>
  </si>
  <si>
    <t>50.094369</t>
  </si>
  <si>
    <t>8.671268</t>
  </si>
  <si>
    <t>50.0915</t>
  </si>
  <si>
    <t>8.6793</t>
  </si>
  <si>
    <t>FF-07</t>
  </si>
  <si>
    <t>Bernhard-Grzimek-Allee 1, 60316 Frankfurt am Main</t>
  </si>
  <si>
    <t>Frankfurt(M)Ostendstraße</t>
  </si>
  <si>
    <t>Foto vor dem Haupteingang des Zoos</t>
  </si>
  <si>
    <t>50.112562</t>
  </si>
  <si>
    <t>8.696987</t>
  </si>
  <si>
    <t>50.11635014843156</t>
  </si>
  <si>
    <t>8.69918</t>
  </si>
  <si>
    <t>FF-08</t>
  </si>
  <si>
    <t>Hattersheimer Str. 2-6, 60326 Frankfurt am Main</t>
  </si>
  <si>
    <t>Frankfurt(M)Galluswarte</t>
  </si>
  <si>
    <t>Technische Sammlung Hochhut; Bonus: Trinkt einen Schnaps im Maximilians</t>
  </si>
  <si>
    <t>50.104030</t>
  </si>
  <si>
    <t>8.644720</t>
  </si>
  <si>
    <t>50.1046</t>
  </si>
  <si>
    <t>8.6383</t>
  </si>
  <si>
    <t>FF-12</t>
  </si>
  <si>
    <t>Hanauer Landstraße 568, 60386 Frankfurt am Main</t>
  </si>
  <si>
    <t>Frankfurt-Mainkur</t>
  </si>
  <si>
    <t>Mache eine Mainkur. Macht ein Foto von euch am Main mit Bäumen und erholt euch. Bonus: Verbringt mindestens 10 Minuten dort mit Beweisfoto.</t>
  </si>
  <si>
    <t>50.134603</t>
  </si>
  <si>
    <t>8.767437</t>
  </si>
  <si>
    <t>50.13264087147582</t>
  </si>
  <si>
    <t>8.76883</t>
  </si>
  <si>
    <t>Alte Brücke 2 , 60594 Frankfurt am Main</t>
  </si>
  <si>
    <t>Foto von der Frankfurter Skyline Bonus: kurzer Besuch im Portikus direkt auf der alten Brücke</t>
  </si>
  <si>
    <t>50.099365</t>
  </si>
  <si>
    <t>8.686457</t>
  </si>
  <si>
    <t>50.10806963816039</t>
  </si>
  <si>
    <t>8.68767</t>
  </si>
  <si>
    <t>FF-18</t>
  </si>
  <si>
    <t>Hugo-Eckener-Ring, 60549 Frankfurt am Main</t>
  </si>
  <si>
    <t>Frankfurt(M) Flughafen Regionalbf</t>
  </si>
  <si>
    <t>Geht zum Fernbusbahnhof und drückt euren Unmut über nicht Schienengebundene Transportmittel aus. Natürlcih mit Foto.</t>
  </si>
  <si>
    <t>50.051219</t>
  </si>
  <si>
    <t>8.571251</t>
  </si>
  <si>
    <t>50.05270146852587</t>
  </si>
  <si>
    <t>8.57757</t>
  </si>
  <si>
    <t>FF-21</t>
  </si>
  <si>
    <t>Speckgasse 7, 60599 Frankfurt am Main</t>
  </si>
  <si>
    <t>Frankfurt(M)Mühlberg</t>
  </si>
  <si>
    <t>Foto am Grüne Soße Denkmal</t>
  </si>
  <si>
    <t>50.101915</t>
  </si>
  <si>
    <t>8.700606</t>
  </si>
  <si>
    <t>50.10073312392983</t>
  </si>
  <si>
    <t>8.71821</t>
  </si>
  <si>
    <t>Rennbahnstraße, 60528 Frankfurt am Main</t>
  </si>
  <si>
    <t>Foto auf dem Rennbahn Spielplatz. Bonus: Macht ein Rennen im Rennbahnpark (min. 500 m) und dokumentiert es</t>
  </si>
  <si>
    <t>50.080997</t>
  </si>
  <si>
    <t>8.637013</t>
  </si>
  <si>
    <t>50.087706666690565</t>
  </si>
  <si>
    <t>8.65229</t>
  </si>
  <si>
    <t>FN-01</t>
  </si>
  <si>
    <t>Clingenburgstraße 5, 63911 Klingenberg am Main</t>
  </si>
  <si>
    <t>Klingenberg(Main)</t>
  </si>
  <si>
    <t>Wandere zur Ruine Clingenburg und mache ein Foto im Torbogen</t>
  </si>
  <si>
    <t>49.781419</t>
  </si>
  <si>
    <t>9.176549</t>
  </si>
  <si>
    <t>49.78259</t>
  </si>
  <si>
    <t>9.18450</t>
  </si>
  <si>
    <t>FN-02</t>
  </si>
  <si>
    <t>Schlossstraße, 69434 Hirschhorn (Neckar)</t>
  </si>
  <si>
    <t>Hirschhorn(Neckar)</t>
  </si>
  <si>
    <t>Wandere zum Schloss Hirschhorn und mache ein Foto mit der Neckarbrücke (Torwärterhaus)</t>
  </si>
  <si>
    <t>49.442668</t>
  </si>
  <si>
    <t>8.896055</t>
  </si>
  <si>
    <t>49.44926297321662</t>
  </si>
  <si>
    <t>8.89828</t>
  </si>
  <si>
    <t>FN-04</t>
  </si>
  <si>
    <t>Panoramastraße 30, 75323 Bad Wildbad</t>
  </si>
  <si>
    <t>Bad Wildbad Uhlandplatz</t>
  </si>
  <si>
    <t>Macht ein Foto von der Seilbahnbrücke, In google unter "Panoramastation" zu finden</t>
  </si>
  <si>
    <t>48.750837</t>
  </si>
  <si>
    <t>8.549366</t>
  </si>
  <si>
    <t>48.75021275089669</t>
  </si>
  <si>
    <t>8.54596</t>
  </si>
  <si>
    <t>FN-06</t>
  </si>
  <si>
    <t>Bunkermuseum Frauenwald, Am Rothenberg 1, 98694 Ilmenau</t>
  </si>
  <si>
    <t>Rennsteig</t>
  </si>
  <si>
    <t>Foto vor Schild Bunkermuseum</t>
  </si>
  <si>
    <t>50.615249</t>
  </si>
  <si>
    <t>10.835138</t>
  </si>
  <si>
    <t>50.6080708392019</t>
  </si>
  <si>
    <t>10.84745</t>
  </si>
  <si>
    <t>FN-08</t>
  </si>
  <si>
    <t>Unnamed Road, 98574 Schmalkalden</t>
  </si>
  <si>
    <t>Schmalkalden-Fachhochschule</t>
  </si>
  <si>
    <t>Wandere zur Posteiche und fotografiere diese</t>
  </si>
  <si>
    <t>50.716422</t>
  </si>
  <si>
    <t>10.463487</t>
  </si>
  <si>
    <t>50.71227610850612</t>
  </si>
  <si>
    <t>10.45313</t>
  </si>
  <si>
    <t>FN-09</t>
  </si>
  <si>
    <t>Unnamed Road, 01824 Königstein</t>
  </si>
  <si>
    <t>Königstein(Sächs Schw)</t>
  </si>
  <si>
    <t>Wandere zur schönen Aussicht und fotografiert dieses Schild</t>
  </si>
  <si>
    <t>50.919445</t>
  </si>
  <si>
    <t>14.078899</t>
  </si>
  <si>
    <t>50.91640189957606</t>
  </si>
  <si>
    <t>14.07871</t>
  </si>
  <si>
    <t>FN-12</t>
  </si>
  <si>
    <t>Talsperre Cranzahl, 09465 Sehmatal</t>
  </si>
  <si>
    <t>Cranzahl</t>
  </si>
  <si>
    <t>Wandere zur Talsperre und fotografiere den See</t>
  </si>
  <si>
    <t>50.511248</t>
  </si>
  <si>
    <t>12.993028</t>
  </si>
  <si>
    <t>50.50503528957261</t>
  </si>
  <si>
    <t>13.00028</t>
  </si>
  <si>
    <t>FN-14</t>
  </si>
  <si>
    <t>Unnamed Road, 63776 Mömbris</t>
  </si>
  <si>
    <t>Niedersteinbach</t>
  </si>
  <si>
    <t>Wandere zur Aussichtsplattform Steinbruch Hemsbach und fotografiere den Hahnenkammsee (Steinbruchsee)</t>
  </si>
  <si>
    <t>50.086596</t>
  </si>
  <si>
    <t>9.148562</t>
  </si>
  <si>
    <t>50.087020324305854</t>
  </si>
  <si>
    <t>9.13124</t>
  </si>
  <si>
    <t>FN-22</t>
  </si>
  <si>
    <t>Seestraße 17, 91710 Gunzenhausen</t>
  </si>
  <si>
    <t>Gunzenhausen</t>
  </si>
  <si>
    <t>Wandert zum Altmühlsee, Foto mit der Tribühne</t>
  </si>
  <si>
    <t>49.120444</t>
  </si>
  <si>
    <t>10.755463</t>
  </si>
  <si>
    <t>49.12519776424404</t>
  </si>
  <si>
    <t>10.73802</t>
  </si>
  <si>
    <t>FN-23</t>
  </si>
  <si>
    <t>Burgweg 2, 98631 Grabfeld</t>
  </si>
  <si>
    <t>Bibra</t>
  </si>
  <si>
    <t>Mache ein Bild im Eingang der Burg Bibra</t>
  </si>
  <si>
    <t>50.468757</t>
  </si>
  <si>
    <t>10.444326</t>
  </si>
  <si>
    <t>50.470588145921354</t>
  </si>
  <si>
    <t>10.43932</t>
  </si>
  <si>
    <t>KO-01</t>
  </si>
  <si>
    <t>Am Peitschenmuseum, 72393 Burladingen</t>
  </si>
  <si>
    <t>Killer</t>
  </si>
  <si>
    <t>Macht ein Bild vor dem deutschen Peitschenmuseum</t>
  </si>
  <si>
    <t>48.315684</t>
  </si>
  <si>
    <t>9.060828</t>
  </si>
  <si>
    <t>48.31618284264385</t>
  </si>
  <si>
    <t>9.06080</t>
  </si>
  <si>
    <t>KO-04</t>
  </si>
  <si>
    <t>Kastanienallee, 14913 Niedergörsdorf</t>
  </si>
  <si>
    <t>Altes Lager</t>
  </si>
  <si>
    <t>macht ein Gruppenbild vor dem Eingang zur ehem. sowjetischen Artillerieschule "Altes Lager"</t>
  </si>
  <si>
    <t>52.017356</t>
  </si>
  <si>
    <t>12.989048</t>
  </si>
  <si>
    <t>52.014942063158344</t>
  </si>
  <si>
    <t>12.99272</t>
  </si>
  <si>
    <t>KO-05</t>
  </si>
  <si>
    <t>Auermühle 4, 57577 Hamm (Sieg)</t>
  </si>
  <si>
    <t>Au(Sieg)</t>
  </si>
  <si>
    <t>Laufe über die Landesgrenze nach Rheinland-Pfalz und mache ein Foto mit der Brücke</t>
  </si>
  <si>
    <t>50.773765</t>
  </si>
  <si>
    <t>7.656537</t>
  </si>
  <si>
    <t>50.76973894924085</t>
  </si>
  <si>
    <t>7.65897</t>
  </si>
  <si>
    <t>KO-07</t>
  </si>
  <si>
    <t>Moselstraße 10, 54331 Oberbillig</t>
  </si>
  <si>
    <t>Oberbillig</t>
  </si>
  <si>
    <t>Lauf zur Fähre und mache ein Foto mit Luxemburg im Hintergrund. Bonus fahrt nach Luxemburg rüber und macht ein Foto von der anderen Seite nach Deutschland</t>
  </si>
  <si>
    <t>49.710162</t>
  </si>
  <si>
    <t>6.511634</t>
  </si>
  <si>
    <t>49.71266277224052</t>
  </si>
  <si>
    <t>6.50415</t>
  </si>
  <si>
    <t>Fabrikstraße 11, 95145 Oberkotzau</t>
  </si>
  <si>
    <t>Mache ein Bild vor den Schildern am Fernwehpark. Bonus: Finde den Koala (Bildbeweis)</t>
  </si>
  <si>
    <t>50.266389</t>
  </si>
  <si>
    <t>11.932204</t>
  </si>
  <si>
    <t>50.26338152227297</t>
  </si>
  <si>
    <t>11.94255</t>
  </si>
  <si>
    <t>KO-12</t>
  </si>
  <si>
    <t>Burgplatz 2, 37574 Einbeck</t>
  </si>
  <si>
    <t>Einbeck-Salzderhelden</t>
  </si>
  <si>
    <t>Mache ein Bild von der Heldenburg</t>
  </si>
  <si>
    <t>51.798169</t>
  </si>
  <si>
    <t>9.922775</t>
  </si>
  <si>
    <t>51.800000688727316</t>
  </si>
  <si>
    <t>9.91249</t>
  </si>
  <si>
    <t>KO-13</t>
  </si>
  <si>
    <t>In der Au, 35325 Mücke</t>
  </si>
  <si>
    <t>Mücke(Hess)</t>
  </si>
  <si>
    <t xml:space="preserve">Mache ein Bild vom Mittelpunkt des Landes Hessen. </t>
  </si>
  <si>
    <t>50.617100</t>
  </si>
  <si>
    <t>9.029035</t>
  </si>
  <si>
    <t>50.60817657648014</t>
  </si>
  <si>
    <t>9.02898</t>
  </si>
  <si>
    <t>KO-16</t>
  </si>
  <si>
    <t>In der Lake 20, 45279 Essen</t>
  </si>
  <si>
    <t>Essen-Horst</t>
  </si>
  <si>
    <t>Macht ein Bild von der der Schwimmbrücke Hortey</t>
  </si>
  <si>
    <t>51.431214</t>
  </si>
  <si>
    <t>7.102741</t>
  </si>
  <si>
    <t>51.42952328136748</t>
  </si>
  <si>
    <t>7.09772</t>
  </si>
  <si>
    <t>KO-18</t>
  </si>
  <si>
    <t>Neue Dorfstraße, 38524 Sassenburg</t>
  </si>
  <si>
    <t>Triangel</t>
  </si>
  <si>
    <t>Macht ein Bild vom Glockenturm. Bonus: Nehmt euch euer Lieblingsbuch aus dem Bücherschrank und zeigt es im Bild</t>
  </si>
  <si>
    <t>52.509506</t>
  </si>
  <si>
    <t>10.578240</t>
  </si>
  <si>
    <t>52.50879289682587</t>
  </si>
  <si>
    <t>10.58554</t>
  </si>
  <si>
    <t>KO-27</t>
  </si>
  <si>
    <t>Niedervogelgesang 26, 01796 Pirna</t>
  </si>
  <si>
    <t>Obervogelgesang</t>
  </si>
  <si>
    <t>Gruppenfoto auf dem Aussichtspunkt Königsnase</t>
  </si>
  <si>
    <t>50.949797</t>
  </si>
  <si>
    <t>13.989919</t>
  </si>
  <si>
    <t>50.948508229667816</t>
  </si>
  <si>
    <t>13.99062</t>
  </si>
  <si>
    <t>MB-03</t>
  </si>
  <si>
    <t>Seestraße 108, 83209 Prien am Chiemsee</t>
  </si>
  <si>
    <t>Prien am Chiemsee</t>
  </si>
  <si>
    <t>Bringt es zu Ende! Macht ein Foto an der Endhaltestelle der Chiemseebahn</t>
  </si>
  <si>
    <t>47.855513</t>
  </si>
  <si>
    <t>12.346615</t>
  </si>
  <si>
    <t>47.860955545017546</t>
  </si>
  <si>
    <t>12.36576</t>
  </si>
  <si>
    <t>MB-06</t>
  </si>
  <si>
    <t>Bruno-Kunze-Straße, 99734 Nordhausen</t>
  </si>
  <si>
    <t>Nordhausen</t>
  </si>
  <si>
    <t>Macht ein Foto von euch mit dem Bahnhof der Harzer Schmalspurbahn im Hintergrund</t>
  </si>
  <si>
    <t>51.492920</t>
  </si>
  <si>
    <t>10.789249</t>
  </si>
  <si>
    <t>51.49467568115715</t>
  </si>
  <si>
    <t>10.78451</t>
  </si>
  <si>
    <t>Im Wolfsgrund 7A, 79859 Schluchsee</t>
  </si>
  <si>
    <t>Gruppenfoto auf der Eisenbahnbrücke</t>
  </si>
  <si>
    <t>47.816868</t>
  </si>
  <si>
    <t>8.177126</t>
  </si>
  <si>
    <t>47.8181895</t>
  </si>
  <si>
    <t>8.17218</t>
  </si>
  <si>
    <t>MB-12</t>
  </si>
  <si>
    <t>Schloßbezirk 3, 76131 Karlsruhe</t>
  </si>
  <si>
    <t>Karlsruhe Marktplatz (Pyramide)</t>
  </si>
  <si>
    <t>Gruppenfoto hinter dem Schloss beim Bahnhof der Schlossgartenbahn (Bonus: mit Bahn)</t>
  </si>
  <si>
    <t>49.009237</t>
  </si>
  <si>
    <t>8.404053</t>
  </si>
  <si>
    <t>49.0141616</t>
  </si>
  <si>
    <t>8.40095</t>
  </si>
  <si>
    <t>MB-19</t>
  </si>
  <si>
    <t>Kastanienweg 2, 97279 Prosselsheim</t>
  </si>
  <si>
    <t>Seligenstadt(b Würzburg)</t>
  </si>
  <si>
    <t>Gruppenfoto auf dem Bahnsteig der Museumbahn</t>
  </si>
  <si>
    <t>49.854260</t>
  </si>
  <si>
    <t>10.102454</t>
  </si>
  <si>
    <t>49.85694085409311</t>
  </si>
  <si>
    <t>10.10207</t>
  </si>
  <si>
    <t>Kanderstraße, 79576 Weil am Rhein</t>
  </si>
  <si>
    <t>47.610831</t>
  </si>
  <si>
    <t>7.613652</t>
  </si>
  <si>
    <t>47.61475989456528</t>
  </si>
  <si>
    <t>7.61024</t>
  </si>
  <si>
    <t>MB-21</t>
  </si>
  <si>
    <t>Bernaustraße 29, 74915 Waibstadt</t>
  </si>
  <si>
    <t>Neckarbischofsheim Nord</t>
  </si>
  <si>
    <t>Gruppenfoto vor der Werkstatt-Außenstelle der ALSTOM Lokomotiven Service GmbH</t>
  </si>
  <si>
    <t>49.307098</t>
  </si>
  <si>
    <t>8.942274</t>
  </si>
  <si>
    <t>49.30798459873276</t>
  </si>
  <si>
    <t>8.94737</t>
  </si>
  <si>
    <t>MB-22</t>
  </si>
  <si>
    <t>Ob. Stegwiesen 11, 88447 Warthausen</t>
  </si>
  <si>
    <t>Warthausen</t>
  </si>
  <si>
    <t>Gruppenfoto direkt vor dem hübschen Fahrkartenhäuschen der Museumsbahn</t>
  </si>
  <si>
    <t>48.129915</t>
  </si>
  <si>
    <t>9.801661</t>
  </si>
  <si>
    <t>48.129511427875194</t>
  </si>
  <si>
    <t>9.80172</t>
  </si>
  <si>
    <t>MB-24</t>
  </si>
  <si>
    <t>Burgstraße 13, 53545 Ockenfels</t>
  </si>
  <si>
    <t>Linz(Rhein)</t>
  </si>
  <si>
    <t>Gruppenfoto vom Parkplatz der Burg Ockenfels mit dem Bahnhof (DB + Museumsbahn) Linz im Hintergrund</t>
  </si>
  <si>
    <t>50.569335</t>
  </si>
  <si>
    <t>7.276032</t>
  </si>
  <si>
    <t>50.574312441555094</t>
  </si>
  <si>
    <t>7.27222</t>
  </si>
  <si>
    <t>Bahnhofstraße, 04565 Regis-Breitingen</t>
  </si>
  <si>
    <t>51.083548</t>
  </si>
  <si>
    <t>12.426039</t>
  </si>
  <si>
    <t>51.08244911092054</t>
  </si>
  <si>
    <t>12.42510</t>
  </si>
  <si>
    <t>Lessingstraße 6, 90443 Nürnberg</t>
  </si>
  <si>
    <t>Foto mit Team an Eingangstür zum DB Museum Nürnberg</t>
  </si>
  <si>
    <t>49.44593684148476</t>
  </si>
  <si>
    <t>11.07387</t>
  </si>
  <si>
    <t>NN-04</t>
  </si>
  <si>
    <t>Bayernstraße 110, 90478 Nürnberg</t>
  </si>
  <si>
    <t>Nürnberg-Dutzendteich</t>
  </si>
  <si>
    <t>Foto mit Team an Eingangstür zum Dokumentationszentrum Reichsparteitagsgelände</t>
  </si>
  <si>
    <t>49.437070</t>
  </si>
  <si>
    <t>11.117378</t>
  </si>
  <si>
    <t>49.434049634899004</t>
  </si>
  <si>
    <t>11.11270</t>
  </si>
  <si>
    <t>Bratwurstgasse, 90403 Nürnberg</t>
  </si>
  <si>
    <t>Foto mit Team an Eingangstür zum Nürnberger Bratwurstmuseum</t>
  </si>
  <si>
    <t>49.453515668625066</t>
  </si>
  <si>
    <t>11.07356</t>
  </si>
  <si>
    <t>Michael-Ende-Straße 17, 90439 Nürnberg</t>
  </si>
  <si>
    <t>Foto mit Team an Eingangstor vom Kindermuseum Nürnberg im Kachelbau</t>
  </si>
  <si>
    <t>49.445400</t>
  </si>
  <si>
    <t>11.055338</t>
  </si>
  <si>
    <t>49.44297477749851</t>
  </si>
  <si>
    <t>11.05224</t>
  </si>
  <si>
    <t>Trödelmarkt 58, 90403 Nürnberg</t>
  </si>
  <si>
    <t>Foto mit Team an Eingangstür zum Henkerhaus Museum</t>
  </si>
  <si>
    <t>49.45353484832742</t>
  </si>
  <si>
    <t>11.07332</t>
  </si>
  <si>
    <t>Gugelstraße 79, 90459 Nürnberg</t>
  </si>
  <si>
    <t>Foto mit Team vor dem Schaufenster der Tatortreinigung Nürnberg</t>
  </si>
  <si>
    <t>49.442836</t>
  </si>
  <si>
    <t>11.068200</t>
  </si>
  <si>
    <t>49.435760796672646</t>
  </si>
  <si>
    <t>11.07575</t>
  </si>
  <si>
    <t>Geisseestraße 39, 90439 Nürnberg</t>
  </si>
  <si>
    <t>Foto mit Team vor dem Eingang Trafohaus (große graue gusseiserne Tür)</t>
  </si>
  <si>
    <t>49.434377</t>
  </si>
  <si>
    <t>11.045403</t>
  </si>
  <si>
    <t>49.43494475683584</t>
  </si>
  <si>
    <t>11.04501</t>
  </si>
  <si>
    <t>NN-23</t>
  </si>
  <si>
    <t>32, 90453 Nürnberg</t>
  </si>
  <si>
    <t>Nürnberg-Reichelsdorf</t>
  </si>
  <si>
    <t>Foto vom Feldbahn-Musuem</t>
  </si>
  <si>
    <t>49.382114</t>
  </si>
  <si>
    <t>11.038857</t>
  </si>
  <si>
    <t>49.38614</t>
  </si>
  <si>
    <t>11.02343</t>
  </si>
  <si>
    <t>RB-01</t>
  </si>
  <si>
    <t>Bahnhofstraße, 84453 Mühldorf am Inn</t>
  </si>
  <si>
    <t>Mühldorf(Oberbay)</t>
  </si>
  <si>
    <t>Foto über die Gleise. Bonus: graue Diesellok "EuroCargoRail" mit auf dem Bild</t>
  </si>
  <si>
    <t>48.248208</t>
  </si>
  <si>
    <t>12.519638</t>
  </si>
  <si>
    <t>48.248839</t>
  </si>
  <si>
    <t>12.52047</t>
  </si>
  <si>
    <t>RB-03</t>
  </si>
  <si>
    <t>Hörstener Str., 21220 Seevetal</t>
  </si>
  <si>
    <t>Maschen</t>
  </si>
  <si>
    <t>Foto zwischen Lehrwerkstatt und Bezirk 2/Süden. BONUS: Foto mit einem Hemmschuh (darf auch selbst mitgebracht sein ;-P)</t>
  </si>
  <si>
    <t>53.403815</t>
  </si>
  <si>
    <t>10.065662</t>
  </si>
  <si>
    <t>53.4022000686826</t>
  </si>
  <si>
    <t>10.06049</t>
  </si>
  <si>
    <t>RB-05</t>
  </si>
  <si>
    <t>Cheruskerstraße 25a, 46117 Oberhausen</t>
  </si>
  <si>
    <t>Oberhausen-Osterfeld Süd</t>
  </si>
  <si>
    <t>Foto vom Denkmal vor dem DB Cargo Gebäude (Achse). BONUS: Foto mit einem Hemmschuh (darf auch selbst mitgebracht sein ;-P)</t>
  </si>
  <si>
    <t>51.499889</t>
  </si>
  <si>
    <t>6.885134</t>
  </si>
  <si>
    <t>51.500379356819714</t>
  </si>
  <si>
    <t>6.89332</t>
  </si>
  <si>
    <t>RB-06</t>
  </si>
  <si>
    <t>Niebuhrstraße 57, 46049 Oberhausen</t>
  </si>
  <si>
    <t>Duisburg-Meiderich Ost</t>
  </si>
  <si>
    <t>Foto bei der DB Cargo Meldestelle BONUS: Foto mit einem Hemmschuh (darf auch selbst mitgebracht sein ;-P)</t>
  </si>
  <si>
    <t>51.468855</t>
  </si>
  <si>
    <t>6.800789</t>
  </si>
  <si>
    <t>51.47238344349448</t>
  </si>
  <si>
    <t>6.81681</t>
  </si>
  <si>
    <t>RB-09</t>
  </si>
  <si>
    <t>L542, Mannheim</t>
  </si>
  <si>
    <t>Mannheim-Seckenheim</t>
  </si>
  <si>
    <t xml:space="preserve">Foto von den Koordinaten über den Rangierbahnhof.  BONUS: Foto mit einem Hemmschuh (darf auch selbst mitgebracht sein ;-P) </t>
  </si>
  <si>
    <t>49.451266</t>
  </si>
  <si>
    <t>8.538440</t>
  </si>
  <si>
    <t>49.45020496854883</t>
  </si>
  <si>
    <t>8.53619</t>
  </si>
  <si>
    <t>RB-16</t>
  </si>
  <si>
    <t>Oststraße 25, 36179 Bebra</t>
  </si>
  <si>
    <t>Bebra</t>
  </si>
  <si>
    <t>Foto vor dem Eisenbahnmuseum Bebra.  BONUS: Foto mit einem Hemmschuh (darf auch selbst mitgebracht sein ;-P)</t>
  </si>
  <si>
    <t>50.969568</t>
  </si>
  <si>
    <t>9.797788</t>
  </si>
  <si>
    <t>50.96503263757791</t>
  </si>
  <si>
    <t>9.80285</t>
  </si>
  <si>
    <t>RB-18</t>
  </si>
  <si>
    <t>Hartmannstraße 20a, 58099 Hagen</t>
  </si>
  <si>
    <t>Hagen-Vorhalle</t>
  </si>
  <si>
    <t>Foto vor dem Museum für Stellwerktechnik.  BONUS: Foto mit einem Hemmschuh (darf auch selbst mitgebracht sein ;-P)</t>
  </si>
  <si>
    <t>51.388224</t>
  </si>
  <si>
    <t>7.433726</t>
  </si>
  <si>
    <t>51.38635564030184</t>
  </si>
  <si>
    <t>7.43023</t>
  </si>
  <si>
    <t>Güterbahnhofstraße 6, 08056 Zwickau</t>
  </si>
  <si>
    <t>Foto von dem Bockkran am Güterbahnhof aus &lt;50m Entfernung.  BONUS: Foto mit einem Hemmschuh (darf auch selbst mitgebracht sein ;-P)</t>
  </si>
  <si>
    <t>50.714668</t>
  </si>
  <si>
    <t>12.474716</t>
  </si>
  <si>
    <t>50.71743244815804</t>
  </si>
  <si>
    <t>12.47594</t>
  </si>
  <si>
    <t>RB-22</t>
  </si>
  <si>
    <t>Elisabethstraße 3, 85051 Ingolstadt</t>
  </si>
  <si>
    <t>Ingolstadt Hbf</t>
  </si>
  <si>
    <t>Foto vom obersten Deck des Parkhauses mit Blick auf den Rbf. BONUS: Foto mit Audifahrzeugen im Bild</t>
  </si>
  <si>
    <t>48.744541</t>
  </si>
  <si>
    <t>11.437337</t>
  </si>
  <si>
    <t>48.74383861849389</t>
  </si>
  <si>
    <t>11.43715</t>
  </si>
  <si>
    <t>RB-25</t>
  </si>
  <si>
    <t>Siegener Str., 57223 Kreuztal</t>
  </si>
  <si>
    <t>Kreuztal</t>
  </si>
  <si>
    <t>Foto von der Brücke in Richtung des Rbf. BONUS: Foto mit einem Hemmschuh (darf auch selbst mitgebracht sein ;-P)</t>
  </si>
  <si>
    <t>50.956029</t>
  </si>
  <si>
    <t>7.991696</t>
  </si>
  <si>
    <t>50.95003262663428</t>
  </si>
  <si>
    <t>7.99836</t>
  </si>
  <si>
    <t>RM-02</t>
  </si>
  <si>
    <t>Dieburger Str. 27, 63322 Rödermark</t>
  </si>
  <si>
    <t>Rödermark-Ober Roden</t>
  </si>
  <si>
    <t>Macht ein Bild in dem ihr zeigt, dass ihr Kultur habt, vor der Kulturhalle</t>
  </si>
  <si>
    <t>49.973622</t>
  </si>
  <si>
    <t>8.828961</t>
  </si>
  <si>
    <t>49.9763887307932</t>
  </si>
  <si>
    <t>8.82789</t>
  </si>
  <si>
    <t>RM-08</t>
  </si>
  <si>
    <t>Langener Straße 1, 64546 Mörfelden-Walldorf</t>
  </si>
  <si>
    <t>Mörfelden</t>
  </si>
  <si>
    <t>Foto mit dem Erzählstein im Brunnen vor dem Alten Rathaus</t>
  </si>
  <si>
    <t>49.979000</t>
  </si>
  <si>
    <t>8.565384</t>
  </si>
  <si>
    <t>49.9759</t>
  </si>
  <si>
    <t>8.5679</t>
  </si>
  <si>
    <t>RM-09</t>
  </si>
  <si>
    <t>Mainberg 2, 65929 Frankfurt am Main</t>
  </si>
  <si>
    <t>Frankfurt-Höchst</t>
  </si>
  <si>
    <t>Foto vor der Mainfähre Schwanheim (Fähre und Gruppe auf dem Bild) Bonus: Fährmann/Kapitän ist mit auf dem Bild</t>
  </si>
  <si>
    <t>50.102634</t>
  </si>
  <si>
    <t>8.542370</t>
  </si>
  <si>
    <t>50.0989</t>
  </si>
  <si>
    <t>8.5500</t>
  </si>
  <si>
    <t>RM-12</t>
  </si>
  <si>
    <t>Rheinuferstraße, 65385 Aßmannshausen</t>
  </si>
  <si>
    <t>Assmannshausen</t>
  </si>
  <si>
    <t>Foto mit Burg Rheinstein vom KD-Pier (letzter Schiffsanleger)</t>
  </si>
  <si>
    <t>49.985324</t>
  </si>
  <si>
    <t>7.867355</t>
  </si>
  <si>
    <t>49.9913</t>
  </si>
  <si>
    <t>7.8643</t>
  </si>
  <si>
    <t>RM-13</t>
  </si>
  <si>
    <t>Bleiche 2, 55411 Bingen am Rhein</t>
  </si>
  <si>
    <t>Bingen(Rhein) Hbf</t>
  </si>
  <si>
    <t>Foto mit Mäuseturm im Hintergrund vom Rhein-Nahe-Eck</t>
  </si>
  <si>
    <t>49.968729</t>
  </si>
  <si>
    <t>7.884263</t>
  </si>
  <si>
    <t>49.9699</t>
  </si>
  <si>
    <t>7.8898</t>
  </si>
  <si>
    <t>RM-14</t>
  </si>
  <si>
    <t>Neben der A5, 63263 Neu-Isenburg</t>
  </si>
  <si>
    <t>Zeppelinheim</t>
  </si>
  <si>
    <t>Foto vom Luftbrückendenkmal und Rosinenbomber</t>
  </si>
  <si>
    <t>50.036516</t>
  </si>
  <si>
    <t>8.605153</t>
  </si>
  <si>
    <t>50.0381</t>
  </si>
  <si>
    <t>8.5955</t>
  </si>
  <si>
    <t>RM-18</t>
  </si>
  <si>
    <t>Ludwigspl. 13, 63165 Mühlheim am Main</t>
  </si>
  <si>
    <t>Mühlheim(Main)</t>
  </si>
  <si>
    <t>Foto auf dem Ludwigsplatz.</t>
  </si>
  <si>
    <t>50.119187</t>
  </si>
  <si>
    <t>8.837922</t>
  </si>
  <si>
    <t>50.121816653010484</t>
  </si>
  <si>
    <t>8.83804</t>
  </si>
  <si>
    <t>RM-20</t>
  </si>
  <si>
    <t>Rathausstraße 1, 63628 Bad Soden-Salmünster</t>
  </si>
  <si>
    <t>Bad Soden-Salmünster</t>
  </si>
  <si>
    <t>Foto vor dem Rathaus</t>
  </si>
  <si>
    <t>50.280742</t>
  </si>
  <si>
    <t>9.372053</t>
  </si>
  <si>
    <t>50.2763</t>
  </si>
  <si>
    <t>9.3675</t>
  </si>
  <si>
    <t>RM-23</t>
  </si>
  <si>
    <t>Unter d. Stadt, 63667 Nidda</t>
  </si>
  <si>
    <t>Nidda</t>
  </si>
  <si>
    <t>Foto in Nidda mit der Nidda. Bonus: Geht mit den Füßen ins Wasser der Nidda.</t>
  </si>
  <si>
    <t>50.411276</t>
  </si>
  <si>
    <t>8.999197</t>
  </si>
  <si>
    <t>50.410810722577935</t>
  </si>
  <si>
    <t>9.00461</t>
  </si>
  <si>
    <t>RM-25</t>
  </si>
  <si>
    <t>61118 Bad Vilbel</t>
  </si>
  <si>
    <t>Bad Vilbel</t>
  </si>
  <si>
    <t>Macht ein Foto am Wasserspielplatz mit euren Füßen im Wasser. Sollte kein Wasser vorhanden sein, weicht auf die Nidda aus.</t>
  </si>
  <si>
    <t>50.188588</t>
  </si>
  <si>
    <t>8.739560</t>
  </si>
  <si>
    <t>50.18753703759431</t>
  </si>
  <si>
    <t>8.74794</t>
  </si>
  <si>
    <t>ST-01</t>
  </si>
  <si>
    <t>Universitätsallee 1, 85072 Eichstätt</t>
  </si>
  <si>
    <t>Eichstätt Stadt</t>
  </si>
  <si>
    <t>Macht ein Bild vor der Universitätsbibliothek der KU</t>
  </si>
  <si>
    <t>48.893296</t>
  </si>
  <si>
    <t>11.179602</t>
  </si>
  <si>
    <t>48.8867</t>
  </si>
  <si>
    <t>11.1918</t>
  </si>
  <si>
    <t>ST-03</t>
  </si>
  <si>
    <t>37269 Eschwege</t>
  </si>
  <si>
    <t>Eschwege</t>
  </si>
  <si>
    <t>Macht salutierend ein Gruppenfoto mit der alten Kanonenbahnbrücke im Hintergrund</t>
  </si>
  <si>
    <t>51.191754</t>
  </si>
  <si>
    <t>10.042586</t>
  </si>
  <si>
    <t>51.19300845013363</t>
  </si>
  <si>
    <t>10.04745</t>
  </si>
  <si>
    <t>ST-09</t>
  </si>
  <si>
    <t>Trift 1, 15526 Bad Saarow</t>
  </si>
  <si>
    <t>Bad Saarow-Pieskow</t>
  </si>
  <si>
    <t>Macht ein Foto am Strand - Bonuspunkte wenn ihr ein Bild beim Baden macht</t>
  </si>
  <si>
    <t>52.271010</t>
  </si>
  <si>
    <t>14.070825</t>
  </si>
  <si>
    <t>52.26394915912582</t>
  </si>
  <si>
    <t>14.06597</t>
  </si>
  <si>
    <t>ST-10</t>
  </si>
  <si>
    <t>Breitenwiesweg 25, 93449 Waldmünchen</t>
  </si>
  <si>
    <t>Waldmünchen</t>
  </si>
  <si>
    <t>Macht ein Foto vor dem großen Schiff im Stadtpark</t>
  </si>
  <si>
    <t>49.377886</t>
  </si>
  <si>
    <t>12.696007</t>
  </si>
  <si>
    <t>49.380091506045495</t>
  </si>
  <si>
    <t>12.70491</t>
  </si>
  <si>
    <t>ST-13</t>
  </si>
  <si>
    <t>37574 Einbeck</t>
  </si>
  <si>
    <t>Einbeck Mitte</t>
  </si>
  <si>
    <t>Macht ein Bild im Stiftsgarten mit den Gleisen der Ilmetalbahn im Hintergrund. Bonus: Ein Gruppenmitglied trinkt ein Getränk der Brauerei Einbeck und drückt seine Meinung über dessen Geschmack aus</t>
  </si>
  <si>
    <t>51.818531</t>
  </si>
  <si>
    <t>9.875293</t>
  </si>
  <si>
    <t>51.82056012841394</t>
  </si>
  <si>
    <t>9.87117</t>
  </si>
  <si>
    <t>ST-17</t>
  </si>
  <si>
    <t>Eberstädter Str. 69, 64319 Pfungstadt</t>
  </si>
  <si>
    <t>Pfungstadt</t>
  </si>
  <si>
    <t>Macht ein Bild vor der ehemaligen Pfungstädter-Brauerei</t>
  </si>
  <si>
    <t>49.806223</t>
  </si>
  <si>
    <t>8.607033</t>
  </si>
  <si>
    <t>49.805475309834776</t>
  </si>
  <si>
    <t>8.60644</t>
  </si>
  <si>
    <t>ST-19</t>
  </si>
  <si>
    <t>Vorm Würzburger Tor, 91541 Rothenburg ob der Tauber</t>
  </si>
  <si>
    <t>Rothenburg ob der Tauber</t>
  </si>
  <si>
    <t>Gruppenfoto vor dem Galgentor mit Stadtmauer im Hintergrund</t>
  </si>
  <si>
    <t>49.376690</t>
  </si>
  <si>
    <t>10.190700</t>
  </si>
  <si>
    <t>49.37970481186161</t>
  </si>
  <si>
    <t>10.18445</t>
  </si>
  <si>
    <t>ST-25</t>
  </si>
  <si>
    <t>Bahnhofstraße 54, 94252 Bayerisch Eisenstein</t>
  </si>
  <si>
    <t>Bayerisch Eisenstein</t>
  </si>
  <si>
    <t>Foto AUF der Staatsgrenze vor dem Bahnhof (Gleisseite)</t>
  </si>
  <si>
    <t>49.121470</t>
  </si>
  <si>
    <t>13.208802</t>
  </si>
  <si>
    <t>49.1218313</t>
  </si>
  <si>
    <t>13.20909</t>
  </si>
  <si>
    <t>TS-01</t>
  </si>
  <si>
    <t>Ortenburg 1, 02625 Bautzen</t>
  </si>
  <si>
    <t>Bautzen</t>
  </si>
  <si>
    <t>Macht ein Foto vor der Ortenburg</t>
  </si>
  <si>
    <t>51.173097</t>
  </si>
  <si>
    <t>14.428735</t>
  </si>
  <si>
    <t>51.183424136110084</t>
  </si>
  <si>
    <t>14.42035</t>
  </si>
  <si>
    <t>TS-04</t>
  </si>
  <si>
    <t>99867 Gotha</t>
  </si>
  <si>
    <t>Gotha</t>
  </si>
  <si>
    <t>Macht ein Foto von euch mit Schloss Friedenstein im Hintergrund</t>
  </si>
  <si>
    <t>50.939070</t>
  </si>
  <si>
    <t>10.712568</t>
  </si>
  <si>
    <t>50.94426800585321</t>
  </si>
  <si>
    <t>10.70532</t>
  </si>
  <si>
    <t>TS-07</t>
  </si>
  <si>
    <t>Hafenstraße 2, 06249 Mücheln (Geiseltal)</t>
  </si>
  <si>
    <t>Mücheln(Geiseltal) Stadt</t>
  </si>
  <si>
    <t>Macht eine Pause am Geiseltalsee. Bonus: Foto mit Füßen im Wasser und Eis in der Hand</t>
  </si>
  <si>
    <t>51.303855</t>
  </si>
  <si>
    <t>11.813771</t>
  </si>
  <si>
    <t>51.3065528162933</t>
  </si>
  <si>
    <t>11.81414</t>
  </si>
  <si>
    <t>Bayerischer Bahnhof, Bayrischer Pl. 1, 04103 Leipzig</t>
  </si>
  <si>
    <t>Macht ein Foto vor dem alten Bahnhofsgebäude des Sächsisch-Bayerischen Bahnhofs. Bonus: Gönnt euch ein "Bahner"-Bier in der Brauerei Bayerischer Bahnhof.</t>
  </si>
  <si>
    <t>51.329267</t>
  </si>
  <si>
    <t>12.381658</t>
  </si>
  <si>
    <t>51.329617834573455</t>
  </si>
  <si>
    <t>12.38144</t>
  </si>
  <si>
    <t>TS-11</t>
  </si>
  <si>
    <t>Lennéstraße 12, 01069 Dresden</t>
  </si>
  <si>
    <t>Dresden Hbf</t>
  </si>
  <si>
    <t>Macht ein Foto vor dem ehrwürdigen Rudolf-Harbig-Stadion</t>
  </si>
  <si>
    <t>51.040563</t>
  </si>
  <si>
    <t>13.732035</t>
  </si>
  <si>
    <t>51.04087671278824</t>
  </si>
  <si>
    <t>13.74803</t>
  </si>
  <si>
    <t>TS-12</t>
  </si>
  <si>
    <t>Str. des 18. Oktober 100, 04299 Leipzig</t>
  </si>
  <si>
    <t>Leipzig Völkerschlachtdenkmal</t>
  </si>
  <si>
    <t>Macht ein Foto vor dem Völkerschlachtdenkmal in Leipzig</t>
  </si>
  <si>
    <t>51.318741</t>
  </si>
  <si>
    <t>12.406284</t>
  </si>
  <si>
    <t>51.31295147127358</t>
  </si>
  <si>
    <t>12.41319</t>
  </si>
  <si>
    <t>Audistraße 12, 08058 Zwickau</t>
  </si>
  <si>
    <t>Macht ein Gruppenfoto vor dem Trabant-Denkmal</t>
  </si>
  <si>
    <t>50.737212</t>
  </si>
  <si>
    <t>12.479662</t>
  </si>
  <si>
    <t>50.73339129378885</t>
  </si>
  <si>
    <t>12.48460</t>
  </si>
  <si>
    <t>TS-14</t>
  </si>
  <si>
    <t>09573 Augustusburg</t>
  </si>
  <si>
    <t>Erdmannsdorf-Augustusburg</t>
  </si>
  <si>
    <t>Macht ein Foto vor dem Haupteingang der Drahtseilbahn, Bonus: Foto in der Bahn</t>
  </si>
  <si>
    <t>50.821150</t>
  </si>
  <si>
    <t>13.083940</t>
  </si>
  <si>
    <t>50.82072763276608</t>
  </si>
  <si>
    <t>13.08443</t>
  </si>
  <si>
    <t>TS-18</t>
  </si>
  <si>
    <t>Am Flutgraben 2, 98617 Meiningen</t>
  </si>
  <si>
    <t>Meiningen</t>
  </si>
  <si>
    <t>Gruppenfoto vor dem Dampflokwerk/ Dampflok-Erlebniswelt</t>
  </si>
  <si>
    <t>50.574070</t>
  </si>
  <si>
    <t>10.421205</t>
  </si>
  <si>
    <t>50.58196479701943</t>
  </si>
  <si>
    <t>10.42100</t>
  </si>
  <si>
    <t>TS-19</t>
  </si>
  <si>
    <t>Leutragraben, 07743 Jena</t>
  </si>
  <si>
    <t>Jena Paradies</t>
  </si>
  <si>
    <t>Gruppenfoto vor dem Anatomieturm</t>
  </si>
  <si>
    <t>50.924856</t>
  </si>
  <si>
    <t>11.587461</t>
  </si>
  <si>
    <t>50.92801081404642</t>
  </si>
  <si>
    <t>11.58390</t>
  </si>
  <si>
    <t>UK-10</t>
  </si>
  <si>
    <t>Rathaus des westfälischen Friedens, Markt 30, 49074 Osnabrück</t>
  </si>
  <si>
    <t>Osnabrück Hbf</t>
  </si>
  <si>
    <t>Foto vom Team vor dem Historischen Rathaus Osnabrück</t>
  </si>
  <si>
    <t>52.272851</t>
  </si>
  <si>
    <t>8.061781</t>
  </si>
  <si>
    <t>52.277446759430916</t>
  </si>
  <si>
    <t>8.04138</t>
  </si>
  <si>
    <t>UK-12</t>
  </si>
  <si>
    <t>Cecilienstraße 2, 66111 Saarbrücken</t>
  </si>
  <si>
    <t>Saarbrücken Hbf</t>
  </si>
  <si>
    <t xml:space="preserve">Mache ein Bild vor der Johanneskirche </t>
  </si>
  <si>
    <t>49.241065</t>
  </si>
  <si>
    <t>6.991021</t>
  </si>
  <si>
    <t>49.23611689741826</t>
  </si>
  <si>
    <t>6.99663</t>
  </si>
  <si>
    <t>Oberer Rheinweg 111, 4058 Basel, Schweiz</t>
  </si>
  <si>
    <t xml:space="preserve">Mache ein Gruppenbild auf dem der Rhein und der Basler Münster zu erkenenn ist. </t>
  </si>
  <si>
    <t>47.567288</t>
  </si>
  <si>
    <t>7.607805</t>
  </si>
  <si>
    <t>47.55631650229689</t>
  </si>
  <si>
    <t>7.59592</t>
  </si>
  <si>
    <t>Tiergartenweg, 76137 Karlsruhe</t>
  </si>
  <si>
    <t>Mache ein Bild von der Brücke über den Zoo. Bonus: Es sind Elefanten zu sehen.</t>
  </si>
  <si>
    <t>48.993515</t>
  </si>
  <si>
    <t>8.402181</t>
  </si>
  <si>
    <t>48.998705419061096</t>
  </si>
  <si>
    <t>8.40062</t>
  </si>
  <si>
    <t>UK-16</t>
  </si>
  <si>
    <t>Rotebühlpl. 20, 70173 Stuttgart</t>
  </si>
  <si>
    <t>Stuttgart Hbf</t>
  </si>
  <si>
    <t>Mache ein Bild  von Zeit für Brot. Bonus: Kauft eine Weiße Schoko-Himmbeerschnecke</t>
  </si>
  <si>
    <t>48.784084</t>
  </si>
  <si>
    <t>9.181635</t>
  </si>
  <si>
    <t>48.775039413177986</t>
  </si>
  <si>
    <t>9.17221</t>
  </si>
  <si>
    <t>UK-17</t>
  </si>
  <si>
    <t>Bahnhofsallee 1, 37081 Göttingen</t>
  </si>
  <si>
    <t>Göttingen</t>
  </si>
  <si>
    <t>Foto vom Team vor der Lokhalle</t>
  </si>
  <si>
    <t>51.536815</t>
  </si>
  <si>
    <t>9.926072</t>
  </si>
  <si>
    <t>51.5370159789814</t>
  </si>
  <si>
    <t>9.92259</t>
  </si>
  <si>
    <t>UK-18</t>
  </si>
  <si>
    <t>Alte Freiheit, 42103 Wuppertal</t>
  </si>
  <si>
    <t>Wuppertal Hbf</t>
  </si>
  <si>
    <t>Foto vom Team vor einer Schwebebahn</t>
  </si>
  <si>
    <t>51.254363</t>
  </si>
  <si>
    <t>7.149543</t>
  </si>
  <si>
    <t>51.25627259739616</t>
  </si>
  <si>
    <t>7.14866</t>
  </si>
  <si>
    <t>UK-25</t>
  </si>
  <si>
    <t>Willy-Brandt-Platz, 46045 Oberhausen</t>
  </si>
  <si>
    <t>Oberhausen Hbf</t>
  </si>
  <si>
    <t>Foto vom Team am Museumsbahnsteig</t>
  </si>
  <si>
    <t>51.474878</t>
  </si>
  <si>
    <t>6.851588</t>
  </si>
  <si>
    <t>51.4752532</t>
  </si>
  <si>
    <t>6.85311</t>
  </si>
  <si>
    <t>UN-01</t>
  </si>
  <si>
    <t>Domhof 1, 52062 Aachen</t>
  </si>
  <si>
    <t>Aachen Schanz</t>
  </si>
  <si>
    <t>Mache ein Foto vor der Wolfstür vom Aachner Dom.</t>
  </si>
  <si>
    <t>50.769862</t>
  </si>
  <si>
    <t>6.073840</t>
  </si>
  <si>
    <t>50.77488263027059</t>
  </si>
  <si>
    <t>6.08395</t>
  </si>
  <si>
    <t>UN-02</t>
  </si>
  <si>
    <t>Domplatz, 67346 Speyer</t>
  </si>
  <si>
    <t>Speyer Hbf</t>
  </si>
  <si>
    <t>Mach ein Video wie einer von euch 2 Runden auf dem Rand des Brunnens vorm Speyerer Dom läuft.</t>
  </si>
  <si>
    <t>49.324119</t>
  </si>
  <si>
    <t>8.427949</t>
  </si>
  <si>
    <t>49.31738773263775</t>
  </si>
  <si>
    <t>8.44230</t>
  </si>
  <si>
    <t>UN-07</t>
  </si>
  <si>
    <t>Mies-van-der-Rohe-Platz 1, 06844 Dessau-Roßlau</t>
  </si>
  <si>
    <t>Dessau Hbf</t>
  </si>
  <si>
    <t>Stelle eine typische Bauhausform vor dem Bauhaus Hauptgebäude in Dessau dar.</t>
  </si>
  <si>
    <t>51.839865</t>
  </si>
  <si>
    <t>12.234945</t>
  </si>
  <si>
    <t>51.83441656809593</t>
  </si>
  <si>
    <t>12.24226</t>
  </si>
  <si>
    <t>UN-09</t>
  </si>
  <si>
    <t>Klosterstraße 2, 73547 Lorch</t>
  </si>
  <si>
    <t>Lorch(Württ)</t>
  </si>
  <si>
    <t>Finde die Grundmauern der einst gewaltigen Abteikirche vom Kloster Lorsch.</t>
  </si>
  <si>
    <t>48.797906</t>
  </si>
  <si>
    <t>9.695761</t>
  </si>
  <si>
    <t>48.79965089345939</t>
  </si>
  <si>
    <t>9.70492</t>
  </si>
  <si>
    <t>UN-12</t>
  </si>
  <si>
    <t>Domhof, 31134 Hildesheim</t>
  </si>
  <si>
    <t>Hildesheim Hbf</t>
  </si>
  <si>
    <t>Dom Mariä Himmelfahrt zu Hildesheim</t>
  </si>
  <si>
    <t>52.160626</t>
  </si>
  <si>
    <t>9.953497</t>
  </si>
  <si>
    <t>52.14919336597035</t>
  </si>
  <si>
    <t>9.94724</t>
  </si>
  <si>
    <t>UN-13</t>
  </si>
  <si>
    <t>Kirchgasse 35, 06786 Oranienbaum-Wörlitz</t>
  </si>
  <si>
    <t>Wörlitz</t>
  </si>
  <si>
    <t>Mach ein Foto auf der Zugbrücke im Gartenreich Dessau - Wörlitz</t>
  </si>
  <si>
    <t>51.837865</t>
  </si>
  <si>
    <t>12.421732</t>
  </si>
  <si>
    <t>51.84549034982036</t>
  </si>
  <si>
    <t>12.42195</t>
  </si>
  <si>
    <t>UN-17</t>
  </si>
  <si>
    <t>An d. Burg Katz 3, 56346 St. Goarshausen</t>
  </si>
  <si>
    <t>St Goarshausen</t>
  </si>
  <si>
    <t>Mach an der Baumskulptur Loreley ein Bild mit der Burg Katz</t>
  </si>
  <si>
    <t>50.155942</t>
  </si>
  <si>
    <t>7.714425</t>
  </si>
  <si>
    <t>50.152217139321145</t>
  </si>
  <si>
    <t>7.72402</t>
  </si>
  <si>
    <t>UN-18</t>
  </si>
  <si>
    <t>Markt 1, 38640 Goslar</t>
  </si>
  <si>
    <t>Goslar</t>
  </si>
  <si>
    <t>Macht ein Selfie auf der öffentliche Toilette in der Touristen Information in Goslar</t>
  </si>
  <si>
    <t>51.911573</t>
  </si>
  <si>
    <t>10.421436</t>
  </si>
  <si>
    <t>51.90584436634281</t>
  </si>
  <si>
    <t>10.42853</t>
  </si>
  <si>
    <t>UN-23</t>
  </si>
  <si>
    <t>Wilhelmshöher Allee 380, 34131 Kassel</t>
  </si>
  <si>
    <t>Kassel-Wilhelmshöhe</t>
  </si>
  <si>
    <t>Gruppenfoto vor dem Besucherzentrum Wilhelmshöhe</t>
  </si>
  <si>
    <t>51.312559</t>
  </si>
  <si>
    <t>9.447116</t>
  </si>
  <si>
    <t>51.31544025024804</t>
  </si>
  <si>
    <t>9.42350</t>
  </si>
  <si>
    <t>UN-25</t>
  </si>
  <si>
    <t>Sankt-Johann-Straße 5, 73430 Aalen</t>
  </si>
  <si>
    <t>Aalen Hbf</t>
  </si>
  <si>
    <t>Stell dich in Römerpose vor dem Limesmuseum Aalen dar.</t>
  </si>
  <si>
    <t>48.841013</t>
  </si>
  <si>
    <t>10.096271</t>
  </si>
  <si>
    <t>48.83640833699937</t>
  </si>
  <si>
    <t>10.08414</t>
  </si>
  <si>
    <t>WL-03</t>
  </si>
  <si>
    <t>L87, 56598 Rheinbrohl</t>
  </si>
  <si>
    <t>Rheinbrohl</t>
  </si>
  <si>
    <t>Gehe zum Limesturm I und macht ein Gruppenfoto davor</t>
  </si>
  <si>
    <t>50.489493</t>
  </si>
  <si>
    <t>7.333427</t>
  </si>
  <si>
    <t>50.50359741232492</t>
  </si>
  <si>
    <t>7.31796</t>
  </si>
  <si>
    <t>WL-05</t>
  </si>
  <si>
    <t>09577 Niederwiesa</t>
  </si>
  <si>
    <t>Braunsdorf-Lichtenwalde</t>
  </si>
  <si>
    <t>Gehe zum Schloss und Park Lichtenwalde und macht ein Teambild vor dem Wasserspiel Sieben Künste</t>
  </si>
  <si>
    <t>50.879776</t>
  </si>
  <si>
    <t>13.011854</t>
  </si>
  <si>
    <t>50.88107140476047</t>
  </si>
  <si>
    <t>13.00694</t>
  </si>
  <si>
    <t>WL-06</t>
  </si>
  <si>
    <t>Kirchpl. 8, 91322 Gräfenberg</t>
  </si>
  <si>
    <t>Foto vor dem Rathaus von Gräfenberg</t>
  </si>
  <si>
    <t>49.64198707910875</t>
  </si>
  <si>
    <t>11.25052</t>
  </si>
  <si>
    <t>WL-09</t>
  </si>
  <si>
    <t>Müngstener Brückenweg 92, 42659 Solingen</t>
  </si>
  <si>
    <t>Solingen-Schaberg</t>
  </si>
  <si>
    <t>Gruppenfoto von der Müngstener Brücke aus dem Tal der Wupper; Bonus: Fahrt mit der Schwebefähre auf die andere Seite der Wupper.</t>
  </si>
  <si>
    <t>51.163206</t>
  </si>
  <si>
    <t>7.128182</t>
  </si>
  <si>
    <t>51.159551</t>
  </si>
  <si>
    <t>7.13147</t>
  </si>
  <si>
    <t>Schlossbergring 3, 79098 Freiburg im Breisgau</t>
  </si>
  <si>
    <t>Macht ein Bild vom Kanonenplatz (Freiburger Münster im Hintergrund)</t>
  </si>
  <si>
    <t>47.997697</t>
  </si>
  <si>
    <t>7.841170</t>
  </si>
  <si>
    <t>47.99331950245773</t>
  </si>
  <si>
    <t>7.85716</t>
  </si>
  <si>
    <t>WL-14</t>
  </si>
  <si>
    <t>Leonhardstraße 10, 74080 Heilbronn</t>
  </si>
  <si>
    <t>Böckingen Sonnenbrunnen</t>
  </si>
  <si>
    <t>Macht ein Foto mit der Rehscheibe des BW Werks am Tor</t>
  </si>
  <si>
    <t>49.140655</t>
  </si>
  <si>
    <t>9.191198</t>
  </si>
  <si>
    <t>49.140051782750604</t>
  </si>
  <si>
    <t>9.19250</t>
  </si>
  <si>
    <t>WL-19</t>
  </si>
  <si>
    <t>Burgweg 2, 38690 Vienenburg</t>
  </si>
  <si>
    <t>Vienenburg</t>
  </si>
  <si>
    <t>Laufe zum Schloss und mache ein Foto</t>
  </si>
  <si>
    <t>51.955034</t>
  </si>
  <si>
    <t>10.562174</t>
  </si>
  <si>
    <t>51.94780</t>
  </si>
  <si>
    <t>10.56398</t>
  </si>
  <si>
    <t>Ignaz-Gfell-Platz 3, 79868 Feldberg (Schwarzwald)</t>
  </si>
  <si>
    <t>Foto vor der höchstgelegenen LIDL-Filiale Deutschlands (Bonus: Gebäck aus dem Café Schwarzwaldmaidle kaufen und genießen)</t>
  </si>
  <si>
    <t>47.871444</t>
  </si>
  <si>
    <t>8.098294</t>
  </si>
  <si>
    <t>47.86922901689823</t>
  </si>
  <si>
    <t>8.09601</t>
  </si>
  <si>
    <t>WL-23</t>
  </si>
  <si>
    <t>01814 Reinhardtsdorf-Schöna</t>
  </si>
  <si>
    <t>Schmilka-Hirschmühle</t>
  </si>
  <si>
    <t>Foto vom Anleger der Schmilka Fähre. Bonus: Ein Kaltgetränk in der ''letzte Tankstelle vor der Wildnis'' einnehmen und dokumentieren - via Fähre den Ort hoch</t>
  </si>
  <si>
    <t>50.889918</t>
  </si>
  <si>
    <t>14.228419</t>
  </si>
  <si>
    <t>50.89043884302518</t>
  </si>
  <si>
    <t>14.22884</t>
  </si>
  <si>
    <t>WL-24</t>
  </si>
  <si>
    <t>Dr.-Friedrichs-Ring 1, 08056 Zwickau</t>
  </si>
  <si>
    <t>Zwickau Zentrum</t>
  </si>
  <si>
    <t>Gruppenfoto mit einem Dreischienengleis im Hintergrund. Bonus: siehe Zusatzinfos</t>
  </si>
  <si>
    <t>50.715544</t>
  </si>
  <si>
    <t>12.496893</t>
  </si>
  <si>
    <t>50.71468818696628</t>
  </si>
  <si>
    <t>12.49672</t>
  </si>
  <si>
    <t>Seestraße 20, 88045 Friedrichshafen</t>
  </si>
  <si>
    <t>Mache ein Foto vor dem Moleturm auf dem Steg, Bonus: auf dem Turm</t>
  </si>
  <si>
    <t>47.651208</t>
  </si>
  <si>
    <t>9.482819</t>
  </si>
  <si>
    <t>47.6485903</t>
  </si>
  <si>
    <t>9.48204</t>
  </si>
  <si>
    <t>WL-27</t>
  </si>
  <si>
    <t>Perfallstraße 4b, 83727 Schliersee</t>
  </si>
  <si>
    <t>Schliersee</t>
  </si>
  <si>
    <t>Mache ein Foto am Ufer des Schliersees, bei der Schliersee Schifffahrt Mayr GbR</t>
  </si>
  <si>
    <t>47.735581</t>
  </si>
  <si>
    <t>11.859586</t>
  </si>
  <si>
    <t>47.7329793</t>
  </si>
  <si>
    <t>11.86050</t>
  </si>
  <si>
    <t>WL-28</t>
  </si>
  <si>
    <t>Vogtsbauernhof 1, 77793 Gutach (Schwarzwaldbahn)</t>
  </si>
  <si>
    <t>Gutach Freilichtmuseum</t>
  </si>
  <si>
    <t xml:space="preserve">Foto mit einem historischem Gebäude aus dem Freilichtmuseum Gutach im Hintergrund. Bonus: Im Bild ist zusätzlich noch ein Schwarzwaldmädel mit schwarzwälder Bollenhut oder zumindest ein schwarzwälder Bollenhut zu sehen. </t>
  </si>
  <si>
    <t>48.271677</t>
  </si>
  <si>
    <t>8.198572</t>
  </si>
  <si>
    <t>48.27028434960649</t>
  </si>
  <si>
    <t>8.20090</t>
  </si>
  <si>
    <t>WL-29</t>
  </si>
  <si>
    <t>Torgasse 13, 71672 Marbach am Neckar</t>
  </si>
  <si>
    <t>Marbach(Neckar)</t>
  </si>
  <si>
    <t>Foto vor dem Tobias-Mayer Museum. Bonus: Besucht das Museum für mindestens 10 Minuten</t>
  </si>
  <si>
    <t>48.943709</t>
  </si>
  <si>
    <t>9.264624</t>
  </si>
  <si>
    <t>48.94053410381746</t>
  </si>
  <si>
    <t>9.25882</t>
  </si>
  <si>
    <t>WL-31</t>
  </si>
  <si>
    <t>S-Bahnstation Ohlsdorf 22337 Hamburg</t>
  </si>
  <si>
    <t>Hamburg-Ohlsdorf</t>
  </si>
  <si>
    <t>Mache Foto von Dir und Deinem Team vor dem S-Bahn Zugteil nach Poppenbüttel</t>
  </si>
  <si>
    <t>53.620873</t>
  </si>
  <si>
    <t>10.031968</t>
  </si>
  <si>
    <t>53.62086089583724</t>
  </si>
  <si>
    <t>10.03183</t>
  </si>
  <si>
    <t>Musterteam</t>
  </si>
  <si>
    <t>Verspätung</t>
  </si>
  <si>
    <t>Früheste Ankunft</t>
  </si>
  <si>
    <t>Sonderaufgabe</t>
  </si>
  <si>
    <t>Standortmeldung</t>
  </si>
  <si>
    <t>Frühester Abgang</t>
  </si>
  <si>
    <t>Punkte pro 10 Minuten</t>
  </si>
  <si>
    <t>LosID</t>
  </si>
  <si>
    <t>Beschreibung</t>
  </si>
  <si>
    <t>Zeit-bedarf (min)</t>
  </si>
  <si>
    <t>Distanz (km)</t>
  </si>
  <si>
    <t>Breitengrad</t>
  </si>
  <si>
    <t>Längengrad</t>
  </si>
  <si>
    <t>BP-2a</t>
  </si>
  <si>
    <t>Schwaig</t>
  </si>
  <si>
    <t xml:space="preserve">Bhf Paar mit Schweighofen
</t>
  </si>
  <si>
    <t>BP-2b</t>
  </si>
  <si>
    <t>Schweighofen</t>
  </si>
  <si>
    <t xml:space="preserve">Bhf Paar mit Schwaig
</t>
  </si>
  <si>
    <t>BP-5a</t>
  </si>
  <si>
    <t>Regensburg Hbf</t>
  </si>
  <si>
    <t xml:space="preserve">Bhf Paar mit Sonneberg(Thür)Hbf
</t>
  </si>
  <si>
    <t>BP-5b</t>
  </si>
  <si>
    <t>Sonneberg(Thür)Hbf</t>
  </si>
  <si>
    <t xml:space="preserve">Bhf Paar mit Regensburg Hbf
</t>
  </si>
  <si>
    <t>Herzberg(Harz)</t>
  </si>
  <si>
    <t xml:space="preserve">Bhf Paar mit Nierstein
</t>
  </si>
  <si>
    <t>Nierstein</t>
  </si>
  <si>
    <t xml:space="preserve">Bhf Paar mit Herzberg(Harz)
</t>
  </si>
  <si>
    <t>BP-24a</t>
  </si>
  <si>
    <t>BP-24b</t>
  </si>
  <si>
    <t>BP-25a</t>
  </si>
  <si>
    <t>BP-25b</t>
  </si>
  <si>
    <t>BP-26a</t>
  </si>
  <si>
    <t>BP-26b</t>
  </si>
  <si>
    <t>BP-31a</t>
  </si>
  <si>
    <t>BP-31b</t>
  </si>
  <si>
    <t>BP-32a</t>
  </si>
  <si>
    <t>BP-32b</t>
  </si>
  <si>
    <t>BP-39a</t>
  </si>
  <si>
    <t>BP-39b</t>
  </si>
  <si>
    <t>BP-40a</t>
  </si>
  <si>
    <t>BP-40b</t>
  </si>
  <si>
    <t>P-4a</t>
  </si>
  <si>
    <t>P-4b</t>
  </si>
  <si>
    <t>P-10a</t>
  </si>
  <si>
    <t>P-10b</t>
  </si>
  <si>
    <t>P-16a</t>
  </si>
  <si>
    <t>P-16b</t>
  </si>
  <si>
    <t>P-23a</t>
  </si>
  <si>
    <t>P-23b</t>
  </si>
  <si>
    <t>P-31a</t>
  </si>
  <si>
    <t>P-31b</t>
  </si>
  <si>
    <t>P-34a</t>
  </si>
  <si>
    <t>P-34b</t>
  </si>
  <si>
    <t>P-36a</t>
  </si>
  <si>
    <t>P-36b</t>
  </si>
  <si>
    <t>P-39a</t>
  </si>
  <si>
    <t>P-39b</t>
  </si>
  <si>
    <t>EB-1</t>
  </si>
  <si>
    <t>EB-3</t>
  </si>
  <si>
    <t>EB-7</t>
  </si>
  <si>
    <t>EB-10</t>
  </si>
  <si>
    <t>EB-11</t>
  </si>
  <si>
    <t>EB-12</t>
  </si>
  <si>
    <t>EB-16</t>
  </si>
  <si>
    <t>EB-17</t>
  </si>
  <si>
    <t>EB-18</t>
  </si>
  <si>
    <t>EB-23</t>
  </si>
  <si>
    <t>EB-25</t>
  </si>
  <si>
    <t>E-2</t>
  </si>
  <si>
    <t>E-10</t>
  </si>
  <si>
    <t>E-11</t>
  </si>
  <si>
    <t>E-14</t>
  </si>
  <si>
    <t>E-17</t>
  </si>
  <si>
    <t>E-18</t>
  </si>
  <si>
    <t>E-21</t>
  </si>
  <si>
    <t>E-22</t>
  </si>
  <si>
    <t>E-23</t>
  </si>
  <si>
    <t>E-25</t>
  </si>
  <si>
    <t>F-1</t>
  </si>
  <si>
    <t>Schöne Aussicht 10, 61348 Bad Homburg vor der Höhe</t>
  </si>
  <si>
    <t>Bad Homburg</t>
  </si>
  <si>
    <t xml:space="preserve">Genießt die Schöne Aussicht und macht ein Teamfoto
</t>
  </si>
  <si>
    <t>8.6217555</t>
  </si>
  <si>
    <t>F-4</t>
  </si>
  <si>
    <t>Sprudelhof, 61231 Bad Nauheim</t>
  </si>
  <si>
    <t xml:space="preserve">Foto an einem der beiden Sprudel im Sprudelhof
Der Sprudelhof ist eine Kuranlage in Bad Nauheim, welche zwischen 1905 und 1911 im Jugendstil entstand. Er gilt zusammen als ein hervorragendes Beispiel dieses Stils und ist zugleich eines der gelungensten und geschlossensten Bauwerke dieser Epoche. </t>
  </si>
  <si>
    <t>8.7435555</t>
  </si>
  <si>
    <t>F-5</t>
  </si>
  <si>
    <t>Am Bieberbach 49, 63128 Dietzenbach</t>
  </si>
  <si>
    <t>Dietzenbach Mitte</t>
  </si>
  <si>
    <t xml:space="preserve">Foto mit SkulpTouren Park - Stillleben
</t>
  </si>
  <si>
    <t>8.7843555</t>
  </si>
  <si>
    <t>F-7</t>
  </si>
  <si>
    <t>Kurhausplatz 1, 65189 Wiesbaden</t>
  </si>
  <si>
    <t>Wiesbaden Hbf</t>
  </si>
  <si>
    <t xml:space="preserve">Foto vor der Spielbank Wiesbaden
</t>
  </si>
  <si>
    <t>8.2469555</t>
  </si>
  <si>
    <t>F-9</t>
  </si>
  <si>
    <t>Schloßgasse, 65510 Idstein</t>
  </si>
  <si>
    <t>Idstein(Taunus)</t>
  </si>
  <si>
    <t>Foto vor dem Hexenturm. Bonus: Findet eine Hexe und macht ein Foto mit ihr.
Wir sind nicht mehr im Mittelalter, demnach ist Folter keinea adäquate Methode mehr um das Geständnis einer verdächtigen Hexe zu erhalten.</t>
  </si>
  <si>
    <t>8.2686039</t>
  </si>
  <si>
    <t>F-13</t>
  </si>
  <si>
    <t>Dompl., 65549 Limburg</t>
  </si>
  <si>
    <t>Limburg(Lahn) Bahnhof/Südseite</t>
  </si>
  <si>
    <t>Genießt die Schöne Aussicht auf das Lahntal. Bonus: Foto vom Museum, in dem sich die "goldene Badewanne" befindet.
Der Bus LM5 von Limburg (Süd) nach Limburg (Lahn) ist im FV-Ticket inkludiert.</t>
  </si>
  <si>
    <t>8.067555</t>
  </si>
  <si>
    <t>F-20</t>
  </si>
  <si>
    <t>F-23</t>
  </si>
  <si>
    <t>F-25</t>
  </si>
  <si>
    <t>H-1</t>
  </si>
  <si>
    <t>H-2</t>
  </si>
  <si>
    <t>H-3</t>
  </si>
  <si>
    <t>H-4</t>
  </si>
  <si>
    <t>H-6</t>
  </si>
  <si>
    <t>H-8</t>
  </si>
  <si>
    <t>H-9</t>
  </si>
  <si>
    <t>H-15</t>
  </si>
  <si>
    <t>H-20</t>
  </si>
  <si>
    <t>H-22</t>
  </si>
  <si>
    <t>HM-1</t>
  </si>
  <si>
    <t>HM-3</t>
  </si>
  <si>
    <t>HM-6</t>
  </si>
  <si>
    <t>HM-9</t>
  </si>
  <si>
    <t>HM-10</t>
  </si>
  <si>
    <t>HM-11</t>
  </si>
  <si>
    <t>HM-14</t>
  </si>
  <si>
    <t>HM-16</t>
  </si>
  <si>
    <t>HM-21</t>
  </si>
  <si>
    <t>HM-25</t>
  </si>
  <si>
    <t>MG-1</t>
  </si>
  <si>
    <t>MG-2</t>
  </si>
  <si>
    <t>MG-4</t>
  </si>
  <si>
    <t>MG-6</t>
  </si>
  <si>
    <t>MG-9</t>
  </si>
  <si>
    <t>MG-16</t>
  </si>
  <si>
    <t>MG-17</t>
  </si>
  <si>
    <t>MG-18</t>
  </si>
  <si>
    <t>MG-21</t>
  </si>
  <si>
    <t>MG-25</t>
  </si>
  <si>
    <t>M-2</t>
  </si>
  <si>
    <t>M-5</t>
  </si>
  <si>
    <t>M-9</t>
  </si>
  <si>
    <t>M-13</t>
  </si>
  <si>
    <t>M-14</t>
  </si>
  <si>
    <t>M-15</t>
  </si>
  <si>
    <t>M-19</t>
  </si>
  <si>
    <t>M-23</t>
  </si>
  <si>
    <t>M-24</t>
  </si>
  <si>
    <t>M-25</t>
  </si>
  <si>
    <t>MB-4</t>
  </si>
  <si>
    <t>MB-6</t>
  </si>
  <si>
    <t>MB-8</t>
  </si>
  <si>
    <t>MB-10</t>
  </si>
  <si>
    <t>MB-13</t>
  </si>
  <si>
    <t>MB-15</t>
  </si>
  <si>
    <t>MB-23</t>
  </si>
  <si>
    <t>N-1</t>
  </si>
  <si>
    <t>Seebrugg 10, 79859 Schluchsee</t>
  </si>
  <si>
    <t>Seebrugg</t>
  </si>
  <si>
    <t>Besucht die BSW Angler- und Wandergruppe, Foto mit Holzschild
Ziel des ehm. IC Seebrugg</t>
  </si>
  <si>
    <t>8.1961876</t>
  </si>
  <si>
    <t>N-3</t>
  </si>
  <si>
    <t>99880 Waltershausen</t>
  </si>
  <si>
    <t>Waltershausen Schnepfenthal</t>
  </si>
  <si>
    <t xml:space="preserve">Bersuche das Waltershausen, Gleisdreieck; Bonus Bild mit Straßenbahn
</t>
  </si>
  <si>
    <t>10.577837</t>
  </si>
  <si>
    <t>N-5</t>
  </si>
  <si>
    <t>Tiroler Str. 29, 87629 Füssen</t>
  </si>
  <si>
    <t>Füssen Ziegelwies</t>
  </si>
  <si>
    <t xml:space="preserve">Wandere zum Lechfall und fotografiere diesen von der Brücke aus
</t>
  </si>
  <si>
    <t>10.694816</t>
  </si>
  <si>
    <t>N-7</t>
  </si>
  <si>
    <t>07580 Ronneburg</t>
  </si>
  <si>
    <t>Ronneburg(Thür)</t>
  </si>
  <si>
    <t xml:space="preserve">Wandere zur Erlebnisbrücke Drachenschwanz, gehe auf diese und fotografiert die Eisenbahnbrücke von dieser aus (Bonus Zug im Bild)
</t>
  </si>
  <si>
    <t>12.169759</t>
  </si>
  <si>
    <t>N-8</t>
  </si>
  <si>
    <t>Unnamed Road, 06502 Thale</t>
  </si>
  <si>
    <t>Thale Hbf</t>
  </si>
  <si>
    <t>Wanderung zum Teufelswaschbecken und fotografiere dieses Highlight
ggf. googeln wie das Teufelswaschbecken aussieht</t>
  </si>
  <si>
    <t>11.023849</t>
  </si>
  <si>
    <t>N-9</t>
  </si>
  <si>
    <t>Am Herzogberg 15, 83471 Berchtesgaden</t>
  </si>
  <si>
    <t>Berchtesgaden Hbf</t>
  </si>
  <si>
    <t xml:space="preserve">Wandere zum Kalten Keller und macht ein Team Bild im Eingang
</t>
  </si>
  <si>
    <t>13.007641</t>
  </si>
  <si>
    <t>N-10</t>
  </si>
  <si>
    <t>Fürstenbergstraße, 78166 Donaueschingen</t>
  </si>
  <si>
    <t>Donaueschingen</t>
  </si>
  <si>
    <t>Macht ein Foto mit dem Team um die "Donauquelle"
Foto am Ring unten erstellen</t>
  </si>
  <si>
    <t>8.5025062</t>
  </si>
  <si>
    <t>N-17</t>
  </si>
  <si>
    <t>N-20</t>
  </si>
  <si>
    <t>N-24</t>
  </si>
  <si>
    <t>R-3</t>
  </si>
  <si>
    <t>R-6</t>
  </si>
  <si>
    <t>R-7</t>
  </si>
  <si>
    <t>R-9</t>
  </si>
  <si>
    <t>R-14</t>
  </si>
  <si>
    <t>R-18</t>
  </si>
  <si>
    <t>R-19</t>
  </si>
  <si>
    <t>R-21</t>
  </si>
  <si>
    <t>R-23</t>
  </si>
  <si>
    <t>R-24</t>
  </si>
  <si>
    <t>T-3</t>
  </si>
  <si>
    <t>T-4</t>
  </si>
  <si>
    <t>T-5</t>
  </si>
  <si>
    <t>T-10</t>
  </si>
  <si>
    <t>T-14</t>
  </si>
  <si>
    <t>T-16</t>
  </si>
  <si>
    <t>T-20</t>
  </si>
  <si>
    <t>T-21</t>
  </si>
  <si>
    <t>T-22</t>
  </si>
  <si>
    <t>T-23</t>
  </si>
  <si>
    <t>B-4</t>
  </si>
  <si>
    <t>B-9</t>
  </si>
  <si>
    <t>B-11</t>
  </si>
  <si>
    <t>B-14</t>
  </si>
  <si>
    <t>B-18</t>
  </si>
  <si>
    <t>B-19</t>
  </si>
  <si>
    <t>B-21</t>
  </si>
  <si>
    <t>B-22</t>
  </si>
  <si>
    <t>B-23</t>
  </si>
  <si>
    <t>B-24</t>
  </si>
  <si>
    <t>U-2</t>
  </si>
  <si>
    <t>U-4</t>
  </si>
  <si>
    <t>U-10</t>
  </si>
  <si>
    <t>U-14</t>
  </si>
  <si>
    <t>U-15</t>
  </si>
  <si>
    <t>U-16</t>
  </si>
  <si>
    <t>U-18</t>
  </si>
  <si>
    <t>U-22</t>
  </si>
  <si>
    <t>U-23</t>
  </si>
  <si>
    <t>U-24</t>
  </si>
  <si>
    <t>WK-2</t>
  </si>
  <si>
    <t>Park Babelsberg Schlosspark, 14482 Potsdam</t>
  </si>
  <si>
    <t>Potsdam-Babelsberg</t>
  </si>
  <si>
    <t xml:space="preserve">Mache ein Foto vor der Blumenfontäne von Fürst Pückler. Bonus mit Pückler Eis.
</t>
  </si>
  <si>
    <t>13.094900</t>
  </si>
  <si>
    <t>WK-4</t>
  </si>
  <si>
    <t>Lutherstadt Eisleben,06295, Lutherstadt Eisleben</t>
  </si>
  <si>
    <t>Lutherstadt Eisleben</t>
  </si>
  <si>
    <t xml:space="preserve">Mach ein Foto vor dem Lutherdenkmal in Eisleben.
</t>
  </si>
  <si>
    <t>11.546315</t>
  </si>
  <si>
    <t>WK-5</t>
  </si>
  <si>
    <t>Maximiliansplatz, 96047 Bamberg</t>
  </si>
  <si>
    <t>Bamberg Bahnhof</t>
  </si>
  <si>
    <t xml:space="preserve">Trink ein Rauchbier in der Altstadt vom Bamberg.
</t>
  </si>
  <si>
    <t>10.889149</t>
  </si>
  <si>
    <t>WK-6</t>
  </si>
  <si>
    <t>Rathausstraße 75-79, 66333 Völklingen</t>
  </si>
  <si>
    <t>Völklingen</t>
  </si>
  <si>
    <t xml:space="preserve">Foto vor dem Haupteingang der Völklinger Hütte. Bonus: Iss etwas aus dem lokalen Shop.
</t>
  </si>
  <si>
    <t>6.8443513</t>
  </si>
  <si>
    <t>WK-9</t>
  </si>
  <si>
    <t>Klosterhof 5, 75433 Maulbronn</t>
  </si>
  <si>
    <t>Maulbronn Stadt/Kloster</t>
  </si>
  <si>
    <t xml:space="preserve">mach ein Foto von der Stauferstele Maulbronn
</t>
  </si>
  <si>
    <t>8.8128115</t>
  </si>
  <si>
    <t>WK-13</t>
  </si>
  <si>
    <t>Schoppensteel 1, 28195 Bremen</t>
  </si>
  <si>
    <t>Bremen Hbf</t>
  </si>
  <si>
    <t xml:space="preserve">Mach ein Foto mit den Bremer Stadtmusikaten
</t>
  </si>
  <si>
    <t>8.8075448</t>
  </si>
  <si>
    <t>WK-14</t>
  </si>
  <si>
    <t>Kehrwieder 2/Block D, 20457 Hamburg</t>
  </si>
  <si>
    <t>Hamburg Stadthausbrücke</t>
  </si>
  <si>
    <t xml:space="preserve">Mach ein Bild vor dem Miniaturwunderland
</t>
  </si>
  <si>
    <t>9.9889208</t>
  </si>
  <si>
    <t>WK-15</t>
  </si>
  <si>
    <t>WK-23</t>
  </si>
  <si>
    <t>WK-24</t>
  </si>
  <si>
    <t>W-1</t>
  </si>
  <si>
    <t>W-3</t>
  </si>
  <si>
    <t>W-4</t>
  </si>
  <si>
    <t>W-6</t>
  </si>
  <si>
    <t>W-7</t>
  </si>
  <si>
    <t>W-8</t>
  </si>
  <si>
    <t>W-11</t>
  </si>
  <si>
    <t>W-13</t>
  </si>
  <si>
    <t>W-20</t>
  </si>
  <si>
    <t>W-21</t>
  </si>
  <si>
    <t>K-1</t>
  </si>
  <si>
    <t>Vorderaha 5, 79859 Schluchsee</t>
  </si>
  <si>
    <t>Aha</t>
  </si>
  <si>
    <t xml:space="preserve">Macht ein Gruppenbild am Schiffsanleger des Schluchsee (See im Hintergrund)
</t>
  </si>
  <si>
    <t>8.1326053</t>
  </si>
  <si>
    <t>K-2</t>
  </si>
  <si>
    <t>Burgstraße, 46519 Alpen</t>
  </si>
  <si>
    <t>Alpen</t>
  </si>
  <si>
    <t>Macht ein Bild vor der Alpener Motte
(ehemalige hölzerne Burg)</t>
  </si>
  <si>
    <t>6.5179640</t>
  </si>
  <si>
    <t>K-5</t>
  </si>
  <si>
    <t>Bahnhofsplatz 1, 04758 Oschatz</t>
  </si>
  <si>
    <t>Oschatz</t>
  </si>
  <si>
    <t xml:space="preserve">Mache ein Bild vom Schmalspurbahnhof (Döllnitztalbahn)
</t>
  </si>
  <si>
    <t>13.105080</t>
  </si>
  <si>
    <t>K-7</t>
  </si>
  <si>
    <t>Bahnhofstraße 24, 91245 Simmelsdorf</t>
  </si>
  <si>
    <t>Simmelsdorf-Hüttenbach</t>
  </si>
  <si>
    <t xml:space="preserve">Mache ein Bld am EAST-END Dirtpark &amp; Pumptrack. Bonus: Ein Fahrradfahrer ist im Bild
</t>
  </si>
  <si>
    <t>11.343457</t>
  </si>
  <si>
    <t>K-8</t>
  </si>
  <si>
    <t>Im Schloss, 92237 Sulzbach</t>
  </si>
  <si>
    <t>Sulzbach-Rosenberg</t>
  </si>
  <si>
    <t xml:space="preserve">Mache ein Bild vom Sulzbacher Schloss
</t>
  </si>
  <si>
    <t>11.736050</t>
  </si>
  <si>
    <t>K-10</t>
  </si>
  <si>
    <t>Friedlandplatz, 52511 Geilenkirchen</t>
  </si>
  <si>
    <t>Geilenkirchen</t>
  </si>
  <si>
    <t xml:space="preserve">Mache ein Bild am Brunnen Friedlandplatz
</t>
  </si>
  <si>
    <t>6.1225233</t>
  </si>
  <si>
    <t>K-11</t>
  </si>
  <si>
    <t>Bahnhofststraße 54, 39264 Güterglück</t>
  </si>
  <si>
    <t>Güterglück</t>
  </si>
  <si>
    <t>macht ein Bild von der Eisenbahnüberführung im Ort (mit Bahnübergangsschild im Hintergrund)
erst 2004 stillgelegter Abschnitt der Wetzlarer Bahn</t>
  </si>
  <si>
    <t>11.985386</t>
  </si>
  <si>
    <t>K-12</t>
  </si>
  <si>
    <t>Köln-Aachener-Straße, 50127 Bergheim</t>
  </si>
  <si>
    <t>Quadrath-Ichendorf</t>
  </si>
  <si>
    <t xml:space="preserve">macht ein Bild von der historischen Brikettpresse
</t>
  </si>
  <si>
    <t>6.6958569</t>
  </si>
  <si>
    <t>K-17</t>
  </si>
  <si>
    <t>Moselstraße, 54538 Bengel</t>
  </si>
  <si>
    <t>Bengel</t>
  </si>
  <si>
    <t>Macht ein Gruppenfoto vor der Wassertretanlage Bengel, Bonus: Gruppenfoto mit Füßen im Wasser
Öffnungszeiten tgl. 9-17 Uhr</t>
  </si>
  <si>
    <t>7.0612907</t>
  </si>
  <si>
    <t>K-23</t>
  </si>
  <si>
    <t>NAME</t>
  </si>
  <si>
    <t>HafasNr</t>
  </si>
  <si>
    <t>Fahrten</t>
  </si>
  <si>
    <t>Aachen Hbf</t>
  </si>
  <si>
    <t>50.767800</t>
  </si>
  <si>
    <t>6.091499</t>
  </si>
  <si>
    <t>Aachen Süd(Gr)</t>
  </si>
  <si>
    <t>999999</t>
  </si>
  <si>
    <t>Aachen West</t>
  </si>
  <si>
    <t>50.780360</t>
  </si>
  <si>
    <t>6.070715</t>
  </si>
  <si>
    <t>Aachen-Rothe Erde</t>
  </si>
  <si>
    <t>50.770202</t>
  </si>
  <si>
    <t>6.116475</t>
  </si>
  <si>
    <t>Abenden</t>
  </si>
  <si>
    <t>50.671085</t>
  </si>
  <si>
    <t>6.476459</t>
  </si>
  <si>
    <t>Abensberg</t>
  </si>
  <si>
    <t>48.819456</t>
  </si>
  <si>
    <t>11.846620</t>
  </si>
  <si>
    <t>Achern</t>
  </si>
  <si>
    <t>48.633990</t>
  </si>
  <si>
    <t>8.065324</t>
  </si>
  <si>
    <t>Achern Stadt</t>
  </si>
  <si>
    <t>48.625736</t>
  </si>
  <si>
    <t>8.067706</t>
  </si>
  <si>
    <t>Achim</t>
  </si>
  <si>
    <t>53.015990</t>
  </si>
  <si>
    <t>9.030447</t>
  </si>
  <si>
    <t>Achkarren</t>
  </si>
  <si>
    <t>48.060088</t>
  </si>
  <si>
    <t>7.607870</t>
  </si>
  <si>
    <t>Achmer</t>
  </si>
  <si>
    <t>52.390479</t>
  </si>
  <si>
    <t>7.942160</t>
  </si>
  <si>
    <t>Achterwehr</t>
  </si>
  <si>
    <t>54.314913</t>
  </si>
  <si>
    <t>9.964024</t>
  </si>
  <si>
    <t>Adelebsen</t>
  </si>
  <si>
    <t>51.577690</t>
  </si>
  <si>
    <t>9.760044</t>
  </si>
  <si>
    <t>Adelschlag</t>
  </si>
  <si>
    <t>48.840759</t>
  </si>
  <si>
    <t>11.211443</t>
  </si>
  <si>
    <t>Adelsdorf(Mittelfr)</t>
  </si>
  <si>
    <t>49.474944</t>
  </si>
  <si>
    <t>10.687041</t>
  </si>
  <si>
    <t>Adelsheim Nord</t>
  </si>
  <si>
    <t>49.421490</t>
  </si>
  <si>
    <t>9.392754</t>
  </si>
  <si>
    <t>Adelsheim Ost</t>
  </si>
  <si>
    <t>49.403123</t>
  </si>
  <si>
    <t>9.395127</t>
  </si>
  <si>
    <t>Adorf(Erzgeb)</t>
  </si>
  <si>
    <t>50.763850</t>
  </si>
  <si>
    <t>12.873666</t>
  </si>
  <si>
    <t>Adorf(Vogtl)</t>
  </si>
  <si>
    <t>50.324395</t>
  </si>
  <si>
    <t>12.260678</t>
  </si>
  <si>
    <t>Affaltrach</t>
  </si>
  <si>
    <t>49.137832</t>
  </si>
  <si>
    <t>9.379012</t>
  </si>
  <si>
    <t>Agatharied</t>
  </si>
  <si>
    <t>47.765606</t>
  </si>
  <si>
    <t>11.824472</t>
  </si>
  <si>
    <t>Agathenburg</t>
  </si>
  <si>
    <t>53.564111</t>
  </si>
  <si>
    <t>9.531244</t>
  </si>
  <si>
    <t>Aglasterhausen</t>
  </si>
  <si>
    <t>49.350097</t>
  </si>
  <si>
    <t>8.990838</t>
  </si>
  <si>
    <t>47.833224</t>
  </si>
  <si>
    <t>8.134349</t>
  </si>
  <si>
    <t>Ahaus</t>
  </si>
  <si>
    <t>52.081681</t>
  </si>
  <si>
    <t>7.016453</t>
  </si>
  <si>
    <t>Ahlbeck Grenze</t>
  </si>
  <si>
    <t>53.921966</t>
  </si>
  <si>
    <t>14.215549</t>
  </si>
  <si>
    <t>Ahlbeck Ostseetherme</t>
  </si>
  <si>
    <t>53.944426</t>
  </si>
  <si>
    <t>14.177287</t>
  </si>
  <si>
    <t>Ahlen(Westf)</t>
  </si>
  <si>
    <t>51.761062</t>
  </si>
  <si>
    <t>7.895488</t>
  </si>
  <si>
    <t>Ahlhorn</t>
  </si>
  <si>
    <t>52.899321</t>
  </si>
  <si>
    <t>8.209429</t>
  </si>
  <si>
    <t>Ahlten</t>
  </si>
  <si>
    <t>52.376062</t>
  </si>
  <si>
    <t>9.904613</t>
  </si>
  <si>
    <t>Ahnatal Casselbreite</t>
  </si>
  <si>
    <t>51.362860</t>
  </si>
  <si>
    <t>9.434061</t>
  </si>
  <si>
    <t>Ahnatal-Heckershausen</t>
  </si>
  <si>
    <t>51.362991</t>
  </si>
  <si>
    <t>9.422727</t>
  </si>
  <si>
    <t>Ahnatal-Weimar</t>
  </si>
  <si>
    <t>51.363629</t>
  </si>
  <si>
    <t>9.391588</t>
  </si>
  <si>
    <t>Ahrbrück</t>
  </si>
  <si>
    <t>50.489679</t>
  </si>
  <si>
    <t>6.972391</t>
  </si>
  <si>
    <t>Ahrensburg</t>
  </si>
  <si>
    <t>53.669171</t>
  </si>
  <si>
    <t>10.236206</t>
  </si>
  <si>
    <t>Ahrensburg-Gartenholz</t>
  </si>
  <si>
    <t>53.688482</t>
  </si>
  <si>
    <t>10.251786</t>
  </si>
  <si>
    <t>Ahrensfelde</t>
  </si>
  <si>
    <t>52.571375</t>
  </si>
  <si>
    <t>13.565154</t>
  </si>
  <si>
    <t>Ahrensfelde (S)</t>
  </si>
  <si>
    <t>52.571245</t>
  </si>
  <si>
    <t>13.565551</t>
  </si>
  <si>
    <t>Ahrensfelde Dorf</t>
  </si>
  <si>
    <t>52.575682</t>
  </si>
  <si>
    <t>13.577669</t>
  </si>
  <si>
    <t>Ahrensfelde Friedhof</t>
  </si>
  <si>
    <t>52.580882</t>
  </si>
  <si>
    <t>13.573316</t>
  </si>
  <si>
    <t>Ahrensfelde Kirche</t>
  </si>
  <si>
    <t>52.576200</t>
  </si>
  <si>
    <t>13.575711</t>
  </si>
  <si>
    <t>Ahrensfelde Kirschenallee</t>
  </si>
  <si>
    <t>52.581761</t>
  </si>
  <si>
    <t>13.579174</t>
  </si>
  <si>
    <t>Ahrensfelde Nord</t>
  </si>
  <si>
    <t>52.590685</t>
  </si>
  <si>
    <t>13.581985</t>
  </si>
  <si>
    <t>Ahrweiler</t>
  </si>
  <si>
    <t>50.546408</t>
  </si>
  <si>
    <t>7.107258</t>
  </si>
  <si>
    <t>Ahrweiler Markt</t>
  </si>
  <si>
    <t>50.544228</t>
  </si>
  <si>
    <t>7.094229</t>
  </si>
  <si>
    <t>Aich(Niederbay)</t>
  </si>
  <si>
    <t>48.417315</t>
  </si>
  <si>
    <t>12.398163</t>
  </si>
  <si>
    <t>Aichach</t>
  </si>
  <si>
    <t>48.461117</t>
  </si>
  <si>
    <t>11.122721</t>
  </si>
  <si>
    <t>Aichstetten</t>
  </si>
  <si>
    <t>47.887884</t>
  </si>
  <si>
    <t>10.074940</t>
  </si>
  <si>
    <t>Aindorf</t>
  </si>
  <si>
    <t>47.987042</t>
  </si>
  <si>
    <t>12.357742</t>
  </si>
  <si>
    <t>Ainring</t>
  </si>
  <si>
    <t>47.815033</t>
  </si>
  <si>
    <t>12.964501</t>
  </si>
  <si>
    <t>Ainring-Mitterfelden Abzw. B20</t>
  </si>
  <si>
    <t>47.812414</t>
  </si>
  <si>
    <t>12.965603</t>
  </si>
  <si>
    <t>Albbruck</t>
  </si>
  <si>
    <t>47.592235</t>
  </si>
  <si>
    <t>8.131774</t>
  </si>
  <si>
    <t>Albersdorf</t>
  </si>
  <si>
    <t>54.146320</t>
  </si>
  <si>
    <t>9.292151</t>
  </si>
  <si>
    <t>Albersweiler(Pfalz)</t>
  </si>
  <si>
    <t>49.218587</t>
  </si>
  <si>
    <t>8.024059</t>
  </si>
  <si>
    <t>Albertshof</t>
  </si>
  <si>
    <t>53.147592</t>
  </si>
  <si>
    <t>13.454208</t>
  </si>
  <si>
    <t>Albig</t>
  </si>
  <si>
    <t>49.771375</t>
  </si>
  <si>
    <t>8.116579</t>
  </si>
  <si>
    <t>Albisheim(Pfrimm)</t>
  </si>
  <si>
    <t>49.644888</t>
  </si>
  <si>
    <t>8.094327</t>
  </si>
  <si>
    <t>Albrechtshaus</t>
  </si>
  <si>
    <t>51.642173</t>
  </si>
  <si>
    <t>10.929267</t>
  </si>
  <si>
    <t>Albrechtshof</t>
  </si>
  <si>
    <t>52.549396</t>
  </si>
  <si>
    <t>13.128917</t>
  </si>
  <si>
    <t>Albshausen</t>
  </si>
  <si>
    <t>50.545716</t>
  </si>
  <si>
    <t>8.434869</t>
  </si>
  <si>
    <t>Albsheim(Eis)</t>
  </si>
  <si>
    <t>49.580748</t>
  </si>
  <si>
    <t>8.179166</t>
  </si>
  <si>
    <t>Albstadt-Ebingen</t>
  </si>
  <si>
    <t>48.210290</t>
  </si>
  <si>
    <t>9.026962</t>
  </si>
  <si>
    <t>Albstadt-Ebingen West</t>
  </si>
  <si>
    <t>48.211390</t>
  </si>
  <si>
    <t>8.996980</t>
  </si>
  <si>
    <t>Albstadt-Laufen Ort</t>
  </si>
  <si>
    <t>48.222859</t>
  </si>
  <si>
    <t>8.917316</t>
  </si>
  <si>
    <t>Albstadt-Lautlingen</t>
  </si>
  <si>
    <t>48.213638</t>
  </si>
  <si>
    <t>8.954620</t>
  </si>
  <si>
    <t>Aldekerk</t>
  </si>
  <si>
    <t>51.435759</t>
  </si>
  <si>
    <t>6.412542</t>
  </si>
  <si>
    <t>Aldingen(b Spaichingen)</t>
  </si>
  <si>
    <t>48.095845</t>
  </si>
  <si>
    <t>8.713033</t>
  </si>
  <si>
    <t>Aletshausen</t>
  </si>
  <si>
    <t>48.201313</t>
  </si>
  <si>
    <t>10.383631</t>
  </si>
  <si>
    <t>Alexisbad</t>
  </si>
  <si>
    <t>51.648132</t>
  </si>
  <si>
    <t>11.115311</t>
  </si>
  <si>
    <t>Alfeld(Leine)</t>
  </si>
  <si>
    <t>51.981417</t>
  </si>
  <si>
    <t>9.817779</t>
  </si>
  <si>
    <t>Alfter-Impekoven</t>
  </si>
  <si>
    <t>50.711016</t>
  </si>
  <si>
    <t>7.019831</t>
  </si>
  <si>
    <t>Alfter-Witterschlick</t>
  </si>
  <si>
    <t>50.689698</t>
  </si>
  <si>
    <t>7.026083</t>
  </si>
  <si>
    <t>Algermissen</t>
  </si>
  <si>
    <t>52.251963</t>
  </si>
  <si>
    <t>9.966660</t>
  </si>
  <si>
    <t>Aligse</t>
  </si>
  <si>
    <t>52.403462</t>
  </si>
  <si>
    <t>9.979349</t>
  </si>
  <si>
    <t>Allendorf(Dillkr)</t>
  </si>
  <si>
    <t>50.743811</t>
  </si>
  <si>
    <t>8.185486</t>
  </si>
  <si>
    <t>Allendorf(Eder) Bf</t>
  </si>
  <si>
    <t>51.025899</t>
  </si>
  <si>
    <t>8.677197</t>
  </si>
  <si>
    <t>Allensbach</t>
  </si>
  <si>
    <t>47.714464</t>
  </si>
  <si>
    <t>9.068852</t>
  </si>
  <si>
    <t>Allersberg(Rothsee)</t>
  </si>
  <si>
    <t>49.262131</t>
  </si>
  <si>
    <t>11.212573</t>
  </si>
  <si>
    <t>Allmendingen</t>
  </si>
  <si>
    <t>48.327735</t>
  </si>
  <si>
    <t>9.722427</t>
  </si>
  <si>
    <t>51.583392</t>
  </si>
  <si>
    <t>6.518041</t>
  </si>
  <si>
    <t>Alpirsbach</t>
  </si>
  <si>
    <t>48.343809</t>
  </si>
  <si>
    <t>8.398251</t>
  </si>
  <si>
    <t>Alsdorf Poststraße</t>
  </si>
  <si>
    <t>50.855675</t>
  </si>
  <si>
    <t>6.197050</t>
  </si>
  <si>
    <t>Alsdorf(Westerw)</t>
  </si>
  <si>
    <t>50.780890</t>
  </si>
  <si>
    <t>7.890486</t>
  </si>
  <si>
    <t>Alsdorf-Annapark</t>
  </si>
  <si>
    <t>50.870517</t>
  </si>
  <si>
    <t>6.156661</t>
  </si>
  <si>
    <t>Alsdorf-Busch</t>
  </si>
  <si>
    <t>50.876588</t>
  </si>
  <si>
    <t>6.140586</t>
  </si>
  <si>
    <t>Alsdorf-Kellersberg</t>
  </si>
  <si>
    <t>50.867527</t>
  </si>
  <si>
    <t>6.167354</t>
  </si>
  <si>
    <t>Alsdorf-Mariadorf</t>
  </si>
  <si>
    <t>50.861978</t>
  </si>
  <si>
    <t>6.188454</t>
  </si>
  <si>
    <t>Alsenz</t>
  </si>
  <si>
    <t>49.727495</t>
  </si>
  <si>
    <t>7.817189</t>
  </si>
  <si>
    <t>Alsfeld(Oberhess)</t>
  </si>
  <si>
    <t>50.750962</t>
  </si>
  <si>
    <t>9.264297</t>
  </si>
  <si>
    <t>Alsheim</t>
  </si>
  <si>
    <t>49.765528</t>
  </si>
  <si>
    <t>8.342462</t>
  </si>
  <si>
    <t>Alt Golm</t>
  </si>
  <si>
    <t>52.304374</t>
  </si>
  <si>
    <t>14.124596</t>
  </si>
  <si>
    <t>Alt Hüttendorf</t>
  </si>
  <si>
    <t>52.957591</t>
  </si>
  <si>
    <t>13.783574</t>
  </si>
  <si>
    <t>Alt Rosenthal</t>
  </si>
  <si>
    <t>52.550403</t>
  </si>
  <si>
    <t>14.278627</t>
  </si>
  <si>
    <t>Alt Schwerin</t>
  </si>
  <si>
    <t>53.512118</t>
  </si>
  <si>
    <t>12.355341</t>
  </si>
  <si>
    <t>Altbach</t>
  </si>
  <si>
    <t>48.720393</t>
  </si>
  <si>
    <t>9.382384</t>
  </si>
  <si>
    <t>Altdöbern</t>
  </si>
  <si>
    <t>51.652780</t>
  </si>
  <si>
    <t>14.009236</t>
  </si>
  <si>
    <t>Altdöbern Am Markt</t>
  </si>
  <si>
    <t>51.651236</t>
  </si>
  <si>
    <t>14.034786</t>
  </si>
  <si>
    <t>Altdorf West</t>
  </si>
  <si>
    <t>49.391146</t>
  </si>
  <si>
    <t>11.341467</t>
  </si>
  <si>
    <t>Altdorf(b Nürnberg)</t>
  </si>
  <si>
    <t>49.390006</t>
  </si>
  <si>
    <t>11.353530</t>
  </si>
  <si>
    <t>Alte Veste</t>
  </si>
  <si>
    <t>49.454322</t>
  </si>
  <si>
    <t>10.972363</t>
  </si>
  <si>
    <t>Altefähr</t>
  </si>
  <si>
    <t>54.322927</t>
  </si>
  <si>
    <t>13.141010</t>
  </si>
  <si>
    <t>Altena(Westf)</t>
  </si>
  <si>
    <t>51.301981</t>
  </si>
  <si>
    <t>7.668808</t>
  </si>
  <si>
    <t>Altenahr</t>
  </si>
  <si>
    <t>50.515652</t>
  </si>
  <si>
    <t>6.989707</t>
  </si>
  <si>
    <t>Altenau(Bay)</t>
  </si>
  <si>
    <t>47.648365</t>
  </si>
  <si>
    <t>11.017375</t>
  </si>
  <si>
    <t>Altenbach</t>
  </si>
  <si>
    <t>51.355868</t>
  </si>
  <si>
    <t>12.682324</t>
  </si>
  <si>
    <t>Altenbamberg</t>
  </si>
  <si>
    <t>49.786857</t>
  </si>
  <si>
    <t>7.830745</t>
  </si>
  <si>
    <t>Altenbeken</t>
  </si>
  <si>
    <t>51.766433</t>
  </si>
  <si>
    <t>8.943319</t>
  </si>
  <si>
    <t>Altenbeken-Buke Hühnerfeld</t>
  </si>
  <si>
    <t>51.739874</t>
  </si>
  <si>
    <t>8.949456</t>
  </si>
  <si>
    <t>Altenberge</t>
  </si>
  <si>
    <t>52.052258</t>
  </si>
  <si>
    <t>7.481303</t>
  </si>
  <si>
    <t>50.997198</t>
  </si>
  <si>
    <t>12.443905</t>
  </si>
  <si>
    <t>Altendorf Erbgericht</t>
  </si>
  <si>
    <t>50.935611</t>
  </si>
  <si>
    <t>14.182299</t>
  </si>
  <si>
    <t>Altenerding</t>
  </si>
  <si>
    <t>48.293572</t>
  </si>
  <si>
    <t>11.901744</t>
  </si>
  <si>
    <t>Altenfeld(Rhön)</t>
  </si>
  <si>
    <t>50.450898</t>
  </si>
  <si>
    <t>9.849726</t>
  </si>
  <si>
    <t>Altenglan</t>
  </si>
  <si>
    <t>49.548643</t>
  </si>
  <si>
    <t>7.461841</t>
  </si>
  <si>
    <t>Altengörs</t>
  </si>
  <si>
    <t>53.898696</t>
  </si>
  <si>
    <t>10.355554</t>
  </si>
  <si>
    <t>Altenhasungen</t>
  </si>
  <si>
    <t>51.343540</t>
  </si>
  <si>
    <t>9.225737</t>
  </si>
  <si>
    <t>Altenkirchen(Westerwald)</t>
  </si>
  <si>
    <t>50.684418</t>
  </si>
  <si>
    <t>7.638257</t>
  </si>
  <si>
    <t>Altenmarkt(Alz)</t>
  </si>
  <si>
    <t>47.999817</t>
  </si>
  <si>
    <t>12.536027</t>
  </si>
  <si>
    <t>Altenseelbach</t>
  </si>
  <si>
    <t>50.783837</t>
  </si>
  <si>
    <t>7.992398</t>
  </si>
  <si>
    <t>Altenstadt(Hess)</t>
  </si>
  <si>
    <t>50.283312</t>
  </si>
  <si>
    <t>8.943982</t>
  </si>
  <si>
    <t>Altenstadt(Iller)</t>
  </si>
  <si>
    <t>48.161191</t>
  </si>
  <si>
    <t>10.109983</t>
  </si>
  <si>
    <t>Altenstadt(Waldnaab)</t>
  </si>
  <si>
    <t>49.715679</t>
  </si>
  <si>
    <t>12.164870</t>
  </si>
  <si>
    <t>Altenstadt-Höchst</t>
  </si>
  <si>
    <t>50.269767</t>
  </si>
  <si>
    <t>8.923418</t>
  </si>
  <si>
    <t>Altenstadt-Lindheim</t>
  </si>
  <si>
    <t>50.291238</t>
  </si>
  <si>
    <t>8.978405</t>
  </si>
  <si>
    <t>Altentreptow</t>
  </si>
  <si>
    <t>53.692233</t>
  </si>
  <si>
    <t>13.242713</t>
  </si>
  <si>
    <t>Altenwillershagen</t>
  </si>
  <si>
    <t>54.259406</t>
  </si>
  <si>
    <t>12.572818</t>
  </si>
  <si>
    <t>Altenwillershagen Feuerwehr</t>
  </si>
  <si>
    <t>54.256601</t>
  </si>
  <si>
    <t>12.569156</t>
  </si>
  <si>
    <t>Altersbach</t>
  </si>
  <si>
    <t>50.700640</t>
  </si>
  <si>
    <t>10.544522</t>
  </si>
  <si>
    <t>Altfriesack</t>
  </si>
  <si>
    <t>52.847804</t>
  </si>
  <si>
    <t>12.888045</t>
  </si>
  <si>
    <t>Altglashütten-Falkau</t>
  </si>
  <si>
    <t>47.859392</t>
  </si>
  <si>
    <t>8.114113</t>
  </si>
  <si>
    <t>Althegnenberg</t>
  </si>
  <si>
    <t>48.236374</t>
  </si>
  <si>
    <t>11.063003</t>
  </si>
  <si>
    <t>Altheim(Hess)</t>
  </si>
  <si>
    <t>49.923332</t>
  </si>
  <si>
    <t>8.890906</t>
  </si>
  <si>
    <t>Althof</t>
  </si>
  <si>
    <t>54.090442</t>
  </si>
  <si>
    <t>11.922341</t>
  </si>
  <si>
    <t>Altingen(Württ)</t>
  </si>
  <si>
    <t>48.561927</t>
  </si>
  <si>
    <t>8.908852</t>
  </si>
  <si>
    <t>Altmittweida</t>
  </si>
  <si>
    <t>50.968704</t>
  </si>
  <si>
    <t>12.959645</t>
  </si>
  <si>
    <t>Altmorschen</t>
  </si>
  <si>
    <t>51.067275</t>
  </si>
  <si>
    <t>9.610756</t>
  </si>
  <si>
    <t>Altomünster</t>
  </si>
  <si>
    <t>48.384918</t>
  </si>
  <si>
    <t>11.255133</t>
  </si>
  <si>
    <t>Altoschatz-Rosenthal</t>
  </si>
  <si>
    <t>51.287838</t>
  </si>
  <si>
    <t>13.098595</t>
  </si>
  <si>
    <t>Altötting</t>
  </si>
  <si>
    <t>48.221242</t>
  </si>
  <si>
    <t>12.674790</t>
  </si>
  <si>
    <t>Altranft</t>
  </si>
  <si>
    <t>52.763368</t>
  </si>
  <si>
    <t>14.082107</t>
  </si>
  <si>
    <t>Altranft Esser</t>
  </si>
  <si>
    <t>52.769298</t>
  </si>
  <si>
    <t>14.075963</t>
  </si>
  <si>
    <t>Altruppin Grüner Bau</t>
  </si>
  <si>
    <t>52.946871</t>
  </si>
  <si>
    <t>12.848720</t>
  </si>
  <si>
    <t>Altshausen</t>
  </si>
  <si>
    <t>47.930711</t>
  </si>
  <si>
    <t>9.551478</t>
  </si>
  <si>
    <t>Altstädten(Allgäu)</t>
  </si>
  <si>
    <t>47.488550</t>
  </si>
  <si>
    <t>10.280907</t>
  </si>
  <si>
    <t>Alttann</t>
  </si>
  <si>
    <t>47.841214</t>
  </si>
  <si>
    <t>9.793037</t>
  </si>
  <si>
    <t>Alveslohe</t>
  </si>
  <si>
    <t>53.791456</t>
  </si>
  <si>
    <t>9.916375</t>
  </si>
  <si>
    <t>Alzenau Burg</t>
  </si>
  <si>
    <t>50.087928</t>
  </si>
  <si>
    <t>9.074340</t>
  </si>
  <si>
    <t>Alzenau Nord</t>
  </si>
  <si>
    <t>50.089443</t>
  </si>
  <si>
    <t>9.051385</t>
  </si>
  <si>
    <t>Alzenau(Unterfr)</t>
  </si>
  <si>
    <t>50.088716</t>
  </si>
  <si>
    <t>9.065603</t>
  </si>
  <si>
    <t>Alzey</t>
  </si>
  <si>
    <t>49.750200</t>
  </si>
  <si>
    <t>8.109749</t>
  </si>
  <si>
    <t>Alzey Süd</t>
  </si>
  <si>
    <t>49.738134</t>
  </si>
  <si>
    <t>8.118732</t>
  </si>
  <si>
    <t>Alzey West</t>
  </si>
  <si>
    <t>49.740978</t>
  </si>
  <si>
    <t>8.107255</t>
  </si>
  <si>
    <t>Amberg</t>
  </si>
  <si>
    <t>49.447616</t>
  </si>
  <si>
    <t>11.862902</t>
  </si>
  <si>
    <t>Amerang</t>
  </si>
  <si>
    <t>47.985835</t>
  </si>
  <si>
    <t>12.306297</t>
  </si>
  <si>
    <t>Ammern</t>
  </si>
  <si>
    <t>51.233346</t>
  </si>
  <si>
    <t>10.458086</t>
  </si>
  <si>
    <t>Amorbach</t>
  </si>
  <si>
    <t>49.645609</t>
  </si>
  <si>
    <t>9.223147</t>
  </si>
  <si>
    <t>Ampfing</t>
  </si>
  <si>
    <t>48.253949</t>
  </si>
  <si>
    <t>12.410919</t>
  </si>
  <si>
    <t>Amsdorf</t>
  </si>
  <si>
    <t>51.463561</t>
  </si>
  <si>
    <t>11.719790</t>
  </si>
  <si>
    <t>Amstetten(W) Lokalbahn</t>
  </si>
  <si>
    <t>48.577852</t>
  </si>
  <si>
    <t>9.873959</t>
  </si>
  <si>
    <t>Amstetten(Württ)</t>
  </si>
  <si>
    <t>48.578328</t>
  </si>
  <si>
    <t>9.872965</t>
  </si>
  <si>
    <t>Amtshainersdorf</t>
  </si>
  <si>
    <t>50.966322</t>
  </si>
  <si>
    <t>14.232364</t>
  </si>
  <si>
    <t>Andernach</t>
  </si>
  <si>
    <t>50.434542</t>
  </si>
  <si>
    <t>7.404839</t>
  </si>
  <si>
    <t>Angermund</t>
  </si>
  <si>
    <t>51.330748</t>
  </si>
  <si>
    <t>6.781857</t>
  </si>
  <si>
    <t>Angermünde</t>
  </si>
  <si>
    <t>53.015221</t>
  </si>
  <si>
    <t>13.996361</t>
  </si>
  <si>
    <t>Angern-Rogätz</t>
  </si>
  <si>
    <t>52.338464</t>
  </si>
  <si>
    <t>11.759535</t>
  </si>
  <si>
    <t>Angersbach</t>
  </si>
  <si>
    <t>50.630974</t>
  </si>
  <si>
    <t>9.446944</t>
  </si>
  <si>
    <t>Angersdorf</t>
  </si>
  <si>
    <t>51.460407</t>
  </si>
  <si>
    <t>11.903139</t>
  </si>
  <si>
    <t>Anklam</t>
  </si>
  <si>
    <t>53.856102</t>
  </si>
  <si>
    <t>13.701827</t>
  </si>
  <si>
    <t>Ankum</t>
  </si>
  <si>
    <t>52.542009</t>
  </si>
  <si>
    <t>7.879010</t>
  </si>
  <si>
    <t>Annaberg-Buchholz Mitte</t>
  </si>
  <si>
    <t>50.566791</t>
  </si>
  <si>
    <t>12.999078</t>
  </si>
  <si>
    <t>Annaberg-Buchholz Süd</t>
  </si>
  <si>
    <t>50.555886</t>
  </si>
  <si>
    <t>12.997404</t>
  </si>
  <si>
    <t>Annaberg-Buchholz unterer Bf</t>
  </si>
  <si>
    <t>50.578610</t>
  </si>
  <si>
    <t>12.998313</t>
  </si>
  <si>
    <t>Annaburg</t>
  </si>
  <si>
    <t>51.728680</t>
  </si>
  <si>
    <t>13.032757</t>
  </si>
  <si>
    <t>Annenwalde</t>
  </si>
  <si>
    <t>53.135289</t>
  </si>
  <si>
    <t>13.374778</t>
  </si>
  <si>
    <t>Annweiler am Trifels</t>
  </si>
  <si>
    <t>49.205386</t>
  </si>
  <si>
    <t>7.966149</t>
  </si>
  <si>
    <t>Annweiler-Sarnstall</t>
  </si>
  <si>
    <t>49.208725</t>
  </si>
  <si>
    <t>7.937192</t>
  </si>
  <si>
    <t>Anrath</t>
  </si>
  <si>
    <t>51.285536</t>
  </si>
  <si>
    <t>6.450230</t>
  </si>
  <si>
    <t>Ansbach</t>
  </si>
  <si>
    <t>49.298032</t>
  </si>
  <si>
    <t>10.578239</t>
  </si>
  <si>
    <t>Antonsthal</t>
  </si>
  <si>
    <t>50.499940</t>
  </si>
  <si>
    <t>12.755245</t>
  </si>
  <si>
    <t>Anwanden</t>
  </si>
  <si>
    <t>49.411692</t>
  </si>
  <si>
    <t>10.930396</t>
  </si>
  <si>
    <t>Anzefahr</t>
  </si>
  <si>
    <t>50.845383</t>
  </si>
  <si>
    <t>8.860173</t>
  </si>
  <si>
    <t>Anzenkirchen</t>
  </si>
  <si>
    <t>48.434739</t>
  </si>
  <si>
    <t>13.021996</t>
  </si>
  <si>
    <t>Apach(fr)</t>
  </si>
  <si>
    <t>49.469022</t>
  </si>
  <si>
    <t>6.369699</t>
  </si>
  <si>
    <t>Apensen</t>
  </si>
  <si>
    <t>53.441667</t>
  </si>
  <si>
    <t>9.612345</t>
  </si>
  <si>
    <t>Äpfingen</t>
  </si>
  <si>
    <t>48.152625</t>
  </si>
  <si>
    <t>9.853409</t>
  </si>
  <si>
    <t>Apolda</t>
  </si>
  <si>
    <t>51.030940</t>
  </si>
  <si>
    <t>11.526136</t>
  </si>
  <si>
    <t>Appenweier</t>
  </si>
  <si>
    <t>48.541461</t>
  </si>
  <si>
    <t>7.973190</t>
  </si>
  <si>
    <t>Arbste</t>
  </si>
  <si>
    <t>52.785719</t>
  </si>
  <si>
    <t>8.993578</t>
  </si>
  <si>
    <t>Ardey</t>
  </si>
  <si>
    <t>51.481163</t>
  </si>
  <si>
    <t>7.727176</t>
  </si>
  <si>
    <t>Arensdorf(Köthen)</t>
  </si>
  <si>
    <t>51.709511</t>
  </si>
  <si>
    <t>12.007416</t>
  </si>
  <si>
    <t>Arensdorf(Köthen) Badegaster Weg</t>
  </si>
  <si>
    <t>51.710353</t>
  </si>
  <si>
    <t>12.012419</t>
  </si>
  <si>
    <t>Arenshausen</t>
  </si>
  <si>
    <t>51.375055</t>
  </si>
  <si>
    <t>9.968559</t>
  </si>
  <si>
    <t>Arfurt Bürgerhaus</t>
  </si>
  <si>
    <t>50.407761</t>
  </si>
  <si>
    <t>8.201499</t>
  </si>
  <si>
    <t>Arfurt(Lahn)</t>
  </si>
  <si>
    <t>50.406403</t>
  </si>
  <si>
    <t>8.211079</t>
  </si>
  <si>
    <t>Armsheim</t>
  </si>
  <si>
    <t>49.808372</t>
  </si>
  <si>
    <t>8.074113</t>
  </si>
  <si>
    <t>Arnbach</t>
  </si>
  <si>
    <t>48.341320</t>
  </si>
  <si>
    <t>11.344044</t>
  </si>
  <si>
    <t>Arnsberg(Westf)</t>
  </si>
  <si>
    <t>51.405662</t>
  </si>
  <si>
    <t>8.067965</t>
  </si>
  <si>
    <t>Arnschwang</t>
  </si>
  <si>
    <t>49.274608</t>
  </si>
  <si>
    <t>12.811600</t>
  </si>
  <si>
    <t>Arnsdorf(Dresden)</t>
  </si>
  <si>
    <t>51.092807</t>
  </si>
  <si>
    <t>13.982212</t>
  </si>
  <si>
    <t>Arnstadt Hbf</t>
  </si>
  <si>
    <t>50.841939</t>
  </si>
  <si>
    <t>10.948262</t>
  </si>
  <si>
    <t>Arnstadt Süd</t>
  </si>
  <si>
    <t>50.831084</t>
  </si>
  <si>
    <t>10.954958</t>
  </si>
  <si>
    <t>Arrach</t>
  </si>
  <si>
    <t>49.195364</t>
  </si>
  <si>
    <t>13.002804</t>
  </si>
  <si>
    <t>Arsbeck</t>
  </si>
  <si>
    <t>51.151978</t>
  </si>
  <si>
    <t>6.207082</t>
  </si>
  <si>
    <t>Artern</t>
  </si>
  <si>
    <t>51.363240</t>
  </si>
  <si>
    <t>11.310757</t>
  </si>
  <si>
    <t>Arzberg(Oberfr)</t>
  </si>
  <si>
    <t>50.054633</t>
  </si>
  <si>
    <t>12.197692</t>
  </si>
  <si>
    <t>Aschaffenburg Hbf</t>
  </si>
  <si>
    <t>49.980557</t>
  </si>
  <si>
    <t>9.143697</t>
  </si>
  <si>
    <t>Aschaffenburg Hochschule</t>
  </si>
  <si>
    <t>49.974445</t>
  </si>
  <si>
    <t>9.160416</t>
  </si>
  <si>
    <t>Aschaffenburg Süd</t>
  </si>
  <si>
    <t>49.968465</t>
  </si>
  <si>
    <t>9.152586</t>
  </si>
  <si>
    <t>Aschau(Chiemgau)</t>
  </si>
  <si>
    <t>47.779106</t>
  </si>
  <si>
    <t>12.325564</t>
  </si>
  <si>
    <t>Ascheberg Bahnhofsweg</t>
  </si>
  <si>
    <t>Ascheberg(Holst)</t>
  </si>
  <si>
    <t>54.148462</t>
  </si>
  <si>
    <t>10.339481</t>
  </si>
  <si>
    <t>Ascheberg(Westf)</t>
  </si>
  <si>
    <t>51.782991</t>
  </si>
  <si>
    <t>7.600749</t>
  </si>
  <si>
    <t>Aschendorf</t>
  </si>
  <si>
    <t>53.052179</t>
  </si>
  <si>
    <t>7.337153</t>
  </si>
  <si>
    <t>Aschersleben</t>
  </si>
  <si>
    <t>51.757122</t>
  </si>
  <si>
    <t>11.465689</t>
  </si>
  <si>
    <t>Asendorf</t>
  </si>
  <si>
    <t>52.773660</t>
  </si>
  <si>
    <t>9.005284</t>
  </si>
  <si>
    <t>Ashausen</t>
  </si>
  <si>
    <t>53.368693</t>
  </si>
  <si>
    <t>10.145564</t>
  </si>
  <si>
    <t>Asperg</t>
  </si>
  <si>
    <t>48.907359</t>
  </si>
  <si>
    <t>9.147797</t>
  </si>
  <si>
    <t>Asselheim</t>
  </si>
  <si>
    <t>49.576220</t>
  </si>
  <si>
    <t>8.161602</t>
  </si>
  <si>
    <t>Assenheim(Oberhess)</t>
  </si>
  <si>
    <t>50.304939</t>
  </si>
  <si>
    <t>8.812462</t>
  </si>
  <si>
    <t>Aßlar</t>
  </si>
  <si>
    <t>50.588657</t>
  </si>
  <si>
    <t>8.462756</t>
  </si>
  <si>
    <t>Aßling(Oberbay)</t>
  </si>
  <si>
    <t>47.989491</t>
  </si>
  <si>
    <t>11.993518</t>
  </si>
  <si>
    <t>Assmannshausen KD</t>
  </si>
  <si>
    <t>Attendorn</t>
  </si>
  <si>
    <t>51.124644</t>
  </si>
  <si>
    <t>7.908493</t>
  </si>
  <si>
    <t>Attendorn-Hohen Hagen</t>
  </si>
  <si>
    <t>51.090165</t>
  </si>
  <si>
    <t>7.855281</t>
  </si>
  <si>
    <t>Au im Murgtal</t>
  </si>
  <si>
    <t>48.718867</t>
  </si>
  <si>
    <t>8.362349</t>
  </si>
  <si>
    <t>Aue(Sachs)</t>
  </si>
  <si>
    <t>50.591682</t>
  </si>
  <si>
    <t>12.698518</t>
  </si>
  <si>
    <t>Aue(Sachs) Erzgebirgsstadion</t>
  </si>
  <si>
    <t>50.596708</t>
  </si>
  <si>
    <t>12.709055</t>
  </si>
  <si>
    <t>Auehütte</t>
  </si>
  <si>
    <t>50.719672</t>
  </si>
  <si>
    <t>10.416666</t>
  </si>
  <si>
    <t>Auerbach(b Mosbach, Baden)</t>
  </si>
  <si>
    <t>49.399563</t>
  </si>
  <si>
    <t>9.223276</t>
  </si>
  <si>
    <t>Auerbach(V) ob Bf</t>
  </si>
  <si>
    <t>50.519136</t>
  </si>
  <si>
    <t>12.382054</t>
  </si>
  <si>
    <t>Auerbach(V) unt Bf</t>
  </si>
  <si>
    <t>50.511722</t>
  </si>
  <si>
    <t>12.391421</t>
  </si>
  <si>
    <t>Auerbach(Vogtl) Hp</t>
  </si>
  <si>
    <t>50.506955</t>
  </si>
  <si>
    <t>12.379204</t>
  </si>
  <si>
    <t>Auersmacher</t>
  </si>
  <si>
    <t>49.143343</t>
  </si>
  <si>
    <t>7.044803</t>
  </si>
  <si>
    <t>Aue-Wingeshausen</t>
  </si>
  <si>
    <t>51.051785</t>
  </si>
  <si>
    <t>8.290085</t>
  </si>
  <si>
    <t>Aufenau Kindergarten</t>
  </si>
  <si>
    <t>50.251758</t>
  </si>
  <si>
    <t>9.318093</t>
  </si>
  <si>
    <t>Aufhausen(b Erding)</t>
  </si>
  <si>
    <t>48.274365</t>
  </si>
  <si>
    <t>11.894375</t>
  </si>
  <si>
    <t>48.275080</t>
  </si>
  <si>
    <t>11.893840</t>
  </si>
  <si>
    <t>48.274360</t>
  </si>
  <si>
    <t>11.893290</t>
  </si>
  <si>
    <t>Aufhausen(Württ)</t>
  </si>
  <si>
    <t>48.856130</t>
  </si>
  <si>
    <t>10.317193</t>
  </si>
  <si>
    <t>Auggen</t>
  </si>
  <si>
    <t>47.789949</t>
  </si>
  <si>
    <t>7.586788</t>
  </si>
  <si>
    <t>Augsburg Haunstetterstraße</t>
  </si>
  <si>
    <t>48.355285</t>
  </si>
  <si>
    <t>10.900985</t>
  </si>
  <si>
    <t>Augsburg Hbf</t>
  </si>
  <si>
    <t>48.365441</t>
  </si>
  <si>
    <t>10.885570</t>
  </si>
  <si>
    <t>Augsburg Messe</t>
  </si>
  <si>
    <t>48.338684</t>
  </si>
  <si>
    <t>10.886086</t>
  </si>
  <si>
    <t>Augsburg Morellstr.</t>
  </si>
  <si>
    <t>48.355089</t>
  </si>
  <si>
    <t>10.892948</t>
  </si>
  <si>
    <t>Augsburg-Hochzoll</t>
  </si>
  <si>
    <t>48.352977</t>
  </si>
  <si>
    <t>10.943376</t>
  </si>
  <si>
    <t>Augsburg-Oberhausen</t>
  </si>
  <si>
    <t>48.380772</t>
  </si>
  <si>
    <t>10.872533</t>
  </si>
  <si>
    <t>Augustfehn</t>
  </si>
  <si>
    <t>53.220890</t>
  </si>
  <si>
    <t>7.759659</t>
  </si>
  <si>
    <t>Augustusburg Bergstation</t>
  </si>
  <si>
    <t>50.816613</t>
  </si>
  <si>
    <t>13.099016</t>
  </si>
  <si>
    <t>Augustusburg Feuerwache</t>
  </si>
  <si>
    <t>50.816894</t>
  </si>
  <si>
    <t>13.102117</t>
  </si>
  <si>
    <t>Auhausen</t>
  </si>
  <si>
    <t>49.006341</t>
  </si>
  <si>
    <t>10.623506</t>
  </si>
  <si>
    <t>Aukrug</t>
  </si>
  <si>
    <t>54.082398</t>
  </si>
  <si>
    <t>9.785810</t>
  </si>
  <si>
    <t>Aulendorf</t>
  </si>
  <si>
    <t>47.953052</t>
  </si>
  <si>
    <t>9.644046</t>
  </si>
  <si>
    <t>Aumenau</t>
  </si>
  <si>
    <t>50.400306</t>
  </si>
  <si>
    <t>8.249234</t>
  </si>
  <si>
    <t>Aumühle</t>
  </si>
  <si>
    <t>53.529853</t>
  </si>
  <si>
    <t>10.314672</t>
  </si>
  <si>
    <t>Auringen-Medenbach</t>
  </si>
  <si>
    <t>50.113608</t>
  </si>
  <si>
    <t>8.332093</t>
  </si>
  <si>
    <t>Außenried</t>
  </si>
  <si>
    <t>49.015763</t>
  </si>
  <si>
    <t>13.181763</t>
  </si>
  <si>
    <t>Auw an der Kyll</t>
  </si>
  <si>
    <t>49.903596</t>
  </si>
  <si>
    <t>6.614525</t>
  </si>
  <si>
    <t>Aying</t>
  </si>
  <si>
    <t>47.968762</t>
  </si>
  <si>
    <t>11.769578</t>
  </si>
  <si>
    <t>Baabe</t>
  </si>
  <si>
    <t>54.362315</t>
  </si>
  <si>
    <t>13.704806</t>
  </si>
  <si>
    <t>Baalberge</t>
  </si>
  <si>
    <t>51.763048</t>
  </si>
  <si>
    <t>11.784682</t>
  </si>
  <si>
    <t>Baar-Ebenhausen</t>
  </si>
  <si>
    <t>48.674938</t>
  </si>
  <si>
    <t>11.460092</t>
  </si>
  <si>
    <t>Babenhausen Langstadt</t>
  </si>
  <si>
    <t>49.922274</t>
  </si>
  <si>
    <t>8.945733</t>
  </si>
  <si>
    <t>Babenhausen(Hess)</t>
  </si>
  <si>
    <t>49.957963</t>
  </si>
  <si>
    <t>8.957182</t>
  </si>
  <si>
    <t>Babstadt</t>
  </si>
  <si>
    <t>49.240196</t>
  </si>
  <si>
    <t>9.060708</t>
  </si>
  <si>
    <t>Babstadt Ort</t>
  </si>
  <si>
    <t>49.241969</t>
  </si>
  <si>
    <t>9.058884</t>
  </si>
  <si>
    <t>Bacharach</t>
  </si>
  <si>
    <t>50.056101</t>
  </si>
  <si>
    <t>7.769523</t>
  </si>
  <si>
    <t>Bacharach KD</t>
  </si>
  <si>
    <t>Bachem</t>
  </si>
  <si>
    <t>49.482626</t>
  </si>
  <si>
    <t>6.698434</t>
  </si>
  <si>
    <t>Bachern</t>
  </si>
  <si>
    <t>48.280159</t>
  </si>
  <si>
    <t>11.378716</t>
  </si>
  <si>
    <t>Bachfeld</t>
  </si>
  <si>
    <t>50.405772</t>
  </si>
  <si>
    <t>10.982451</t>
  </si>
  <si>
    <t>Bachheim</t>
  </si>
  <si>
    <t>47.862072</t>
  </si>
  <si>
    <t>8.399399</t>
  </si>
  <si>
    <t>Backnang</t>
  </si>
  <si>
    <t>48.942676</t>
  </si>
  <si>
    <t>9.425989</t>
  </si>
  <si>
    <t>Bad Abbach</t>
  </si>
  <si>
    <t>48.922732</t>
  </si>
  <si>
    <t>11.994322</t>
  </si>
  <si>
    <t>Bad Aibling</t>
  </si>
  <si>
    <t>47.862028</t>
  </si>
  <si>
    <t>12.004157</t>
  </si>
  <si>
    <t>Bad Aibling Kurpark</t>
  </si>
  <si>
    <t>47.857617</t>
  </si>
  <si>
    <t>12.013823</t>
  </si>
  <si>
    <t>Bad Arolsen</t>
  </si>
  <si>
    <t>51.381600</t>
  </si>
  <si>
    <t>8.997792</t>
  </si>
  <si>
    <t>Bad Bederkesa</t>
  </si>
  <si>
    <t>53.630101</t>
  </si>
  <si>
    <t>8.829324</t>
  </si>
  <si>
    <t>Bad Bellingen</t>
  </si>
  <si>
    <t>47.730804</t>
  </si>
  <si>
    <t>7.557601</t>
  </si>
  <si>
    <t>Bad Belzig</t>
  </si>
  <si>
    <t>52.135969</t>
  </si>
  <si>
    <t>12.594981</t>
  </si>
  <si>
    <t>Bad Bentheim</t>
  </si>
  <si>
    <t>52.309850</t>
  </si>
  <si>
    <t>7.158539</t>
  </si>
  <si>
    <t>Bad Bentheim(Gr)</t>
  </si>
  <si>
    <t>Bad Bergzabern</t>
  </si>
  <si>
    <t>49.103209</t>
  </si>
  <si>
    <t>8.002787</t>
  </si>
  <si>
    <t>Bad Berka</t>
  </si>
  <si>
    <t>50.896138</t>
  </si>
  <si>
    <t>11.281550</t>
  </si>
  <si>
    <t>Bad Berka Zeughausplatz</t>
  </si>
  <si>
    <t>50.900441</t>
  </si>
  <si>
    <t>11.280095</t>
  </si>
  <si>
    <t>Bad Berleburg</t>
  </si>
  <si>
    <t>51.051197</t>
  </si>
  <si>
    <t>8.394109</t>
  </si>
  <si>
    <t>Bad Bevensen</t>
  </si>
  <si>
    <t>53.078247</t>
  </si>
  <si>
    <t>10.574141</t>
  </si>
  <si>
    <t>Bad Birnbach</t>
  </si>
  <si>
    <t>48.432853</t>
  </si>
  <si>
    <t>13.074034</t>
  </si>
  <si>
    <t>Bad Blankenburg(Thüringerw)</t>
  </si>
  <si>
    <t>50.682648</t>
  </si>
  <si>
    <t>11.275498</t>
  </si>
  <si>
    <t>Bad Bodendorf</t>
  </si>
  <si>
    <t>50.556266</t>
  </si>
  <si>
    <t>7.217217</t>
  </si>
  <si>
    <t>Bad Bodenteich</t>
  </si>
  <si>
    <t>52.835100</t>
  </si>
  <si>
    <t>10.672799</t>
  </si>
  <si>
    <t>Bad Brambach</t>
  </si>
  <si>
    <t>50.217587</t>
  </si>
  <si>
    <t>12.311414</t>
  </si>
  <si>
    <t>Bad Bramstedt</t>
  </si>
  <si>
    <t>53.920593</t>
  </si>
  <si>
    <t>9.890162</t>
  </si>
  <si>
    <t>Bad Bramstedt Kurhaus</t>
  </si>
  <si>
    <t>53.903365</t>
  </si>
  <si>
    <t>9.890420</t>
  </si>
  <si>
    <t>Bad Breisig</t>
  </si>
  <si>
    <t>50.504218</t>
  </si>
  <si>
    <t>7.304564</t>
  </si>
  <si>
    <t>Bad Camberg</t>
  </si>
  <si>
    <t>50.296625</t>
  </si>
  <si>
    <t>8.255051</t>
  </si>
  <si>
    <t>Bad Doberan</t>
  </si>
  <si>
    <t>54.100004</t>
  </si>
  <si>
    <t>11.905335</t>
  </si>
  <si>
    <t>Bad Doberan Goethestraße</t>
  </si>
  <si>
    <t>54.108463</t>
  </si>
  <si>
    <t>11.899894</t>
  </si>
  <si>
    <t>Bad Doberan Stadtmitte</t>
  </si>
  <si>
    <t>54.104650</t>
  </si>
  <si>
    <t>11.902100</t>
  </si>
  <si>
    <t>Bad Driburg Polizei</t>
  </si>
  <si>
    <t>51.733274</t>
  </si>
  <si>
    <t>9.023180</t>
  </si>
  <si>
    <t>Bad Driburg(Westf)</t>
  </si>
  <si>
    <t>51.730323</t>
  </si>
  <si>
    <t>9.030810</t>
  </si>
  <si>
    <t>Bad Dürkheim</t>
  </si>
  <si>
    <t>49.460633</t>
  </si>
  <si>
    <t>8.170701</t>
  </si>
  <si>
    <t>Bad Dürkheim-Trift</t>
  </si>
  <si>
    <t>49.466416</t>
  </si>
  <si>
    <t>8.193072</t>
  </si>
  <si>
    <t>Bad Dürrenberg</t>
  </si>
  <si>
    <t>51.305165</t>
  </si>
  <si>
    <t>12.071053</t>
  </si>
  <si>
    <t>Bad Eilsen Bahnhof</t>
  </si>
  <si>
    <t>52.239940</t>
  </si>
  <si>
    <t>9.106688</t>
  </si>
  <si>
    <t>Bad Elster</t>
  </si>
  <si>
    <t>50.296672</t>
  </si>
  <si>
    <t>12.256286</t>
  </si>
  <si>
    <t>Bad Ems</t>
  </si>
  <si>
    <t>50.327652</t>
  </si>
  <si>
    <t>7.728637</t>
  </si>
  <si>
    <t>Bad Ems West</t>
  </si>
  <si>
    <t>50.330694</t>
  </si>
  <si>
    <t>7.706039</t>
  </si>
  <si>
    <t>Bad Endorf</t>
  </si>
  <si>
    <t>47.905066</t>
  </si>
  <si>
    <t>12.301558</t>
  </si>
  <si>
    <t>Bad Essen</t>
  </si>
  <si>
    <t>52.323834</t>
  </si>
  <si>
    <t>8.341432</t>
  </si>
  <si>
    <t>Bad Fallingbostel</t>
  </si>
  <si>
    <t>52.862925</t>
  </si>
  <si>
    <t>9.700233</t>
  </si>
  <si>
    <t>Bad Freienwalde</t>
  </si>
  <si>
    <t>52.789933</t>
  </si>
  <si>
    <t>14.035751</t>
  </si>
  <si>
    <t>Bad Friedrichshall Hbf</t>
  </si>
  <si>
    <t>49.231571</t>
  </si>
  <si>
    <t>9.199771</t>
  </si>
  <si>
    <t>Bad Friedrichshall-Kochendorf</t>
  </si>
  <si>
    <t>49.218564</t>
  </si>
  <si>
    <t>9.210985</t>
  </si>
  <si>
    <t>Bad Gandersheim</t>
  </si>
  <si>
    <t>51.867370</t>
  </si>
  <si>
    <t>10.020236</t>
  </si>
  <si>
    <t>Bad Griesbach(Schwarzwald)</t>
  </si>
  <si>
    <t>48.448618</t>
  </si>
  <si>
    <t>8.230569</t>
  </si>
  <si>
    <t>Bad Grönenbach</t>
  </si>
  <si>
    <t>47.882468</t>
  </si>
  <si>
    <t>10.253715</t>
  </si>
  <si>
    <t>Bad Harzburg</t>
  </si>
  <si>
    <t>51.888369</t>
  </si>
  <si>
    <t>10.554219</t>
  </si>
  <si>
    <t>Bad Herrenalb</t>
  </si>
  <si>
    <t>48.802428</t>
  </si>
  <si>
    <t>8.438957</t>
  </si>
  <si>
    <t>Bad Hersfeld</t>
  </si>
  <si>
    <t>50.869766</t>
  </si>
  <si>
    <t>9.716581</t>
  </si>
  <si>
    <t>Bad Hersfeld Bahnhof</t>
  </si>
  <si>
    <t>50.869499</t>
  </si>
  <si>
    <t>9.715858</t>
  </si>
  <si>
    <t>Bad Höhenstadt</t>
  </si>
  <si>
    <t>48.494606</t>
  </si>
  <si>
    <t>13.323195</t>
  </si>
  <si>
    <t>Bad Holzhausen</t>
  </si>
  <si>
    <t>52.289097</t>
  </si>
  <si>
    <t>8.545854</t>
  </si>
  <si>
    <t>50.219904</t>
  </si>
  <si>
    <t>8.620624</t>
  </si>
  <si>
    <t>Bad Honnef Am Spitzenbach</t>
  </si>
  <si>
    <t>50.648540</t>
  </si>
  <si>
    <t>7.215083</t>
  </si>
  <si>
    <t>Bad Honnef Stadtbahn</t>
  </si>
  <si>
    <t>50.643750</t>
  </si>
  <si>
    <t>7.217231</t>
  </si>
  <si>
    <t>Bad Honnef(Rhein)</t>
  </si>
  <si>
    <t>50.639772</t>
  </si>
  <si>
    <t>7.219533</t>
  </si>
  <si>
    <t>Bad Honnef(Rhein) KD</t>
  </si>
  <si>
    <t>Bad Hönningen</t>
  </si>
  <si>
    <t>50.513676</t>
  </si>
  <si>
    <t>7.310871</t>
  </si>
  <si>
    <t>Bad Iburg Bf</t>
  </si>
  <si>
    <t>52.149713</t>
  </si>
  <si>
    <t>8.037512</t>
  </si>
  <si>
    <t>Bad Imnau</t>
  </si>
  <si>
    <t>48.404155</t>
  </si>
  <si>
    <t>8.770092</t>
  </si>
  <si>
    <t>Bad Karlshafen</t>
  </si>
  <si>
    <t>51.646270</t>
  </si>
  <si>
    <t>9.445710</t>
  </si>
  <si>
    <t>Bad Kissingen</t>
  </si>
  <si>
    <t>50.191547</t>
  </si>
  <si>
    <t>10.079885</t>
  </si>
  <si>
    <t>Bad Kleinen</t>
  </si>
  <si>
    <t>53.766974</t>
  </si>
  <si>
    <t>11.466925</t>
  </si>
  <si>
    <t>Bad Kohlgrub</t>
  </si>
  <si>
    <t>47.668006</t>
  </si>
  <si>
    <t>11.058204</t>
  </si>
  <si>
    <t>Bad Kohlgrub Kurhaus</t>
  </si>
  <si>
    <t>47.670213</t>
  </si>
  <si>
    <t>11.039181</t>
  </si>
  <si>
    <t>Bad König</t>
  </si>
  <si>
    <t>49.738577</t>
  </si>
  <si>
    <t>9.001539</t>
  </si>
  <si>
    <t>Bad König Zell</t>
  </si>
  <si>
    <t>49.719709</t>
  </si>
  <si>
    <t>8.994040</t>
  </si>
  <si>
    <t>Bad Kösen</t>
  </si>
  <si>
    <t>51.130742</t>
  </si>
  <si>
    <t>11.718274</t>
  </si>
  <si>
    <t>Bad Köstritz</t>
  </si>
  <si>
    <t>50.931590</t>
  </si>
  <si>
    <t>12.028452</t>
  </si>
  <si>
    <t>Bad Kötzting</t>
  </si>
  <si>
    <t>49.172920</t>
  </si>
  <si>
    <t>12.851892</t>
  </si>
  <si>
    <t>Bad Kreuznach</t>
  </si>
  <si>
    <t>49.842399</t>
  </si>
  <si>
    <t>7.866435</t>
  </si>
  <si>
    <t>Bad Krozingen</t>
  </si>
  <si>
    <t>47.919721</t>
  </si>
  <si>
    <t>7.697632</t>
  </si>
  <si>
    <t>Bad Krozingen Ost</t>
  </si>
  <si>
    <t>47.917140</t>
  </si>
  <si>
    <t>7.709790</t>
  </si>
  <si>
    <t>Bad Laasphe</t>
  </si>
  <si>
    <t>50.929312</t>
  </si>
  <si>
    <t>8.420720</t>
  </si>
  <si>
    <t>Bad Laasphe-Niederlaasphe</t>
  </si>
  <si>
    <t>50.924324</t>
  </si>
  <si>
    <t>8.442001</t>
  </si>
  <si>
    <t>Bad Langensalza</t>
  </si>
  <si>
    <t>51.101701</t>
  </si>
  <si>
    <t>10.640671</t>
  </si>
  <si>
    <t>Bad Lauchstädt</t>
  </si>
  <si>
    <t>51.389212</t>
  </si>
  <si>
    <t>11.872050</t>
  </si>
  <si>
    <t>Bad Lausick</t>
  </si>
  <si>
    <t>51.143803</t>
  </si>
  <si>
    <t>12.648695</t>
  </si>
  <si>
    <t>Bad Lauterberg im Harz Barbis</t>
  </si>
  <si>
    <t>51.619024</t>
  </si>
  <si>
    <t>10.414607</t>
  </si>
  <si>
    <t>Bad Liebenwerda</t>
  </si>
  <si>
    <t>51.518401</t>
  </si>
  <si>
    <t>13.402930</t>
  </si>
  <si>
    <t>Bad Liebenzell</t>
  </si>
  <si>
    <t>48.772578</t>
  </si>
  <si>
    <t>8.734039</t>
  </si>
  <si>
    <t>Bad Lobenstein</t>
  </si>
  <si>
    <t>50.452415</t>
  </si>
  <si>
    <t>11.641806</t>
  </si>
  <si>
    <t>Bad Malente-Gremsmühlen</t>
  </si>
  <si>
    <t>54.167014</t>
  </si>
  <si>
    <t>10.551510</t>
  </si>
  <si>
    <t>Bad Mergentheim</t>
  </si>
  <si>
    <t>49.493647</t>
  </si>
  <si>
    <t>9.771662</t>
  </si>
  <si>
    <t>Bad Münder(Deister)</t>
  </si>
  <si>
    <t>52.178192</t>
  </si>
  <si>
    <t>9.468062</t>
  </si>
  <si>
    <t>Bad Münster a Stein</t>
  </si>
  <si>
    <t>49.813426</t>
  </si>
  <si>
    <t>7.846989</t>
  </si>
  <si>
    <t>Bad Münstereifel</t>
  </si>
  <si>
    <t>50.558914</t>
  </si>
  <si>
    <t>6.764369</t>
  </si>
  <si>
    <t>Bad Münstereifel-Arloff</t>
  </si>
  <si>
    <t>50.597676</t>
  </si>
  <si>
    <t>6.786608</t>
  </si>
  <si>
    <t>Bad Münstereifel-Iversheim</t>
  </si>
  <si>
    <t>50.583034</t>
  </si>
  <si>
    <t>6.769162</t>
  </si>
  <si>
    <t>Bad Nenndorf</t>
  </si>
  <si>
    <t>52.343735</t>
  </si>
  <si>
    <t>9.378603</t>
  </si>
  <si>
    <t>Bad Neuenahr</t>
  </si>
  <si>
    <t>50.547656</t>
  </si>
  <si>
    <t>7.144032</t>
  </si>
  <si>
    <t>Bad Neustadt(Saale)</t>
  </si>
  <si>
    <t>50.328127</t>
  </si>
  <si>
    <t>10.226134</t>
  </si>
  <si>
    <t>Bad Niedernau</t>
  </si>
  <si>
    <t>48.460766</t>
  </si>
  <si>
    <t>8.896533</t>
  </si>
  <si>
    <t>Bad Oeynhausen</t>
  </si>
  <si>
    <t>52.205398</t>
  </si>
  <si>
    <t>8.796523</t>
  </si>
  <si>
    <t>Bad Oeynhausen Süd</t>
  </si>
  <si>
    <t>52.197127</t>
  </si>
  <si>
    <t>8.801723</t>
  </si>
  <si>
    <t>Bad Oldesloe</t>
  </si>
  <si>
    <t>53.805390</t>
  </si>
  <si>
    <t>10.382541</t>
  </si>
  <si>
    <t>Bad Peterstal</t>
  </si>
  <si>
    <t>48.428895</t>
  </si>
  <si>
    <t>8.201948</t>
  </si>
  <si>
    <t>Bad Pyrmont</t>
  </si>
  <si>
    <t>51.974233</t>
  </si>
  <si>
    <t>9.272719</t>
  </si>
  <si>
    <t>Bad Rappenau</t>
  </si>
  <si>
    <t>49.237765</t>
  </si>
  <si>
    <t>9.101529</t>
  </si>
  <si>
    <t>Bad Rappenau Kurpark</t>
  </si>
  <si>
    <t>49.240371</t>
  </si>
  <si>
    <t>9.113526</t>
  </si>
  <si>
    <t>Bad Reichenhall</t>
  </si>
  <si>
    <t>47.731168</t>
  </si>
  <si>
    <t>12.881825</t>
  </si>
  <si>
    <t>Bad Reichenhall-Kirchberg</t>
  </si>
  <si>
    <t>47.718538</t>
  </si>
  <si>
    <t>12.874001</t>
  </si>
  <si>
    <t>Bad Rodach</t>
  </si>
  <si>
    <t>50.336986</t>
  </si>
  <si>
    <t>10.778387</t>
  </si>
  <si>
    <t>Bad Rotenfels Bf</t>
  </si>
  <si>
    <t>48.815822</t>
  </si>
  <si>
    <t>8.303100</t>
  </si>
  <si>
    <t>Bad Rotenfels Schloss</t>
  </si>
  <si>
    <t>48.819949</t>
  </si>
  <si>
    <t>8.297131</t>
  </si>
  <si>
    <t>Bad Rotenfels Weinbrennerstraße</t>
  </si>
  <si>
    <t>48.811537</t>
  </si>
  <si>
    <t>8.312085</t>
  </si>
  <si>
    <t>Bad Saarow</t>
  </si>
  <si>
    <t>52.293253</t>
  </si>
  <si>
    <t>14.064929</t>
  </si>
  <si>
    <t>Bad Saarow Klinikum</t>
  </si>
  <si>
    <t>52.284632</t>
  </si>
  <si>
    <t>14.065964</t>
  </si>
  <si>
    <t>Bad Sachsa</t>
  </si>
  <si>
    <t>51.581944</t>
  </si>
  <si>
    <t>10.573211</t>
  </si>
  <si>
    <t>Bad Säckingen</t>
  </si>
  <si>
    <t>47.555857</t>
  </si>
  <si>
    <t>7.948630</t>
  </si>
  <si>
    <t>Bad Salzdetfurth</t>
  </si>
  <si>
    <t>52.062635</t>
  </si>
  <si>
    <t>10.005595</t>
  </si>
  <si>
    <t>Bad Salzdetfurth Solebad</t>
  </si>
  <si>
    <t>52.069940</t>
  </si>
  <si>
    <t>10.018916</t>
  </si>
  <si>
    <t>Bad Salzhausen</t>
  </si>
  <si>
    <t>50.418764</t>
  </si>
  <si>
    <t>8.979988</t>
  </si>
  <si>
    <t>Bad Salzig KD</t>
  </si>
  <si>
    <t>Bad Salzschlirf</t>
  </si>
  <si>
    <t>50.626935</t>
  </si>
  <si>
    <t>9.494484</t>
  </si>
  <si>
    <t>Bad Salzuflen</t>
  </si>
  <si>
    <t>52.081628</t>
  </si>
  <si>
    <t>8.740428</t>
  </si>
  <si>
    <t>Bad Salzuflen-Sylbach</t>
  </si>
  <si>
    <t>52.026884</t>
  </si>
  <si>
    <t>8.765529</t>
  </si>
  <si>
    <t>Bad Salzungen</t>
  </si>
  <si>
    <t>50.814911</t>
  </si>
  <si>
    <t>10.229430</t>
  </si>
  <si>
    <t>Bad Sassendorf</t>
  </si>
  <si>
    <t>51.587168</t>
  </si>
  <si>
    <t>8.162439</t>
  </si>
  <si>
    <t>Bad Saulgau</t>
  </si>
  <si>
    <t>48.013593</t>
  </si>
  <si>
    <t>9.501083</t>
  </si>
  <si>
    <t>Bad Schandau</t>
  </si>
  <si>
    <t>50.919289</t>
  </si>
  <si>
    <t>14.137538</t>
  </si>
  <si>
    <t>Bad Schandau Elbbrücke</t>
  </si>
  <si>
    <t>50.921190</t>
  </si>
  <si>
    <t>14.140848</t>
  </si>
  <si>
    <t>Bad Schandau-Postelwitz</t>
  </si>
  <si>
    <t>50.913552</t>
  </si>
  <si>
    <t>14.169576</t>
  </si>
  <si>
    <t>Bad Schlema</t>
  </si>
  <si>
    <t>50.618902</t>
  </si>
  <si>
    <t>12.680229</t>
  </si>
  <si>
    <t>Bad Schmiedeberg</t>
  </si>
  <si>
    <t>51.688761</t>
  </si>
  <si>
    <t>12.743874</t>
  </si>
  <si>
    <t>Bad Schmiedeberg Kurzentrum</t>
  </si>
  <si>
    <t>51.679010</t>
  </si>
  <si>
    <t>12.734999</t>
  </si>
  <si>
    <t>Bad Schönborn Süd</t>
  </si>
  <si>
    <t>49.200001</t>
  </si>
  <si>
    <t>8.641924</t>
  </si>
  <si>
    <t>Bad Schönborn-Kronau</t>
  </si>
  <si>
    <t>49.219345</t>
  </si>
  <si>
    <t>8.646821</t>
  </si>
  <si>
    <t>Bad Schussenried</t>
  </si>
  <si>
    <t>47.994033</t>
  </si>
  <si>
    <t>9.668497</t>
  </si>
  <si>
    <t>Bad Schwartau</t>
  </si>
  <si>
    <t>53.916276</t>
  </si>
  <si>
    <t>10.702722</t>
  </si>
  <si>
    <t>Bad Sebastiansweiler-Belsen</t>
  </si>
  <si>
    <t>48.395566</t>
  </si>
  <si>
    <t>9.030023</t>
  </si>
  <si>
    <t>Bad Segeberg</t>
  </si>
  <si>
    <t>53.933805</t>
  </si>
  <si>
    <t>10.308163</t>
  </si>
  <si>
    <t>Bad Sobernheim</t>
  </si>
  <si>
    <t>49.782850</t>
  </si>
  <si>
    <t>7.649816</t>
  </si>
  <si>
    <t>Bad Soden(Taunus)</t>
  </si>
  <si>
    <t>50.142961</t>
  </si>
  <si>
    <t>8.504426</t>
  </si>
  <si>
    <t>Bad Sooden-Allendorf</t>
  </si>
  <si>
    <t>51.267974</t>
  </si>
  <si>
    <t>9.968696</t>
  </si>
  <si>
    <t>Bad St Peter Süd</t>
  </si>
  <si>
    <t>54.305010</t>
  </si>
  <si>
    <t>8.648041</t>
  </si>
  <si>
    <t>Bad St Peter-Ording</t>
  </si>
  <si>
    <t>54.317293</t>
  </si>
  <si>
    <t>8.614736</t>
  </si>
  <si>
    <t>Bad Staffelstein</t>
  </si>
  <si>
    <t>50.108258</t>
  </si>
  <si>
    <t>10.994239</t>
  </si>
  <si>
    <t>Bad Staffelstein Thermalbad</t>
  </si>
  <si>
    <t>50.107828</t>
  </si>
  <si>
    <t>10.992038</t>
  </si>
  <si>
    <t>Bad Steben</t>
  </si>
  <si>
    <t>50.365095</t>
  </si>
  <si>
    <t>11.646770</t>
  </si>
  <si>
    <t>Bad Suderode</t>
  </si>
  <si>
    <t>51.733673</t>
  </si>
  <si>
    <t>11.125782</t>
  </si>
  <si>
    <t>Bad Sulza</t>
  </si>
  <si>
    <t>51.094767</t>
  </si>
  <si>
    <t>11.634595</t>
  </si>
  <si>
    <t>Bad Teinach-Neubulach</t>
  </si>
  <si>
    <t>48.678470</t>
  </si>
  <si>
    <t>8.727148</t>
  </si>
  <si>
    <t>Bad Tölz</t>
  </si>
  <si>
    <t>47.760578</t>
  </si>
  <si>
    <t>11.573940</t>
  </si>
  <si>
    <t>Bad Tönisstein</t>
  </si>
  <si>
    <t>50.459318</t>
  </si>
  <si>
    <t>7.298859</t>
  </si>
  <si>
    <t>Bad Urach</t>
  </si>
  <si>
    <t>48.491244</t>
  </si>
  <si>
    <t>9.396483</t>
  </si>
  <si>
    <t>Bad Urach Ermstalklinik</t>
  </si>
  <si>
    <t>48.494155</t>
  </si>
  <si>
    <t>9.386901</t>
  </si>
  <si>
    <t>Bad Urach Wasserfall</t>
  </si>
  <si>
    <t>48.499263</t>
  </si>
  <si>
    <t>9.376401</t>
  </si>
  <si>
    <t>Bad Vilbel Süd</t>
  </si>
  <si>
    <t>50.178585</t>
  </si>
  <si>
    <t>8.733227</t>
  </si>
  <si>
    <t>Bad Vilbel-Gronau</t>
  </si>
  <si>
    <t>50.191529</t>
  </si>
  <si>
    <t>8.783203</t>
  </si>
  <si>
    <t>Bad Waldsee</t>
  </si>
  <si>
    <t>47.925244</t>
  </si>
  <si>
    <t>9.752274</t>
  </si>
  <si>
    <t>Bad Wildbad Bf</t>
  </si>
  <si>
    <t>48.755718</t>
  </si>
  <si>
    <t>8.551089</t>
  </si>
  <si>
    <t>Bad Wildbad Kurpark</t>
  </si>
  <si>
    <t>48.748755</t>
  </si>
  <si>
    <t>8.550459</t>
  </si>
  <si>
    <t>Bad Wildbad Nord</t>
  </si>
  <si>
    <t>48.763936</t>
  </si>
  <si>
    <t>8.555095</t>
  </si>
  <si>
    <t>Bad Wildungen</t>
  </si>
  <si>
    <t>51.119619</t>
  </si>
  <si>
    <t>9.136091</t>
  </si>
  <si>
    <t>Bad Wilsnack</t>
  </si>
  <si>
    <t>52.960229</t>
  </si>
  <si>
    <t>11.949344</t>
  </si>
  <si>
    <t>Bad Wimpfen</t>
  </si>
  <si>
    <t>49.229744</t>
  </si>
  <si>
    <t>9.167297</t>
  </si>
  <si>
    <t>Bad Wimpfen Im Tal</t>
  </si>
  <si>
    <t>49.229848</t>
  </si>
  <si>
    <t>9.187046</t>
  </si>
  <si>
    <t>Bad Wimpfen Parkplatz Seegarten</t>
  </si>
  <si>
    <t>49.226688</t>
  </si>
  <si>
    <t>9.159898</t>
  </si>
  <si>
    <t>Bad Wimpfen-Hohenstadt</t>
  </si>
  <si>
    <t>49.242537</t>
  </si>
  <si>
    <t>9.138753</t>
  </si>
  <si>
    <t>Bad Wörishofen</t>
  </si>
  <si>
    <t>48.005711</t>
  </si>
  <si>
    <t>10.597875</t>
  </si>
  <si>
    <t>Bad Wurzach</t>
  </si>
  <si>
    <t>47.910258</t>
  </si>
  <si>
    <t>9.889739</t>
  </si>
  <si>
    <t>Bad Zwischenahn</t>
  </si>
  <si>
    <t>53.182547</t>
  </si>
  <si>
    <t>8.003123</t>
  </si>
  <si>
    <t>Baddeckenstedt</t>
  </si>
  <si>
    <t>52.089160</t>
  </si>
  <si>
    <t>10.228767</t>
  </si>
  <si>
    <t>Baddeckenstedt Bf</t>
  </si>
  <si>
    <t>52.089408</t>
  </si>
  <si>
    <t>10.229138</t>
  </si>
  <si>
    <t>Baden(Verden)</t>
  </si>
  <si>
    <t>53.007872</t>
  </si>
  <si>
    <t>9.081261</t>
  </si>
  <si>
    <t>Baden-Baden</t>
  </si>
  <si>
    <t>48.790327</t>
  </si>
  <si>
    <t>8.190831</t>
  </si>
  <si>
    <t>Baden-Baden Haueneberstein</t>
  </si>
  <si>
    <t>48.811907</t>
  </si>
  <si>
    <t>8.209021</t>
  </si>
  <si>
    <t>Baden-Baden Rebland</t>
  </si>
  <si>
    <t>48.733844</t>
  </si>
  <si>
    <t>8.146572</t>
  </si>
  <si>
    <t>Bagenz</t>
  </si>
  <si>
    <t>51.654888</t>
  </si>
  <si>
    <t>14.426908</t>
  </si>
  <si>
    <t>Bahlingen am Kaiserstuhl</t>
  </si>
  <si>
    <t>48.124494</t>
  </si>
  <si>
    <t>7.741516</t>
  </si>
  <si>
    <t>Bahlingen Riedlen</t>
  </si>
  <si>
    <t>48.118019</t>
  </si>
  <si>
    <t>7.747776</t>
  </si>
  <si>
    <t>Bahnbrücken</t>
  </si>
  <si>
    <t>49.119447</t>
  </si>
  <si>
    <t>8.764854</t>
  </si>
  <si>
    <t>Bahnhof Fürstenhagen, Hessisch Lichtenau</t>
  </si>
  <si>
    <t>51.212799</t>
  </si>
  <si>
    <t>9.695465</t>
  </si>
  <si>
    <t>Bahnhof, Helsa</t>
  </si>
  <si>
    <t>51.257700</t>
  </si>
  <si>
    <t>9.682621</t>
  </si>
  <si>
    <t>Bahnsdorf</t>
  </si>
  <si>
    <t>51.581745</t>
  </si>
  <si>
    <t>14.112288</t>
  </si>
  <si>
    <t>Baierbrunn</t>
  </si>
  <si>
    <t>48.018741</t>
  </si>
  <si>
    <t>11.480027</t>
  </si>
  <si>
    <t>Baiersbronn Bf</t>
  </si>
  <si>
    <t>48.503576</t>
  </si>
  <si>
    <t>8.372038</t>
  </si>
  <si>
    <t>Baiersbronn Schule</t>
  </si>
  <si>
    <t>48.510610</t>
  </si>
  <si>
    <t>8.375858</t>
  </si>
  <si>
    <t>Baiersdorf</t>
  </si>
  <si>
    <t>49.656147</t>
  </si>
  <si>
    <t>11.036976</t>
  </si>
  <si>
    <t>Baitz</t>
  </si>
  <si>
    <t>52.164149</t>
  </si>
  <si>
    <t>12.685111</t>
  </si>
  <si>
    <t>Balbersdorf</t>
  </si>
  <si>
    <t>49.290440</t>
  </si>
  <si>
    <t>12.683064</t>
  </si>
  <si>
    <t>Baldham</t>
  </si>
  <si>
    <t>48.099256</t>
  </si>
  <si>
    <t>11.786780</t>
  </si>
  <si>
    <t>Balduinstein</t>
  </si>
  <si>
    <t>50.347388</t>
  </si>
  <si>
    <t>7.967609</t>
  </si>
  <si>
    <t>Balgheim</t>
  </si>
  <si>
    <t>48.065886</t>
  </si>
  <si>
    <t>8.759892</t>
  </si>
  <si>
    <t>Balgstädt</t>
  </si>
  <si>
    <t>51.208295</t>
  </si>
  <si>
    <t>11.738454</t>
  </si>
  <si>
    <t>Balingen Süd</t>
  </si>
  <si>
    <t>48.268942</t>
  </si>
  <si>
    <t>8.846341</t>
  </si>
  <si>
    <t>Balingen(Württ)</t>
  </si>
  <si>
    <t>48.278469</t>
  </si>
  <si>
    <t>8.850307</t>
  </si>
  <si>
    <t>Ballersbach</t>
  </si>
  <si>
    <t>50.688602</t>
  </si>
  <si>
    <t>8.365908</t>
  </si>
  <si>
    <t>Ballstädt(Gotha)</t>
  </si>
  <si>
    <t>51.040750</t>
  </si>
  <si>
    <t>10.707666</t>
  </si>
  <si>
    <t>Baltersweiler</t>
  </si>
  <si>
    <t>49.493785</t>
  </si>
  <si>
    <t>7.166538</t>
  </si>
  <si>
    <t>Baltrum</t>
  </si>
  <si>
    <t>53.721641</t>
  </si>
  <si>
    <t>7.364208</t>
  </si>
  <si>
    <t>Balve</t>
  </si>
  <si>
    <t>51.332594</t>
  </si>
  <si>
    <t>7.863071</t>
  </si>
  <si>
    <t>Bamberg</t>
  </si>
  <si>
    <t>49.900759</t>
  </si>
  <si>
    <t>10.899489</t>
  </si>
  <si>
    <t>Bammental</t>
  </si>
  <si>
    <t>49.359588</t>
  </si>
  <si>
    <t>8.783685</t>
  </si>
  <si>
    <t>Bannemin-Mölschow</t>
  </si>
  <si>
    <t>54.071262</t>
  </si>
  <si>
    <t>13.836052</t>
  </si>
  <si>
    <t>Bansin Seebad</t>
  </si>
  <si>
    <t>53.964389</t>
  </si>
  <si>
    <t>14.129385</t>
  </si>
  <si>
    <t>Banteln</t>
  </si>
  <si>
    <t>52.066264</t>
  </si>
  <si>
    <t>9.750330</t>
  </si>
  <si>
    <t>Bantin</t>
  </si>
  <si>
    <t>53.535980</t>
  </si>
  <si>
    <t>10.968497</t>
  </si>
  <si>
    <t>Bantin Abzweig</t>
  </si>
  <si>
    <t>53.529377</t>
  </si>
  <si>
    <t>10.967403</t>
  </si>
  <si>
    <t>Bantorf</t>
  </si>
  <si>
    <t>52.332253</t>
  </si>
  <si>
    <t>9.417771</t>
  </si>
  <si>
    <t>Barabein</t>
  </si>
  <si>
    <t>48.144734</t>
  </si>
  <si>
    <t>9.826902</t>
  </si>
  <si>
    <t>Barbelroth</t>
  </si>
  <si>
    <t>49.104118</t>
  </si>
  <si>
    <t>8.070307</t>
  </si>
  <si>
    <t>Barby</t>
  </si>
  <si>
    <t>51.970435</t>
  </si>
  <si>
    <t>11.869858</t>
  </si>
  <si>
    <t>Barchel</t>
  </si>
  <si>
    <t>53.471982</t>
  </si>
  <si>
    <t>9.027388</t>
  </si>
  <si>
    <t>Bardowick</t>
  </si>
  <si>
    <t>53.290469</t>
  </si>
  <si>
    <t>10.371994</t>
  </si>
  <si>
    <t>Bärenhecke-Johnsbach</t>
  </si>
  <si>
    <t>50.827163</t>
  </si>
  <si>
    <t>13.772021</t>
  </si>
  <si>
    <t>Bärenklau</t>
  </si>
  <si>
    <t>52.704043</t>
  </si>
  <si>
    <t>13.143526</t>
  </si>
  <si>
    <t>Bärenstein(Annaberg)</t>
  </si>
  <si>
    <t>50.507603</t>
  </si>
  <si>
    <t>13.029941</t>
  </si>
  <si>
    <t>Bärenstein(b Glashütte, Sachs)</t>
  </si>
  <si>
    <t>50.809728</t>
  </si>
  <si>
    <t>13.794728</t>
  </si>
  <si>
    <t>Bärenstein(Sachs) Markt</t>
  </si>
  <si>
    <t>50.801255</t>
  </si>
  <si>
    <t>13.798683</t>
  </si>
  <si>
    <t>Bargstedt</t>
  </si>
  <si>
    <t>53.457544</t>
  </si>
  <si>
    <t>9.446276</t>
  </si>
  <si>
    <t>Bargteheide</t>
  </si>
  <si>
    <t>53.728200</t>
  </si>
  <si>
    <t>10.269104</t>
  </si>
  <si>
    <t>Barleben</t>
  </si>
  <si>
    <t>52.208945</t>
  </si>
  <si>
    <t>11.620875</t>
  </si>
  <si>
    <t>Barleber See</t>
  </si>
  <si>
    <t>52.214328</t>
  </si>
  <si>
    <t>11.640852</t>
  </si>
  <si>
    <t>Barmstedt</t>
  </si>
  <si>
    <t>53.792978</t>
  </si>
  <si>
    <t>9.772007</t>
  </si>
  <si>
    <t>Barmstedt Brunnenstr</t>
  </si>
  <si>
    <t>53.792619</t>
  </si>
  <si>
    <t>9.761888</t>
  </si>
  <si>
    <t>Bärnsdorf</t>
  </si>
  <si>
    <t>51.166767</t>
  </si>
  <si>
    <t>13.720740</t>
  </si>
  <si>
    <t>Barnstorf(Han)</t>
  </si>
  <si>
    <t>52.707587</t>
  </si>
  <si>
    <t>8.510462</t>
  </si>
  <si>
    <t>Barnten</t>
  </si>
  <si>
    <t>52.195498</t>
  </si>
  <si>
    <t>9.815279</t>
  </si>
  <si>
    <t>Barrien</t>
  </si>
  <si>
    <t>52.946837</t>
  </si>
  <si>
    <t>8.818506</t>
  </si>
  <si>
    <t>Barsinghausen</t>
  </si>
  <si>
    <t>52.304890</t>
  </si>
  <si>
    <t>9.467112</t>
  </si>
  <si>
    <t>Barth</t>
  </si>
  <si>
    <t>54.362342</t>
  </si>
  <si>
    <t>12.726460</t>
  </si>
  <si>
    <t>Barthmühle</t>
  </si>
  <si>
    <t>50.557957</t>
  </si>
  <si>
    <t>12.163681</t>
  </si>
  <si>
    <t>Baruth(Mark)</t>
  </si>
  <si>
    <t>52.057916</t>
  </si>
  <si>
    <t>13.511963</t>
  </si>
  <si>
    <t>Basdahl Kluste</t>
  </si>
  <si>
    <t>53.454200</t>
  </si>
  <si>
    <t>9.012175</t>
  </si>
  <si>
    <t>Basdorf</t>
  </si>
  <si>
    <t>52.715561</t>
  </si>
  <si>
    <t>13.433993</t>
  </si>
  <si>
    <t>Bassum</t>
  </si>
  <si>
    <t>52.847388</t>
  </si>
  <si>
    <t>8.739924</t>
  </si>
  <si>
    <t>Batzenhäusle</t>
  </si>
  <si>
    <t>48.089064</t>
  </si>
  <si>
    <t>7.941080</t>
  </si>
  <si>
    <t>Batzhausen</t>
  </si>
  <si>
    <t>49.191364</t>
  </si>
  <si>
    <t>11.593033</t>
  </si>
  <si>
    <t>Bauerbach</t>
  </si>
  <si>
    <t>49.073964</t>
  </si>
  <si>
    <t>8.748153</t>
  </si>
  <si>
    <t>Bäumenheim</t>
  </si>
  <si>
    <t>48.680333</t>
  </si>
  <si>
    <t>10.809972</t>
  </si>
  <si>
    <t>Baumholder</t>
  </si>
  <si>
    <t>49.612219</t>
  </si>
  <si>
    <t>7.330917</t>
  </si>
  <si>
    <t>Baunach</t>
  </si>
  <si>
    <t>49.989090</t>
  </si>
  <si>
    <t>10.854115</t>
  </si>
  <si>
    <t>Baunach Raiffeisenbank</t>
  </si>
  <si>
    <t>49.986825</t>
  </si>
  <si>
    <t>10.850580</t>
  </si>
  <si>
    <t>Baunatal-Guntershausen</t>
  </si>
  <si>
    <t>51.229917</t>
  </si>
  <si>
    <t>9.466997</t>
  </si>
  <si>
    <t>Baunatal-Rengershausen</t>
  </si>
  <si>
    <t>51.254922</t>
  </si>
  <si>
    <t>9.468667</t>
  </si>
  <si>
    <t>Bavendorf</t>
  </si>
  <si>
    <t>53.187474</t>
  </si>
  <si>
    <t>10.629537</t>
  </si>
  <si>
    <t>Bayerbach</t>
  </si>
  <si>
    <t>48.414412</t>
  </si>
  <si>
    <t>13.134451</t>
  </si>
  <si>
    <t>Bayerisch Gmain</t>
  </si>
  <si>
    <t>47.720375</t>
  </si>
  <si>
    <t>12.895070</t>
  </si>
  <si>
    <t>Bayerisch Gmain Alpgarten</t>
  </si>
  <si>
    <t>47.720192</t>
  </si>
  <si>
    <t>12.897745</t>
  </si>
  <si>
    <t>Bayreuth Hbf</t>
  </si>
  <si>
    <t>49.949616</t>
  </si>
  <si>
    <t>11.579985</t>
  </si>
  <si>
    <t>Bayreuth-St Georgen</t>
  </si>
  <si>
    <t>49.957340</t>
  </si>
  <si>
    <t>11.596683</t>
  </si>
  <si>
    <t>Bayrischzell</t>
  </si>
  <si>
    <t>47.675545</t>
  </si>
  <si>
    <t>12.011157</t>
  </si>
  <si>
    <t>Bebitz</t>
  </si>
  <si>
    <t>51.724136</t>
  </si>
  <si>
    <t>11.763967</t>
  </si>
  <si>
    <t>Bechstedt-Trippstein</t>
  </si>
  <si>
    <t>50.659733</t>
  </si>
  <si>
    <t>11.168153</t>
  </si>
  <si>
    <t>Beckingen(Saar)</t>
  </si>
  <si>
    <t>49.386881</t>
  </si>
  <si>
    <t>6.688021</t>
  </si>
  <si>
    <t>Beckum-Neubeckum</t>
  </si>
  <si>
    <t>51.801851</t>
  </si>
  <si>
    <t>8.020974</t>
  </si>
  <si>
    <t>Bedburg(Erft)</t>
  </si>
  <si>
    <t>50.986754</t>
  </si>
  <si>
    <t>6.573134</t>
  </si>
  <si>
    <t>Bedburg-Hau</t>
  </si>
  <si>
    <t>51.758052</t>
  </si>
  <si>
    <t>6.173479</t>
  </si>
  <si>
    <t>Beelen</t>
  </si>
  <si>
    <t>51.929320</t>
  </si>
  <si>
    <t>8.116159</t>
  </si>
  <si>
    <t>Beelitz Stadt</t>
  </si>
  <si>
    <t>52.239395</t>
  </si>
  <si>
    <t>12.966860</t>
  </si>
  <si>
    <t>Beelitz-Heilstätten</t>
  </si>
  <si>
    <t>52.262345</t>
  </si>
  <si>
    <t>12.926057</t>
  </si>
  <si>
    <t>Beerfelden Hetzbach</t>
  </si>
  <si>
    <t>49.594899</t>
  </si>
  <si>
    <t>8.992856</t>
  </si>
  <si>
    <t>Beeskow</t>
  </si>
  <si>
    <t>52.177684</t>
  </si>
  <si>
    <t>14.250974</t>
  </si>
  <si>
    <t>Beetz-Sommerfeld</t>
  </si>
  <si>
    <t>52.804259</t>
  </si>
  <si>
    <t>13.022086</t>
  </si>
  <si>
    <t>Behringersdorf</t>
  </si>
  <si>
    <t>49.481574</t>
  </si>
  <si>
    <t>11.198498</t>
  </si>
  <si>
    <t>Beienheim</t>
  </si>
  <si>
    <t>50.359131</t>
  </si>
  <si>
    <t>8.821022</t>
  </si>
  <si>
    <t>Beilrode</t>
  </si>
  <si>
    <t>51.571005</t>
  </si>
  <si>
    <t>13.064935</t>
  </si>
  <si>
    <t>Beimerstetten</t>
  </si>
  <si>
    <t>48.480974</t>
  </si>
  <si>
    <t>9.976835</t>
  </si>
  <si>
    <t>Beldorf</t>
  </si>
  <si>
    <t>54.125266</t>
  </si>
  <si>
    <t>9.356217</t>
  </si>
  <si>
    <t>Belgershain</t>
  </si>
  <si>
    <t>51.233947</t>
  </si>
  <si>
    <t>12.542785</t>
  </si>
  <si>
    <t>Belleben</t>
  </si>
  <si>
    <t>51.673603</t>
  </si>
  <si>
    <t>11.633376</t>
  </si>
  <si>
    <t>Bellenberg</t>
  </si>
  <si>
    <t>48.254645</t>
  </si>
  <si>
    <t>10.090390</t>
  </si>
  <si>
    <t>Bellheim Am Mühlbuckel</t>
  </si>
  <si>
    <t>49.192639</t>
  </si>
  <si>
    <t>8.297626</t>
  </si>
  <si>
    <t>Bellheim Bf</t>
  </si>
  <si>
    <t>49.188303</t>
  </si>
  <si>
    <t>8.294560</t>
  </si>
  <si>
    <t>Bempflingen</t>
  </si>
  <si>
    <t>48.572364</t>
  </si>
  <si>
    <t>9.273425</t>
  </si>
  <si>
    <t>Benediktbeuern</t>
  </si>
  <si>
    <t>47.709121</t>
  </si>
  <si>
    <t>11.403051</t>
  </si>
  <si>
    <t>50.010379</t>
  </si>
  <si>
    <t>7.058030</t>
  </si>
  <si>
    <t>Benndorf (Mansfelder Land)</t>
  </si>
  <si>
    <t>51.575436</t>
  </si>
  <si>
    <t>11.492031</t>
  </si>
  <si>
    <t>Benneckenstein</t>
  </si>
  <si>
    <t>51.673650</t>
  </si>
  <si>
    <t>10.714974</t>
  </si>
  <si>
    <t>Bennemühlen</t>
  </si>
  <si>
    <t>52.580993</t>
  </si>
  <si>
    <t>9.726836</t>
  </si>
  <si>
    <t>Bennewitz</t>
  </si>
  <si>
    <t>51.355926</t>
  </si>
  <si>
    <t>12.708430</t>
  </si>
  <si>
    <t>Bennigsen</t>
  </si>
  <si>
    <t>52.240733</t>
  </si>
  <si>
    <t>9.666376</t>
  </si>
  <si>
    <t>Benningen(Neckar)</t>
  </si>
  <si>
    <t>48.943614</t>
  </si>
  <si>
    <t>9.244504</t>
  </si>
  <si>
    <t>Bennungen</t>
  </si>
  <si>
    <t>51.464006</t>
  </si>
  <si>
    <t>11.122989</t>
  </si>
  <si>
    <t>Bensersiel</t>
  </si>
  <si>
    <t>53.677109</t>
  </si>
  <si>
    <t>7.574923</t>
  </si>
  <si>
    <t>Benshausen</t>
  </si>
  <si>
    <t>50.657009</t>
  </si>
  <si>
    <t>10.602208</t>
  </si>
  <si>
    <t>Bensheim</t>
  </si>
  <si>
    <t>49.681329</t>
  </si>
  <si>
    <t>8.616717</t>
  </si>
  <si>
    <t>Bensheim-Auerbach</t>
  </si>
  <si>
    <t>49.701557</t>
  </si>
  <si>
    <t>8.613366</t>
  </si>
  <si>
    <t>Bentwisch</t>
  </si>
  <si>
    <t>54.117193</t>
  </si>
  <si>
    <t>12.210506</t>
  </si>
  <si>
    <t>Beratzhausen</t>
  </si>
  <si>
    <t>49.092846</t>
  </si>
  <si>
    <t>11.807853</t>
  </si>
  <si>
    <t>Berbisdorf</t>
  </si>
  <si>
    <t>51.186194</t>
  </si>
  <si>
    <t>13.725065</t>
  </si>
  <si>
    <t>Berbisdorf Anbau</t>
  </si>
  <si>
    <t>51.197771</t>
  </si>
  <si>
    <t>13.727390</t>
  </si>
  <si>
    <t>47.626688</t>
  </si>
  <si>
    <t>12.999058</t>
  </si>
  <si>
    <t>Berg(Pfalz)</t>
  </si>
  <si>
    <t>48.980676</t>
  </si>
  <si>
    <t>8.212761</t>
  </si>
  <si>
    <t>Berga(Elster)</t>
  </si>
  <si>
    <t>50.747189</t>
  </si>
  <si>
    <t>12.158865</t>
  </si>
  <si>
    <t>Berga-Kelbra</t>
  </si>
  <si>
    <t>51.452061</t>
  </si>
  <si>
    <t>11.014813</t>
  </si>
  <si>
    <t>Berge(b Nauen)</t>
  </si>
  <si>
    <t>52.620107</t>
  </si>
  <si>
    <t>12.795088</t>
  </si>
  <si>
    <t>Bergen auf Rügen</t>
  </si>
  <si>
    <t>54.420500</t>
  </si>
  <si>
    <t>13.417821</t>
  </si>
  <si>
    <t>Bergen(Oberbay)</t>
  </si>
  <si>
    <t>47.825270</t>
  </si>
  <si>
    <t>12.592846</t>
  </si>
  <si>
    <t>Bergenweiler</t>
  </si>
  <si>
    <t>48.576297</t>
  </si>
  <si>
    <t>10.272879</t>
  </si>
  <si>
    <t>Bergfelde(b Berlin)</t>
  </si>
  <si>
    <t>52.670303</t>
  </si>
  <si>
    <t>13.320244</t>
  </si>
  <si>
    <t>Berghausen Am Stadion</t>
  </si>
  <si>
    <t>49.002551</t>
  </si>
  <si>
    <t>8.536012</t>
  </si>
  <si>
    <t>Berghausen Hummelberg</t>
  </si>
  <si>
    <t>49.009810</t>
  </si>
  <si>
    <t>8.526807</t>
  </si>
  <si>
    <t>Berghausen Pfinzbrücke</t>
  </si>
  <si>
    <t>49.006528</t>
  </si>
  <si>
    <t>8.520911</t>
  </si>
  <si>
    <t>Berghausen(b Wittgenstein)</t>
  </si>
  <si>
    <t>51.033036</t>
  </si>
  <si>
    <t>8.350010</t>
  </si>
  <si>
    <t>Berghausen(Baden)</t>
  </si>
  <si>
    <t>49.005690</t>
  </si>
  <si>
    <t>8.530589</t>
  </si>
  <si>
    <t>Berghausen(Pfalz)</t>
  </si>
  <si>
    <t>49.295449</t>
  </si>
  <si>
    <t>8.406173</t>
  </si>
  <si>
    <t>Bergheim(Erft)</t>
  </si>
  <si>
    <t>50.951706</t>
  </si>
  <si>
    <t>6.646302</t>
  </si>
  <si>
    <t>Bergheim-Giflitz</t>
  </si>
  <si>
    <t>51.159249</t>
  </si>
  <si>
    <t>9.134147</t>
  </si>
  <si>
    <t>Bergisch Gladbach</t>
  </si>
  <si>
    <t>50.991461</t>
  </si>
  <si>
    <t>7.124553</t>
  </si>
  <si>
    <t>Bergsdorf</t>
  </si>
  <si>
    <t>52.936565</t>
  </si>
  <si>
    <t>13.260794</t>
  </si>
  <si>
    <t>Bergtheim</t>
  </si>
  <si>
    <t>49.899300</t>
  </si>
  <si>
    <t>10.076473</t>
  </si>
  <si>
    <t>Bergwitz</t>
  </si>
  <si>
    <t>51.803696</t>
  </si>
  <si>
    <t>12.576213</t>
  </si>
  <si>
    <t>Beringen Bad Bf</t>
  </si>
  <si>
    <t>47.694897</t>
  </si>
  <si>
    <t>8.574616</t>
  </si>
  <si>
    <t>Beringerfeld</t>
  </si>
  <si>
    <t>47.695308</t>
  </si>
  <si>
    <t>8.592771</t>
  </si>
  <si>
    <t>Beringhausen</t>
  </si>
  <si>
    <t>51.407771</t>
  </si>
  <si>
    <t>8.751414</t>
  </si>
  <si>
    <t>Beringstedt</t>
  </si>
  <si>
    <t>54.113667</t>
  </si>
  <si>
    <t>9.537501</t>
  </si>
  <si>
    <t>Berka(Wipper)</t>
  </si>
  <si>
    <t>51.352994</t>
  </si>
  <si>
    <t>10.929902</t>
  </si>
  <si>
    <t>Berkenbrück</t>
  </si>
  <si>
    <t>52.357190</t>
  </si>
  <si>
    <t>14.165217</t>
  </si>
  <si>
    <t>Berkenbrück Mitte</t>
  </si>
  <si>
    <t>52.352203</t>
  </si>
  <si>
    <t>14.148241</t>
  </si>
  <si>
    <t>Berlin Alexanderplatz</t>
  </si>
  <si>
    <t>52.521481</t>
  </si>
  <si>
    <t>13.410961</t>
  </si>
  <si>
    <t>Berlin Alexanderplatz (S)</t>
  </si>
  <si>
    <t>52.521642</t>
  </si>
  <si>
    <t>13.411007</t>
  </si>
  <si>
    <t>Berlin Alt-Reinickendorf</t>
  </si>
  <si>
    <t>52.578091</t>
  </si>
  <si>
    <t>13.349617</t>
  </si>
  <si>
    <t>Berlin Anhalter Bf</t>
  </si>
  <si>
    <t>52.503486</t>
  </si>
  <si>
    <t>13.381362</t>
  </si>
  <si>
    <t>Berlin Attilastr.</t>
  </si>
  <si>
    <t>52.447681</t>
  </si>
  <si>
    <t>13.360951</t>
  </si>
  <si>
    <t>Berlin Baumschulenweg</t>
  </si>
  <si>
    <t>52.467244</t>
  </si>
  <si>
    <t>13.490097</t>
  </si>
  <si>
    <t>Berlin Bellevue</t>
  </si>
  <si>
    <t>52.519955</t>
  </si>
  <si>
    <t>13.348263</t>
  </si>
  <si>
    <t>Berlin Betriebsbf Rummelsburg</t>
  </si>
  <si>
    <t>52.493827</t>
  </si>
  <si>
    <t>13.497786</t>
  </si>
  <si>
    <t>Berlin Beusselstraße</t>
  </si>
  <si>
    <t>52.534354</t>
  </si>
  <si>
    <t>13.329042</t>
  </si>
  <si>
    <t>Berlin Bornholmer Str.</t>
  </si>
  <si>
    <t>52.554491</t>
  </si>
  <si>
    <t>13.397943</t>
  </si>
  <si>
    <t>Berlin Botanischer Garten</t>
  </si>
  <si>
    <t>52.447784</t>
  </si>
  <si>
    <t>13.306766</t>
  </si>
  <si>
    <t>Berlin Brandenburger Tor</t>
  </si>
  <si>
    <t>52.516506</t>
  </si>
  <si>
    <t>13.381815</t>
  </si>
  <si>
    <t>Berlin Buckower Chaussee</t>
  </si>
  <si>
    <t>52.410351</t>
  </si>
  <si>
    <t>13.382912</t>
  </si>
  <si>
    <t>Berlin Bundesplatz</t>
  </si>
  <si>
    <t>52.477617</t>
  </si>
  <si>
    <t>13.329590</t>
  </si>
  <si>
    <t>Berlin Charlottenburg (S)</t>
  </si>
  <si>
    <t>52.504931</t>
  </si>
  <si>
    <t>13.303945</t>
  </si>
  <si>
    <t>Berlin Eichborndamm</t>
  </si>
  <si>
    <t>52.577722</t>
  </si>
  <si>
    <t>13.316835</t>
  </si>
  <si>
    <t>Berlin Feuerbachstr.</t>
  </si>
  <si>
    <t>52.463546</t>
  </si>
  <si>
    <t>13.332575</t>
  </si>
  <si>
    <t>Berlin Frankfurter Allee</t>
  </si>
  <si>
    <t>52.515168</t>
  </si>
  <si>
    <t>13.474410</t>
  </si>
  <si>
    <t>Berlin Friedrichstraße</t>
  </si>
  <si>
    <t>52.520373</t>
  </si>
  <si>
    <t>13.387206</t>
  </si>
  <si>
    <t>Berlin Friedrichstraße (S)</t>
  </si>
  <si>
    <t>52.520177</t>
  </si>
  <si>
    <t>13.386905</t>
  </si>
  <si>
    <t>Berlin Gehrenseestraße</t>
  </si>
  <si>
    <t>52.556011</t>
  </si>
  <si>
    <t>13.524834</t>
  </si>
  <si>
    <t>Berlin Gesundbrunnen</t>
  </si>
  <si>
    <t>52.548963</t>
  </si>
  <si>
    <t>13.388513</t>
  </si>
  <si>
    <t>Berlin Gesundbrunnen(S)</t>
  </si>
  <si>
    <t>Berlin Grabensprung</t>
  </si>
  <si>
    <t>52.497719</t>
  </si>
  <si>
    <t>13.555344</t>
  </si>
  <si>
    <t>Berlin Greifswalder Str</t>
  </si>
  <si>
    <t>52.540020</t>
  </si>
  <si>
    <t>13.439561</t>
  </si>
  <si>
    <t>Berlin Grünbergallee</t>
  </si>
  <si>
    <t>52.399411</t>
  </si>
  <si>
    <t>13.542485</t>
  </si>
  <si>
    <t>Berlin Hackescher Markt</t>
  </si>
  <si>
    <t>52.522622</t>
  </si>
  <si>
    <t>13.402364</t>
  </si>
  <si>
    <t>Berlin Hbf</t>
  </si>
  <si>
    <t>52.525592</t>
  </si>
  <si>
    <t>13.369545</t>
  </si>
  <si>
    <t>Berlin Hbf (S-Bahn)</t>
  </si>
  <si>
    <t>Berlin Hbf (Washingtonplatz)</t>
  </si>
  <si>
    <t>52.523300</t>
  </si>
  <si>
    <t>13.370179</t>
  </si>
  <si>
    <t>Berlin Heerstraße</t>
  </si>
  <si>
    <t>52.508121</t>
  </si>
  <si>
    <t>13.259379</t>
  </si>
  <si>
    <t>Berlin Heidelberger Platz</t>
  </si>
  <si>
    <t>52.479972</t>
  </si>
  <si>
    <t>13.312018</t>
  </si>
  <si>
    <t>Berlin Hermannstraße</t>
  </si>
  <si>
    <t>52.467510</t>
  </si>
  <si>
    <t>13.431313</t>
  </si>
  <si>
    <t>Berlin Hohenzollerndamm</t>
  </si>
  <si>
    <t>52.488556</t>
  </si>
  <si>
    <t>13.300257</t>
  </si>
  <si>
    <t>Berlin Humboldthain</t>
  </si>
  <si>
    <t>52.544795</t>
  </si>
  <si>
    <t>13.379277</t>
  </si>
  <si>
    <t>Berlin Innsbrucker Platz</t>
  </si>
  <si>
    <t>52.478084</t>
  </si>
  <si>
    <t>13.342197</t>
  </si>
  <si>
    <t>Berlin Jakob-Kaiser-Platz</t>
  </si>
  <si>
    <t>52.535300</t>
  </si>
  <si>
    <t>13.293568</t>
  </si>
  <si>
    <t>Berlin Jannowitzbrücke</t>
  </si>
  <si>
    <t>52.514270</t>
  </si>
  <si>
    <t>13.419347</t>
  </si>
  <si>
    <t>Berlin Julius-Leber-Brücke</t>
  </si>
  <si>
    <t>52.486519</t>
  </si>
  <si>
    <t>13.361266</t>
  </si>
  <si>
    <t>Berlin Jungfernheide</t>
  </si>
  <si>
    <t>52.530276</t>
  </si>
  <si>
    <t>13.299437</t>
  </si>
  <si>
    <t>Berlin Jungfernheide (S)</t>
  </si>
  <si>
    <t>52.530375</t>
  </si>
  <si>
    <t>13.299446</t>
  </si>
  <si>
    <t>Berlin Karl-Bonhoeffer-Nervenklinik</t>
  </si>
  <si>
    <t>52.578048</t>
  </si>
  <si>
    <t>13.329176</t>
  </si>
  <si>
    <t>Berlin Köllnische Heide</t>
  </si>
  <si>
    <t>52.469653</t>
  </si>
  <si>
    <t>13.467807</t>
  </si>
  <si>
    <t>Berlin Landsberger Allee</t>
  </si>
  <si>
    <t>52.529593</t>
  </si>
  <si>
    <t>13.454567</t>
  </si>
  <si>
    <t>Berlin Lessingbrücke</t>
  </si>
  <si>
    <t>52.522429</t>
  </si>
  <si>
    <t>13.341894</t>
  </si>
  <si>
    <t>Berlin Mehrower Allee</t>
  </si>
  <si>
    <t>52.557759</t>
  </si>
  <si>
    <t>13.553699</t>
  </si>
  <si>
    <t>Berlin Messe Süd (Eichkamp)</t>
  </si>
  <si>
    <t>52.498750</t>
  </si>
  <si>
    <t>13.270118</t>
  </si>
  <si>
    <t>Berlin Mexikoplatz</t>
  </si>
  <si>
    <t>52.436937</t>
  </si>
  <si>
    <t>13.232712</t>
  </si>
  <si>
    <t>Berlin Nöldnerplatz</t>
  </si>
  <si>
    <t>52.503497</t>
  </si>
  <si>
    <t>13.484452</t>
  </si>
  <si>
    <t>Berlin Nordbahnhof</t>
  </si>
  <si>
    <t>52.532066</t>
  </si>
  <si>
    <t>13.388464</t>
  </si>
  <si>
    <t>Berlin Olympiastadion</t>
  </si>
  <si>
    <t>52.511166</t>
  </si>
  <si>
    <t>13.242389</t>
  </si>
  <si>
    <t>Berlin Oranienburger Tor (U)</t>
  </si>
  <si>
    <t>52.526059</t>
  </si>
  <si>
    <t>13.387274</t>
  </si>
  <si>
    <t>Berlin Osdorfer Straße</t>
  </si>
  <si>
    <t>52.418841</t>
  </si>
  <si>
    <t>13.314288</t>
  </si>
  <si>
    <t>Berlin Ostbahnhof</t>
  </si>
  <si>
    <t>52.510488</t>
  </si>
  <si>
    <t>13.434681</t>
  </si>
  <si>
    <t>Berlin Ostbahnhof (S)</t>
  </si>
  <si>
    <t>52.510717</t>
  </si>
  <si>
    <t>13.435121</t>
  </si>
  <si>
    <t>Berlin Ostkreuz</t>
  </si>
  <si>
    <t>52.503037</t>
  </si>
  <si>
    <t>13.469105</t>
  </si>
  <si>
    <t>Berlin Ostkreuz (S)</t>
  </si>
  <si>
    <t>52.503003</t>
  </si>
  <si>
    <t>13.469309</t>
  </si>
  <si>
    <t>Berlin Plänterwald</t>
  </si>
  <si>
    <t>52.478542</t>
  </si>
  <si>
    <t>13.473126</t>
  </si>
  <si>
    <t>Berlin Poelchaustr.</t>
  </si>
  <si>
    <t>52.535593</t>
  </si>
  <si>
    <t>13.535381</t>
  </si>
  <si>
    <t>Berlin Potsdamer Platz</t>
  </si>
  <si>
    <t>52.509379</t>
  </si>
  <si>
    <t>13.375988</t>
  </si>
  <si>
    <t>Berlin Potsdamer Platz (S)</t>
  </si>
  <si>
    <t>52.509508</t>
  </si>
  <si>
    <t>13.376649</t>
  </si>
  <si>
    <t>Berlin Prenzlauer Allee</t>
  </si>
  <si>
    <t>52.544615</t>
  </si>
  <si>
    <t>13.426412</t>
  </si>
  <si>
    <t>Berlin Priesterweg</t>
  </si>
  <si>
    <t>52.459914</t>
  </si>
  <si>
    <t>13.356281</t>
  </si>
  <si>
    <t>Berlin Raoul-Wallenberg-Str.</t>
  </si>
  <si>
    <t>52.550681</t>
  </si>
  <si>
    <t>13.547460</t>
  </si>
  <si>
    <t>Berlin Rathaus Steglitz</t>
  </si>
  <si>
    <t>52.455833</t>
  </si>
  <si>
    <t>13.322948</t>
  </si>
  <si>
    <t>Berlin Savignyplatz</t>
  </si>
  <si>
    <t>52.505093</t>
  </si>
  <si>
    <t>13.319271</t>
  </si>
  <si>
    <t>Berlin Schichauweg</t>
  </si>
  <si>
    <t>52.398837</t>
  </si>
  <si>
    <t>13.389303</t>
  </si>
  <si>
    <t>Berlin Schönhauser Allee</t>
  </si>
  <si>
    <t>52.549200</t>
  </si>
  <si>
    <t>13.415460</t>
  </si>
  <si>
    <t>Berlin Sonnenallee</t>
  </si>
  <si>
    <t>52.473101</t>
  </si>
  <si>
    <t>13.455851</t>
  </si>
  <si>
    <t>Berlin Springpfuhl</t>
  </si>
  <si>
    <t>52.526348</t>
  </si>
  <si>
    <t>13.536740</t>
  </si>
  <si>
    <t>Berlin Storkower Str</t>
  </si>
  <si>
    <t>52.523910</t>
  </si>
  <si>
    <t>13.464398</t>
  </si>
  <si>
    <t>Berlin Südende</t>
  </si>
  <si>
    <t>52.448457</t>
  </si>
  <si>
    <t>13.353894</t>
  </si>
  <si>
    <t>Berlin Südkreuz</t>
  </si>
  <si>
    <t>52.475047</t>
  </si>
  <si>
    <t>13.365319</t>
  </si>
  <si>
    <t>Berlin Südkreuz (S)</t>
  </si>
  <si>
    <t>52.476134</t>
  </si>
  <si>
    <t>13.365144</t>
  </si>
  <si>
    <t>Berlin Sundgauer Str</t>
  </si>
  <si>
    <t>52.436544</t>
  </si>
  <si>
    <t>13.274377</t>
  </si>
  <si>
    <t>Berlin Treptower Park</t>
  </si>
  <si>
    <t>52.493559</t>
  </si>
  <si>
    <t>13.461441</t>
  </si>
  <si>
    <t>Berlin Warschauer Straße</t>
  </si>
  <si>
    <t>52.505976</t>
  </si>
  <si>
    <t>13.451646</t>
  </si>
  <si>
    <t>Berlin Westend</t>
  </si>
  <si>
    <t>52.518070</t>
  </si>
  <si>
    <t>13.284638</t>
  </si>
  <si>
    <t>Berlin Westhafen</t>
  </si>
  <si>
    <t>52.536250</t>
  </si>
  <si>
    <t>13.344253</t>
  </si>
  <si>
    <t>Berlin Westkreuz</t>
  </si>
  <si>
    <t>52.500737</t>
  </si>
  <si>
    <t>13.283966</t>
  </si>
  <si>
    <t>Berlin Wollankstraße</t>
  </si>
  <si>
    <t>52.565482</t>
  </si>
  <si>
    <t>13.391791</t>
  </si>
  <si>
    <t>Berlin Wuhletal</t>
  </si>
  <si>
    <t>52.512417</t>
  </si>
  <si>
    <t>13.575365</t>
  </si>
  <si>
    <t>Berlin Yorckstr.(S1)</t>
  </si>
  <si>
    <t>52.492289</t>
  </si>
  <si>
    <t>13.367797</t>
  </si>
  <si>
    <t>Berlin Yorckstr.(S2)</t>
  </si>
  <si>
    <t>52.491170</t>
  </si>
  <si>
    <t>13.372128</t>
  </si>
  <si>
    <t>Berlin Zoologischer Garten</t>
  </si>
  <si>
    <t>52.507341</t>
  </si>
  <si>
    <t>13.332445</t>
  </si>
  <si>
    <t>Berlin Zoologischer Garten (S)</t>
  </si>
  <si>
    <t>52.507060</t>
  </si>
  <si>
    <t>13.331786</t>
  </si>
  <si>
    <t>Berlin-Adlershof</t>
  </si>
  <si>
    <t>52.435031</t>
  </si>
  <si>
    <t>13.541129</t>
  </si>
  <si>
    <t>Berlin-Altglienicke</t>
  </si>
  <si>
    <t>52.407299</t>
  </si>
  <si>
    <t>13.558753</t>
  </si>
  <si>
    <t>Berlin-Biesdorf</t>
  </si>
  <si>
    <t>52.513097</t>
  </si>
  <si>
    <t>13.555878</t>
  </si>
  <si>
    <t>Berlin-Blankenburg</t>
  </si>
  <si>
    <t>52.591164</t>
  </si>
  <si>
    <t>13.443330</t>
  </si>
  <si>
    <t>Berlin-Buch</t>
  </si>
  <si>
    <t>52.636162</t>
  </si>
  <si>
    <t>13.492286</t>
  </si>
  <si>
    <t>Berlin-Charlottenburg</t>
  </si>
  <si>
    <t>52.504213</t>
  </si>
  <si>
    <t>13.302330</t>
  </si>
  <si>
    <t>Berlin-Friedenau</t>
  </si>
  <si>
    <t>52.470586</t>
  </si>
  <si>
    <t>13.341388</t>
  </si>
  <si>
    <t>Berlin-Friedrichsfelde Ost</t>
  </si>
  <si>
    <t>52.514169</t>
  </si>
  <si>
    <t>13.520254</t>
  </si>
  <si>
    <t>Berlin-Friedrichshagen</t>
  </si>
  <si>
    <t>52.457247</t>
  </si>
  <si>
    <t>13.624600</t>
  </si>
  <si>
    <t>Berlin-Frohnau</t>
  </si>
  <si>
    <t>52.632758</t>
  </si>
  <si>
    <t>13.289934</t>
  </si>
  <si>
    <t>Berlin-Grünau</t>
  </si>
  <si>
    <t>52.413028</t>
  </si>
  <si>
    <t>13.573497</t>
  </si>
  <si>
    <t>Berlin-Grunewald</t>
  </si>
  <si>
    <t>52.488693</t>
  </si>
  <si>
    <t>13.261720</t>
  </si>
  <si>
    <t>Berlin-Halensee</t>
  </si>
  <si>
    <t>52.496254</t>
  </si>
  <si>
    <t>13.290326</t>
  </si>
  <si>
    <t>Berlin-Heiligensee</t>
  </si>
  <si>
    <t>52.624586</t>
  </si>
  <si>
    <t>13.229278</t>
  </si>
  <si>
    <t>Berlin-Hermsdorf</t>
  </si>
  <si>
    <t>52.617782</t>
  </si>
  <si>
    <t>13.307690</t>
  </si>
  <si>
    <t>Berlin-Hirschgarten</t>
  </si>
  <si>
    <t>52.457968</t>
  </si>
  <si>
    <t>13.602134</t>
  </si>
  <si>
    <t>Berlin-Hohenschönhausen</t>
  </si>
  <si>
    <t>52.566002</t>
  </si>
  <si>
    <t>13.512422</t>
  </si>
  <si>
    <t>Berlin-Hohenschönhausen (S)</t>
  </si>
  <si>
    <t>52.566135</t>
  </si>
  <si>
    <t>13.512717</t>
  </si>
  <si>
    <t>Berlin-Johannisthal</t>
  </si>
  <si>
    <t>52.446905</t>
  </si>
  <si>
    <t>13.523680</t>
  </si>
  <si>
    <t>Berlin-Karlshorst</t>
  </si>
  <si>
    <t>52.479794</t>
  </si>
  <si>
    <t>13.527947</t>
  </si>
  <si>
    <t>Berlin-Karlshorst (S)</t>
  </si>
  <si>
    <t>52.480835</t>
  </si>
  <si>
    <t>13.526444</t>
  </si>
  <si>
    <t>Berlin-Karow</t>
  </si>
  <si>
    <t>52.614884</t>
  </si>
  <si>
    <t>13.469204</t>
  </si>
  <si>
    <t>Berlin-Kaulsdorf</t>
  </si>
  <si>
    <t>52.512093</t>
  </si>
  <si>
    <t>13.588940</t>
  </si>
  <si>
    <t>Berlin-Köpenick</t>
  </si>
  <si>
    <t>52.458610</t>
  </si>
  <si>
    <t>13.580942</t>
  </si>
  <si>
    <t>Berlin-Lankwitz</t>
  </si>
  <si>
    <t>52.438749</t>
  </si>
  <si>
    <t>13.341954</t>
  </si>
  <si>
    <t>Berlin-Lichtenberg</t>
  </si>
  <si>
    <t>52.510136</t>
  </si>
  <si>
    <t>13.496693</t>
  </si>
  <si>
    <t>Berlin-Lichtenberg (S)</t>
  </si>
  <si>
    <t>52.509920</t>
  </si>
  <si>
    <t>13.497251</t>
  </si>
  <si>
    <t>Berlin-Lichtenrade</t>
  </si>
  <si>
    <t>52.387297</t>
  </si>
  <si>
    <t>13.396175</t>
  </si>
  <si>
    <t>Berlin-Lichterfelde Ost</t>
  </si>
  <si>
    <t>52.429451</t>
  </si>
  <si>
    <t>13.328556</t>
  </si>
  <si>
    <t>Berlin-Lichterfelde Ost (S)</t>
  </si>
  <si>
    <t>52.429691</t>
  </si>
  <si>
    <t>13.327872</t>
  </si>
  <si>
    <t>Berlin-Lichterfelde Süd</t>
  </si>
  <si>
    <t>52.410899</t>
  </si>
  <si>
    <t>13.309040</t>
  </si>
  <si>
    <t>Berlin-Lichterfelde West</t>
  </si>
  <si>
    <t>52.443350</t>
  </si>
  <si>
    <t>13.293732</t>
  </si>
  <si>
    <t>Berlin-Mahlsdorf</t>
  </si>
  <si>
    <t>52.512107</t>
  </si>
  <si>
    <t>13.611417</t>
  </si>
  <si>
    <t>Berlin-Mahlsdorf (S)</t>
  </si>
  <si>
    <t>52.512163</t>
  </si>
  <si>
    <t>13.611071</t>
  </si>
  <si>
    <t>Berlin-Marienfelde</t>
  </si>
  <si>
    <t>52.423634</t>
  </si>
  <si>
    <t>13.375127</t>
  </si>
  <si>
    <t>Berlin-Marzahn</t>
  </si>
  <si>
    <t>52.543608</t>
  </si>
  <si>
    <t>13.541341</t>
  </si>
  <si>
    <t>Berlin-Neukölln</t>
  </si>
  <si>
    <t>52.469420</t>
  </si>
  <si>
    <t>13.443060</t>
  </si>
  <si>
    <t>Berlin-Nikolassee</t>
  </si>
  <si>
    <t>52.431807</t>
  </si>
  <si>
    <t>13.193643</t>
  </si>
  <si>
    <t>Berlin-Oberspree</t>
  </si>
  <si>
    <t>52.452466</t>
  </si>
  <si>
    <t>13.538209</t>
  </si>
  <si>
    <t>Berlin-Pankow</t>
  </si>
  <si>
    <t>52.566477</t>
  </si>
  <si>
    <t>13.410770</t>
  </si>
  <si>
    <t>Berlin-Pankow-Heinersdorf</t>
  </si>
  <si>
    <t>52.577963</t>
  </si>
  <si>
    <t>13.429363</t>
  </si>
  <si>
    <t>Berlin-Pichelsberg</t>
  </si>
  <si>
    <t>52.510393</t>
  </si>
  <si>
    <t>13.227134</t>
  </si>
  <si>
    <t>Berlin-Rahnsdorf</t>
  </si>
  <si>
    <t>52.451536</t>
  </si>
  <si>
    <t>13.690405</t>
  </si>
  <si>
    <t>Berlin-Rummelsburg</t>
  </si>
  <si>
    <t>52.501309</t>
  </si>
  <si>
    <t>13.478362</t>
  </si>
  <si>
    <t>Berlin-Schlachtensee</t>
  </si>
  <si>
    <t>52.439976</t>
  </si>
  <si>
    <t>13.215025</t>
  </si>
  <si>
    <t>Berlin-Schöneberg</t>
  </si>
  <si>
    <t>52.479377</t>
  </si>
  <si>
    <t>13.352068</t>
  </si>
  <si>
    <t>Berlin-Schöneweide</t>
  </si>
  <si>
    <t>52.455127</t>
  </si>
  <si>
    <t>13.509395</t>
  </si>
  <si>
    <t>Berlin-Schöneweide (S)</t>
  </si>
  <si>
    <t>52.454976</t>
  </si>
  <si>
    <t>13.509115</t>
  </si>
  <si>
    <t>Berlin-Schönholz</t>
  </si>
  <si>
    <t>52.571422</t>
  </si>
  <si>
    <t>13.381111</t>
  </si>
  <si>
    <t>Berlin-Schulzendorf</t>
  </si>
  <si>
    <t>52.613096</t>
  </si>
  <si>
    <t>13.245929</t>
  </si>
  <si>
    <t>Berlin-Spandau</t>
  </si>
  <si>
    <t>52.534648</t>
  </si>
  <si>
    <t>13.196898</t>
  </si>
  <si>
    <t>Berlin-Spandau (S)</t>
  </si>
  <si>
    <t>52.534772</t>
  </si>
  <si>
    <t>13.197453</t>
  </si>
  <si>
    <t>Berlin-Spindlersfeld</t>
  </si>
  <si>
    <t>52.447162</t>
  </si>
  <si>
    <t>13.561448</t>
  </si>
  <si>
    <t>Berlin-Staaken</t>
  </si>
  <si>
    <t>52.537693</t>
  </si>
  <si>
    <t>13.141367</t>
  </si>
  <si>
    <t>Berlin-Stresow</t>
  </si>
  <si>
    <t>52.531976</t>
  </si>
  <si>
    <t>13.209125</t>
  </si>
  <si>
    <t>Berlin-Tegel (S)</t>
  </si>
  <si>
    <t>52.587998</t>
  </si>
  <si>
    <t>13.289781</t>
  </si>
  <si>
    <t>Berlin-Tempelhof</t>
  </si>
  <si>
    <t>52.470967</t>
  </si>
  <si>
    <t>13.384547</t>
  </si>
  <si>
    <t>Berlin-Tiergarten</t>
  </si>
  <si>
    <t>Berlin-Waidmannslust</t>
  </si>
  <si>
    <t>52.606480</t>
  </si>
  <si>
    <t>13.320996</t>
  </si>
  <si>
    <t>Berlin-Wannsee</t>
  </si>
  <si>
    <t>52.420972</t>
  </si>
  <si>
    <t>13.179528</t>
  </si>
  <si>
    <t>Berlin-Wannsee (S)</t>
  </si>
  <si>
    <t>52.421180</t>
  </si>
  <si>
    <t>13.179418</t>
  </si>
  <si>
    <t>Berlin-Wartenberg</t>
  </si>
  <si>
    <t>52.572989</t>
  </si>
  <si>
    <t>13.503633</t>
  </si>
  <si>
    <t>Berlin-Wedding</t>
  </si>
  <si>
    <t>52.543251</t>
  </si>
  <si>
    <t>13.368170</t>
  </si>
  <si>
    <t>Berlin-Wilhelmshagen</t>
  </si>
  <si>
    <t>52.438711</t>
  </si>
  <si>
    <t>13.722143</t>
  </si>
  <si>
    <t>Berlin-Wilhelmsruh</t>
  </si>
  <si>
    <t>52.581447</t>
  </si>
  <si>
    <t>13.362976</t>
  </si>
  <si>
    <t>Berlin-Wittenau (Wilhelmsruher Damm)</t>
  </si>
  <si>
    <t>52.597044</t>
  </si>
  <si>
    <t>13.334446</t>
  </si>
  <si>
    <t>Berlin-Wuhlheide</t>
  </si>
  <si>
    <t>52.469030</t>
  </si>
  <si>
    <t>13.553202</t>
  </si>
  <si>
    <t>Berlin-Zehlendorf</t>
  </si>
  <si>
    <t>52.431067</t>
  </si>
  <si>
    <t>13.258659</t>
  </si>
  <si>
    <t>Bermatingen-Ahausen</t>
  </si>
  <si>
    <t>47.730488</t>
  </si>
  <si>
    <t>9.345157</t>
  </si>
  <si>
    <t>Bernau (S)</t>
  </si>
  <si>
    <t>52.675797</t>
  </si>
  <si>
    <t>13.592223</t>
  </si>
  <si>
    <t>Bernau a Chiemsee</t>
  </si>
  <si>
    <t>47.816482</t>
  </si>
  <si>
    <t>12.380957</t>
  </si>
  <si>
    <t>Bernau(b Berlin)</t>
  </si>
  <si>
    <t>52.675569</t>
  </si>
  <si>
    <t>13.592641</t>
  </si>
  <si>
    <t>Bernau(b Berlin) Bahnhof</t>
  </si>
  <si>
    <t>52.677025</t>
  </si>
  <si>
    <t>13.593088</t>
  </si>
  <si>
    <t>Bernau-Friedenstal</t>
  </si>
  <si>
    <t>52.668385</t>
  </si>
  <si>
    <t>13.564578</t>
  </si>
  <si>
    <t>Bernburg Hbf</t>
  </si>
  <si>
    <t>51.796120</t>
  </si>
  <si>
    <t>11.751455</t>
  </si>
  <si>
    <t>Bernburg-Friedenshall</t>
  </si>
  <si>
    <t>51.773623</t>
  </si>
  <si>
    <t>11.768687</t>
  </si>
  <si>
    <t>Bernburg-Roschwitz</t>
  </si>
  <si>
    <t>51.781100</t>
  </si>
  <si>
    <t>11.759300</t>
  </si>
  <si>
    <t>Bernburg-Strenzfeld</t>
  </si>
  <si>
    <t>51.819892</t>
  </si>
  <si>
    <t>11.717645</t>
  </si>
  <si>
    <t>Bernburg-Waldau</t>
  </si>
  <si>
    <t>51.805781</t>
  </si>
  <si>
    <t>11.723312</t>
  </si>
  <si>
    <t>Berne</t>
  </si>
  <si>
    <t>53.183779</t>
  </si>
  <si>
    <t>8.475368</t>
  </si>
  <si>
    <t>Bernried</t>
  </si>
  <si>
    <t>47.861387</t>
  </si>
  <si>
    <t>11.283658</t>
  </si>
  <si>
    <t>Bernterode</t>
  </si>
  <si>
    <t>51.405465</t>
  </si>
  <si>
    <t>10.479945</t>
  </si>
  <si>
    <t>Bersenbrück</t>
  </si>
  <si>
    <t>52.551242</t>
  </si>
  <si>
    <t>7.942405</t>
  </si>
  <si>
    <t>Berthelsdorf(Erzgeb)</t>
  </si>
  <si>
    <t>50.875591</t>
  </si>
  <si>
    <t>13.363608</t>
  </si>
  <si>
    <t>Berthelsdorf(Erzgebirge) Ort</t>
  </si>
  <si>
    <t>50.867890</t>
  </si>
  <si>
    <t>13.380147</t>
  </si>
  <si>
    <t>Bertsdorf</t>
  </si>
  <si>
    <t>50.868446</t>
  </si>
  <si>
    <t>14.746641</t>
  </si>
  <si>
    <t>Berzhahn</t>
  </si>
  <si>
    <t>50.539891</t>
  </si>
  <si>
    <t>8.006031</t>
  </si>
  <si>
    <t>Berzhahn Ortsmitte</t>
  </si>
  <si>
    <t>50.538519</t>
  </si>
  <si>
    <t>8.005009</t>
  </si>
  <si>
    <t>Besch</t>
  </si>
  <si>
    <t>49.504391</t>
  </si>
  <si>
    <t>6.372303</t>
  </si>
  <si>
    <t>Besigheim</t>
  </si>
  <si>
    <t>48.997723</t>
  </si>
  <si>
    <t>9.136645</t>
  </si>
  <si>
    <t>Besseringen</t>
  </si>
  <si>
    <t>49.475974</t>
  </si>
  <si>
    <t>6.602559</t>
  </si>
  <si>
    <t>Bestensee</t>
  </si>
  <si>
    <t>52.242129</t>
  </si>
  <si>
    <t>13.634920</t>
  </si>
  <si>
    <t>Bestwig</t>
  </si>
  <si>
    <t>51.361913</t>
  </si>
  <si>
    <t>8.397839</t>
  </si>
  <si>
    <t>Bettmannsäge</t>
  </si>
  <si>
    <t>48.997687</t>
  </si>
  <si>
    <t>13.186274</t>
  </si>
  <si>
    <t>Betzdorf(Sieg)</t>
  </si>
  <si>
    <t>50.789294</t>
  </si>
  <si>
    <t>7.870050</t>
  </si>
  <si>
    <t>Beucha</t>
  </si>
  <si>
    <t>51.323620</t>
  </si>
  <si>
    <t>12.573133</t>
  </si>
  <si>
    <t>Beuchow</t>
  </si>
  <si>
    <t>54.362122</t>
  </si>
  <si>
    <t>13.502454</t>
  </si>
  <si>
    <t>Beuggen</t>
  </si>
  <si>
    <t>47.581906</t>
  </si>
  <si>
    <t>7.810915</t>
  </si>
  <si>
    <t>Beuna(Geiseltal)</t>
  </si>
  <si>
    <t>51.322810</t>
  </si>
  <si>
    <t>11.962762</t>
  </si>
  <si>
    <t>Beuren</t>
  </si>
  <si>
    <t>51.377127</t>
  </si>
  <si>
    <t>10.279034</t>
  </si>
  <si>
    <t>Beuron</t>
  </si>
  <si>
    <t>48.048791</t>
  </si>
  <si>
    <t>8.971890</t>
  </si>
  <si>
    <t>Beutelsbach</t>
  </si>
  <si>
    <t>48.810293</t>
  </si>
  <si>
    <t>9.386029</t>
  </si>
  <si>
    <t>Beutersitz</t>
  </si>
  <si>
    <t>51.590359</t>
  </si>
  <si>
    <t>13.360724</t>
  </si>
  <si>
    <t>Beverungen-Wehrden</t>
  </si>
  <si>
    <t>51.709614</t>
  </si>
  <si>
    <t>9.382552</t>
  </si>
  <si>
    <t>Bexbach</t>
  </si>
  <si>
    <t>49.345698</t>
  </si>
  <si>
    <t>7.254456</t>
  </si>
  <si>
    <t>Beyendorf</t>
  </si>
  <si>
    <t>52.061145</t>
  </si>
  <si>
    <t>11.631050</t>
  </si>
  <si>
    <t>Bibelöd</t>
  </si>
  <si>
    <t>47.771693</t>
  </si>
  <si>
    <t>12.646506</t>
  </si>
  <si>
    <t>Biberach(Baden)</t>
  </si>
  <si>
    <t>48.338388</t>
  </si>
  <si>
    <t>8.032762</t>
  </si>
  <si>
    <t>Biberach(Riß)</t>
  </si>
  <si>
    <t>48.101845</t>
  </si>
  <si>
    <t>9.793127</t>
  </si>
  <si>
    <t>Biberach(Riß) Süd</t>
  </si>
  <si>
    <t>48.087018</t>
  </si>
  <si>
    <t>9.803236</t>
  </si>
  <si>
    <t>Biblis</t>
  </si>
  <si>
    <t>49.688881</t>
  </si>
  <si>
    <t>8.450413</t>
  </si>
  <si>
    <t>Biblis Wendehammer beim Kreuz</t>
  </si>
  <si>
    <t>49.693188</t>
  </si>
  <si>
    <t>8.454827</t>
  </si>
  <si>
    <t>Bichl</t>
  </si>
  <si>
    <t>47.723815</t>
  </si>
  <si>
    <t>11.408769</t>
  </si>
  <si>
    <t>Bichtlingen</t>
  </si>
  <si>
    <t>47.967531</t>
  </si>
  <si>
    <t>9.101813</t>
  </si>
  <si>
    <t>Bickenbach(Bergstr)</t>
  </si>
  <si>
    <t>49.760380</t>
  </si>
  <si>
    <t>8.603497</t>
  </si>
  <si>
    <t>Biebesheim</t>
  </si>
  <si>
    <t>49.781977</t>
  </si>
  <si>
    <t>8.473978</t>
  </si>
  <si>
    <t>Biedenkopf</t>
  </si>
  <si>
    <t>50.908939</t>
  </si>
  <si>
    <t>8.530353</t>
  </si>
  <si>
    <t>Biedenkopf Campus</t>
  </si>
  <si>
    <t>50.915125</t>
  </si>
  <si>
    <t>8.517706</t>
  </si>
  <si>
    <t>Biederitz</t>
  </si>
  <si>
    <t>52.152710</t>
  </si>
  <si>
    <t>11.716466</t>
  </si>
  <si>
    <t>Bielefeld Hbf</t>
  </si>
  <si>
    <t>52.029261</t>
  </si>
  <si>
    <t>8.532722</t>
  </si>
  <si>
    <t>Bielefeld Ost</t>
  </si>
  <si>
    <t>52.024013</t>
  </si>
  <si>
    <t>8.559416</t>
  </si>
  <si>
    <t>Bielefeld Uni/Zentrum</t>
  </si>
  <si>
    <t>52.038614</t>
  </si>
  <si>
    <t>8.495875</t>
  </si>
  <si>
    <t>Bielefeld-Brackwede</t>
  </si>
  <si>
    <t>51.997378</t>
  </si>
  <si>
    <t>8.498426</t>
  </si>
  <si>
    <t>Bielefeld-Senne</t>
  </si>
  <si>
    <t>51.965118</t>
  </si>
  <si>
    <t>8.520335</t>
  </si>
  <si>
    <t>Bielefeld-Sennestadt</t>
  </si>
  <si>
    <t>51.940582</t>
  </si>
  <si>
    <t>8.567477</t>
  </si>
  <si>
    <t>Bielefeld-Windelsbleiche</t>
  </si>
  <si>
    <t>51.957007</t>
  </si>
  <si>
    <t>8.531378</t>
  </si>
  <si>
    <t>Biendorf</t>
  </si>
  <si>
    <t>51.756861</t>
  </si>
  <si>
    <t>11.856411</t>
  </si>
  <si>
    <t>Bienenbüttel</t>
  </si>
  <si>
    <t>53.142127</t>
  </si>
  <si>
    <t>10.484714</t>
  </si>
  <si>
    <t>Bienenmühle</t>
  </si>
  <si>
    <t>50.740399</t>
  </si>
  <si>
    <t>13.528533</t>
  </si>
  <si>
    <t>Bierbach</t>
  </si>
  <si>
    <t>49.261890</t>
  </si>
  <si>
    <t>7.282011</t>
  </si>
  <si>
    <t>Bieren-Rödinghausen</t>
  </si>
  <si>
    <t>52.239275</t>
  </si>
  <si>
    <t>8.516964</t>
  </si>
  <si>
    <t>Bieringen</t>
  </si>
  <si>
    <t>48.449029</t>
  </si>
  <si>
    <t>8.860915</t>
  </si>
  <si>
    <t>Biersdorf-Ort(Ww)</t>
  </si>
  <si>
    <t>50.748273</t>
  </si>
  <si>
    <t>7.949036</t>
  </si>
  <si>
    <t>Biesenrode</t>
  </si>
  <si>
    <t>51.603979</t>
  </si>
  <si>
    <t>11.385092</t>
  </si>
  <si>
    <t>Biesenthal</t>
  </si>
  <si>
    <t>52.755415</t>
  </si>
  <si>
    <t>13.674665</t>
  </si>
  <si>
    <t>Biessenhofen</t>
  </si>
  <si>
    <t>47.829956</t>
  </si>
  <si>
    <t>10.640467</t>
  </si>
  <si>
    <t>Bietigheim(Baden)</t>
  </si>
  <si>
    <t>48.910587</t>
  </si>
  <si>
    <t>8.258045</t>
  </si>
  <si>
    <t>Bietigheim-Bissingen</t>
  </si>
  <si>
    <t>48.947933</t>
  </si>
  <si>
    <t>9.137557</t>
  </si>
  <si>
    <t>Bietingen</t>
  </si>
  <si>
    <t>47.744017</t>
  </si>
  <si>
    <t>8.738915</t>
  </si>
  <si>
    <t>Bigge</t>
  </si>
  <si>
    <t>51.358279</t>
  </si>
  <si>
    <t>8.475253</t>
  </si>
  <si>
    <t>Bildstock</t>
  </si>
  <si>
    <t>49.337325</t>
  </si>
  <si>
    <t>7.094341</t>
  </si>
  <si>
    <t>Bilfingen</t>
  </si>
  <si>
    <t>48.948876</t>
  </si>
  <si>
    <t>8.620341</t>
  </si>
  <si>
    <t>Billenhausen</t>
  </si>
  <si>
    <t>48.275562</t>
  </si>
  <si>
    <t>10.358162</t>
  </si>
  <si>
    <t>Billerbeck</t>
  </si>
  <si>
    <t>51.981341</t>
  </si>
  <si>
    <t>7.297482</t>
  </si>
  <si>
    <t>Binau</t>
  </si>
  <si>
    <t>49.372589</t>
  </si>
  <si>
    <t>9.083631</t>
  </si>
  <si>
    <t>Binde-Kaulitz</t>
  </si>
  <si>
    <t>52.867492</t>
  </si>
  <si>
    <t>11.392169</t>
  </si>
  <si>
    <t>Bindfelde</t>
  </si>
  <si>
    <t>52.584561</t>
  </si>
  <si>
    <t>11.898035</t>
  </si>
  <si>
    <t>Bindlach</t>
  </si>
  <si>
    <t>49.980220</t>
  </si>
  <si>
    <t>11.603442</t>
  </si>
  <si>
    <t>Bingen(Rhein) KD</t>
  </si>
  <si>
    <t>Bingen(Rhein) Stadt</t>
  </si>
  <si>
    <t>49.969746</t>
  </si>
  <si>
    <t>7.902985</t>
  </si>
  <si>
    <t>Bingen-Gaulsheim</t>
  </si>
  <si>
    <t>49.967073</t>
  </si>
  <si>
    <t>7.950983</t>
  </si>
  <si>
    <t>Binolen</t>
  </si>
  <si>
    <t>51.371981</t>
  </si>
  <si>
    <t>7.859433</t>
  </si>
  <si>
    <t>Binz LB</t>
  </si>
  <si>
    <t>54.392784</t>
  </si>
  <si>
    <t>13.609943</t>
  </si>
  <si>
    <t>Binzen</t>
  </si>
  <si>
    <t>47.631409</t>
  </si>
  <si>
    <t>7.621048</t>
  </si>
  <si>
    <t>Binzen J. P. Hebel-Str.</t>
  </si>
  <si>
    <t>47.630399</t>
  </si>
  <si>
    <t>7.620741</t>
  </si>
  <si>
    <t>Binzen Rathausplatz</t>
  </si>
  <si>
    <t>47.631316</t>
  </si>
  <si>
    <t>7.623724</t>
  </si>
  <si>
    <t>Birach</t>
  </si>
  <si>
    <t>48.349519</t>
  </si>
  <si>
    <t>8.080366</t>
  </si>
  <si>
    <t>Birgden</t>
  </si>
  <si>
    <t>51.009011</t>
  </si>
  <si>
    <t>6.058602</t>
  </si>
  <si>
    <t>Birkelbach</t>
  </si>
  <si>
    <t>51.020694</t>
  </si>
  <si>
    <t>8.252865</t>
  </si>
  <si>
    <t>Birkenau</t>
  </si>
  <si>
    <t>49.561039</t>
  </si>
  <si>
    <t>8.708359</t>
  </si>
  <si>
    <t>Birkenbringhausen</t>
  </si>
  <si>
    <t>51.022372</t>
  </si>
  <si>
    <t>8.744887</t>
  </si>
  <si>
    <t>Birkenfeld(Enz)</t>
  </si>
  <si>
    <t>48.873911</t>
  </si>
  <si>
    <t>8.645278</t>
  </si>
  <si>
    <t>Birkengrund</t>
  </si>
  <si>
    <t>52.315563</t>
  </si>
  <si>
    <t>13.271960</t>
  </si>
  <si>
    <t>Birkengrund Am Birkengrund</t>
  </si>
  <si>
    <t>52.314390</t>
  </si>
  <si>
    <t>13.284373</t>
  </si>
  <si>
    <t>Birkenmoor</t>
  </si>
  <si>
    <t>51.639655</t>
  </si>
  <si>
    <t>10.876323</t>
  </si>
  <si>
    <t>Birkenstein</t>
  </si>
  <si>
    <t>52.515601</t>
  </si>
  <si>
    <t>13.647187</t>
  </si>
  <si>
    <t>Birkenwerder(b Berlin)</t>
  </si>
  <si>
    <t>52.688249</t>
  </si>
  <si>
    <t>13.288772</t>
  </si>
  <si>
    <t>Birkungen</t>
  </si>
  <si>
    <t>51.366312</t>
  </si>
  <si>
    <t>10.330736</t>
  </si>
  <si>
    <t>Birresborn</t>
  </si>
  <si>
    <t>50.176411</t>
  </si>
  <si>
    <t>6.628884</t>
  </si>
  <si>
    <t>Bischheim-Gersdorf</t>
  </si>
  <si>
    <t>51.228415</t>
  </si>
  <si>
    <t>14.045516</t>
  </si>
  <si>
    <t>Bischofswerda</t>
  </si>
  <si>
    <t>51.125585</t>
  </si>
  <si>
    <t>14.186144</t>
  </si>
  <si>
    <t>Bischofswiesen</t>
  </si>
  <si>
    <t>47.651890</t>
  </si>
  <si>
    <t>12.960141</t>
  </si>
  <si>
    <t>Bischweier</t>
  </si>
  <si>
    <t>48.832154</t>
  </si>
  <si>
    <t>8.277543</t>
  </si>
  <si>
    <t>Bisingen</t>
  </si>
  <si>
    <t>48.312770</t>
  </si>
  <si>
    <t>8.921035</t>
  </si>
  <si>
    <t>Bispingen</t>
  </si>
  <si>
    <t>53.084993</t>
  </si>
  <si>
    <t>9.993651</t>
  </si>
  <si>
    <t>Bissendorf</t>
  </si>
  <si>
    <t>52.522705</t>
  </si>
  <si>
    <t>9.748191</t>
  </si>
  <si>
    <t>Bitburg-Erdorf</t>
  </si>
  <si>
    <t>49.998685</t>
  </si>
  <si>
    <t>6.570958</t>
  </si>
  <si>
    <t>Bittelbronn</t>
  </si>
  <si>
    <t>48.444404</t>
  </si>
  <si>
    <t>8.589439</t>
  </si>
  <si>
    <t>Bitterfeld</t>
  </si>
  <si>
    <t>51.622861</t>
  </si>
  <si>
    <t>12.316850</t>
  </si>
  <si>
    <t>Bitzfeld</t>
  </si>
  <si>
    <t>49.187233</t>
  </si>
  <si>
    <t>9.453222</t>
  </si>
  <si>
    <t>Blaibach(Oberpf)</t>
  </si>
  <si>
    <t>49.164028</t>
  </si>
  <si>
    <t>12.807925</t>
  </si>
  <si>
    <t>Blaichach(Allgäu)</t>
  </si>
  <si>
    <t>47.543741</t>
  </si>
  <si>
    <t>10.258796</t>
  </si>
  <si>
    <t>Blankenbach</t>
  </si>
  <si>
    <t>50.065206</t>
  </si>
  <si>
    <t>9.230064</t>
  </si>
  <si>
    <t>Blankenberg(Meckl)</t>
  </si>
  <si>
    <t>53.772305</t>
  </si>
  <si>
    <t>11.715290</t>
  </si>
  <si>
    <t>Blankenberg(Sieg)</t>
  </si>
  <si>
    <t>50.768476</t>
  </si>
  <si>
    <t>7.348499</t>
  </si>
  <si>
    <t>Blankenburg(Harz)</t>
  </si>
  <si>
    <t>51.795824</t>
  </si>
  <si>
    <t>10.961184</t>
  </si>
  <si>
    <t>Blankenfelde (S)</t>
  </si>
  <si>
    <t>52.337195</t>
  </si>
  <si>
    <t>13.415830</t>
  </si>
  <si>
    <t>Blankenfelde Moselstr/Tunnelweg</t>
  </si>
  <si>
    <t>52.342590</t>
  </si>
  <si>
    <t>13.415570</t>
  </si>
  <si>
    <t>Blankenfelde(Teltow-Fläming)</t>
  </si>
  <si>
    <t>52.336926</t>
  </si>
  <si>
    <t>13.416088</t>
  </si>
  <si>
    <t>Blankenheim Ort</t>
  </si>
  <si>
    <t>51.504623</t>
  </si>
  <si>
    <t>11.426576</t>
  </si>
  <si>
    <t>Blankenheim(Sangerhausen)</t>
  </si>
  <si>
    <t>51.502781</t>
  </si>
  <si>
    <t>11.426004</t>
  </si>
  <si>
    <t>Blankenheim(Wald)</t>
  </si>
  <si>
    <t>50.441871</t>
  </si>
  <si>
    <t>6.593504</t>
  </si>
  <si>
    <t>Blankenloch</t>
  </si>
  <si>
    <t>49.066528</t>
  </si>
  <si>
    <t>8.464729</t>
  </si>
  <si>
    <t>Blankensee(Meckl)</t>
  </si>
  <si>
    <t>53.408174</t>
  </si>
  <si>
    <t>13.262907</t>
  </si>
  <si>
    <t>Blankenstein(Saale)</t>
  </si>
  <si>
    <t>50.401139</t>
  </si>
  <si>
    <t>11.698060</t>
  </si>
  <si>
    <t>Blaubeuren</t>
  </si>
  <si>
    <t>48.403815</t>
  </si>
  <si>
    <t>9.791979</t>
  </si>
  <si>
    <t>Blaufelden</t>
  </si>
  <si>
    <t>49.296236</t>
  </si>
  <si>
    <t>9.967680</t>
  </si>
  <si>
    <t>Blaustein</t>
  </si>
  <si>
    <t>48.414596</t>
  </si>
  <si>
    <t>9.919326</t>
  </si>
  <si>
    <t>Blechhammer(Thür)</t>
  </si>
  <si>
    <t>50.396834</t>
  </si>
  <si>
    <t>11.203156</t>
  </si>
  <si>
    <t>Bleckede</t>
  </si>
  <si>
    <t>53.292089</t>
  </si>
  <si>
    <t>10.726959</t>
  </si>
  <si>
    <t>Bleibach</t>
  </si>
  <si>
    <t>48.124091</t>
  </si>
  <si>
    <t>8.004777</t>
  </si>
  <si>
    <t>Bleichenbach(Oberh)</t>
  </si>
  <si>
    <t>50.320334</t>
  </si>
  <si>
    <t>9.051582</t>
  </si>
  <si>
    <t>Bleicherode Ost</t>
  </si>
  <si>
    <t>51.453302</t>
  </si>
  <si>
    <t>10.609188</t>
  </si>
  <si>
    <t>Blens</t>
  </si>
  <si>
    <t>50.660249</t>
  </si>
  <si>
    <t>6.486442</t>
  </si>
  <si>
    <t>Blieskastel-Lautzkirchen</t>
  </si>
  <si>
    <t>49.249192</t>
  </si>
  <si>
    <t>7.258191</t>
  </si>
  <si>
    <t>Blindheim</t>
  </si>
  <si>
    <t>48.645095</t>
  </si>
  <si>
    <t>10.617933</t>
  </si>
  <si>
    <t>Blönsdorf</t>
  </si>
  <si>
    <t>51.955410</t>
  </si>
  <si>
    <t>12.895568</t>
  </si>
  <si>
    <t>Blumberg(b Berlin)</t>
  </si>
  <si>
    <t>52.605234</t>
  </si>
  <si>
    <t>13.611772</t>
  </si>
  <si>
    <t>Blumberg-Rehhahn</t>
  </si>
  <si>
    <t>52.596621</t>
  </si>
  <si>
    <t>13.591948</t>
  </si>
  <si>
    <t>Blumberg-Riedöschingen</t>
  </si>
  <si>
    <t>47.855541</t>
  </si>
  <si>
    <t>8.607543</t>
  </si>
  <si>
    <t>Blumberg-Zollhaus</t>
  </si>
  <si>
    <t>47.837798</t>
  </si>
  <si>
    <t>8.557175</t>
  </si>
  <si>
    <t>Blumenau</t>
  </si>
  <si>
    <t>50.671241</t>
  </si>
  <si>
    <t>13.291014</t>
  </si>
  <si>
    <t>Blumenberg</t>
  </si>
  <si>
    <t>52.033806</t>
  </si>
  <si>
    <t>11.457093</t>
  </si>
  <si>
    <t>Blumenhagen</t>
  </si>
  <si>
    <t>53.528329</t>
  </si>
  <si>
    <t>13.872040</t>
  </si>
  <si>
    <t>Blumenthal(Mark)</t>
  </si>
  <si>
    <t>53.076516</t>
  </si>
  <si>
    <t>12.334096</t>
  </si>
  <si>
    <t>Bobenheim</t>
  </si>
  <si>
    <t>49.588139</t>
  </si>
  <si>
    <t>8.350320</t>
  </si>
  <si>
    <t>Bobingen</t>
  </si>
  <si>
    <t>48.266373</t>
  </si>
  <si>
    <t>10.837891</t>
  </si>
  <si>
    <t>Böbingen(Rems)</t>
  </si>
  <si>
    <t>48.822439</t>
  </si>
  <si>
    <t>9.912807</t>
  </si>
  <si>
    <t>Bobitz</t>
  </si>
  <si>
    <t>53.804534</t>
  </si>
  <si>
    <t>11.362800</t>
  </si>
  <si>
    <t>Böblingen</t>
  </si>
  <si>
    <t>48.687758</t>
  </si>
  <si>
    <t>9.004128</t>
  </si>
  <si>
    <t>Böblingen Danziger Str</t>
  </si>
  <si>
    <t>48.678962</t>
  </si>
  <si>
    <t>8.997202</t>
  </si>
  <si>
    <t>Böblingen Heusteigstr</t>
  </si>
  <si>
    <t>48.675633</t>
  </si>
  <si>
    <t>9.025771</t>
  </si>
  <si>
    <t>Böblingen Südbf</t>
  </si>
  <si>
    <t>48.677236</t>
  </si>
  <si>
    <t>9.010509</t>
  </si>
  <si>
    <t>Böblingen Zimmerschlag</t>
  </si>
  <si>
    <t>48.670456</t>
  </si>
  <si>
    <t>9.035225</t>
  </si>
  <si>
    <t>Bobstadt</t>
  </si>
  <si>
    <t>49.663251</t>
  </si>
  <si>
    <t>8.451786</t>
  </si>
  <si>
    <t>Bobzin</t>
  </si>
  <si>
    <t>53.477175</t>
  </si>
  <si>
    <t>11.142869</t>
  </si>
  <si>
    <t>Bocholt</t>
  </si>
  <si>
    <t>51.834120</t>
  </si>
  <si>
    <t>6.620426</t>
  </si>
  <si>
    <t>Bochum Hbf</t>
  </si>
  <si>
    <t>51.478609</t>
  </si>
  <si>
    <t>7.223275</t>
  </si>
  <si>
    <t>Bochum Hbf (Buddenbergplatz)</t>
  </si>
  <si>
    <t>51.477394</t>
  </si>
  <si>
    <t>7.224446</t>
  </si>
  <si>
    <t>Bochum West</t>
  </si>
  <si>
    <t>51.481459</t>
  </si>
  <si>
    <t>7.211223</t>
  </si>
  <si>
    <t>Bochum-Dahlhausen</t>
  </si>
  <si>
    <t>51.426358</t>
  </si>
  <si>
    <t>7.140842</t>
  </si>
  <si>
    <t>Bochum-Ehrenfeld</t>
  </si>
  <si>
    <t>51.472117</t>
  </si>
  <si>
    <t>7.209150</t>
  </si>
  <si>
    <t>Bochum-Hamme</t>
  </si>
  <si>
    <t>51.491486</t>
  </si>
  <si>
    <t>7.200935</t>
  </si>
  <si>
    <t>Bochum-Langendreer</t>
  </si>
  <si>
    <t>51.477992</t>
  </si>
  <si>
    <t>7.323645</t>
  </si>
  <si>
    <t>Bochum-Langendreer West</t>
  </si>
  <si>
    <t>51.478032</t>
  </si>
  <si>
    <t>7.304327</t>
  </si>
  <si>
    <t>Bochum-Riemke</t>
  </si>
  <si>
    <t>51.517800</t>
  </si>
  <si>
    <t>7.205275</t>
  </si>
  <si>
    <t>Bockenheim-Kindenheim</t>
  </si>
  <si>
    <t>49.606952</t>
  </si>
  <si>
    <t>8.188033</t>
  </si>
  <si>
    <t>Böckingen West</t>
  </si>
  <si>
    <t>49.139302</t>
  </si>
  <si>
    <t>9.165441</t>
  </si>
  <si>
    <t>Bodelsberg</t>
  </si>
  <si>
    <t>47.678113</t>
  </si>
  <si>
    <t>10.411092</t>
  </si>
  <si>
    <t>Bodelshausen</t>
  </si>
  <si>
    <t>48.383369</t>
  </si>
  <si>
    <t>8.990601</t>
  </si>
  <si>
    <t>Bodenburg</t>
  </si>
  <si>
    <t>52.031121</t>
  </si>
  <si>
    <t>10.001330</t>
  </si>
  <si>
    <t>Bodenfelde</t>
  </si>
  <si>
    <t>51.637209</t>
  </si>
  <si>
    <t>9.561667</t>
  </si>
  <si>
    <t>Bodenheim</t>
  </si>
  <si>
    <t>49.929585</t>
  </si>
  <si>
    <t>8.312491</t>
  </si>
  <si>
    <t>Bodenmais</t>
  </si>
  <si>
    <t>49.070503</t>
  </si>
  <si>
    <t>13.101102</t>
  </si>
  <si>
    <t>Bodenrode</t>
  </si>
  <si>
    <t>51.393528</t>
  </si>
  <si>
    <t>10.208550</t>
  </si>
  <si>
    <t>Bodenwerder Kemnade</t>
  </si>
  <si>
    <t>51.982331</t>
  </si>
  <si>
    <t>9.514308</t>
  </si>
  <si>
    <t>Bodenwöhr Nord</t>
  </si>
  <si>
    <t>49.278381</t>
  </si>
  <si>
    <t>12.325948</t>
  </si>
  <si>
    <t>Bödigheim</t>
  </si>
  <si>
    <t>49.475929</t>
  </si>
  <si>
    <t>9.317207</t>
  </si>
  <si>
    <t>Bogen</t>
  </si>
  <si>
    <t>48.910594</t>
  </si>
  <si>
    <t>12.686141</t>
  </si>
  <si>
    <t>Böhlen Werke</t>
  </si>
  <si>
    <t>51.184702</t>
  </si>
  <si>
    <t>12.384024</t>
  </si>
  <si>
    <t>Böhlen(Leipzig)</t>
  </si>
  <si>
    <t>51.203037</t>
  </si>
  <si>
    <t>12.381991</t>
  </si>
  <si>
    <t>Böhl-Iggelheim</t>
  </si>
  <si>
    <t>49.379831</t>
  </si>
  <si>
    <t>8.303602</t>
  </si>
  <si>
    <t>Böhmhof</t>
  </si>
  <si>
    <t>49.052101</t>
  </si>
  <si>
    <t>13.110880</t>
  </si>
  <si>
    <t>Bohmte</t>
  </si>
  <si>
    <t>52.361632</t>
  </si>
  <si>
    <t>8.307525</t>
  </si>
  <si>
    <t>Böhringen-Rickelshausen</t>
  </si>
  <si>
    <t>47.748951</t>
  </si>
  <si>
    <t>8.925769</t>
  </si>
  <si>
    <t>Boisheim</t>
  </si>
  <si>
    <t>51.274323</t>
  </si>
  <si>
    <t>6.274591</t>
  </si>
  <si>
    <t>Boizenburg(Elbe)</t>
  </si>
  <si>
    <t>53.378061</t>
  </si>
  <si>
    <t>10.754279</t>
  </si>
  <si>
    <t>Bokholt</t>
  </si>
  <si>
    <t>53.786107</t>
  </si>
  <si>
    <t>9.716843</t>
  </si>
  <si>
    <t>Boltersen</t>
  </si>
  <si>
    <t>53.286200</t>
  </si>
  <si>
    <t>10.569600</t>
  </si>
  <si>
    <t>Bölzke</t>
  </si>
  <si>
    <t>53.107382</t>
  </si>
  <si>
    <t>12.269615</t>
  </si>
  <si>
    <t>Bondorf(b Herrenberg)</t>
  </si>
  <si>
    <t>48.523552</t>
  </si>
  <si>
    <t>8.827662</t>
  </si>
  <si>
    <t>Bönen</t>
  </si>
  <si>
    <t>51.598015</t>
  </si>
  <si>
    <t>7.757296</t>
  </si>
  <si>
    <t>Bönen-Nordbögge</t>
  </si>
  <si>
    <t>51.615709</t>
  </si>
  <si>
    <t>7.742200</t>
  </si>
  <si>
    <t>Bonn Hbf</t>
  </si>
  <si>
    <t>50.732008</t>
  </si>
  <si>
    <t>7.097136</t>
  </si>
  <si>
    <t>Bonn Helmholtzstraße</t>
  </si>
  <si>
    <t>50.721844</t>
  </si>
  <si>
    <t>7.052615</t>
  </si>
  <si>
    <t>Bonn UN Campus</t>
  </si>
  <si>
    <t>50.714540</t>
  </si>
  <si>
    <t>7.118010</t>
  </si>
  <si>
    <t>Bonn-Bad Godesberg</t>
  </si>
  <si>
    <t>50.683927</t>
  </si>
  <si>
    <t>7.159555</t>
  </si>
  <si>
    <t>Bonn-Beuel</t>
  </si>
  <si>
    <t>50.738476</t>
  </si>
  <si>
    <t>7.127657</t>
  </si>
  <si>
    <t>Bonn-Duisdorf</t>
  </si>
  <si>
    <t>50.716475</t>
  </si>
  <si>
    <t>7.042548</t>
  </si>
  <si>
    <t>Bonn-Endenich Nord</t>
  </si>
  <si>
    <t>50.735590</t>
  </si>
  <si>
    <t>7.062211</t>
  </si>
  <si>
    <t>Bönningstedt</t>
  </si>
  <si>
    <t>53.663395</t>
  </si>
  <si>
    <t>9.910243</t>
  </si>
  <si>
    <t>Bonn-Mehlem</t>
  </si>
  <si>
    <t>50.669153</t>
  </si>
  <si>
    <t>7.181342</t>
  </si>
  <si>
    <t>Bonn-Oberkassel</t>
  </si>
  <si>
    <t>50.715073</t>
  </si>
  <si>
    <t>7.159300</t>
  </si>
  <si>
    <t>Bookholzberg</t>
  </si>
  <si>
    <t>53.099112</t>
  </si>
  <si>
    <t>8.532556</t>
  </si>
  <si>
    <t>Boostedt</t>
  </si>
  <si>
    <t>54.017738</t>
  </si>
  <si>
    <t>10.016200</t>
  </si>
  <si>
    <t>Bopfingen</t>
  </si>
  <si>
    <t>48.855153</t>
  </si>
  <si>
    <t>10.351707</t>
  </si>
  <si>
    <t>Boppard Hbf</t>
  </si>
  <si>
    <t>50.231422</t>
  </si>
  <si>
    <t>7.586014</t>
  </si>
  <si>
    <t>Boppard KD</t>
  </si>
  <si>
    <t>Boppard Süd</t>
  </si>
  <si>
    <t>50.230197</t>
  </si>
  <si>
    <t>7.595521</t>
  </si>
  <si>
    <t>Boppard-Bad Salzig</t>
  </si>
  <si>
    <t>50.205251</t>
  </si>
  <si>
    <t>7.635481</t>
  </si>
  <si>
    <t>Boppard-Buchholz</t>
  </si>
  <si>
    <t>50.210802</t>
  </si>
  <si>
    <t>7.554876</t>
  </si>
  <si>
    <t>Boppard-Fleckertshöhe</t>
  </si>
  <si>
    <t>50.197925</t>
  </si>
  <si>
    <t>7.577889</t>
  </si>
  <si>
    <t>Boppard-Hirzenach</t>
  </si>
  <si>
    <t>50.175075</t>
  </si>
  <si>
    <t>7.648436</t>
  </si>
  <si>
    <t>Bordesholm</t>
  </si>
  <si>
    <t>54.174373</t>
  </si>
  <si>
    <t>10.043711</t>
  </si>
  <si>
    <t>Boren-Lindaunis Schleibrücke Nord</t>
  </si>
  <si>
    <t>54.584450</t>
  </si>
  <si>
    <t>9.819096</t>
  </si>
  <si>
    <t>Borgeln</t>
  </si>
  <si>
    <t>51.598265</t>
  </si>
  <si>
    <t>8.032033</t>
  </si>
  <si>
    <t>Borgholzhausen</t>
  </si>
  <si>
    <t>52.085229</t>
  </si>
  <si>
    <t>8.266579</t>
  </si>
  <si>
    <t>Borgsdorf</t>
  </si>
  <si>
    <t>52.715252</t>
  </si>
  <si>
    <t>13.276750</t>
  </si>
  <si>
    <t>Bork(Westf)</t>
  </si>
  <si>
    <t>51.669330</t>
  </si>
  <si>
    <t>7.456308</t>
  </si>
  <si>
    <t>Borken(Hess)</t>
  </si>
  <si>
    <t>51.050684</t>
  </si>
  <si>
    <t>9.277000</t>
  </si>
  <si>
    <t>Borken(Westf)</t>
  </si>
  <si>
    <t>51.848137</t>
  </si>
  <si>
    <t>6.866589</t>
  </si>
  <si>
    <t>Borkheide</t>
  </si>
  <si>
    <t>52.230775</t>
  </si>
  <si>
    <t>12.854413</t>
  </si>
  <si>
    <t>Borkum Reede</t>
  </si>
  <si>
    <t>53.563598</t>
  </si>
  <si>
    <t>6.756451</t>
  </si>
  <si>
    <t>Borkum(Nordseebad)</t>
  </si>
  <si>
    <t>53.587439</t>
  </si>
  <si>
    <t>6.662751</t>
  </si>
  <si>
    <t>Borna(Leipzig)</t>
  </si>
  <si>
    <t>51.117926</t>
  </si>
  <si>
    <t>12.486291</t>
  </si>
  <si>
    <t>Börnecke(Harz)</t>
  </si>
  <si>
    <t>51.819680</t>
  </si>
  <si>
    <t>10.995759</t>
  </si>
  <si>
    <t>Bornholte(b Verl)</t>
  </si>
  <si>
    <t>51.874940</t>
  </si>
  <si>
    <t>8.534366</t>
  </si>
  <si>
    <t>Börnichen-Schlepzig</t>
  </si>
  <si>
    <t>51.991833</t>
  </si>
  <si>
    <t>13.922578</t>
  </si>
  <si>
    <t>Borsdorf(Hess)</t>
  </si>
  <si>
    <t>50.429410</t>
  </si>
  <si>
    <t>8.975223</t>
  </si>
  <si>
    <t>Borsdorf(Sachs)</t>
  </si>
  <si>
    <t>51.345705</t>
  </si>
  <si>
    <t>12.541165</t>
  </si>
  <si>
    <t>Börßum</t>
  </si>
  <si>
    <t>52.060463</t>
  </si>
  <si>
    <t>10.568935</t>
  </si>
  <si>
    <t>Bösdorf(Sachs-Anh)</t>
  </si>
  <si>
    <t>52.422099</t>
  </si>
  <si>
    <t>11.064149</t>
  </si>
  <si>
    <t>Bösperde</t>
  </si>
  <si>
    <t>51.458940</t>
  </si>
  <si>
    <t>7.774233</t>
  </si>
  <si>
    <t>Bottrop Hbf</t>
  </si>
  <si>
    <t>51.509450</t>
  </si>
  <si>
    <t>6.936684</t>
  </si>
  <si>
    <t>Bottrop-Boy</t>
  </si>
  <si>
    <t>51.537163</t>
  </si>
  <si>
    <t>6.967729</t>
  </si>
  <si>
    <t>Bottrop-Vonderort</t>
  </si>
  <si>
    <t>51.501728</t>
  </si>
  <si>
    <t>6.912294</t>
  </si>
  <si>
    <t>Bötzingen</t>
  </si>
  <si>
    <t>48.070174</t>
  </si>
  <si>
    <t>7.721616</t>
  </si>
  <si>
    <t>Bötzingen Mühle</t>
  </si>
  <si>
    <t>48.075552</t>
  </si>
  <si>
    <t>7.727931</t>
  </si>
  <si>
    <t>Bous(Saar)</t>
  </si>
  <si>
    <t>49.275979</t>
  </si>
  <si>
    <t>6.792639</t>
  </si>
  <si>
    <t>Boxberg-Wölchingen</t>
  </si>
  <si>
    <t>49.485596</t>
  </si>
  <si>
    <t>9.640048</t>
  </si>
  <si>
    <t>Brachbach</t>
  </si>
  <si>
    <t>50.822066</t>
  </si>
  <si>
    <t>7.941758</t>
  </si>
  <si>
    <t>Brachelen</t>
  </si>
  <si>
    <t>51.007824</t>
  </si>
  <si>
    <t>6.231463</t>
  </si>
  <si>
    <t>Brahlstorf</t>
  </si>
  <si>
    <t>53.364421</t>
  </si>
  <si>
    <t>10.951992</t>
  </si>
  <si>
    <t>Brake(b Bielefeld)</t>
  </si>
  <si>
    <t>52.069653</t>
  </si>
  <si>
    <t>8.604914</t>
  </si>
  <si>
    <t>Brake(Unterweser)</t>
  </si>
  <si>
    <t>53.328817</t>
  </si>
  <si>
    <t>8.481350</t>
  </si>
  <si>
    <t>Brakel(Höxter)</t>
  </si>
  <si>
    <t>51.712165</t>
  </si>
  <si>
    <t>9.183200</t>
  </si>
  <si>
    <t>Bramsche</t>
  </si>
  <si>
    <t>52.410879</t>
  </si>
  <si>
    <t>7.975007</t>
  </si>
  <si>
    <t>Bramstedt(b Syke)</t>
  </si>
  <si>
    <t>52.871611</t>
  </si>
  <si>
    <t>8.786024</t>
  </si>
  <si>
    <t>Brand Tropical Islands</t>
  </si>
  <si>
    <t>52.029953</t>
  </si>
  <si>
    <t>13.721490</t>
  </si>
  <si>
    <t>Brandenburg Altstadt</t>
  </si>
  <si>
    <t>52.411700</t>
  </si>
  <si>
    <t>12.530347</t>
  </si>
  <si>
    <t>Brandenburg Betriebshof Hohenstücken</t>
  </si>
  <si>
    <t>52.427374</t>
  </si>
  <si>
    <t>12.530991</t>
  </si>
  <si>
    <t>Brandenburg Hbf</t>
  </si>
  <si>
    <t>52.400554</t>
  </si>
  <si>
    <t>12.566138</t>
  </si>
  <si>
    <t>Brandis</t>
  </si>
  <si>
    <t>51.328887</t>
  </si>
  <si>
    <t>12.607471</t>
  </si>
  <si>
    <t>Brandoberndorf</t>
  </si>
  <si>
    <t>50.431621</t>
  </si>
  <si>
    <t>8.493816</t>
  </si>
  <si>
    <t>Brandstätt</t>
  </si>
  <si>
    <t>48.073011</t>
  </si>
  <si>
    <t>12.127549</t>
  </si>
  <si>
    <t>Brannenburg</t>
  </si>
  <si>
    <t>47.741354</t>
  </si>
  <si>
    <t>12.106464</t>
  </si>
  <si>
    <t>Braubach</t>
  </si>
  <si>
    <t>50.274140</t>
  </si>
  <si>
    <t>7.643187</t>
  </si>
  <si>
    <t>Braubach KD</t>
  </si>
  <si>
    <t>Bräunlingen Bahnhof</t>
  </si>
  <si>
    <t>47.931875</t>
  </si>
  <si>
    <t>8.457104</t>
  </si>
  <si>
    <t>Bräunlingen In Stetten</t>
  </si>
  <si>
    <t>47.927512</t>
  </si>
  <si>
    <t>8.469209</t>
  </si>
  <si>
    <t>Bräunlingen Industriegebiet</t>
  </si>
  <si>
    <t>47.928337</t>
  </si>
  <si>
    <t>8.470812</t>
  </si>
  <si>
    <t>Braunsbedra</t>
  </si>
  <si>
    <t>51.288781</t>
  </si>
  <si>
    <t>11.884594</t>
  </si>
  <si>
    <t>Braunsbedra Pfännerhall</t>
  </si>
  <si>
    <t>51.289966</t>
  </si>
  <si>
    <t>11.902683</t>
  </si>
  <si>
    <t>Braunschweig Hbf</t>
  </si>
  <si>
    <t>52.252218</t>
  </si>
  <si>
    <t>10.540295</t>
  </si>
  <si>
    <t>Braunschweig Messegelände Nordeingang</t>
  </si>
  <si>
    <t>52.248629</t>
  </si>
  <si>
    <t>10.518449</t>
  </si>
  <si>
    <t>Braunschweig-Gliesmarode</t>
  </si>
  <si>
    <t>52.275721</t>
  </si>
  <si>
    <t>10.551499</t>
  </si>
  <si>
    <t>Brebach</t>
  </si>
  <si>
    <t>49.216458</t>
  </si>
  <si>
    <t>7.028868</t>
  </si>
  <si>
    <t>Breddin</t>
  </si>
  <si>
    <t>52.886047</t>
  </si>
  <si>
    <t>12.224216</t>
  </si>
  <si>
    <t>Bredelar</t>
  </si>
  <si>
    <t>51.419170</t>
  </si>
  <si>
    <t>8.776566</t>
  </si>
  <si>
    <t>Bredenbek</t>
  </si>
  <si>
    <t>54.315112</t>
  </si>
  <si>
    <t>9.867004</t>
  </si>
  <si>
    <t>Bredstedt</t>
  </si>
  <si>
    <t>54.621166</t>
  </si>
  <si>
    <t>8.970336</t>
  </si>
  <si>
    <t>Bredstedt Bahnhof</t>
  </si>
  <si>
    <t>54.621169</t>
  </si>
  <si>
    <t>8.970056</t>
  </si>
  <si>
    <t>Bredstedt Markt</t>
  </si>
  <si>
    <t>54.618286</t>
  </si>
  <si>
    <t>8.963864</t>
  </si>
  <si>
    <t>Brefeld</t>
  </si>
  <si>
    <t>49.313568</t>
  </si>
  <si>
    <t>7.049159</t>
  </si>
  <si>
    <t>Brehna</t>
  </si>
  <si>
    <t>51.554384</t>
  </si>
  <si>
    <t>12.221754</t>
  </si>
  <si>
    <t>Brehna Markt</t>
  </si>
  <si>
    <t>51.557382</t>
  </si>
  <si>
    <t>12.212563</t>
  </si>
  <si>
    <t>Breinig</t>
  </si>
  <si>
    <t>50.731121</t>
  </si>
  <si>
    <t>6.214040</t>
  </si>
  <si>
    <t>Breisach</t>
  </si>
  <si>
    <t>48.026918</t>
  </si>
  <si>
    <t>7.589350</t>
  </si>
  <si>
    <t>Breitenbrunn(Erzg)</t>
  </si>
  <si>
    <t>50.477081</t>
  </si>
  <si>
    <t>12.746053</t>
  </si>
  <si>
    <t>Breitenbrunn(Schwab)</t>
  </si>
  <si>
    <t>48.138586</t>
  </si>
  <si>
    <t>10.408505</t>
  </si>
  <si>
    <t>Breitendiel</t>
  </si>
  <si>
    <t>49.691382</t>
  </si>
  <si>
    <t>9.225052</t>
  </si>
  <si>
    <t>Breitendorf</t>
  </si>
  <si>
    <t>51.138652</t>
  </si>
  <si>
    <t>14.622726</t>
  </si>
  <si>
    <t>Breitengüßbach</t>
  </si>
  <si>
    <t>49.966830</t>
  </si>
  <si>
    <t>10.887135</t>
  </si>
  <si>
    <t>Breitengüßbach Ortsmitte</t>
  </si>
  <si>
    <t>49.968526</t>
  </si>
  <si>
    <t>10.885249</t>
  </si>
  <si>
    <t>Breitenstein(Pfalz)</t>
  </si>
  <si>
    <t>49.344735</t>
  </si>
  <si>
    <t>8.002645</t>
  </si>
  <si>
    <t>Breitscheidt(Altenkirchen, Ww)</t>
  </si>
  <si>
    <t>50.748435</t>
  </si>
  <si>
    <t>7.661486</t>
  </si>
  <si>
    <t>Breitungen(Werra)</t>
  </si>
  <si>
    <t>50.752475</t>
  </si>
  <si>
    <t>10.322230</t>
  </si>
  <si>
    <t>53.083481</t>
  </si>
  <si>
    <t>8.813834</t>
  </si>
  <si>
    <t>Bremen Kreinsloger</t>
  </si>
  <si>
    <t>53.188782</t>
  </si>
  <si>
    <t>8.557846</t>
  </si>
  <si>
    <t>Bremen Mühlenstraße</t>
  </si>
  <si>
    <t>53.185210</t>
  </si>
  <si>
    <t>8.571340</t>
  </si>
  <si>
    <t>Bremen Neustadt</t>
  </si>
  <si>
    <t>53.075782</t>
  </si>
  <si>
    <t>8.785808</t>
  </si>
  <si>
    <t>Bremen Turnerstraße</t>
  </si>
  <si>
    <t>53.193237</t>
  </si>
  <si>
    <t>8.545403</t>
  </si>
  <si>
    <t>Bremen-Aumund</t>
  </si>
  <si>
    <t>53.185226</t>
  </si>
  <si>
    <t>8.617338</t>
  </si>
  <si>
    <t>Bremen-Blumenthal</t>
  </si>
  <si>
    <t>53.183635</t>
  </si>
  <si>
    <t>8.581180</t>
  </si>
  <si>
    <t>Bremen-Burg</t>
  </si>
  <si>
    <t>53.160288</t>
  </si>
  <si>
    <t>8.704773</t>
  </si>
  <si>
    <t>Bremen-Farge</t>
  </si>
  <si>
    <t>53.205200</t>
  </si>
  <si>
    <t>8.516602</t>
  </si>
  <si>
    <t>Bremen-Hemelingen</t>
  </si>
  <si>
    <t>53.054572</t>
  </si>
  <si>
    <t>8.886759</t>
  </si>
  <si>
    <t>Bremen-Lesum</t>
  </si>
  <si>
    <t>53.170716</t>
  </si>
  <si>
    <t>8.686152</t>
  </si>
  <si>
    <t>Bremen-Mahndorf</t>
  </si>
  <si>
    <t>53.039762</t>
  </si>
  <si>
    <t>8.944627</t>
  </si>
  <si>
    <t>Bremen-Oberneuland</t>
  </si>
  <si>
    <t>53.087038</t>
  </si>
  <si>
    <t>8.938511</t>
  </si>
  <si>
    <t>Bremen-Oslebshausen</t>
  </si>
  <si>
    <t>53.135298</t>
  </si>
  <si>
    <t>8.740801</t>
  </si>
  <si>
    <t>Bremen-Schönebeck</t>
  </si>
  <si>
    <t>53.172800</t>
  </si>
  <si>
    <t>8.649481</t>
  </si>
  <si>
    <t>Bremen-Sebaldsbrück</t>
  </si>
  <si>
    <t>53.061355</t>
  </si>
  <si>
    <t>8.887383</t>
  </si>
  <si>
    <t>Bremen-St Magnus</t>
  </si>
  <si>
    <t>53.171580</t>
  </si>
  <si>
    <t>8.669732</t>
  </si>
  <si>
    <t>Bremen-Vegesack</t>
  </si>
  <si>
    <t>53.169716</t>
  </si>
  <si>
    <t>8.629968</t>
  </si>
  <si>
    <t>Bremen-Walle</t>
  </si>
  <si>
    <t>53.103792</t>
  </si>
  <si>
    <t>8.786241</t>
  </si>
  <si>
    <t>Bremerhaven Hbf</t>
  </si>
  <si>
    <t>53.534912</t>
  </si>
  <si>
    <t>8.599555</t>
  </si>
  <si>
    <t>Bremerhaven-Lehe</t>
  </si>
  <si>
    <t>53.566324</t>
  </si>
  <si>
    <t>8.600657</t>
  </si>
  <si>
    <t>Bremerhaven-Wulsdorf</t>
  </si>
  <si>
    <t>53.508596</t>
  </si>
  <si>
    <t>8.611934</t>
  </si>
  <si>
    <t>Bremervörde</t>
  </si>
  <si>
    <t>53.482954</t>
  </si>
  <si>
    <t>9.140251</t>
  </si>
  <si>
    <t>Brenk</t>
  </si>
  <si>
    <t>50.432442</t>
  </si>
  <si>
    <t>7.168888</t>
  </si>
  <si>
    <t>Brest-Aspe</t>
  </si>
  <si>
    <t>53.460587</t>
  </si>
  <si>
    <t>9.382342</t>
  </si>
  <si>
    <t>Breternitz</t>
  </si>
  <si>
    <t>50.616311</t>
  </si>
  <si>
    <t>11.405863</t>
  </si>
  <si>
    <t>Bretleben</t>
  </si>
  <si>
    <t>51.340743</t>
  </si>
  <si>
    <t>11.240839</t>
  </si>
  <si>
    <t>Bretten</t>
  </si>
  <si>
    <t>49.036900</t>
  </si>
  <si>
    <t>8.693448</t>
  </si>
  <si>
    <t>Bretten Kupferhälde</t>
  </si>
  <si>
    <t>49.036987</t>
  </si>
  <si>
    <t>8.723679</t>
  </si>
  <si>
    <t>Bretten Rechberg</t>
  </si>
  <si>
    <t>49.032596</t>
  </si>
  <si>
    <t>8.701614</t>
  </si>
  <si>
    <t>Bretten Schulzentrum</t>
  </si>
  <si>
    <t>49.031770</t>
  </si>
  <si>
    <t>8.718231</t>
  </si>
  <si>
    <t>Bretten Stadtmitte</t>
  </si>
  <si>
    <t>49.033993</t>
  </si>
  <si>
    <t>8.702809</t>
  </si>
  <si>
    <t>Bretten Wannenweg</t>
  </si>
  <si>
    <t>49.030466</t>
  </si>
  <si>
    <t>8.709122</t>
  </si>
  <si>
    <t>Bretten-Ruit</t>
  </si>
  <si>
    <t>49.009462</t>
  </si>
  <si>
    <t>8.722058</t>
  </si>
  <si>
    <t>Brettorf</t>
  </si>
  <si>
    <t>52.967127</t>
  </si>
  <si>
    <t>8.446970</t>
  </si>
  <si>
    <t>Bretzenheim(Nahe)</t>
  </si>
  <si>
    <t>49.874587</t>
  </si>
  <si>
    <t>7.898692</t>
  </si>
  <si>
    <t>Bretzfeld</t>
  </si>
  <si>
    <t>49.172741</t>
  </si>
  <si>
    <t>9.440302</t>
  </si>
  <si>
    <t>Breyell</t>
  </si>
  <si>
    <t>51.294615</t>
  </si>
  <si>
    <t>6.241174</t>
  </si>
  <si>
    <t>Brieselang</t>
  </si>
  <si>
    <t>52.582549</t>
  </si>
  <si>
    <t>13.001394</t>
  </si>
  <si>
    <t>Briesen(Mark)</t>
  </si>
  <si>
    <t>52.346530</t>
  </si>
  <si>
    <t>14.280635</t>
  </si>
  <si>
    <t>Briesen(Mark) Schule</t>
  </si>
  <si>
    <t>52.348280</t>
  </si>
  <si>
    <t>14.281825</t>
  </si>
  <si>
    <t>Brieskow-Finkenheerd Kita</t>
  </si>
  <si>
    <t>52.255970</t>
  </si>
  <si>
    <t>14.574115</t>
  </si>
  <si>
    <t>Brigachtal Kirchdorf</t>
  </si>
  <si>
    <t>48.014343</t>
  </si>
  <si>
    <t>8.467807</t>
  </si>
  <si>
    <t>Brigachtal Klengen</t>
  </si>
  <si>
    <t>48.007366</t>
  </si>
  <si>
    <t>8.465779</t>
  </si>
  <si>
    <t>Brillit</t>
  </si>
  <si>
    <t>53.414533</t>
  </si>
  <si>
    <t>9.013660</t>
  </si>
  <si>
    <t>Brilon Stadt</t>
  </si>
  <si>
    <t>51.399060</t>
  </si>
  <si>
    <t>8.575287</t>
  </si>
  <si>
    <t>Brilon Wald</t>
  </si>
  <si>
    <t>51.349159</t>
  </si>
  <si>
    <t>8.576073</t>
  </si>
  <si>
    <t>Britz</t>
  </si>
  <si>
    <t>52.873268</t>
  </si>
  <si>
    <t>13.821106</t>
  </si>
  <si>
    <t>Brochterbeck</t>
  </si>
  <si>
    <t>52.229110</t>
  </si>
  <si>
    <t>7.754981</t>
  </si>
  <si>
    <t>Brocken</t>
  </si>
  <si>
    <t>51.799558</t>
  </si>
  <si>
    <t>10.618559</t>
  </si>
  <si>
    <t>Brockhöfe</t>
  </si>
  <si>
    <t>53.002117</t>
  </si>
  <si>
    <t>10.258499</t>
  </si>
  <si>
    <t>Broderstorf</t>
  </si>
  <si>
    <t>54.078916</t>
  </si>
  <si>
    <t>12.262763</t>
  </si>
  <si>
    <t>Brohl</t>
  </si>
  <si>
    <t>50.481429</t>
  </si>
  <si>
    <t>7.332639</t>
  </si>
  <si>
    <t>Brohl Rheinanlagen</t>
  </si>
  <si>
    <t>50.487299</t>
  </si>
  <si>
    <t>7.327933</t>
  </si>
  <si>
    <t>Brohl(Brohltalbahn)</t>
  </si>
  <si>
    <t>50.480872</t>
  </si>
  <si>
    <t>7.332053</t>
  </si>
  <si>
    <t>Brokstedt</t>
  </si>
  <si>
    <t>53.990086</t>
  </si>
  <si>
    <t>9.823806</t>
  </si>
  <si>
    <t>Brötzingen Mitte</t>
  </si>
  <si>
    <t>48.889464</t>
  </si>
  <si>
    <t>8.667027</t>
  </si>
  <si>
    <t>Brötzingen Sandweg</t>
  </si>
  <si>
    <t>48.885880</t>
  </si>
  <si>
    <t>8.662347</t>
  </si>
  <si>
    <t>Brötzingen Wohnlichstraße</t>
  </si>
  <si>
    <t>48.882077</t>
  </si>
  <si>
    <t>8.653987</t>
  </si>
  <si>
    <t>Bruchenbrücken</t>
  </si>
  <si>
    <t>50.302183</t>
  </si>
  <si>
    <t>8.788489</t>
  </si>
  <si>
    <t>Bruchhausen(b Ettlingen)</t>
  </si>
  <si>
    <t>48.923992</t>
  </si>
  <si>
    <t>8.373975</t>
  </si>
  <si>
    <t>Bruchhausen-Vilsen</t>
  </si>
  <si>
    <t>52.827671</t>
  </si>
  <si>
    <t>8.989552</t>
  </si>
  <si>
    <t>Bruchköbel</t>
  </si>
  <si>
    <t>50.186189</t>
  </si>
  <si>
    <t>8.919293</t>
  </si>
  <si>
    <t>Bruchmühlbach-Miesau</t>
  </si>
  <si>
    <t>49.385343</t>
  </si>
  <si>
    <t>7.443979</t>
  </si>
  <si>
    <t>Bruchmühlen</t>
  </si>
  <si>
    <t>52.204598</t>
  </si>
  <si>
    <t>8.448636</t>
  </si>
  <si>
    <t>Bruchsal</t>
  </si>
  <si>
    <t>49.124622</t>
  </si>
  <si>
    <t>8.589649</t>
  </si>
  <si>
    <t>Bruchsal Am Mantel</t>
  </si>
  <si>
    <t>49.141181</t>
  </si>
  <si>
    <t>8.563270</t>
  </si>
  <si>
    <t>Bruchsal Bildungszentrum</t>
  </si>
  <si>
    <t>49.110346</t>
  </si>
  <si>
    <t>8.574507</t>
  </si>
  <si>
    <t>Bruchsal Schlachthof</t>
  </si>
  <si>
    <t>49.118928</t>
  </si>
  <si>
    <t>8.609716</t>
  </si>
  <si>
    <t>Bruchsal Schloßgarten</t>
  </si>
  <si>
    <t>49.131438</t>
  </si>
  <si>
    <t>8.594060</t>
  </si>
  <si>
    <t>Bruchsal Sportzentrum</t>
  </si>
  <si>
    <t>49.135443</t>
  </si>
  <si>
    <t>8.589941</t>
  </si>
  <si>
    <t>Bruchsal Stegwiesen</t>
  </si>
  <si>
    <t>49.136435</t>
  </si>
  <si>
    <t>8.598199</t>
  </si>
  <si>
    <t>Bruchsal Tunnelstraße</t>
  </si>
  <si>
    <t>49.119549</t>
  </si>
  <si>
    <t>8.594378</t>
  </si>
  <si>
    <t>Bruchweiler</t>
  </si>
  <si>
    <t>49.114877</t>
  </si>
  <si>
    <t>7.801945</t>
  </si>
  <si>
    <t>Brück(Mark)</t>
  </si>
  <si>
    <t>52.186795</t>
  </si>
  <si>
    <t>12.758467</t>
  </si>
  <si>
    <t>Bruckberg</t>
  </si>
  <si>
    <t>48.515979</t>
  </si>
  <si>
    <t>11.997782</t>
  </si>
  <si>
    <t>Brucken</t>
  </si>
  <si>
    <t>48.573918</t>
  </si>
  <si>
    <t>9.453061</t>
  </si>
  <si>
    <t>Bruckmühl</t>
  </si>
  <si>
    <t>47.880823</t>
  </si>
  <si>
    <t>11.915531</t>
  </si>
  <si>
    <t>Brüel(Meckl) Markt</t>
  </si>
  <si>
    <t>53.737923</t>
  </si>
  <si>
    <t>11.714238</t>
  </si>
  <si>
    <t>Brügge(Prign)</t>
  </si>
  <si>
    <t>53.256287</t>
  </si>
  <si>
    <t>12.229208</t>
  </si>
  <si>
    <t>Brühl</t>
  </si>
  <si>
    <t>50.829249</t>
  </si>
  <si>
    <t>6.912718</t>
  </si>
  <si>
    <t>Brühl-Kierberg</t>
  </si>
  <si>
    <t>50.838197</t>
  </si>
  <si>
    <t>6.888375</t>
  </si>
  <si>
    <t>Brunau-Packebusch</t>
  </si>
  <si>
    <t>52.751274</t>
  </si>
  <si>
    <t>11.484586</t>
  </si>
  <si>
    <t>Brunnen(Oberbay)</t>
  </si>
  <si>
    <t>48.629159</t>
  </si>
  <si>
    <t>11.298100</t>
  </si>
  <si>
    <t>Brünzow</t>
  </si>
  <si>
    <t>54.104033</t>
  </si>
  <si>
    <t>13.567255</t>
  </si>
  <si>
    <t>Brustorf Ausbau</t>
  </si>
  <si>
    <t>53.427797</t>
  </si>
  <si>
    <t>13.045297</t>
  </si>
  <si>
    <t>Bubach</t>
  </si>
  <si>
    <t>49.411024</t>
  </si>
  <si>
    <t>6.948210</t>
  </si>
  <si>
    <t>Bubenheim</t>
  </si>
  <si>
    <t>Bubenreuth</t>
  </si>
  <si>
    <t>49.629542</t>
  </si>
  <si>
    <t>11.011994</t>
  </si>
  <si>
    <t>Bübingen</t>
  </si>
  <si>
    <t>49.179636</t>
  </si>
  <si>
    <t>7.034846</t>
  </si>
  <si>
    <t>Buchbrunn-Mainstockheim</t>
  </si>
  <si>
    <t>49.763284</t>
  </si>
  <si>
    <t>10.145179</t>
  </si>
  <si>
    <t>Büchen</t>
  </si>
  <si>
    <t>53.474972</t>
  </si>
  <si>
    <t>10.623298</t>
  </si>
  <si>
    <t>Buchen Ost</t>
  </si>
  <si>
    <t>49.519152</t>
  </si>
  <si>
    <t>9.332137</t>
  </si>
  <si>
    <t>Buchen(Odenw)</t>
  </si>
  <si>
    <t>49.523529</t>
  </si>
  <si>
    <t>9.327179</t>
  </si>
  <si>
    <t>Buchenau(Lahn)</t>
  </si>
  <si>
    <t>50.870609</t>
  </si>
  <si>
    <t>8.601115</t>
  </si>
  <si>
    <t>Buchenau(Oberbay)</t>
  </si>
  <si>
    <t>48.160277</t>
  </si>
  <si>
    <t>11.224497</t>
  </si>
  <si>
    <t>Büchenbach</t>
  </si>
  <si>
    <t>49.267766</t>
  </si>
  <si>
    <t>11.074192</t>
  </si>
  <si>
    <t>Buchenhain</t>
  </si>
  <si>
    <t>48.031255</t>
  </si>
  <si>
    <t>11.497442</t>
  </si>
  <si>
    <t>48.032580</t>
  </si>
  <si>
    <t>11.497840</t>
  </si>
  <si>
    <t>Buchenhorst</t>
  </si>
  <si>
    <t>54.268211</t>
  </si>
  <si>
    <t>12.712682</t>
  </si>
  <si>
    <t>Büches-Düdelsheim</t>
  </si>
  <si>
    <t>50.297370</t>
  </si>
  <si>
    <t>9.066751</t>
  </si>
  <si>
    <t>Buchholz(Baden)</t>
  </si>
  <si>
    <t>48.083581</t>
  </si>
  <si>
    <t>7.915166</t>
  </si>
  <si>
    <t>Buchholz(Nordheide)</t>
  </si>
  <si>
    <t>53.324683</t>
  </si>
  <si>
    <t>9.876266</t>
  </si>
  <si>
    <t>Buchholz(Zauche)</t>
  </si>
  <si>
    <t>52.167574</t>
  </si>
  <si>
    <t>12.922416</t>
  </si>
  <si>
    <t>Buchloe</t>
  </si>
  <si>
    <t>48.033723</t>
  </si>
  <si>
    <t>10.716217</t>
  </si>
  <si>
    <t>Bückeburg</t>
  </si>
  <si>
    <t>52.267658</t>
  </si>
  <si>
    <t>9.047536</t>
  </si>
  <si>
    <t>Bückeburg Oberstenhof</t>
  </si>
  <si>
    <t>52.260483</t>
  </si>
  <si>
    <t>9.045708</t>
  </si>
  <si>
    <t>Bückeburg Stadtkirche</t>
  </si>
  <si>
    <t>52.260274</t>
  </si>
  <si>
    <t>9.050161</t>
  </si>
  <si>
    <t>Bückeburg Unterwallweg</t>
  </si>
  <si>
    <t>52.263359</t>
  </si>
  <si>
    <t>9.046546</t>
  </si>
  <si>
    <t>Buckow(Beeskow)</t>
  </si>
  <si>
    <t>52.188179</t>
  </si>
  <si>
    <t>14.169507</t>
  </si>
  <si>
    <t>Buddenhagen</t>
  </si>
  <si>
    <t>54.001561</t>
  </si>
  <si>
    <t>13.682280</t>
  </si>
  <si>
    <t>Büden</t>
  </si>
  <si>
    <t>52.141482</t>
  </si>
  <si>
    <t>11.836977</t>
  </si>
  <si>
    <t>Budenheim</t>
  </si>
  <si>
    <t>50.026835</t>
  </si>
  <si>
    <t>8.174062</t>
  </si>
  <si>
    <t>Büdingen(Oberhess)</t>
  </si>
  <si>
    <t>50.288870</t>
  </si>
  <si>
    <t>9.102598</t>
  </si>
  <si>
    <t>Büdingen(Westerw)</t>
  </si>
  <si>
    <t>50.624747</t>
  </si>
  <si>
    <t>7.895901</t>
  </si>
  <si>
    <t>Bufleben</t>
  </si>
  <si>
    <t>50.997681</t>
  </si>
  <si>
    <t>10.709057</t>
  </si>
  <si>
    <t>Buggingen</t>
  </si>
  <si>
    <t>47.855254</t>
  </si>
  <si>
    <t>7.628161</t>
  </si>
  <si>
    <t>Bühl(Baden)</t>
  </si>
  <si>
    <t>48.696676</t>
  </si>
  <si>
    <t>8.129299</t>
  </si>
  <si>
    <t>Buir</t>
  </si>
  <si>
    <t>50.862401</t>
  </si>
  <si>
    <t>6.574514</t>
  </si>
  <si>
    <t>Buldern</t>
  </si>
  <si>
    <t>51.863054</t>
  </si>
  <si>
    <t>7.370479</t>
  </si>
  <si>
    <t>Bullay(DB)</t>
  </si>
  <si>
    <t>50.054460</t>
  </si>
  <si>
    <t>7.134584</t>
  </si>
  <si>
    <t>Bülzig</t>
  </si>
  <si>
    <t>51.894894</t>
  </si>
  <si>
    <t>12.752715</t>
  </si>
  <si>
    <t>Bülzig Kindergarten</t>
  </si>
  <si>
    <t>51.896686</t>
  </si>
  <si>
    <t>12.752993</t>
  </si>
  <si>
    <t>Bünde(Westf)</t>
  </si>
  <si>
    <t>52.202075</t>
  </si>
  <si>
    <t>8.573876</t>
  </si>
  <si>
    <t>Bundenthal-Rumbach</t>
  </si>
  <si>
    <t>49.102353</t>
  </si>
  <si>
    <t>7.806152</t>
  </si>
  <si>
    <t>Burbach Mitte</t>
  </si>
  <si>
    <t>49.243611</t>
  </si>
  <si>
    <t>6.944932</t>
  </si>
  <si>
    <t>Burbach(Kr Siegen)</t>
  </si>
  <si>
    <t>50.748965</t>
  </si>
  <si>
    <t>8.077808</t>
  </si>
  <si>
    <t>Burg Stargard(Meckl)</t>
  </si>
  <si>
    <t>53.499590</t>
  </si>
  <si>
    <t>13.303225</t>
  </si>
  <si>
    <t>Burg(Dillkr) Nord</t>
  </si>
  <si>
    <t>50.699884</t>
  </si>
  <si>
    <t>8.307686</t>
  </si>
  <si>
    <t>Burg(Dithm)</t>
  </si>
  <si>
    <t>54.007967</t>
  </si>
  <si>
    <t>9.250087</t>
  </si>
  <si>
    <t>Burg(Magdeburg)</t>
  </si>
  <si>
    <t>52.274406</t>
  </si>
  <si>
    <t>11.840356</t>
  </si>
  <si>
    <t>Burgau(Schwab)</t>
  </si>
  <si>
    <t>48.424797</t>
  </si>
  <si>
    <t>10.427012</t>
  </si>
  <si>
    <t>Burgbernheim</t>
  </si>
  <si>
    <t>10.320221</t>
  </si>
  <si>
    <t>Burgbernheim-Wildbad</t>
  </si>
  <si>
    <t>49.443294</t>
  </si>
  <si>
    <t>10.312317</t>
  </si>
  <si>
    <t>Burgbrohl</t>
  </si>
  <si>
    <t>50.457854</t>
  </si>
  <si>
    <t>7.283775</t>
  </si>
  <si>
    <t>Burgdorf</t>
  </si>
  <si>
    <t>52.448708</t>
  </si>
  <si>
    <t>10.002837</t>
  </si>
  <si>
    <t>Bürgeln</t>
  </si>
  <si>
    <t>50.853750</t>
  </si>
  <si>
    <t>8.817194</t>
  </si>
  <si>
    <t>Bürgerhaus, Hessisch Lichtenau</t>
  </si>
  <si>
    <t>51.195691</t>
  </si>
  <si>
    <t>9.716049</t>
  </si>
  <si>
    <t>Burghaun(Hünfeld)</t>
  </si>
  <si>
    <t>50.700550</t>
  </si>
  <si>
    <t>9.727953</t>
  </si>
  <si>
    <t>Burghausen</t>
  </si>
  <si>
    <t>48.174200</t>
  </si>
  <si>
    <t>12.828182</t>
  </si>
  <si>
    <t>Burgheim</t>
  </si>
  <si>
    <t>48.701050</t>
  </si>
  <si>
    <t>11.026984</t>
  </si>
  <si>
    <t>Burgholzhausen v d H</t>
  </si>
  <si>
    <t>50.257793</t>
  </si>
  <si>
    <t>8.677106</t>
  </si>
  <si>
    <t>Burgkemnitz</t>
  </si>
  <si>
    <t>51.688818</t>
  </si>
  <si>
    <t>12.407167</t>
  </si>
  <si>
    <t>Burgkirchen</t>
  </si>
  <si>
    <t>48.166908</t>
  </si>
  <si>
    <t>12.727783</t>
  </si>
  <si>
    <t>Burgkunstadt</t>
  </si>
  <si>
    <t>50.137657</t>
  </si>
  <si>
    <t>11.242723</t>
  </si>
  <si>
    <t>Burglauer</t>
  </si>
  <si>
    <t>50.274340</t>
  </si>
  <si>
    <t>10.184441</t>
  </si>
  <si>
    <t>Burgsinn</t>
  </si>
  <si>
    <t>50.150317</t>
  </si>
  <si>
    <t>9.656067</t>
  </si>
  <si>
    <t>Burgstädt</t>
  </si>
  <si>
    <t>50.915817</t>
  </si>
  <si>
    <t>12.812707</t>
  </si>
  <si>
    <t>Burgstall(Murr)</t>
  </si>
  <si>
    <t>48.928647</t>
  </si>
  <si>
    <t>9.369932</t>
  </si>
  <si>
    <t>Burgthann</t>
  </si>
  <si>
    <t>49.342474</t>
  </si>
  <si>
    <t>11.309307</t>
  </si>
  <si>
    <t>Burg-u. Nieder Gemünden</t>
  </si>
  <si>
    <t>50.690891</t>
  </si>
  <si>
    <t>9.047665</t>
  </si>
  <si>
    <t>Burgweiler</t>
  </si>
  <si>
    <t>47.922765</t>
  </si>
  <si>
    <t>9.343805</t>
  </si>
  <si>
    <t>Burhafe(Ostfriesl)</t>
  </si>
  <si>
    <t>53.606557</t>
  </si>
  <si>
    <t>7.711074</t>
  </si>
  <si>
    <t>Burkhardswalde-Maxen</t>
  </si>
  <si>
    <t>50.925146</t>
  </si>
  <si>
    <t>13.838369</t>
  </si>
  <si>
    <t>Burkhardtsdorf</t>
  </si>
  <si>
    <t>50.733196</t>
  </si>
  <si>
    <t>12.932137</t>
  </si>
  <si>
    <t>Burkhardtsdorf Mitte</t>
  </si>
  <si>
    <t>50.732937</t>
  </si>
  <si>
    <t>12.916276</t>
  </si>
  <si>
    <t>Burkheim-Bischoffingen</t>
  </si>
  <si>
    <t>48.104006</t>
  </si>
  <si>
    <t>7.611766</t>
  </si>
  <si>
    <t>Burladingen</t>
  </si>
  <si>
    <t>48.290055</t>
  </si>
  <si>
    <t>9.113057</t>
  </si>
  <si>
    <t>Burladingen West</t>
  </si>
  <si>
    <t>48.292271</t>
  </si>
  <si>
    <t>9.099292</t>
  </si>
  <si>
    <t>Bürstadt</t>
  </si>
  <si>
    <t>49.645769</t>
  </si>
  <si>
    <t>8.458188</t>
  </si>
  <si>
    <t>49.645090</t>
  </si>
  <si>
    <t>8.459250</t>
  </si>
  <si>
    <t>Buschmühle</t>
  </si>
  <si>
    <t>50.825928</t>
  </si>
  <si>
    <t>13.689158</t>
  </si>
  <si>
    <t>Buschow</t>
  </si>
  <si>
    <t>52.592203</t>
  </si>
  <si>
    <t>12.628996</t>
  </si>
  <si>
    <t>Busenbach</t>
  </si>
  <si>
    <t>48.929311</t>
  </si>
  <si>
    <t>8.450563</t>
  </si>
  <si>
    <t>Büsenbachtal</t>
  </si>
  <si>
    <t>53.269595</t>
  </si>
  <si>
    <t>9.858592</t>
  </si>
  <si>
    <t>Busenberg-Schindhard</t>
  </si>
  <si>
    <t>49.138868</t>
  </si>
  <si>
    <t>7.799703</t>
  </si>
  <si>
    <t>Büsingen</t>
  </si>
  <si>
    <t>47.695428</t>
  </si>
  <si>
    <t>8.693320</t>
  </si>
  <si>
    <t>Büsum</t>
  </si>
  <si>
    <t>54.133822</t>
  </si>
  <si>
    <t>8.867113</t>
  </si>
  <si>
    <t>Büsum (Hafen)</t>
  </si>
  <si>
    <t>Büttgen</t>
  </si>
  <si>
    <t>51.197208</t>
  </si>
  <si>
    <t>6.605785</t>
  </si>
  <si>
    <t>Buttstädt</t>
  </si>
  <si>
    <t>51.126995</t>
  </si>
  <si>
    <t>11.418412</t>
  </si>
  <si>
    <t>Büttstedt</t>
  </si>
  <si>
    <t>51.260279</t>
  </si>
  <si>
    <t>10.306853</t>
  </si>
  <si>
    <t>Butzbach</t>
  </si>
  <si>
    <t>50.431156</t>
  </si>
  <si>
    <t>8.669517</t>
  </si>
  <si>
    <t>Bützow</t>
  </si>
  <si>
    <t>53.837114</t>
  </si>
  <si>
    <t>11.998194</t>
  </si>
  <si>
    <t>Buxtehude</t>
  </si>
  <si>
    <t>53.470491</t>
  </si>
  <si>
    <t>9.688314</t>
  </si>
  <si>
    <t>Cadenberge</t>
  </si>
  <si>
    <t>53.768071</t>
  </si>
  <si>
    <t>9.058163</t>
  </si>
  <si>
    <t>Cadolzburg</t>
  </si>
  <si>
    <t>49.460649</t>
  </si>
  <si>
    <t>10.863611</t>
  </si>
  <si>
    <t>Cainsdorf</t>
  </si>
  <si>
    <t>50.686559</t>
  </si>
  <si>
    <t>12.496565</t>
  </si>
  <si>
    <t>Calau(Nl)</t>
  </si>
  <si>
    <t>51.738118</t>
  </si>
  <si>
    <t>13.979820</t>
  </si>
  <si>
    <t>Calbe(Saale) Ost</t>
  </si>
  <si>
    <t>51.920693</t>
  </si>
  <si>
    <t>11.810527</t>
  </si>
  <si>
    <t>Calbe(Saale) Stadt</t>
  </si>
  <si>
    <t>51.913879</t>
  </si>
  <si>
    <t>11.776342</t>
  </si>
  <si>
    <t>Calbe(Saale) West</t>
  </si>
  <si>
    <t>51.905693</t>
  </si>
  <si>
    <t>11.758783</t>
  </si>
  <si>
    <t>Calberlah</t>
  </si>
  <si>
    <t>52.427559</t>
  </si>
  <si>
    <t>10.624914</t>
  </si>
  <si>
    <t>Caldern</t>
  </si>
  <si>
    <t>50.852943</t>
  </si>
  <si>
    <t>8.670066</t>
  </si>
  <si>
    <t>Calmbach Bahnhof</t>
  </si>
  <si>
    <t>48.776481</t>
  </si>
  <si>
    <t>8.571132</t>
  </si>
  <si>
    <t>Calmbach Süd</t>
  </si>
  <si>
    <t>48.773396</t>
  </si>
  <si>
    <t>8.566424</t>
  </si>
  <si>
    <t>Calw</t>
  </si>
  <si>
    <t>48.714682</t>
  </si>
  <si>
    <t>8.741854</t>
  </si>
  <si>
    <t>Camburg(Saale)</t>
  </si>
  <si>
    <t>51.050857</t>
  </si>
  <si>
    <t>11.704680</t>
  </si>
  <si>
    <t>Cammin(Meckl)</t>
  </si>
  <si>
    <t>53.439035</t>
  </si>
  <si>
    <t>13.299645</t>
  </si>
  <si>
    <t>Capelle(Westf)</t>
  </si>
  <si>
    <t>51.735268</t>
  </si>
  <si>
    <t>7.611080</t>
  </si>
  <si>
    <t>Caputh Schule</t>
  </si>
  <si>
    <t>52.346705</t>
  </si>
  <si>
    <t>12.993350</t>
  </si>
  <si>
    <t>Caputh Schwielowsee</t>
  </si>
  <si>
    <t>52.340976</t>
  </si>
  <si>
    <t>12.980368</t>
  </si>
  <si>
    <t>Caputh-Geltow</t>
  </si>
  <si>
    <t>52.350295</t>
  </si>
  <si>
    <t>12.984406</t>
  </si>
  <si>
    <t>Casekow</t>
  </si>
  <si>
    <t>53.213614</t>
  </si>
  <si>
    <t>14.208187</t>
  </si>
  <si>
    <t>Castrop-Rauxel Hbf</t>
  </si>
  <si>
    <t>51.573526</t>
  </si>
  <si>
    <t>7.303980</t>
  </si>
  <si>
    <t>Castrop-Rauxel Süd</t>
  </si>
  <si>
    <t>51.550300</t>
  </si>
  <si>
    <t>7.310186</t>
  </si>
  <si>
    <t>Castrop-Rauxel-Merklinde</t>
  </si>
  <si>
    <t>51.527932</t>
  </si>
  <si>
    <t>7.324314</t>
  </si>
  <si>
    <t>Celle</t>
  </si>
  <si>
    <t>52.620455</t>
  </si>
  <si>
    <t>10.062468</t>
  </si>
  <si>
    <t>Cham(Oberpf)</t>
  </si>
  <si>
    <t>49.221869</t>
  </si>
  <si>
    <t>12.656832</t>
  </si>
  <si>
    <t>Chamerau</t>
  </si>
  <si>
    <t>49.196718</t>
  </si>
  <si>
    <t>12.745258</t>
  </si>
  <si>
    <t>Cheb(Gr)</t>
  </si>
  <si>
    <t>Chemnitz Alt Chemnitz Center</t>
  </si>
  <si>
    <t>50.796374</t>
  </si>
  <si>
    <t>12.917936</t>
  </si>
  <si>
    <t>Chemnitz Bernsbachplatz</t>
  </si>
  <si>
    <t>50.825004</t>
  </si>
  <si>
    <t>12.926900</t>
  </si>
  <si>
    <t>Chemnitz Brückenstraße/Freie Presse</t>
  </si>
  <si>
    <t>Chemnitz Erdmannsdorfer Straße</t>
  </si>
  <si>
    <t>50.811211</t>
  </si>
  <si>
    <t>12.911969</t>
  </si>
  <si>
    <t>Chemnitz Erfenschlag</t>
  </si>
  <si>
    <t>50.787603</t>
  </si>
  <si>
    <t>12.950184</t>
  </si>
  <si>
    <t>Chemnitz Gustav-Freytag-Straße</t>
  </si>
  <si>
    <t>50.825596</t>
  </si>
  <si>
    <t>12.920266</t>
  </si>
  <si>
    <t>Chemnitz Hbf</t>
  </si>
  <si>
    <t>50.839696</t>
  </si>
  <si>
    <t>12.930877</t>
  </si>
  <si>
    <t>Chemnitz Kinderwaldstätte</t>
  </si>
  <si>
    <t>50.884211</t>
  </si>
  <si>
    <t>12.953568</t>
  </si>
  <si>
    <t>Chemnitz Küchwald</t>
  </si>
  <si>
    <t>50.855051</t>
  </si>
  <si>
    <t>12.912197</t>
  </si>
  <si>
    <t>Chemnitz Mitte</t>
  </si>
  <si>
    <t>50.826443</t>
  </si>
  <si>
    <t>12.915174</t>
  </si>
  <si>
    <t>Chemnitz Moritzhof</t>
  </si>
  <si>
    <t>50.829760</t>
  </si>
  <si>
    <t>12.919931</t>
  </si>
  <si>
    <t>Chemnitz Riemenschneiderstraße</t>
  </si>
  <si>
    <t>50.785384</t>
  </si>
  <si>
    <t>12.925472</t>
  </si>
  <si>
    <t>Chemnitz Rosenbergstraße</t>
  </si>
  <si>
    <t>50.817897</t>
  </si>
  <si>
    <t>12.929305</t>
  </si>
  <si>
    <t>Chemnitz Rösslerstraße</t>
  </si>
  <si>
    <t>50.816899</t>
  </si>
  <si>
    <t>12.914130</t>
  </si>
  <si>
    <t>Chemnitz Roter Turm</t>
  </si>
  <si>
    <t>Chemnitz Scheffelstraße</t>
  </si>
  <si>
    <t>50.802279</t>
  </si>
  <si>
    <t>12.911337</t>
  </si>
  <si>
    <t>Chemnitz Schillerplatz</t>
  </si>
  <si>
    <t>Chemnitz Schneeberger Straße</t>
  </si>
  <si>
    <t>50.794228</t>
  </si>
  <si>
    <t>12.922046</t>
  </si>
  <si>
    <t>Chemnitz Schule Altchemnitz</t>
  </si>
  <si>
    <t>50.798923</t>
  </si>
  <si>
    <t>12.913104</t>
  </si>
  <si>
    <t>Chemnitz Stadlerplatz</t>
  </si>
  <si>
    <t>50.821175</t>
  </si>
  <si>
    <t>12.927087</t>
  </si>
  <si>
    <t>Chemnitz Stefan-Heym-Platz</t>
  </si>
  <si>
    <t>Chemnitz Süd</t>
  </si>
  <si>
    <t>50.823766</t>
  </si>
  <si>
    <t>12.926188</t>
  </si>
  <si>
    <t>Chemnitz Technopark</t>
  </si>
  <si>
    <t>50.811498</t>
  </si>
  <si>
    <t>12.924603</t>
  </si>
  <si>
    <t>Chemnitz Theaterplatz</t>
  </si>
  <si>
    <t>Chemnitz Treffurthstraße</t>
  </si>
  <si>
    <t>50.819496</t>
  </si>
  <si>
    <t>12.915314</t>
  </si>
  <si>
    <t>Chemnitz TU Campus</t>
  </si>
  <si>
    <t>50.813700</t>
  </si>
  <si>
    <t>12.930901</t>
  </si>
  <si>
    <t>Chemnitz Uhlestraße</t>
  </si>
  <si>
    <t>50.806071</t>
  </si>
  <si>
    <t>12.911852</t>
  </si>
  <si>
    <t>Chemnitz Zentralhaltestelle</t>
  </si>
  <si>
    <t>Chemnitz-Altchemnitz</t>
  </si>
  <si>
    <t>50.790914</t>
  </si>
  <si>
    <t>12.925898</t>
  </si>
  <si>
    <t>Chemnitz-Borna Hp</t>
  </si>
  <si>
    <t>50.859867</t>
  </si>
  <si>
    <t>12.894459</t>
  </si>
  <si>
    <t>Chemnitz-Erfenschlag Ost</t>
  </si>
  <si>
    <t>50.784050</t>
  </si>
  <si>
    <t>12.963956</t>
  </si>
  <si>
    <t>Chemnitz-Harthau</t>
  </si>
  <si>
    <t>50.776904</t>
  </si>
  <si>
    <t>12.924160</t>
  </si>
  <si>
    <t>Chemnitz-Hilbersdorf</t>
  </si>
  <si>
    <t>50.861934</t>
  </si>
  <si>
    <t>12.953879</t>
  </si>
  <si>
    <t>Chemnitz-Hilbersdorf CVAG</t>
  </si>
  <si>
    <t>50.862957</t>
  </si>
  <si>
    <t>12.953166</t>
  </si>
  <si>
    <t>Chemnitz-Reichenhain</t>
  </si>
  <si>
    <t>50.795077</t>
  </si>
  <si>
    <t>12.935877</t>
  </si>
  <si>
    <t>Chemnitz-Schönau</t>
  </si>
  <si>
    <t>50.818095</t>
  </si>
  <si>
    <t>12.876500</t>
  </si>
  <si>
    <t>Chemnitz-Siegmar</t>
  </si>
  <si>
    <t>50.815561</t>
  </si>
  <si>
    <t>12.842510</t>
  </si>
  <si>
    <t>Chorin</t>
  </si>
  <si>
    <t>52.903540</t>
  </si>
  <si>
    <t>13.869714</t>
  </si>
  <si>
    <t>Chorin Dorf</t>
  </si>
  <si>
    <t>52.902394</t>
  </si>
  <si>
    <t>13.871878</t>
  </si>
  <si>
    <t>Clarholz</t>
  </si>
  <si>
    <t>51.898454</t>
  </si>
  <si>
    <t>8.200835</t>
  </si>
  <si>
    <t>Clausnitz</t>
  </si>
  <si>
    <t>50.755842</t>
  </si>
  <si>
    <t>13.498600</t>
  </si>
  <si>
    <t>Cloppenburg</t>
  </si>
  <si>
    <t>52.843996</t>
  </si>
  <si>
    <t>8.055763</t>
  </si>
  <si>
    <t>Coburg Nord</t>
  </si>
  <si>
    <t>50.271493</t>
  </si>
  <si>
    <t>10.964870</t>
  </si>
  <si>
    <t>Coburg-Beiersdorf</t>
  </si>
  <si>
    <t>50.286501</t>
  </si>
  <si>
    <t>10.930699</t>
  </si>
  <si>
    <t>Coburg-Neuses</t>
  </si>
  <si>
    <t>50.278000</t>
  </si>
  <si>
    <t>10.951277</t>
  </si>
  <si>
    <t>Cochem(Mosel)</t>
  </si>
  <si>
    <t>50.153092</t>
  </si>
  <si>
    <t>7.166738</t>
  </si>
  <si>
    <t>Coesfeld Schulzentrum</t>
  </si>
  <si>
    <t>51.951269</t>
  </si>
  <si>
    <t>7.165836</t>
  </si>
  <si>
    <t>Coesfeld(Westf)</t>
  </si>
  <si>
    <t>51.939807</t>
  </si>
  <si>
    <t>7.163687</t>
  </si>
  <si>
    <t>Cölbe</t>
  </si>
  <si>
    <t>50.848589</t>
  </si>
  <si>
    <t>8.787963</t>
  </si>
  <si>
    <t>Collenberg</t>
  </si>
  <si>
    <t>49.771121</t>
  </si>
  <si>
    <t>9.329719</t>
  </si>
  <si>
    <t>Contwig</t>
  </si>
  <si>
    <t>49.245280</t>
  </si>
  <si>
    <t>7.427916</t>
  </si>
  <si>
    <t>Coppenbrügge</t>
  </si>
  <si>
    <t>52.119521</t>
  </si>
  <si>
    <t>9.537588</t>
  </si>
  <si>
    <t>Coschen</t>
  </si>
  <si>
    <t>52.019844</t>
  </si>
  <si>
    <t>14.718167</t>
  </si>
  <si>
    <t>Cossebaude</t>
  </si>
  <si>
    <t>51.085043</t>
  </si>
  <si>
    <t>13.632124</t>
  </si>
  <si>
    <t>Cossengrün Schule</t>
  </si>
  <si>
    <t>50.580662</t>
  </si>
  <si>
    <t>12.146824</t>
  </si>
  <si>
    <t>Coswig(Anh)</t>
  </si>
  <si>
    <t>51.888002</t>
  </si>
  <si>
    <t>12.457625</t>
  </si>
  <si>
    <t>Coswig(b Dresden)</t>
  </si>
  <si>
    <t>51.122810</t>
  </si>
  <si>
    <t>13.579414</t>
  </si>
  <si>
    <t>Cottbus Hbf</t>
  </si>
  <si>
    <t>51.750957</t>
  </si>
  <si>
    <t>14.324162</t>
  </si>
  <si>
    <t>Cottbus-Merzdorf</t>
  </si>
  <si>
    <t>51.768910</t>
  </si>
  <si>
    <t>14.366669</t>
  </si>
  <si>
    <t>Cottbus-Merzdorf Industriegelände</t>
  </si>
  <si>
    <t>51.768170</t>
  </si>
  <si>
    <t>14.363872</t>
  </si>
  <si>
    <t>Cottbus-Sandow</t>
  </si>
  <si>
    <t>51.755177</t>
  </si>
  <si>
    <t>14.353704</t>
  </si>
  <si>
    <t>Cottbus-Willmersdorf Nord</t>
  </si>
  <si>
    <t>51.816483</t>
  </si>
  <si>
    <t>14.385604</t>
  </si>
  <si>
    <t>Crailsheim</t>
  </si>
  <si>
    <t>49.137872</t>
  </si>
  <si>
    <t>10.064326</t>
  </si>
  <si>
    <t>Creidlitz</t>
  </si>
  <si>
    <t>50.227174</t>
  </si>
  <si>
    <t>10.982246</t>
  </si>
  <si>
    <t>Creußen(Oberfr)</t>
  </si>
  <si>
    <t>49.849470</t>
  </si>
  <si>
    <t>11.628443</t>
  </si>
  <si>
    <t>Crimmitschau</t>
  </si>
  <si>
    <t>50.815068</t>
  </si>
  <si>
    <t>12.392986</t>
  </si>
  <si>
    <t>Crivitz</t>
  </si>
  <si>
    <t>53.572518</t>
  </si>
  <si>
    <t>11.645071</t>
  </si>
  <si>
    <t>Cronheim</t>
  </si>
  <si>
    <t>49.091362</t>
  </si>
  <si>
    <t>10.664915</t>
  </si>
  <si>
    <t>Crossen a d Elster</t>
  </si>
  <si>
    <t>50.965730</t>
  </si>
  <si>
    <t>11.984064</t>
  </si>
  <si>
    <t>Crossen Ort</t>
  </si>
  <si>
    <t>50.974715</t>
  </si>
  <si>
    <t>11.981900</t>
  </si>
  <si>
    <t>Cunnertswalde</t>
  </si>
  <si>
    <t>51.162366</t>
  </si>
  <si>
    <t>13.705502</t>
  </si>
  <si>
    <t>Cursdorf</t>
  </si>
  <si>
    <t>50.571871</t>
  </si>
  <si>
    <t>11.132022</t>
  </si>
  <si>
    <t>Cuxhaven</t>
  </si>
  <si>
    <t>53.860900</t>
  </si>
  <si>
    <t>8.703431</t>
  </si>
  <si>
    <t>Cuxhaven(Alte Liebe)</t>
  </si>
  <si>
    <t>53.871767</t>
  </si>
  <si>
    <t>8.709630</t>
  </si>
  <si>
    <t>Cuxhaven(Fährhafen)</t>
  </si>
  <si>
    <t>53.875895</t>
  </si>
  <si>
    <t>8.701567</t>
  </si>
  <si>
    <t>Daaden</t>
  </si>
  <si>
    <t>50.740469</t>
  </si>
  <si>
    <t>7.963642</t>
  </si>
  <si>
    <t>Dabendorf</t>
  </si>
  <si>
    <t>52.237332</t>
  </si>
  <si>
    <t>13.437290</t>
  </si>
  <si>
    <t>Dachau Bahnhof</t>
  </si>
  <si>
    <t>48.254652</t>
  </si>
  <si>
    <t>11.444260</t>
  </si>
  <si>
    <t>Dachau Stadt</t>
  </si>
  <si>
    <t>48.266661</t>
  </si>
  <si>
    <t>11.439761</t>
  </si>
  <si>
    <t>Dachrieden</t>
  </si>
  <si>
    <t>51.269521</t>
  </si>
  <si>
    <t>10.442323</t>
  </si>
  <si>
    <t>Dachwig</t>
  </si>
  <si>
    <t>51.072436</t>
  </si>
  <si>
    <t>10.849686</t>
  </si>
  <si>
    <t>Dagebüll Kirche</t>
  </si>
  <si>
    <t>54.730283</t>
  </si>
  <si>
    <t>8.729485</t>
  </si>
  <si>
    <t>Dagebüll Mole</t>
  </si>
  <si>
    <t>54.729909</t>
  </si>
  <si>
    <t>8.690989</t>
  </si>
  <si>
    <t>Dahl</t>
  </si>
  <si>
    <t>51.303377</t>
  </si>
  <si>
    <t>7.527898</t>
  </si>
  <si>
    <t>Dahlbruch</t>
  </si>
  <si>
    <t>50.970432</t>
  </si>
  <si>
    <t>8.053456</t>
  </si>
  <si>
    <t>Dahlem(Eifel)</t>
  </si>
  <si>
    <t>50.385752</t>
  </si>
  <si>
    <t>6.550382</t>
  </si>
  <si>
    <t>Dahlen(Sachs)</t>
  </si>
  <si>
    <t>51.350972</t>
  </si>
  <si>
    <t>12.984253</t>
  </si>
  <si>
    <t>Dahlenburg</t>
  </si>
  <si>
    <t>53.169266</t>
  </si>
  <si>
    <t>10.708804</t>
  </si>
  <si>
    <t>Dahlerbrück</t>
  </si>
  <si>
    <t>51.251860</t>
  </si>
  <si>
    <t>7.517001</t>
  </si>
  <si>
    <t>Dahlewitz</t>
  </si>
  <si>
    <t>52.326618</t>
  </si>
  <si>
    <t>13.419579</t>
  </si>
  <si>
    <t>Dahn</t>
  </si>
  <si>
    <t>49.154556</t>
  </si>
  <si>
    <t>7.771283</t>
  </si>
  <si>
    <t>Dahn Süd</t>
  </si>
  <si>
    <t>49.148557</t>
  </si>
  <si>
    <t>7.777208</t>
  </si>
  <si>
    <t>Dalheim</t>
  </si>
  <si>
    <t>51.149143</t>
  </si>
  <si>
    <t>6.178597</t>
  </si>
  <si>
    <t>Dallau</t>
  </si>
  <si>
    <t>49.388078</t>
  </si>
  <si>
    <t>9.187550</t>
  </si>
  <si>
    <t>Dallgow-Döberitz</t>
  </si>
  <si>
    <t>52.543554</t>
  </si>
  <si>
    <t>13.059037</t>
  </si>
  <si>
    <t>Dambeck(Altm)</t>
  </si>
  <si>
    <t>52.801280</t>
  </si>
  <si>
    <t>11.165822</t>
  </si>
  <si>
    <t>Dannenberg Ost</t>
  </si>
  <si>
    <t>53.104997</t>
  </si>
  <si>
    <t>11.117734</t>
  </si>
  <si>
    <t>Dannenwalde(Gransee)</t>
  </si>
  <si>
    <t>53.079756</t>
  </si>
  <si>
    <t>13.180801</t>
  </si>
  <si>
    <t>Dannenwalde(Gransee) Kirche</t>
  </si>
  <si>
    <t>53.079991</t>
  </si>
  <si>
    <t>13.185946</t>
  </si>
  <si>
    <t>Darching</t>
  </si>
  <si>
    <t>47.870798</t>
  </si>
  <si>
    <t>11.777253</t>
  </si>
  <si>
    <t>Darlingerode</t>
  </si>
  <si>
    <t>51.849080</t>
  </si>
  <si>
    <t>10.733037</t>
  </si>
  <si>
    <t>Darmstadt Hbf</t>
  </si>
  <si>
    <t>49.872503</t>
  </si>
  <si>
    <t>8.629636</t>
  </si>
  <si>
    <t>Darmstadt Nord</t>
  </si>
  <si>
    <t>49.892136</t>
  </si>
  <si>
    <t>8.654311</t>
  </si>
  <si>
    <t>Darmstadt Ost</t>
  </si>
  <si>
    <t>49.874604</t>
  </si>
  <si>
    <t>8.674023</t>
  </si>
  <si>
    <t>Darmstadt Süd</t>
  </si>
  <si>
    <t>49.855426</t>
  </si>
  <si>
    <t>8.636586</t>
  </si>
  <si>
    <t>Darmstadt TU-Lichtwiese</t>
  </si>
  <si>
    <t>49.860933</t>
  </si>
  <si>
    <t>8.687611</t>
  </si>
  <si>
    <t>Darmstadt-Arheilgen</t>
  </si>
  <si>
    <t>49.913414</t>
  </si>
  <si>
    <t>8.645554</t>
  </si>
  <si>
    <t>Darmstadt-Eberstadt</t>
  </si>
  <si>
    <t>49.813922</t>
  </si>
  <si>
    <t>8.625820</t>
  </si>
  <si>
    <t>Darmstadt-Kranichstein</t>
  </si>
  <si>
    <t>49.906826</t>
  </si>
  <si>
    <t>8.679359</t>
  </si>
  <si>
    <t>Darmstadt-Wixhausen</t>
  </si>
  <si>
    <t>49.930751</t>
  </si>
  <si>
    <t>8.647919</t>
  </si>
  <si>
    <t>Dasing</t>
  </si>
  <si>
    <t>48.386243</t>
  </si>
  <si>
    <t>11.052165</t>
  </si>
  <si>
    <t>Daßlitz Kreuzung</t>
  </si>
  <si>
    <t>50.681852</t>
  </si>
  <si>
    <t>12.130100</t>
  </si>
  <si>
    <t>Dattenfeld(Sieg)</t>
  </si>
  <si>
    <t>50.809160</t>
  </si>
  <si>
    <t>7.546252</t>
  </si>
  <si>
    <t>Dauenhof</t>
  </si>
  <si>
    <t>53.852459</t>
  </si>
  <si>
    <t>9.680659</t>
  </si>
  <si>
    <t>Daufenbach</t>
  </si>
  <si>
    <t>49.875969</t>
  </si>
  <si>
    <t>6.639911</t>
  </si>
  <si>
    <t>Dausenau</t>
  </si>
  <si>
    <t>50.326866</t>
  </si>
  <si>
    <t>7.758212</t>
  </si>
  <si>
    <t>Davensberg</t>
  </si>
  <si>
    <t>51.817944</t>
  </si>
  <si>
    <t>7.598516</t>
  </si>
  <si>
    <t>Dedenhausen</t>
  </si>
  <si>
    <t>52.432215</t>
  </si>
  <si>
    <t>10.238730</t>
  </si>
  <si>
    <t>Dedensen-Gümmer</t>
  </si>
  <si>
    <t>52.407049</t>
  </si>
  <si>
    <t>9.521252</t>
  </si>
  <si>
    <t>Dedinghausen</t>
  </si>
  <si>
    <t>51.672359</t>
  </si>
  <si>
    <t>8.398281</t>
  </si>
  <si>
    <t>Deezbüll</t>
  </si>
  <si>
    <t>54.776970</t>
  </si>
  <si>
    <t>8.818274</t>
  </si>
  <si>
    <t>Deggendorf Hbf</t>
  </si>
  <si>
    <t>48.839440</t>
  </si>
  <si>
    <t>12.949727</t>
  </si>
  <si>
    <t>Deidesheim</t>
  </si>
  <si>
    <t>49.408349</t>
  </si>
  <si>
    <t>8.192634</t>
  </si>
  <si>
    <t>Deining(Oberpf)</t>
  </si>
  <si>
    <t>49.203996</t>
  </si>
  <si>
    <t>11.515572</t>
  </si>
  <si>
    <t>Deisenhofen</t>
  </si>
  <si>
    <t>48.019539</t>
  </si>
  <si>
    <t>11.583597</t>
  </si>
  <si>
    <t>Deißlingen Mitte</t>
  </si>
  <si>
    <t>48.108374</t>
  </si>
  <si>
    <t>8.611586</t>
  </si>
  <si>
    <t>Delitzsch ob Bf</t>
  </si>
  <si>
    <t>51.519703</t>
  </si>
  <si>
    <t>12.346390</t>
  </si>
  <si>
    <t>Delitzsch unt Bf</t>
  </si>
  <si>
    <t>51.525227</t>
  </si>
  <si>
    <t>12.345218</t>
  </si>
  <si>
    <t>Dellfeld</t>
  </si>
  <si>
    <t>49.227782</t>
  </si>
  <si>
    <t>7.469169</t>
  </si>
  <si>
    <t>Dellfeld Ort</t>
  </si>
  <si>
    <t>49.238869</t>
  </si>
  <si>
    <t>7.478162</t>
  </si>
  <si>
    <t>Delmenhorst</t>
  </si>
  <si>
    <t>53.052792</t>
  </si>
  <si>
    <t>8.629758</t>
  </si>
  <si>
    <t>Delmenhorst Hasporter Damm</t>
  </si>
  <si>
    <t>53.038599</t>
  </si>
  <si>
    <t>8.645525</t>
  </si>
  <si>
    <t>Delmenhorst Süd</t>
  </si>
  <si>
    <t>53.048440</t>
  </si>
  <si>
    <t>8.640722</t>
  </si>
  <si>
    <t>Delmenhorst-Annenheide</t>
  </si>
  <si>
    <t>53.024122</t>
  </si>
  <si>
    <t>8.650319</t>
  </si>
  <si>
    <t>Demitz-Thumitz</t>
  </si>
  <si>
    <t>51.142141</t>
  </si>
  <si>
    <t>14.239622</t>
  </si>
  <si>
    <t>Demker</t>
  </si>
  <si>
    <t>52.518178</t>
  </si>
  <si>
    <t>11.854733</t>
  </si>
  <si>
    <t>Demmin</t>
  </si>
  <si>
    <t>53.901140</t>
  </si>
  <si>
    <t>13.053954</t>
  </si>
  <si>
    <t>Densborn</t>
  </si>
  <si>
    <t>50.123918</t>
  </si>
  <si>
    <t>6.600406</t>
  </si>
  <si>
    <t>Densow</t>
  </si>
  <si>
    <t>53.145484</t>
  </si>
  <si>
    <t>13.378325</t>
  </si>
  <si>
    <t>Denzlingen</t>
  </si>
  <si>
    <t>48.068817</t>
  </si>
  <si>
    <t>7.881687</t>
  </si>
  <si>
    <t>Dernau</t>
  </si>
  <si>
    <t>50.529648</t>
  </si>
  <si>
    <t>7.041527</t>
  </si>
  <si>
    <t>Dernbach(Westerw)</t>
  </si>
  <si>
    <t>50.457225</t>
  </si>
  <si>
    <t>7.783693</t>
  </si>
  <si>
    <t>Derneburg(Han)</t>
  </si>
  <si>
    <t>52.096851</t>
  </si>
  <si>
    <t>10.143719</t>
  </si>
  <si>
    <t>Dessau Adria</t>
  </si>
  <si>
    <t>51.821189</t>
  </si>
  <si>
    <t>12.314419</t>
  </si>
  <si>
    <t>Dessau Hbf (SEV)</t>
  </si>
  <si>
    <t>Dessau Süd</t>
  </si>
  <si>
    <t>51.802196</t>
  </si>
  <si>
    <t>12.236455</t>
  </si>
  <si>
    <t>Dessau-Alten</t>
  </si>
  <si>
    <t>51.825541</t>
  </si>
  <si>
    <t>12.193340</t>
  </si>
  <si>
    <t>Dessau-Mosigkau</t>
  </si>
  <si>
    <t>51.814077</t>
  </si>
  <si>
    <t>12.148546</t>
  </si>
  <si>
    <t>Dessau-Waldersee</t>
  </si>
  <si>
    <t>51.836564</t>
  </si>
  <si>
    <t>12.270566</t>
  </si>
  <si>
    <t>Detmold</t>
  </si>
  <si>
    <t>51.940745</t>
  </si>
  <si>
    <t>8.872859</t>
  </si>
  <si>
    <t>Dettelbach Bahnhof</t>
  </si>
  <si>
    <t>49.788146</t>
  </si>
  <si>
    <t>10.090359</t>
  </si>
  <si>
    <t>Dettenhausen</t>
  </si>
  <si>
    <t>48.606705</t>
  </si>
  <si>
    <t>9.093437</t>
  </si>
  <si>
    <t>Dettingen Freibad</t>
  </si>
  <si>
    <t>48.523174</t>
  </si>
  <si>
    <t>9.351257</t>
  </si>
  <si>
    <t>Dettingen Gsaidt</t>
  </si>
  <si>
    <t>48.514061</t>
  </si>
  <si>
    <t>9.358040</t>
  </si>
  <si>
    <t>Dettingen Lehen</t>
  </si>
  <si>
    <t>48.529216</t>
  </si>
  <si>
    <t>9.336896</t>
  </si>
  <si>
    <t>Dettingen(Main)</t>
  </si>
  <si>
    <t>50.042556</t>
  </si>
  <si>
    <t>9.036807</t>
  </si>
  <si>
    <t>Dettingen(Teck)</t>
  </si>
  <si>
    <t>48.616409</t>
  </si>
  <si>
    <t>9.454878</t>
  </si>
  <si>
    <t>Dettingen-Mitte</t>
  </si>
  <si>
    <t>48.527817</t>
  </si>
  <si>
    <t>9.344630</t>
  </si>
  <si>
    <t>Dettum</t>
  </si>
  <si>
    <t>52.156874</t>
  </si>
  <si>
    <t>10.660129</t>
  </si>
  <si>
    <t>Dettum Kirche</t>
  </si>
  <si>
    <t>52.173568</t>
  </si>
  <si>
    <t>10.667250</t>
  </si>
  <si>
    <t>Deuben(Zeitz)</t>
  </si>
  <si>
    <t>51.110530</t>
  </si>
  <si>
    <t>12.068913</t>
  </si>
  <si>
    <t>Deuerling</t>
  </si>
  <si>
    <t>49.041640</t>
  </si>
  <si>
    <t>11.914918</t>
  </si>
  <si>
    <t>Deuerling Abzw. Undorf</t>
  </si>
  <si>
    <t>49.036408</t>
  </si>
  <si>
    <t>11.907199</t>
  </si>
  <si>
    <t>Deuten</t>
  </si>
  <si>
    <t>51.713087</t>
  </si>
  <si>
    <t>6.970790</t>
  </si>
  <si>
    <t>Deutzen</t>
  </si>
  <si>
    <t>51.114430</t>
  </si>
  <si>
    <t>12.419542</t>
  </si>
  <si>
    <t>Deutzen Markt</t>
  </si>
  <si>
    <t>51.111121</t>
  </si>
  <si>
    <t>12.426193</t>
  </si>
  <si>
    <t>Diebach</t>
  </si>
  <si>
    <t>50.128683</t>
  </si>
  <si>
    <t>9.837660</t>
  </si>
  <si>
    <t>Dieburg</t>
  </si>
  <si>
    <t>49.903646</t>
  </si>
  <si>
    <t>8.840894</t>
  </si>
  <si>
    <t>Diedelsheim</t>
  </si>
  <si>
    <t>49.039347</t>
  </si>
  <si>
    <t>8.674472</t>
  </si>
  <si>
    <t>Diedorf(Schwab)</t>
  </si>
  <si>
    <t>48.356090</t>
  </si>
  <si>
    <t>10.776823</t>
  </si>
  <si>
    <t>Dienheim</t>
  </si>
  <si>
    <t>49.841354</t>
  </si>
  <si>
    <t>8.357140</t>
  </si>
  <si>
    <t>Diepholz</t>
  </si>
  <si>
    <t>52.604771</t>
  </si>
  <si>
    <t>8.380334</t>
  </si>
  <si>
    <t>Dieskau</t>
  </si>
  <si>
    <t>51.450594</t>
  </si>
  <si>
    <t>12.050897</t>
  </si>
  <si>
    <t>Dießen</t>
  </si>
  <si>
    <t>47.950818</t>
  </si>
  <si>
    <t>11.107540</t>
  </si>
  <si>
    <t>Dietersheim</t>
  </si>
  <si>
    <t>49.556882</t>
  </si>
  <si>
    <t>10.543103</t>
  </si>
  <si>
    <t>Dietmannsried</t>
  </si>
  <si>
    <t>47.812866</t>
  </si>
  <si>
    <t>10.290481</t>
  </si>
  <si>
    <t>Dietzelbach</t>
  </si>
  <si>
    <t>47.859373</t>
  </si>
  <si>
    <t>7.763382</t>
  </si>
  <si>
    <t>Dietzenbach Bahnhof</t>
  </si>
  <si>
    <t>50.008064</t>
  </si>
  <si>
    <t>8.785541</t>
  </si>
  <si>
    <t>50.017660</t>
  </si>
  <si>
    <t>8.789218</t>
  </si>
  <si>
    <t>Dietzenbach-Steinberg</t>
  </si>
  <si>
    <t>50.025708</t>
  </si>
  <si>
    <t>8.792898</t>
  </si>
  <si>
    <t>Dietzhausen</t>
  </si>
  <si>
    <t>50.599437</t>
  </si>
  <si>
    <t>10.596900</t>
  </si>
  <si>
    <t>Diez</t>
  </si>
  <si>
    <t>50.370127</t>
  </si>
  <si>
    <t>8.019620</t>
  </si>
  <si>
    <t>Diez Ost</t>
  </si>
  <si>
    <t>50.376044</t>
  </si>
  <si>
    <t>8.038587</t>
  </si>
  <si>
    <t>Dillbrecht</t>
  </si>
  <si>
    <t>50.801622</t>
  </si>
  <si>
    <t>8.203890</t>
  </si>
  <si>
    <t>Dillenburg</t>
  </si>
  <si>
    <t>50.734943</t>
  </si>
  <si>
    <t>8.294621</t>
  </si>
  <si>
    <t>Dillingen(Donau)</t>
  </si>
  <si>
    <t>48.581255</t>
  </si>
  <si>
    <t>10.489167</t>
  </si>
  <si>
    <t>Dillingen(Saar)</t>
  </si>
  <si>
    <t>49.352710</t>
  </si>
  <si>
    <t>6.722150</t>
  </si>
  <si>
    <t>Dingelsdorf</t>
  </si>
  <si>
    <t>47.740994</t>
  </si>
  <si>
    <t>9.157805</t>
  </si>
  <si>
    <t>Dingolfing</t>
  </si>
  <si>
    <t>48.641606</t>
  </si>
  <si>
    <t>12.486870</t>
  </si>
  <si>
    <t>Dinkelsbühl Bf</t>
  </si>
  <si>
    <t>49.068851</t>
  </si>
  <si>
    <t>10.328856</t>
  </si>
  <si>
    <t>Dinkelscherben</t>
  </si>
  <si>
    <t>48.342225</t>
  </si>
  <si>
    <t>10.588002</t>
  </si>
  <si>
    <t>Dinslaken</t>
  </si>
  <si>
    <t>51.567458</t>
  </si>
  <si>
    <t>6.738030</t>
  </si>
  <si>
    <t>Dippoldiswalde</t>
  </si>
  <si>
    <t>50.891093</t>
  </si>
  <si>
    <t>13.664603</t>
  </si>
  <si>
    <t>Dirmingen</t>
  </si>
  <si>
    <t>49.415386</t>
  </si>
  <si>
    <t>7.012377</t>
  </si>
  <si>
    <t>Dissen-Bad Rothenfelde</t>
  </si>
  <si>
    <t>52.111920</t>
  </si>
  <si>
    <t>8.185298</t>
  </si>
  <si>
    <t>Distelhausen</t>
  </si>
  <si>
    <t>49.598233</t>
  </si>
  <si>
    <t>9.683508</t>
  </si>
  <si>
    <t>Ditfurt</t>
  </si>
  <si>
    <t>51.833482</t>
  </si>
  <si>
    <t>11.186728</t>
  </si>
  <si>
    <t>Dittersbach</t>
  </si>
  <si>
    <t>50.926837</t>
  </si>
  <si>
    <t>13.068842</t>
  </si>
  <si>
    <t>Dittersdorf</t>
  </si>
  <si>
    <t>50.751390</t>
  </si>
  <si>
    <t>12.978615</t>
  </si>
  <si>
    <t>Dittigheim</t>
  </si>
  <si>
    <t>49.607964</t>
  </si>
  <si>
    <t>9.674912</t>
  </si>
  <si>
    <t>Ditzingen</t>
  </si>
  <si>
    <t>48.823611</t>
  </si>
  <si>
    <t>9.067050</t>
  </si>
  <si>
    <t>Döbeln Hbf</t>
  </si>
  <si>
    <t>51.126568</t>
  </si>
  <si>
    <t>13.094988</t>
  </si>
  <si>
    <t>Döberitz</t>
  </si>
  <si>
    <t>52.524333</t>
  </si>
  <si>
    <t>12.368462</t>
  </si>
  <si>
    <t>Döberitz Ausbau</t>
  </si>
  <si>
    <t>52.520532</t>
  </si>
  <si>
    <t>12.386393</t>
  </si>
  <si>
    <t>Doberlug-Kirchhain</t>
  </si>
  <si>
    <t>51.620576</t>
  </si>
  <si>
    <t>13.564241</t>
  </si>
  <si>
    <t>Doberschütz</t>
  </si>
  <si>
    <t>51.492237</t>
  </si>
  <si>
    <t>12.745785</t>
  </si>
  <si>
    <t>Dodendorf</t>
  </si>
  <si>
    <t>52.048952</t>
  </si>
  <si>
    <t>11.613086</t>
  </si>
  <si>
    <t>Dodenhof</t>
  </si>
  <si>
    <t>53.844409</t>
  </si>
  <si>
    <t>9.939692</t>
  </si>
  <si>
    <t>Dogern</t>
  </si>
  <si>
    <t>47.608887</t>
  </si>
  <si>
    <t>8.167356</t>
  </si>
  <si>
    <t>Döggingen</t>
  </si>
  <si>
    <t>47.893654</t>
  </si>
  <si>
    <t>8.441107</t>
  </si>
  <si>
    <t>Döhlau</t>
  </si>
  <si>
    <t>49.961392</t>
  </si>
  <si>
    <t>11.655966</t>
  </si>
  <si>
    <t>Dohna(Sachs)</t>
  </si>
  <si>
    <t>50.961188</t>
  </si>
  <si>
    <t>13.855565</t>
  </si>
  <si>
    <t>Dollbergen</t>
  </si>
  <si>
    <t>52.417153</t>
  </si>
  <si>
    <t>10.181657</t>
  </si>
  <si>
    <t>Dollern</t>
  </si>
  <si>
    <t>53.545425</t>
  </si>
  <si>
    <t>9.558080</t>
  </si>
  <si>
    <t>Dollnstein</t>
  </si>
  <si>
    <t>48.871425</t>
  </si>
  <si>
    <t>11.079009</t>
  </si>
  <si>
    <t>Döllstädt</t>
  </si>
  <si>
    <t>51.084886</t>
  </si>
  <si>
    <t>10.813398</t>
  </si>
  <si>
    <t>Dombühl</t>
  </si>
  <si>
    <t>49.252110</t>
  </si>
  <si>
    <t>10.298523</t>
  </si>
  <si>
    <t>Domnitz(Saalkr)</t>
  </si>
  <si>
    <t>51.635225</t>
  </si>
  <si>
    <t>11.839973</t>
  </si>
  <si>
    <t>Domsühl</t>
  </si>
  <si>
    <t>53.485372</t>
  </si>
  <si>
    <t>11.765869</t>
  </si>
  <si>
    <t>47.947899</t>
  </si>
  <si>
    <t>8.498788</t>
  </si>
  <si>
    <t>Donaueschingen Allmendshofen</t>
  </si>
  <si>
    <t>47.940577</t>
  </si>
  <si>
    <t>8.501819</t>
  </si>
  <si>
    <t>Donaueschingen Aufen</t>
  </si>
  <si>
    <t>47.963356</t>
  </si>
  <si>
    <t>8.475620</t>
  </si>
  <si>
    <t>Donaueschingen Grüningen</t>
  </si>
  <si>
    <t>47.983052</t>
  </si>
  <si>
    <t>8.471824</t>
  </si>
  <si>
    <t>Donaueschingen Mitte/Siedlung</t>
  </si>
  <si>
    <t>47.952541</t>
  </si>
  <si>
    <t>8.488955</t>
  </si>
  <si>
    <t>48.714026</t>
  </si>
  <si>
    <t>10.771443</t>
  </si>
  <si>
    <t>Dorf Mecklenburg</t>
  </si>
  <si>
    <t>53.842932</t>
  </si>
  <si>
    <t>11.471343</t>
  </si>
  <si>
    <t>Dorf Mecklenburg B106</t>
  </si>
  <si>
    <t>53.841800</t>
  </si>
  <si>
    <t>11.459300</t>
  </si>
  <si>
    <t>Dorfchemnitz</t>
  </si>
  <si>
    <t>50.665791</t>
  </si>
  <si>
    <t>12.839869</t>
  </si>
  <si>
    <t>Dorfen Bahnhof</t>
  </si>
  <si>
    <t>48.267048</t>
  </si>
  <si>
    <t>12.159686</t>
  </si>
  <si>
    <t>Dörfles-Esbach</t>
  </si>
  <si>
    <t>50.282751</t>
  </si>
  <si>
    <t>10.997756</t>
  </si>
  <si>
    <t>Dorfmark</t>
  </si>
  <si>
    <t>52.899139</t>
  </si>
  <si>
    <t>9.771305</t>
  </si>
  <si>
    <t>Dorfprozelten</t>
  </si>
  <si>
    <t>49.779377</t>
  </si>
  <si>
    <t>9.382160</t>
  </si>
  <si>
    <t>Dorheim(Wetterau)</t>
  </si>
  <si>
    <t>50.352702</t>
  </si>
  <si>
    <t>8.790510</t>
  </si>
  <si>
    <t>Dormagen</t>
  </si>
  <si>
    <t>51.099495</t>
  </si>
  <si>
    <t>6.814837</t>
  </si>
  <si>
    <t>Dormagen Chempark</t>
  </si>
  <si>
    <t>51.077045</t>
  </si>
  <si>
    <t>6.838171</t>
  </si>
  <si>
    <t>Dornburg(Saale)</t>
  </si>
  <si>
    <t>51.008613</t>
  </si>
  <si>
    <t>11.675499</t>
  </si>
  <si>
    <t>Dornstetten</t>
  </si>
  <si>
    <t>48.469635</t>
  </si>
  <si>
    <t>8.503214</t>
  </si>
  <si>
    <t>Dornstetten-Aach</t>
  </si>
  <si>
    <t>48.473300</t>
  </si>
  <si>
    <t>8.482910</t>
  </si>
  <si>
    <t>Dörpen</t>
  </si>
  <si>
    <t>52.959021</t>
  </si>
  <si>
    <t>7.353279</t>
  </si>
  <si>
    <t>Dörrberg</t>
  </si>
  <si>
    <t>50.735351</t>
  </si>
  <si>
    <t>10.798671</t>
  </si>
  <si>
    <t>Dorsten</t>
  </si>
  <si>
    <t>51.658274</t>
  </si>
  <si>
    <t>6.970500</t>
  </si>
  <si>
    <t>Dortelweil</t>
  </si>
  <si>
    <t>50.207615</t>
  </si>
  <si>
    <t>8.751267</t>
  </si>
  <si>
    <t>Dortmund Hbf</t>
  </si>
  <si>
    <t>51.517896</t>
  </si>
  <si>
    <t>7.459290</t>
  </si>
  <si>
    <t>Dortmund Knappschaftskrankenhaus</t>
  </si>
  <si>
    <t>51.518768</t>
  </si>
  <si>
    <t>7.537458</t>
  </si>
  <si>
    <t>Dortmund Möllerbrücke</t>
  </si>
  <si>
    <t>51.507157</t>
  </si>
  <si>
    <t>7.451706</t>
  </si>
  <si>
    <t>Dortmund Signal Iduna Park</t>
  </si>
  <si>
    <t>51.490728</t>
  </si>
  <si>
    <t>7.457573</t>
  </si>
  <si>
    <t>Dortmund Stadthaus</t>
  </si>
  <si>
    <t>51.507828</t>
  </si>
  <si>
    <t>7.468764</t>
  </si>
  <si>
    <t>Dortmund Tierpark</t>
  </si>
  <si>
    <t>51.478193</t>
  </si>
  <si>
    <t>7.461995</t>
  </si>
  <si>
    <t>Dortmund Universität</t>
  </si>
  <si>
    <t>51.492740</t>
  </si>
  <si>
    <t>7.417708</t>
  </si>
  <si>
    <t>Dortmund West</t>
  </si>
  <si>
    <t>51.509652</t>
  </si>
  <si>
    <t>7.438938</t>
  </si>
  <si>
    <t>Dortmund-Aplerbeck</t>
  </si>
  <si>
    <t>51.490151</t>
  </si>
  <si>
    <t>7.553189</t>
  </si>
  <si>
    <t>Dortmund-Aplerbeck Süd</t>
  </si>
  <si>
    <t>51.484437</t>
  </si>
  <si>
    <t>7.549982</t>
  </si>
  <si>
    <t>Dortmund-Asseln Mitte</t>
  </si>
  <si>
    <t>51.526219</t>
  </si>
  <si>
    <t>7.583839</t>
  </si>
  <si>
    <t>Dortmund-Barop</t>
  </si>
  <si>
    <t>51.476954</t>
  </si>
  <si>
    <t>7.431298</t>
  </si>
  <si>
    <t>Dortmund-Bövinghausen</t>
  </si>
  <si>
    <t>51.519036</t>
  </si>
  <si>
    <t>7.327477</t>
  </si>
  <si>
    <t>Dortmund-Brackel</t>
  </si>
  <si>
    <t>51.520757</t>
  </si>
  <si>
    <t>7.550083</t>
  </si>
  <si>
    <t>Dortmund-Derne</t>
  </si>
  <si>
    <t>51.567716</t>
  </si>
  <si>
    <t>7.528822</t>
  </si>
  <si>
    <t>Dortmund-Dorstfeld</t>
  </si>
  <si>
    <t>51.509376</t>
  </si>
  <si>
    <t>7.424864</t>
  </si>
  <si>
    <t>Dortmund-Dorstfeld Süd</t>
  </si>
  <si>
    <t>51.500632</t>
  </si>
  <si>
    <t>7.420017</t>
  </si>
  <si>
    <t>Dortmund-Germania</t>
  </si>
  <si>
    <t>51.498124</t>
  </si>
  <si>
    <t>7.363728</t>
  </si>
  <si>
    <t>Dortmund-Hörde</t>
  </si>
  <si>
    <t>51.487782</t>
  </si>
  <si>
    <t>7.500029</t>
  </si>
  <si>
    <t>Dortmund-Huckarde</t>
  </si>
  <si>
    <t>51.532623</t>
  </si>
  <si>
    <t>7.402353</t>
  </si>
  <si>
    <t>Dortmund-Huckarde Nord</t>
  </si>
  <si>
    <t>51.533667</t>
  </si>
  <si>
    <t>7.415095</t>
  </si>
  <si>
    <t>Dortmund-Kirchderne</t>
  </si>
  <si>
    <t>51.547075</t>
  </si>
  <si>
    <t>7.510105</t>
  </si>
  <si>
    <t>Dortmund-Kirchhörde</t>
  </si>
  <si>
    <t>51.464241</t>
  </si>
  <si>
    <t>7.457764</t>
  </si>
  <si>
    <t>Dortmund-Kley</t>
  </si>
  <si>
    <t>51.489467</t>
  </si>
  <si>
    <t>7.365374</t>
  </si>
  <si>
    <t>Dortmund-Körne</t>
  </si>
  <si>
    <t>51.513430</t>
  </si>
  <si>
    <t>7.515370</t>
  </si>
  <si>
    <t>Dortmund-Körne West</t>
  </si>
  <si>
    <t>51.509939</t>
  </si>
  <si>
    <t>7.502409</t>
  </si>
  <si>
    <t>Dortmund-Kruckel</t>
  </si>
  <si>
    <t>51.458332</t>
  </si>
  <si>
    <t>7.415529</t>
  </si>
  <si>
    <t>Dortmund-Kurl</t>
  </si>
  <si>
    <t>51.556979</t>
  </si>
  <si>
    <t>7.585291</t>
  </si>
  <si>
    <t>Dortmund-Löttringhausen</t>
  </si>
  <si>
    <t>51.451655</t>
  </si>
  <si>
    <t>7.447228</t>
  </si>
  <si>
    <t>Dortmund-Lütgendortmund</t>
  </si>
  <si>
    <t>51.500735</t>
  </si>
  <si>
    <t>7.334177</t>
  </si>
  <si>
    <t>Dortmund-Lütgendortmund Nord</t>
  </si>
  <si>
    <t>51.508523</t>
  </si>
  <si>
    <t>7.342401</t>
  </si>
  <si>
    <t>Dortmund-Marten</t>
  </si>
  <si>
    <t>51.514462</t>
  </si>
  <si>
    <t>7.374408</t>
  </si>
  <si>
    <t>Dortmund-Marten Süd</t>
  </si>
  <si>
    <t>51.507984</t>
  </si>
  <si>
    <t>7.387479</t>
  </si>
  <si>
    <t>Dortmund-Mengede</t>
  </si>
  <si>
    <t>51.570345</t>
  </si>
  <si>
    <t>7.374374</t>
  </si>
  <si>
    <t>Dortmund-Nette/Oestrich</t>
  </si>
  <si>
    <t>51.561495</t>
  </si>
  <si>
    <t>7.377731</t>
  </si>
  <si>
    <t>Dortmund-Oespel</t>
  </si>
  <si>
    <t>51.488397</t>
  </si>
  <si>
    <t>7.383811</t>
  </si>
  <si>
    <t>Dortmund-Rahm</t>
  </si>
  <si>
    <t>51.525728</t>
  </si>
  <si>
    <t>7.395252</t>
  </si>
  <si>
    <t>Dortmund-Scharnhorst</t>
  </si>
  <si>
    <t>51.538373</t>
  </si>
  <si>
    <t>7.536564</t>
  </si>
  <si>
    <t>Dortmund-Sölde</t>
  </si>
  <si>
    <t>51.495460</t>
  </si>
  <si>
    <t>7.589205</t>
  </si>
  <si>
    <t>Dortmund-Somborn</t>
  </si>
  <si>
    <t>51.496010</t>
  </si>
  <si>
    <t>7.350084</t>
  </si>
  <si>
    <t>Dortmund-Westerfilde</t>
  </si>
  <si>
    <t>51.548334</t>
  </si>
  <si>
    <t>7.380213</t>
  </si>
  <si>
    <t>Dortmund-Wickede</t>
  </si>
  <si>
    <t>51.533930</t>
  </si>
  <si>
    <t>7.624660</t>
  </si>
  <si>
    <t>Dortmund-Wickede West</t>
  </si>
  <si>
    <t>51.529455</t>
  </si>
  <si>
    <t>7.607215</t>
  </si>
  <si>
    <t>Dortmund-Wischlingen</t>
  </si>
  <si>
    <t>51.519290</t>
  </si>
  <si>
    <t>7.412863</t>
  </si>
  <si>
    <t>Dorum(Weserm)</t>
  </si>
  <si>
    <t>53.688743</t>
  </si>
  <si>
    <t>8.575801</t>
  </si>
  <si>
    <t>Dörverden</t>
  </si>
  <si>
    <t>52.846407</t>
  </si>
  <si>
    <t>9.246334</t>
  </si>
  <si>
    <t>Dossow(Prign)</t>
  </si>
  <si>
    <t>53.121209</t>
  </si>
  <si>
    <t>12.520886</t>
  </si>
  <si>
    <t>Dottenheim</t>
  </si>
  <si>
    <t>49.547496</t>
  </si>
  <si>
    <t>10.522573</t>
  </si>
  <si>
    <t>Dotternhausen-Dormettingen</t>
  </si>
  <si>
    <t>48.228455</t>
  </si>
  <si>
    <t>8.781119</t>
  </si>
  <si>
    <t>Dottingen Rathaus</t>
  </si>
  <si>
    <t>47.857703</t>
  </si>
  <si>
    <t>7.691211</t>
  </si>
  <si>
    <t>Drahnsdorf</t>
  </si>
  <si>
    <t>51.915391</t>
  </si>
  <si>
    <t>13.581250</t>
  </si>
  <si>
    <t>Drahtzug</t>
  </si>
  <si>
    <t>51.663447</t>
  </si>
  <si>
    <t>11.124636</t>
  </si>
  <si>
    <t>Drangstedt</t>
  </si>
  <si>
    <t>53.617182</t>
  </si>
  <si>
    <t>8.736659</t>
  </si>
  <si>
    <t>Dranske</t>
  </si>
  <si>
    <t>54.630244</t>
  </si>
  <si>
    <t>13.233881</t>
  </si>
  <si>
    <t>Drebkau</t>
  </si>
  <si>
    <t>51.655084</t>
  </si>
  <si>
    <t>14.223130</t>
  </si>
  <si>
    <t>Drei Annen Hohne</t>
  </si>
  <si>
    <t>51.770116</t>
  </si>
  <si>
    <t>10.726766</t>
  </si>
  <si>
    <t>Dreieich-Buchschlag</t>
  </si>
  <si>
    <t>50.022477</t>
  </si>
  <si>
    <t>8.661151</t>
  </si>
  <si>
    <t>Dreieich-Dreieichenhain</t>
  </si>
  <si>
    <t>49.998468</t>
  </si>
  <si>
    <t>8.708693</t>
  </si>
  <si>
    <t>Dreieich-Götzenhain</t>
  </si>
  <si>
    <t>49.994026</t>
  </si>
  <si>
    <t>8.732699</t>
  </si>
  <si>
    <t>Dreieich-Offenthal</t>
  </si>
  <si>
    <t>49.981851</t>
  </si>
  <si>
    <t>8.749640</t>
  </si>
  <si>
    <t>Dreieich-Sprendlingen</t>
  </si>
  <si>
    <t>50.014837</t>
  </si>
  <si>
    <t>8.689306</t>
  </si>
  <si>
    <t>Dreieich-Weibelfeld</t>
  </si>
  <si>
    <t>50.007084</t>
  </si>
  <si>
    <t>8.700922</t>
  </si>
  <si>
    <t>Dreikirchen</t>
  </si>
  <si>
    <t>50.449865</t>
  </si>
  <si>
    <t>7.958384</t>
  </si>
  <si>
    <t>Dreileben-Drackenstedt</t>
  </si>
  <si>
    <t>52.143852</t>
  </si>
  <si>
    <t>11.341559</t>
  </si>
  <si>
    <t>Drensteinfurt</t>
  </si>
  <si>
    <t>51.799158</t>
  </si>
  <si>
    <t>7.733609</t>
  </si>
  <si>
    <t>Dresden Bischofsplatz</t>
  </si>
  <si>
    <t>51.072335</t>
  </si>
  <si>
    <t>13.746248</t>
  </si>
  <si>
    <t>Dresden Flughafen</t>
  </si>
  <si>
    <t>51.124665</t>
  </si>
  <si>
    <t>13.765993</t>
  </si>
  <si>
    <t>Dresden Freiberger Straße</t>
  </si>
  <si>
    <t>51.047991</t>
  </si>
  <si>
    <t>13.719864</t>
  </si>
  <si>
    <t>Dresden Grenzstraße</t>
  </si>
  <si>
    <t>51.128298</t>
  </si>
  <si>
    <t>13.777737</t>
  </si>
  <si>
    <t>Dresden Hbf (Strehlener Str.)</t>
  </si>
  <si>
    <t>51.038682</t>
  </si>
  <si>
    <t>13.733940</t>
  </si>
  <si>
    <t>Dresden Industriegelände</t>
  </si>
  <si>
    <t>51.087456</t>
  </si>
  <si>
    <t>13.762772</t>
  </si>
  <si>
    <t>Dresden Mitte</t>
  </si>
  <si>
    <t>51.056168</t>
  </si>
  <si>
    <t>13.724109</t>
  </si>
  <si>
    <t>Dresden-Cotta</t>
  </si>
  <si>
    <t>51.062157</t>
  </si>
  <si>
    <t>13.683298</t>
  </si>
  <si>
    <t>Dresden-Dobritz</t>
  </si>
  <si>
    <t>51.011614</t>
  </si>
  <si>
    <t>13.808477</t>
  </si>
  <si>
    <t>Dresden-Friedrichstadt</t>
  </si>
  <si>
    <t>51.056034</t>
  </si>
  <si>
    <t>13.708151</t>
  </si>
  <si>
    <t>Dresden-Kemnitz</t>
  </si>
  <si>
    <t>51.073084</t>
  </si>
  <si>
    <t>13.668919</t>
  </si>
  <si>
    <t>Dresden-Klotzsche</t>
  </si>
  <si>
    <t>51.114667</t>
  </si>
  <si>
    <t>13.789110</t>
  </si>
  <si>
    <t>Dresden-Neustadt</t>
  </si>
  <si>
    <t>51.065899</t>
  </si>
  <si>
    <t>13.740701</t>
  </si>
  <si>
    <t>Dresden-Niedersedlitz</t>
  </si>
  <si>
    <t>50.999654</t>
  </si>
  <si>
    <t>13.828399</t>
  </si>
  <si>
    <t>Dresden-Pieschen</t>
  </si>
  <si>
    <t>51.081859</t>
  </si>
  <si>
    <t>13.725527</t>
  </si>
  <si>
    <t>Dresden-Plauen</t>
  </si>
  <si>
    <t>51.029630</t>
  </si>
  <si>
    <t>13.703170</t>
  </si>
  <si>
    <t>Dresden-Plauen Altplauen</t>
  </si>
  <si>
    <t>51.031841</t>
  </si>
  <si>
    <t>13.701864</t>
  </si>
  <si>
    <t>Dresden-Reick</t>
  </si>
  <si>
    <t>51.021317</t>
  </si>
  <si>
    <t>13.790514</t>
  </si>
  <si>
    <t>Dresden-Stetzsch</t>
  </si>
  <si>
    <t>51.080480</t>
  </si>
  <si>
    <t>13.651865</t>
  </si>
  <si>
    <t>Dresden-Stetzsch Am Urnenfeld</t>
  </si>
  <si>
    <t>51.082682</t>
  </si>
  <si>
    <t>13.651997</t>
  </si>
  <si>
    <t>Dresden-Strehlen</t>
  </si>
  <si>
    <t>51.030677</t>
  </si>
  <si>
    <t>13.761861</t>
  </si>
  <si>
    <t>Dresden-Trachau</t>
  </si>
  <si>
    <t>51.089966</t>
  </si>
  <si>
    <t>13.703878</t>
  </si>
  <si>
    <t>Dresden-Zschachwitz</t>
  </si>
  <si>
    <t>50.989652</t>
  </si>
  <si>
    <t>13.844930</t>
  </si>
  <si>
    <t>Dresden-Zschachwitz Fritz-Schreiter-Str.</t>
  </si>
  <si>
    <t>50.992853</t>
  </si>
  <si>
    <t>13.851004</t>
  </si>
  <si>
    <t>Drewoldke</t>
  </si>
  <si>
    <t>54.626412</t>
  </si>
  <si>
    <t>13.369532</t>
  </si>
  <si>
    <t>Dreye</t>
  </si>
  <si>
    <t>53.018425</t>
  </si>
  <si>
    <t>8.871103</t>
  </si>
  <si>
    <t>Drohndorf-Mehringen</t>
  </si>
  <si>
    <t>51.721692</t>
  </si>
  <si>
    <t>11.515648</t>
  </si>
  <si>
    <t>Ducherow</t>
  </si>
  <si>
    <t>53.766135</t>
  </si>
  <si>
    <t>13.796021</t>
  </si>
  <si>
    <t>Ducherow Gaststätte</t>
  </si>
  <si>
    <t>53.764935</t>
  </si>
  <si>
    <t>13.778180</t>
  </si>
  <si>
    <t>Duckterath</t>
  </si>
  <si>
    <t>50.984815</t>
  </si>
  <si>
    <t>7.103496</t>
  </si>
  <si>
    <t>Dudweiler</t>
  </si>
  <si>
    <t>49.277299</t>
  </si>
  <si>
    <t>7.027351</t>
  </si>
  <si>
    <t>Duisburg Entenfang</t>
  </si>
  <si>
    <t>Duisburg Hbf</t>
  </si>
  <si>
    <t>51.429785</t>
  </si>
  <si>
    <t>6.775903</t>
  </si>
  <si>
    <t>Duisburg-Buchholz</t>
  </si>
  <si>
    <t>51.382919</t>
  </si>
  <si>
    <t>6.775406</t>
  </si>
  <si>
    <t>Duisburg-Großenbaum</t>
  </si>
  <si>
    <t>51.364774</t>
  </si>
  <si>
    <t>6.777470</t>
  </si>
  <si>
    <t>Duisburg-Hochfeld Süd</t>
  </si>
  <si>
    <t>51.409000</t>
  </si>
  <si>
    <t>6.753408</t>
  </si>
  <si>
    <t>Duisburg-Meiderich Süd</t>
  </si>
  <si>
    <t>51.468831</t>
  </si>
  <si>
    <t>6.780191</t>
  </si>
  <si>
    <t>Duisburg-Obermeiderich</t>
  </si>
  <si>
    <t>51.468792</t>
  </si>
  <si>
    <t>6.821232</t>
  </si>
  <si>
    <t>Duisburg-Rahm</t>
  </si>
  <si>
    <t>51.346835</t>
  </si>
  <si>
    <t>6.779924</t>
  </si>
  <si>
    <t>Duisburg-Ruhrort</t>
  </si>
  <si>
    <t>51.457280</t>
  </si>
  <si>
    <t>6.736015</t>
  </si>
  <si>
    <t>Duisburg-Schlenk</t>
  </si>
  <si>
    <t>51.401781</t>
  </si>
  <si>
    <t>6.773206</t>
  </si>
  <si>
    <t>Duisburg-Wedau</t>
  </si>
  <si>
    <t>Dülken</t>
  </si>
  <si>
    <t>51.257149</t>
  </si>
  <si>
    <t>6.337930</t>
  </si>
  <si>
    <t>Dülmen</t>
  </si>
  <si>
    <t>51.827676</t>
  </si>
  <si>
    <t>7.295765</t>
  </si>
  <si>
    <t>Dünsen DHE</t>
  </si>
  <si>
    <t>52.924916</t>
  </si>
  <si>
    <t>8.627573</t>
  </si>
  <si>
    <t>Durach</t>
  </si>
  <si>
    <t>47.696452</t>
  </si>
  <si>
    <t>10.343797</t>
  </si>
  <si>
    <t>Düren</t>
  </si>
  <si>
    <t>50.809517</t>
  </si>
  <si>
    <t>6.482451</t>
  </si>
  <si>
    <t>Düren Annakirmesplatz</t>
  </si>
  <si>
    <t>50.796237</t>
  </si>
  <si>
    <t>6.474259</t>
  </si>
  <si>
    <t>Düren Im Großen Tal</t>
  </si>
  <si>
    <t>50.833020</t>
  </si>
  <si>
    <t>6.474310</t>
  </si>
  <si>
    <t>Düren Renkerstraße</t>
  </si>
  <si>
    <t>50.770276</t>
  </si>
  <si>
    <t>6.489493</t>
  </si>
  <si>
    <t>Düren-Kuhbrücke</t>
  </si>
  <si>
    <t>50.783312</t>
  </si>
  <si>
    <t>6.486752</t>
  </si>
  <si>
    <t>Düren-Lendersdorf</t>
  </si>
  <si>
    <t>50.774833</t>
  </si>
  <si>
    <t>6.490470</t>
  </si>
  <si>
    <t>Durmersheim</t>
  </si>
  <si>
    <t>48.928904</t>
  </si>
  <si>
    <t>8.272631</t>
  </si>
  <si>
    <t>Durmersheim Nord</t>
  </si>
  <si>
    <t>48.937796</t>
  </si>
  <si>
    <t>8.280581</t>
  </si>
  <si>
    <t>Dürrenbüchig</t>
  </si>
  <si>
    <t>49.023952</t>
  </si>
  <si>
    <t>8.648181</t>
  </si>
  <si>
    <t>Dürrenzimmern</t>
  </si>
  <si>
    <t>48.906247</t>
  </si>
  <si>
    <t>10.548728</t>
  </si>
  <si>
    <t>Dürrnhaar</t>
  </si>
  <si>
    <t>47.993954</t>
  </si>
  <si>
    <t>11.736607</t>
  </si>
  <si>
    <t>Dürrröhrsdorf</t>
  </si>
  <si>
    <t>51.028138</t>
  </si>
  <si>
    <t>14.007380</t>
  </si>
  <si>
    <t>Düsedau</t>
  </si>
  <si>
    <t>52.762416</t>
  </si>
  <si>
    <t>11.803540</t>
  </si>
  <si>
    <t>Düsseldorf Flughafen</t>
  </si>
  <si>
    <t>51.292009</t>
  </si>
  <si>
    <t>6.786836</t>
  </si>
  <si>
    <t>Düsseldorf Flughafen Terminal</t>
  </si>
  <si>
    <t>51.278517</t>
  </si>
  <si>
    <t>6.766979</t>
  </si>
  <si>
    <t>Düsseldorf Friedrichstadt</t>
  </si>
  <si>
    <t>51.211975</t>
  </si>
  <si>
    <t>6.789057</t>
  </si>
  <si>
    <t>Düsseldorf Hbf</t>
  </si>
  <si>
    <t>51.219962</t>
  </si>
  <si>
    <t>6.794319</t>
  </si>
  <si>
    <t>Düsseldorf Völklinger Str.</t>
  </si>
  <si>
    <t>51.210208</t>
  </si>
  <si>
    <t>6.760431</t>
  </si>
  <si>
    <t>Düsseldorf Volksgarten</t>
  </si>
  <si>
    <t>51.210138</t>
  </si>
  <si>
    <t>6.791978</t>
  </si>
  <si>
    <t>Düsseldorf Wehrhahn</t>
  </si>
  <si>
    <t>51.228447</t>
  </si>
  <si>
    <t>6.798173</t>
  </si>
  <si>
    <t>Düsseldorf-Benrath</t>
  </si>
  <si>
    <t>51.162293</t>
  </si>
  <si>
    <t>6.878931</t>
  </si>
  <si>
    <t>Düsseldorf-Bilk</t>
  </si>
  <si>
    <t>51.207994</t>
  </si>
  <si>
    <t>6.775578</t>
  </si>
  <si>
    <t>Düsseldorf-Derendorf</t>
  </si>
  <si>
    <t>51.247624</t>
  </si>
  <si>
    <t>6.794512</t>
  </si>
  <si>
    <t>Düsseldorf-Eller</t>
  </si>
  <si>
    <t>51.202670</t>
  </si>
  <si>
    <t>6.851927</t>
  </si>
  <si>
    <t>Düsseldorf-Eller Mitte</t>
  </si>
  <si>
    <t>51.202058</t>
  </si>
  <si>
    <t>6.838607</t>
  </si>
  <si>
    <t>Düsseldorf-Eller Süd</t>
  </si>
  <si>
    <t>51.198072</t>
  </si>
  <si>
    <t>6.836128</t>
  </si>
  <si>
    <t>Düsseldorf-Flingern</t>
  </si>
  <si>
    <t>51.226241</t>
  </si>
  <si>
    <t>6.810284</t>
  </si>
  <si>
    <t>Düsseldorf-Garath</t>
  </si>
  <si>
    <t>51.143626</t>
  </si>
  <si>
    <t>6.897675</t>
  </si>
  <si>
    <t>Düsseldorf-Gerresheim</t>
  </si>
  <si>
    <t>51.220361</t>
  </si>
  <si>
    <t>6.863933</t>
  </si>
  <si>
    <t>Düsseldorf-Hamm</t>
  </si>
  <si>
    <t>51.210770</t>
  </si>
  <si>
    <t>6.740335</t>
  </si>
  <si>
    <t>Düsseldorf-Hellerhof</t>
  </si>
  <si>
    <t>51.133036</t>
  </si>
  <si>
    <t>6.908277</t>
  </si>
  <si>
    <t>Düsseldorf-Oberbilk</t>
  </si>
  <si>
    <t>51.208047</t>
  </si>
  <si>
    <t>6.808678</t>
  </si>
  <si>
    <t>Düsseldorf-Rath</t>
  </si>
  <si>
    <t>51.264124</t>
  </si>
  <si>
    <t>6.821063</t>
  </si>
  <si>
    <t>Düsseldorf-Rath Mitte</t>
  </si>
  <si>
    <t>51.261136</t>
  </si>
  <si>
    <t>6.808398</t>
  </si>
  <si>
    <t>Düsseldorf-Reisholz</t>
  </si>
  <si>
    <t>51.180782</t>
  </si>
  <si>
    <t>6.860953</t>
  </si>
  <si>
    <t>Düsseldorf-Unterrath</t>
  </si>
  <si>
    <t>51.276732</t>
  </si>
  <si>
    <t>6.788783</t>
  </si>
  <si>
    <t>Düsseldorf-Zoo</t>
  </si>
  <si>
    <t>51.236962</t>
  </si>
  <si>
    <t>6.796924</t>
  </si>
  <si>
    <t>Dußlingen</t>
  </si>
  <si>
    <t>48.452408</t>
  </si>
  <si>
    <t>9.058444</t>
  </si>
  <si>
    <t>Dutenhofen(Wetzlar)</t>
  </si>
  <si>
    <t>50.564335</t>
  </si>
  <si>
    <t>8.598572</t>
  </si>
  <si>
    <t>Dütschow</t>
  </si>
  <si>
    <t>53.401940</t>
  </si>
  <si>
    <t>11.678565</t>
  </si>
  <si>
    <t>Ebeleben</t>
  </si>
  <si>
    <t>51.285483</t>
  </si>
  <si>
    <t>10.738431</t>
  </si>
  <si>
    <t>Ebelsbach-Eltmann</t>
  </si>
  <si>
    <t>49.982672</t>
  </si>
  <si>
    <t>10.669614</t>
  </si>
  <si>
    <t>Ebenhausen(Unterfr)</t>
  </si>
  <si>
    <t>50.131305</t>
  </si>
  <si>
    <t>10.138040</t>
  </si>
  <si>
    <t>Ebenhausen-Schäftlarn</t>
  </si>
  <si>
    <t>47.978686</t>
  </si>
  <si>
    <t>11.453608</t>
  </si>
  <si>
    <t>Ebenhofen</t>
  </si>
  <si>
    <t>47.814818</t>
  </si>
  <si>
    <t>10.618479</t>
  </si>
  <si>
    <t>Ebensfeld</t>
  </si>
  <si>
    <t>50.068731</t>
  </si>
  <si>
    <t>10.954725</t>
  </si>
  <si>
    <t>Eberbach</t>
  </si>
  <si>
    <t>49.465768</t>
  </si>
  <si>
    <t>8.984152</t>
  </si>
  <si>
    <t>Ebermannstadt</t>
  </si>
  <si>
    <t>49.776801</t>
  </si>
  <si>
    <t>11.186873</t>
  </si>
  <si>
    <t>Ebermergen</t>
  </si>
  <si>
    <t>48.756210</t>
  </si>
  <si>
    <t>10.710960</t>
  </si>
  <si>
    <t>Ebern</t>
  </si>
  <si>
    <t>50.094163</t>
  </si>
  <si>
    <t>10.796719</t>
  </si>
  <si>
    <t>Ebern Parkplatz Mittelschule</t>
  </si>
  <si>
    <t>50.095222</t>
  </si>
  <si>
    <t>10.797511</t>
  </si>
  <si>
    <t>Ebersbach(Fils)</t>
  </si>
  <si>
    <t>48.716120</t>
  </si>
  <si>
    <t>9.526582</t>
  </si>
  <si>
    <t>Ebersbach(Sachs)</t>
  </si>
  <si>
    <t>51.004378</t>
  </si>
  <si>
    <t>14.578802</t>
  </si>
  <si>
    <t>Ebersberg(Oberbay)</t>
  </si>
  <si>
    <t>48.074970</t>
  </si>
  <si>
    <t>11.970243</t>
  </si>
  <si>
    <t>Ebersbrunn</t>
  </si>
  <si>
    <t>50.651373</t>
  </si>
  <si>
    <t>12.443215</t>
  </si>
  <si>
    <t>Ebersbrunn Gasthof Löwe</t>
  </si>
  <si>
    <t>50.652303</t>
  </si>
  <si>
    <t>12.439170</t>
  </si>
  <si>
    <t>Ebersdorf(b Coburg)</t>
  </si>
  <si>
    <t>50.224271</t>
  </si>
  <si>
    <t>11.064643</t>
  </si>
  <si>
    <t>Eberswalde Hbf</t>
  </si>
  <si>
    <t>52.834021</t>
  </si>
  <si>
    <t>13.797062</t>
  </si>
  <si>
    <t>Eberswalde Markt</t>
  </si>
  <si>
    <t>52.833881</t>
  </si>
  <si>
    <t>13.820508</t>
  </si>
  <si>
    <t>Ebertsheim</t>
  </si>
  <si>
    <t>49.564004</t>
  </si>
  <si>
    <t>8.108237</t>
  </si>
  <si>
    <t>Ebing</t>
  </si>
  <si>
    <t>50.001535</t>
  </si>
  <si>
    <t>10.913846</t>
  </si>
  <si>
    <t>Ebing Raiffeisenbank</t>
  </si>
  <si>
    <t>50.008949</t>
  </si>
  <si>
    <t>10.905766</t>
  </si>
  <si>
    <t>Ebnath Ortsmitte</t>
  </si>
  <si>
    <t>49.950578</t>
  </si>
  <si>
    <t>11.940283</t>
  </si>
  <si>
    <t>Ebringen</t>
  </si>
  <si>
    <t>47.960360</t>
  </si>
  <si>
    <t>7.768180</t>
  </si>
  <si>
    <t>Ebstorf(Uelzen)</t>
  </si>
  <si>
    <t>53.017192</t>
  </si>
  <si>
    <t>10.416950</t>
  </si>
  <si>
    <t>Echem</t>
  </si>
  <si>
    <t>53.337006</t>
  </si>
  <si>
    <t>10.537198</t>
  </si>
  <si>
    <t>Eching</t>
  </si>
  <si>
    <t>48.302992</t>
  </si>
  <si>
    <t>11.616754</t>
  </si>
  <si>
    <t>Echterdingen</t>
  </si>
  <si>
    <t>48.692152</t>
  </si>
  <si>
    <t>9.169164</t>
  </si>
  <si>
    <t>Echzell</t>
  </si>
  <si>
    <t>50.389806</t>
  </si>
  <si>
    <t>8.890353</t>
  </si>
  <si>
    <t>Eckardtsleben</t>
  </si>
  <si>
    <t>51.066093</t>
  </si>
  <si>
    <t>10.682123</t>
  </si>
  <si>
    <t>Eckartsberga(Thür)</t>
  </si>
  <si>
    <t>51.107837</t>
  </si>
  <si>
    <t>11.554550</t>
  </si>
  <si>
    <t>Eckartshausen-Ilshofen</t>
  </si>
  <si>
    <t>49.152317</t>
  </si>
  <si>
    <t>9.936645</t>
  </si>
  <si>
    <t>Eckel / Eckeler Berg</t>
  </si>
  <si>
    <t>53.369201</t>
  </si>
  <si>
    <t>9.918789</t>
  </si>
  <si>
    <t>Eckernförde</t>
  </si>
  <si>
    <t>54.467600</t>
  </si>
  <si>
    <t>9.835115</t>
  </si>
  <si>
    <t>Eckersmühlen</t>
  </si>
  <si>
    <t>49.215472</t>
  </si>
  <si>
    <t>11.137947</t>
  </si>
  <si>
    <t>Eddersheim</t>
  </si>
  <si>
    <t>50.039492</t>
  </si>
  <si>
    <t>8.456741</t>
  </si>
  <si>
    <t>Edelfingen</t>
  </si>
  <si>
    <t>49.513025</t>
  </si>
  <si>
    <t>9.743113</t>
  </si>
  <si>
    <t>Edenkoben</t>
  </si>
  <si>
    <t>49.282053</t>
  </si>
  <si>
    <t>8.140620</t>
  </si>
  <si>
    <t>Edermünde-Grifte</t>
  </si>
  <si>
    <t>51.209945</t>
  </si>
  <si>
    <t>9.449033</t>
  </si>
  <si>
    <t>Edesheim(Pfalz)</t>
  </si>
  <si>
    <t>49.263736</t>
  </si>
  <si>
    <t>8.139075</t>
  </si>
  <si>
    <t>Ediger-Eller</t>
  </si>
  <si>
    <t>50.104697</t>
  </si>
  <si>
    <t>7.139598</t>
  </si>
  <si>
    <t>Edingen(Wetzlar)</t>
  </si>
  <si>
    <t>50.632362</t>
  </si>
  <si>
    <t>8.323007</t>
  </si>
  <si>
    <t>Edle Krone</t>
  </si>
  <si>
    <t>50.950015</t>
  </si>
  <si>
    <t>13.583632</t>
  </si>
  <si>
    <t>Edling</t>
  </si>
  <si>
    <t>48.058479</t>
  </si>
  <si>
    <t>12.163234</t>
  </si>
  <si>
    <t>Effelder(Thür)</t>
  </si>
  <si>
    <t>50.379875</t>
  </si>
  <si>
    <t>11.075849</t>
  </si>
  <si>
    <t>Effolderbach</t>
  </si>
  <si>
    <t>50.338192</t>
  </si>
  <si>
    <t>9.007483</t>
  </si>
  <si>
    <t>Efringen-Kirchen</t>
  </si>
  <si>
    <t>47.655619</t>
  </si>
  <si>
    <t>7.563918</t>
  </si>
  <si>
    <t>Egelsbach</t>
  </si>
  <si>
    <t>49.969113</t>
  </si>
  <si>
    <t>8.653632</t>
  </si>
  <si>
    <t>Egersdorf</t>
  </si>
  <si>
    <t>49.464638</t>
  </si>
  <si>
    <t>10.887385</t>
  </si>
  <si>
    <t>Egestorf(Deister)</t>
  </si>
  <si>
    <t>52.278585</t>
  </si>
  <si>
    <t>9.514485</t>
  </si>
  <si>
    <t>Eggenfelden</t>
  </si>
  <si>
    <t>48.403956</t>
  </si>
  <si>
    <t>12.748669</t>
  </si>
  <si>
    <t>Eggenfelden Mitte</t>
  </si>
  <si>
    <t>48.406215</t>
  </si>
  <si>
    <t>12.767068</t>
  </si>
  <si>
    <t>Eggenstein Bf</t>
  </si>
  <si>
    <t>49.075671</t>
  </si>
  <si>
    <t>8.397941</t>
  </si>
  <si>
    <t>Eggersdorf</t>
  </si>
  <si>
    <t>51.975131</t>
  </si>
  <si>
    <t>11.695948</t>
  </si>
  <si>
    <t>Eggesin</t>
  </si>
  <si>
    <t>53.681825</t>
  </si>
  <si>
    <t>14.073046</t>
  </si>
  <si>
    <t>Eggingen</t>
  </si>
  <si>
    <t>47.693731</t>
  </si>
  <si>
    <t>8.396653</t>
  </si>
  <si>
    <t>Egglkofen</t>
  </si>
  <si>
    <t>48.395762</t>
  </si>
  <si>
    <t>12.445956</t>
  </si>
  <si>
    <t>Eggmühl</t>
  </si>
  <si>
    <t>48.836497</t>
  </si>
  <si>
    <t>12.182192</t>
  </si>
  <si>
    <t>Eggolsheim</t>
  </si>
  <si>
    <t>49.774485</t>
  </si>
  <si>
    <t>11.037113</t>
  </si>
  <si>
    <t>Eglharting</t>
  </si>
  <si>
    <t>48.082348</t>
  </si>
  <si>
    <t>11.864291</t>
  </si>
  <si>
    <t>Egling</t>
  </si>
  <si>
    <t>48.190864</t>
  </si>
  <si>
    <t>10.976504</t>
  </si>
  <si>
    <t>Ehingen(Donau)</t>
  </si>
  <si>
    <t>48.285677</t>
  </si>
  <si>
    <t>9.724340</t>
  </si>
  <si>
    <t>Ehlenbruch</t>
  </si>
  <si>
    <t>51.981270</t>
  </si>
  <si>
    <t>8.741243</t>
  </si>
  <si>
    <t>Ehlershausen</t>
  </si>
  <si>
    <t>52.523609</t>
  </si>
  <si>
    <t>10.029596</t>
  </si>
  <si>
    <t>Ehningen(b Böblingen)</t>
  </si>
  <si>
    <t>48.662682</t>
  </si>
  <si>
    <t>8.944260</t>
  </si>
  <si>
    <t>Ehr</t>
  </si>
  <si>
    <t>50.175720</t>
  </si>
  <si>
    <t>7.571324</t>
  </si>
  <si>
    <t>Ehrang</t>
  </si>
  <si>
    <t>49.802029</t>
  </si>
  <si>
    <t>6.685808</t>
  </si>
  <si>
    <t>Ehrang Ort</t>
  </si>
  <si>
    <t>49.809348</t>
  </si>
  <si>
    <t>6.688324</t>
  </si>
  <si>
    <t>Ehringen</t>
  </si>
  <si>
    <t>51.379528</t>
  </si>
  <si>
    <t>9.154619</t>
  </si>
  <si>
    <t>Ehringen Mitte</t>
  </si>
  <si>
    <t>51.380755</t>
  </si>
  <si>
    <t>9.147163</t>
  </si>
  <si>
    <t>Ehringhausen(Kr Lippstadt)</t>
  </si>
  <si>
    <t>51.662813</t>
  </si>
  <si>
    <t>8.449260</t>
  </si>
  <si>
    <t>Ehringshausen(Kr Wetzlar)</t>
  </si>
  <si>
    <t>50.595066</t>
  </si>
  <si>
    <t>8.383841</t>
  </si>
  <si>
    <t>Ehringshausen(Oberhess)</t>
  </si>
  <si>
    <t>50.708780</t>
  </si>
  <si>
    <t>9.101862</t>
  </si>
  <si>
    <t>Eibau</t>
  </si>
  <si>
    <t>50.986452</t>
  </si>
  <si>
    <t>14.646055</t>
  </si>
  <si>
    <t>Eich(Sachs)</t>
  </si>
  <si>
    <t>50.545751</t>
  </si>
  <si>
    <t>12.340142</t>
  </si>
  <si>
    <t>Eichen(Kr Siegen)</t>
  </si>
  <si>
    <t>50.973864</t>
  </si>
  <si>
    <t>7.977934</t>
  </si>
  <si>
    <t>Eichenau(Oberbay)</t>
  </si>
  <si>
    <t>48.179324</t>
  </si>
  <si>
    <t>11.328277</t>
  </si>
  <si>
    <t>Eichenberg</t>
  </si>
  <si>
    <t>51.374823</t>
  </si>
  <si>
    <t>9.921482</t>
  </si>
  <si>
    <t>Eichenzell</t>
  </si>
  <si>
    <t>50.494146</t>
  </si>
  <si>
    <t>9.694439</t>
  </si>
  <si>
    <t>Eichhagen</t>
  </si>
  <si>
    <t>51.059167</t>
  </si>
  <si>
    <t>7.836871</t>
  </si>
  <si>
    <t>Eicholzheim</t>
  </si>
  <si>
    <t>49.432439</t>
  </si>
  <si>
    <t>9.290317</t>
  </si>
  <si>
    <t>Eichstätt Bahnhof</t>
  </si>
  <si>
    <t>48.869879</t>
  </si>
  <si>
    <t>11.163650</t>
  </si>
  <si>
    <t>Eichstedt(Altm)</t>
  </si>
  <si>
    <t>52.674850</t>
  </si>
  <si>
    <t>11.854895</t>
  </si>
  <si>
    <t>Eichstedt(Altm) Dorfmitte</t>
  </si>
  <si>
    <t>52.677081</t>
  </si>
  <si>
    <t>11.852415</t>
  </si>
  <si>
    <t>Eichstetten am Kaiserstuhl</t>
  </si>
  <si>
    <t>48.092901</t>
  </si>
  <si>
    <t>7.748021</t>
  </si>
  <si>
    <t>Eichwalde</t>
  </si>
  <si>
    <t>52.371352</t>
  </si>
  <si>
    <t>13.615398</t>
  </si>
  <si>
    <t>Eickendorf</t>
  </si>
  <si>
    <t>51.946755</t>
  </si>
  <si>
    <t>11.676879</t>
  </si>
  <si>
    <t>Eilenburg</t>
  </si>
  <si>
    <t>51.451851</t>
  </si>
  <si>
    <t>12.637013</t>
  </si>
  <si>
    <t>Eilenburg Ost</t>
  </si>
  <si>
    <t>51.463424</t>
  </si>
  <si>
    <t>12.667772</t>
  </si>
  <si>
    <t>Eilendorf</t>
  </si>
  <si>
    <t>50.785561</t>
  </si>
  <si>
    <t>6.154367</t>
  </si>
  <si>
    <t>Eilsleben(b Magdeburg)</t>
  </si>
  <si>
    <t>52.150237</t>
  </si>
  <si>
    <t>11.215214</t>
  </si>
  <si>
    <t>Eilvese</t>
  </si>
  <si>
    <t>52.545215</t>
  </si>
  <si>
    <t>9.428147</t>
  </si>
  <si>
    <t>Eimeldingen</t>
  </si>
  <si>
    <t>47.627948</t>
  </si>
  <si>
    <t>7.595600</t>
  </si>
  <si>
    <t>Einbeck BBS/PS-Speicher</t>
  </si>
  <si>
    <t>51.820100</t>
  </si>
  <si>
    <t>9.859710</t>
  </si>
  <si>
    <t>Einbeck Otto-Hahn-Straße</t>
  </si>
  <si>
    <t>51.814478</t>
  </si>
  <si>
    <t>9.892910</t>
  </si>
  <si>
    <t>Einfeld</t>
  </si>
  <si>
    <t>54.129373</t>
  </si>
  <si>
    <t>9.997923</t>
  </si>
  <si>
    <t>Einöd(Saar)</t>
  </si>
  <si>
    <t>49.266663</t>
  </si>
  <si>
    <t>7.321916</t>
  </si>
  <si>
    <t>Einsiedel</t>
  </si>
  <si>
    <t>50.772796</t>
  </si>
  <si>
    <t>12.973212</t>
  </si>
  <si>
    <t>Einsiedel August-Bebel-Platz</t>
  </si>
  <si>
    <t>50.767709</t>
  </si>
  <si>
    <t>12.974147</t>
  </si>
  <si>
    <t>Einsiedel Brauerei</t>
  </si>
  <si>
    <t>50.765009</t>
  </si>
  <si>
    <t>12.975884</t>
  </si>
  <si>
    <t>Einsiedel Hp Gymnasium</t>
  </si>
  <si>
    <t>50.780448</t>
  </si>
  <si>
    <t>12.971785</t>
  </si>
  <si>
    <t>Einsiedlerhof</t>
  </si>
  <si>
    <t>49.431002</t>
  </si>
  <si>
    <t>7.662227</t>
  </si>
  <si>
    <t>Eisemroth</t>
  </si>
  <si>
    <t>50.737743</t>
  </si>
  <si>
    <t>8.416049</t>
  </si>
  <si>
    <t>Eisenach Hbf</t>
  </si>
  <si>
    <t>50.976922</t>
  </si>
  <si>
    <t>10.331986</t>
  </si>
  <si>
    <t>Eisenach Opelwerke Hp</t>
  </si>
  <si>
    <t>50.979334</t>
  </si>
  <si>
    <t>10.283491</t>
  </si>
  <si>
    <t>Eisenach West</t>
  </si>
  <si>
    <t>50.978902</t>
  </si>
  <si>
    <t>10.304740</t>
  </si>
  <si>
    <t>Eisenach Westbahnhof</t>
  </si>
  <si>
    <t>50.979727</t>
  </si>
  <si>
    <t>10.302920</t>
  </si>
  <si>
    <t>Eisenärzt</t>
  </si>
  <si>
    <t>47.796273</t>
  </si>
  <si>
    <t>12.638301</t>
  </si>
  <si>
    <t>Eisenberg(Pfalz)</t>
  </si>
  <si>
    <t>49.554483</t>
  </si>
  <si>
    <t>8.070582</t>
  </si>
  <si>
    <t>Eisenheim</t>
  </si>
  <si>
    <t>49.869412</t>
  </si>
  <si>
    <t>10.153426</t>
  </si>
  <si>
    <t>Eisenhüttenstadt</t>
  </si>
  <si>
    <t>52.147980</t>
  </si>
  <si>
    <t>14.658435</t>
  </si>
  <si>
    <t>Eiserfeld(Sieg)</t>
  </si>
  <si>
    <t>50.847299</t>
  </si>
  <si>
    <t>7.987071</t>
  </si>
  <si>
    <t>Eisfeld</t>
  </si>
  <si>
    <t>50.417795</t>
  </si>
  <si>
    <t>10.904637</t>
  </si>
  <si>
    <t>Eisfelder Talmühle</t>
  </si>
  <si>
    <t>51.620408</t>
  </si>
  <si>
    <t>10.812956</t>
  </si>
  <si>
    <t>Eislingen(Fils)</t>
  </si>
  <si>
    <t>48.696594</t>
  </si>
  <si>
    <t>9.704812</t>
  </si>
  <si>
    <t>Eiswoog</t>
  </si>
  <si>
    <t>49.516578</t>
  </si>
  <si>
    <t>7.983562</t>
  </si>
  <si>
    <t>Eitensheim</t>
  </si>
  <si>
    <t>48.815979</t>
  </si>
  <si>
    <t>11.319259</t>
  </si>
  <si>
    <t>Eitorf</t>
  </si>
  <si>
    <t>50.773619</t>
  </si>
  <si>
    <t>7.447326</t>
  </si>
  <si>
    <t>Elend</t>
  </si>
  <si>
    <t>51.745970</t>
  </si>
  <si>
    <t>10.690129</t>
  </si>
  <si>
    <t>Elfershausen-Trimberg</t>
  </si>
  <si>
    <t>50.140480</t>
  </si>
  <si>
    <t>9.969109</t>
  </si>
  <si>
    <t>Elgersburg</t>
  </si>
  <si>
    <t>50.706054</t>
  </si>
  <si>
    <t>10.849905</t>
  </si>
  <si>
    <t>Ellefeld</t>
  </si>
  <si>
    <t>50.488003</t>
  </si>
  <si>
    <t>12.384382</t>
  </si>
  <si>
    <t>Ellefeld Rathaus</t>
  </si>
  <si>
    <t>50.486435</t>
  </si>
  <si>
    <t>12.391821</t>
  </si>
  <si>
    <t>Ellental</t>
  </si>
  <si>
    <t>48.955288</t>
  </si>
  <si>
    <t>9.123744</t>
  </si>
  <si>
    <t>Ellerau</t>
  </si>
  <si>
    <t>53.750144</t>
  </si>
  <si>
    <t>9.923374</t>
  </si>
  <si>
    <t>Ellhofen</t>
  </si>
  <si>
    <t>49.149952</t>
  </si>
  <si>
    <t>9.316035</t>
  </si>
  <si>
    <t>Ellingen(Bay)</t>
  </si>
  <si>
    <t>49.066228</t>
  </si>
  <si>
    <t>10.959693</t>
  </si>
  <si>
    <t>Ellrich</t>
  </si>
  <si>
    <t>51.579804</t>
  </si>
  <si>
    <t>10.669444</t>
  </si>
  <si>
    <t>Ellwangen</t>
  </si>
  <si>
    <t>48.964121</t>
  </si>
  <si>
    <t>10.129681</t>
  </si>
  <si>
    <t>Ellzee</t>
  </si>
  <si>
    <t>48.342140</t>
  </si>
  <si>
    <t>10.338371</t>
  </si>
  <si>
    <t>Elmenhorst</t>
  </si>
  <si>
    <t>54.210202</t>
  </si>
  <si>
    <t>13.074014</t>
  </si>
  <si>
    <t>Elmenhorst Schule</t>
  </si>
  <si>
    <t>54.216988</t>
  </si>
  <si>
    <t>13.067639</t>
  </si>
  <si>
    <t>Elmshorn</t>
  </si>
  <si>
    <t>53.754025</t>
  </si>
  <si>
    <t>9.659408</t>
  </si>
  <si>
    <t>Elpersheim</t>
  </si>
  <si>
    <t>49.473094</t>
  </si>
  <si>
    <t>9.873427</t>
  </si>
  <si>
    <t>Elsfleth</t>
  </si>
  <si>
    <t>53.234103</t>
  </si>
  <si>
    <t>8.464026</t>
  </si>
  <si>
    <t>Elsholz</t>
  </si>
  <si>
    <t>52.204050</t>
  </si>
  <si>
    <t>12.954911</t>
  </si>
  <si>
    <t>Elsnigk(Anh)</t>
  </si>
  <si>
    <t>51.790800</t>
  </si>
  <si>
    <t>12.059072</t>
  </si>
  <si>
    <t>Elstal</t>
  </si>
  <si>
    <t>52.547490</t>
  </si>
  <si>
    <t>13.000114</t>
  </si>
  <si>
    <t>Elster(Elbe)</t>
  </si>
  <si>
    <t>51.832331</t>
  </si>
  <si>
    <t>12.827705</t>
  </si>
  <si>
    <t>Elsterberg</t>
  </si>
  <si>
    <t>50.613547</t>
  </si>
  <si>
    <t>12.167487</t>
  </si>
  <si>
    <t>Elsterberg Gasthof Linde</t>
  </si>
  <si>
    <t>50.605310</t>
  </si>
  <si>
    <t>12.156549</t>
  </si>
  <si>
    <t>Elsterberg-Kunstseidenwerk</t>
  </si>
  <si>
    <t>50.605024</t>
  </si>
  <si>
    <t>12.159798</t>
  </si>
  <si>
    <t>Elsterwerda</t>
  </si>
  <si>
    <t>51.459677</t>
  </si>
  <si>
    <t>13.516428</t>
  </si>
  <si>
    <t>Elsterwerda-Biehla</t>
  </si>
  <si>
    <t>51.472227</t>
  </si>
  <si>
    <t>13.519271</t>
  </si>
  <si>
    <t>Eltersdorf</t>
  </si>
  <si>
    <t>49.552069</t>
  </si>
  <si>
    <t>10.996370</t>
  </si>
  <si>
    <t>Eltville</t>
  </si>
  <si>
    <t>50.027562</t>
  </si>
  <si>
    <t>8.121530</t>
  </si>
  <si>
    <t>Eltville KD</t>
  </si>
  <si>
    <t>Elxleben</t>
  </si>
  <si>
    <t>51.043183</t>
  </si>
  <si>
    <t>10.946788</t>
  </si>
  <si>
    <t>Elz(Limburg/Lahn)</t>
  </si>
  <si>
    <t>50.414294</t>
  </si>
  <si>
    <t>8.038458</t>
  </si>
  <si>
    <t>Elz(Limburg/Lahn) Mitte</t>
  </si>
  <si>
    <t>50.412728</t>
  </si>
  <si>
    <t>8.036028</t>
  </si>
  <si>
    <t>Elz(Limburg/Lahn) Süd</t>
  </si>
  <si>
    <t>50.408709</t>
  </si>
  <si>
    <t>8.032223</t>
  </si>
  <si>
    <t>Elzach</t>
  </si>
  <si>
    <t>48.171194</t>
  </si>
  <si>
    <t>8.070891</t>
  </si>
  <si>
    <t>Elze(Han)</t>
  </si>
  <si>
    <t>52.120147</t>
  </si>
  <si>
    <t>9.746894</t>
  </si>
  <si>
    <t>Emden Außenhafen</t>
  </si>
  <si>
    <t>53.344469</t>
  </si>
  <si>
    <t>7.186179</t>
  </si>
  <si>
    <t>Emden Hbf</t>
  </si>
  <si>
    <t>53.369036</t>
  </si>
  <si>
    <t>7.195176</t>
  </si>
  <si>
    <t>Emmelshausen</t>
  </si>
  <si>
    <t>50.157673</t>
  </si>
  <si>
    <t>7.560494</t>
  </si>
  <si>
    <t>Emmendingen</t>
  </si>
  <si>
    <t>48.119454</t>
  </si>
  <si>
    <t>7.847511</t>
  </si>
  <si>
    <t>Emmerich</t>
  </si>
  <si>
    <t>51.834175</t>
  </si>
  <si>
    <t>6.256480</t>
  </si>
  <si>
    <t>Emmerich(Gr)</t>
  </si>
  <si>
    <t>Emmerich-Elten</t>
  </si>
  <si>
    <t>51.874300</t>
  </si>
  <si>
    <t>6.154170</t>
  </si>
  <si>
    <t>Emmerke</t>
  </si>
  <si>
    <t>52.162365</t>
  </si>
  <si>
    <t>9.866201</t>
  </si>
  <si>
    <t>Emmerthal</t>
  </si>
  <si>
    <t>52.046413</t>
  </si>
  <si>
    <t>9.382856</t>
  </si>
  <si>
    <t>Empelde</t>
  </si>
  <si>
    <t>52.340157</t>
  </si>
  <si>
    <t>9.668982</t>
  </si>
  <si>
    <t>Empel-Rees</t>
  </si>
  <si>
    <t>51.798474</t>
  </si>
  <si>
    <t>6.416712</t>
  </si>
  <si>
    <t>Emsdetten</t>
  </si>
  <si>
    <t>52.176750</t>
  </si>
  <si>
    <t>7.531528</t>
  </si>
  <si>
    <t>Emskirchen</t>
  </si>
  <si>
    <t>49.555030</t>
  </si>
  <si>
    <t>10.710412</t>
  </si>
  <si>
    <t>Endersbach</t>
  </si>
  <si>
    <t>48.813153</t>
  </si>
  <si>
    <t>9.370228</t>
  </si>
  <si>
    <t>Endingen am Kaiserstuhl</t>
  </si>
  <si>
    <t>48.144250</t>
  </si>
  <si>
    <t>7.701918</t>
  </si>
  <si>
    <t>Endingen(Württ)</t>
  </si>
  <si>
    <t>48.257384</t>
  </si>
  <si>
    <t>8.836880</t>
  </si>
  <si>
    <t>Engeln</t>
  </si>
  <si>
    <t>50.424945</t>
  </si>
  <si>
    <t>7.156853</t>
  </si>
  <si>
    <t>Engelsdorf Paunsdorf-Center</t>
  </si>
  <si>
    <t>51.348778</t>
  </si>
  <si>
    <t>12.479233</t>
  </si>
  <si>
    <t>Engelskirchen</t>
  </si>
  <si>
    <t>50.986719</t>
  </si>
  <si>
    <t>7.407681</t>
  </si>
  <si>
    <t>Engen</t>
  </si>
  <si>
    <t>47.856347</t>
  </si>
  <si>
    <t>8.772786</t>
  </si>
  <si>
    <t>Engers</t>
  </si>
  <si>
    <t>50.425980</t>
  </si>
  <si>
    <t>7.546827</t>
  </si>
  <si>
    <t>Engertsham</t>
  </si>
  <si>
    <t>48.473918</t>
  </si>
  <si>
    <t>13.358696</t>
  </si>
  <si>
    <t>Engstingen</t>
  </si>
  <si>
    <t>48.392271</t>
  </si>
  <si>
    <t>9.292419</t>
  </si>
  <si>
    <t>Engstingen Schulzentrum</t>
  </si>
  <si>
    <t>48.383725</t>
  </si>
  <si>
    <t>9.283970</t>
  </si>
  <si>
    <t>Engstlatt</t>
  </si>
  <si>
    <t>48.297119</t>
  </si>
  <si>
    <t>8.875219</t>
  </si>
  <si>
    <t>Enkenbach</t>
  </si>
  <si>
    <t>49.489933</t>
  </si>
  <si>
    <t>7.899501</t>
  </si>
  <si>
    <t>Ennepetal</t>
  </si>
  <si>
    <t>51.304778</t>
  </si>
  <si>
    <t>7.343533</t>
  </si>
  <si>
    <t>Ensdorf(Saar)</t>
  </si>
  <si>
    <t>49.302874</t>
  </si>
  <si>
    <t>6.776015</t>
  </si>
  <si>
    <t>Enspel</t>
  </si>
  <si>
    <t>50.616413</t>
  </si>
  <si>
    <t>7.882353</t>
  </si>
  <si>
    <t>Entringen</t>
  </si>
  <si>
    <t>48.552291</t>
  </si>
  <si>
    <t>8.963007</t>
  </si>
  <si>
    <t>Enzberg</t>
  </si>
  <si>
    <t>48.933883</t>
  </si>
  <si>
    <t>8.799804</t>
  </si>
  <si>
    <t>Enzisweiler</t>
  </si>
  <si>
    <t>47.564142</t>
  </si>
  <si>
    <t>9.665429</t>
  </si>
  <si>
    <t>Epe(Westf)</t>
  </si>
  <si>
    <t>52.183462</t>
  </si>
  <si>
    <t>7.030087</t>
  </si>
  <si>
    <t>Epfenhofen</t>
  </si>
  <si>
    <t>47.822318</t>
  </si>
  <si>
    <t>8.553430</t>
  </si>
  <si>
    <t>Eppelborn</t>
  </si>
  <si>
    <t>49.408657</t>
  </si>
  <si>
    <t>6.967189</t>
  </si>
  <si>
    <t>Eppelsheim(Rheinhess)</t>
  </si>
  <si>
    <t>49.700063</t>
  </si>
  <si>
    <t>8.162882</t>
  </si>
  <si>
    <t>Eppertshausen</t>
  </si>
  <si>
    <t>49.945368</t>
  </si>
  <si>
    <t>8.842360</t>
  </si>
  <si>
    <t>Eppingen</t>
  </si>
  <si>
    <t>49.136001</t>
  </si>
  <si>
    <t>8.914663</t>
  </si>
  <si>
    <t>Eppingen West</t>
  </si>
  <si>
    <t>49.132618</t>
  </si>
  <si>
    <t>8.904556</t>
  </si>
  <si>
    <t>Eppstein</t>
  </si>
  <si>
    <t>50.139833</t>
  </si>
  <si>
    <t>8.387643</t>
  </si>
  <si>
    <t>Eppstein-Bremthal</t>
  </si>
  <si>
    <t>50.141152</t>
  </si>
  <si>
    <t>8.364353</t>
  </si>
  <si>
    <t>Erbach(Odenw)</t>
  </si>
  <si>
    <t>49.656712</t>
  </si>
  <si>
    <t>8.989827</t>
  </si>
  <si>
    <t>Erbach(Odenw) Nord</t>
  </si>
  <si>
    <t>49.669584</t>
  </si>
  <si>
    <t>8.989963</t>
  </si>
  <si>
    <t>Erbach(Rheingau)</t>
  </si>
  <si>
    <t>50.023269</t>
  </si>
  <si>
    <t>8.094646</t>
  </si>
  <si>
    <t>Erbach(Württ)</t>
  </si>
  <si>
    <t>48.325901</t>
  </si>
  <si>
    <t>9.894953</t>
  </si>
  <si>
    <t>Erbstorf</t>
  </si>
  <si>
    <t>53.272749</t>
  </si>
  <si>
    <t>10.476233</t>
  </si>
  <si>
    <t>Erbstorf Ziegelei</t>
  </si>
  <si>
    <t>53.263203</t>
  </si>
  <si>
    <t>10.463638</t>
  </si>
  <si>
    <t>Erdeborn</t>
  </si>
  <si>
    <t>51.468799</t>
  </si>
  <si>
    <t>11.636965</t>
  </si>
  <si>
    <t>Erding</t>
  </si>
  <si>
    <t>48.303460</t>
  </si>
  <si>
    <t>11.912063</t>
  </si>
  <si>
    <t>Erdmannhausen</t>
  </si>
  <si>
    <t>48.948229</t>
  </si>
  <si>
    <t>9.299405</t>
  </si>
  <si>
    <t>Erdmannsdorf Talstation</t>
  </si>
  <si>
    <t>50.820707</t>
  </si>
  <si>
    <t>13.084499</t>
  </si>
  <si>
    <t>Erdweg</t>
  </si>
  <si>
    <t>48.333744</t>
  </si>
  <si>
    <t>11.303305</t>
  </si>
  <si>
    <t>Erftstadt</t>
  </si>
  <si>
    <t>50.807093</t>
  </si>
  <si>
    <t>6.832955</t>
  </si>
  <si>
    <t>Erfurt Hbf</t>
  </si>
  <si>
    <t>50.972356</t>
  </si>
  <si>
    <t>11.037993</t>
  </si>
  <si>
    <t>Erfurt Hbf (Intercity-Hotel)</t>
  </si>
  <si>
    <t>Erfurt Nord</t>
  </si>
  <si>
    <t>51.003357</t>
  </si>
  <si>
    <t>11.029277</t>
  </si>
  <si>
    <t>Erfurt Ost</t>
  </si>
  <si>
    <t>51.014542</t>
  </si>
  <si>
    <t>11.043770</t>
  </si>
  <si>
    <t>Erfurt Ost An der Lache</t>
  </si>
  <si>
    <t>51.010052</t>
  </si>
  <si>
    <t>11.033404</t>
  </si>
  <si>
    <t>Erfurt-Bischleben</t>
  </si>
  <si>
    <t>50.933768</t>
  </si>
  <si>
    <t>10.988439</t>
  </si>
  <si>
    <t>Erfurt-Gispersleben</t>
  </si>
  <si>
    <t>51.022129</t>
  </si>
  <si>
    <t>11.000277</t>
  </si>
  <si>
    <t>Ergenzingen</t>
  </si>
  <si>
    <t>48.489534</t>
  </si>
  <si>
    <t>8.809857</t>
  </si>
  <si>
    <t>Ergoldsbach</t>
  </si>
  <si>
    <t>48.693868</t>
  </si>
  <si>
    <t>12.201874</t>
  </si>
  <si>
    <t>Eriskirch</t>
  </si>
  <si>
    <t>47.628402</t>
  </si>
  <si>
    <t>9.526672</t>
  </si>
  <si>
    <t>Erkelenz</t>
  </si>
  <si>
    <t>51.076597</t>
  </si>
  <si>
    <t>6.321634</t>
  </si>
  <si>
    <t>Erkersreuth</t>
  </si>
  <si>
    <t>50.186624</t>
  </si>
  <si>
    <t>12.141494</t>
  </si>
  <si>
    <t>Erkner</t>
  </si>
  <si>
    <t>52.427561</t>
  </si>
  <si>
    <t>13.752244</t>
  </si>
  <si>
    <t>Erkner (S)</t>
  </si>
  <si>
    <t>52.428851</t>
  </si>
  <si>
    <t>13.751758</t>
  </si>
  <si>
    <t>Erkrath</t>
  </si>
  <si>
    <t>51.220458</t>
  </si>
  <si>
    <t>6.902412</t>
  </si>
  <si>
    <t>Erkrath-Nord</t>
  </si>
  <si>
    <t>51.229278</t>
  </si>
  <si>
    <t>6.910640</t>
  </si>
  <si>
    <t>Erkrath-Nord Stadthalle</t>
  </si>
  <si>
    <t>51.224425</t>
  </si>
  <si>
    <t>6.909767</t>
  </si>
  <si>
    <t>Erla</t>
  </si>
  <si>
    <t>50.519815</t>
  </si>
  <si>
    <t>12.786940</t>
  </si>
  <si>
    <t>Erlabrunn(Erzgeb)</t>
  </si>
  <si>
    <t>50.470906</t>
  </si>
  <si>
    <t>12.720499</t>
  </si>
  <si>
    <t>Erlangen</t>
  </si>
  <si>
    <t>49.595830</t>
  </si>
  <si>
    <t>11.001638</t>
  </si>
  <si>
    <t>Erlangen Paul-Gossen-Straße</t>
  </si>
  <si>
    <t>49.579293</t>
  </si>
  <si>
    <t>10.999390</t>
  </si>
  <si>
    <t>Erlangen-Bruck</t>
  </si>
  <si>
    <t>49.569919</t>
  </si>
  <si>
    <t>10.997143</t>
  </si>
  <si>
    <t>Erlau(Sachs)</t>
  </si>
  <si>
    <t>51.008630</t>
  </si>
  <si>
    <t>12.943035</t>
  </si>
  <si>
    <t>Erlenbach(Main)</t>
  </si>
  <si>
    <t>49.803633</t>
  </si>
  <si>
    <t>9.154436</t>
  </si>
  <si>
    <t>Erndtebrück</t>
  </si>
  <si>
    <t>50.991234</t>
  </si>
  <si>
    <t>8.255317</t>
  </si>
  <si>
    <t>Ernsgaden</t>
  </si>
  <si>
    <t>48.733309</t>
  </si>
  <si>
    <t>11.573292</t>
  </si>
  <si>
    <t>Ernsthausen</t>
  </si>
  <si>
    <t>50.979590</t>
  </si>
  <si>
    <t>8.731855</t>
  </si>
  <si>
    <t>Ernstthal am Rennsteig</t>
  </si>
  <si>
    <t>50.496511</t>
  </si>
  <si>
    <t>11.164312</t>
  </si>
  <si>
    <t>Erpel(Rhein)</t>
  </si>
  <si>
    <t>50.582064</t>
  </si>
  <si>
    <t>7.241594</t>
  </si>
  <si>
    <t>Erpolzheim</t>
  </si>
  <si>
    <t>49.488326</t>
  </si>
  <si>
    <t>8.210697</t>
  </si>
  <si>
    <t>Ersingen</t>
  </si>
  <si>
    <t>48.930657</t>
  </si>
  <si>
    <t>8.638560</t>
  </si>
  <si>
    <t>Ersingen West</t>
  </si>
  <si>
    <t>48.931433</t>
  </si>
  <si>
    <t>8.633941</t>
  </si>
  <si>
    <t>Erzhausen</t>
  </si>
  <si>
    <t>49.950868</t>
  </si>
  <si>
    <t>8.650993</t>
  </si>
  <si>
    <t>Erzingen(Baden)</t>
  </si>
  <si>
    <t>47.659541</t>
  </si>
  <si>
    <t>8.430123</t>
  </si>
  <si>
    <t>Erzingen(Württ)</t>
  </si>
  <si>
    <t>48.255409</t>
  </si>
  <si>
    <t>8.815709</t>
  </si>
  <si>
    <t>Eschborn</t>
  </si>
  <si>
    <t>50.143618</t>
  </si>
  <si>
    <t>8.560971</t>
  </si>
  <si>
    <t>Eschborn Süd</t>
  </si>
  <si>
    <t>50.133563</t>
  </si>
  <si>
    <t>8.578487</t>
  </si>
  <si>
    <t>Eschede</t>
  </si>
  <si>
    <t>52.741280</t>
  </si>
  <si>
    <t>10.230844</t>
  </si>
  <si>
    <t>Eschelbronn</t>
  </si>
  <si>
    <t>49.323982</t>
  </si>
  <si>
    <t>8.867796</t>
  </si>
  <si>
    <t>Eschelbronn Post</t>
  </si>
  <si>
    <t>49.320114</t>
  </si>
  <si>
    <t>8.867862</t>
  </si>
  <si>
    <t>Eschenau(b Heilbronn)</t>
  </si>
  <si>
    <t>49.143785</t>
  </si>
  <si>
    <t>9.402735</t>
  </si>
  <si>
    <t>Eschenau(Mittelfr)</t>
  </si>
  <si>
    <t>49.575385</t>
  </si>
  <si>
    <t>11.198618</t>
  </si>
  <si>
    <t>Eschenbach(b Markt Erlbach)</t>
  </si>
  <si>
    <t>49.482234</t>
  </si>
  <si>
    <t>10.671636</t>
  </si>
  <si>
    <t>Eschenlohe</t>
  </si>
  <si>
    <t>47.601745</t>
  </si>
  <si>
    <t>11.187945</t>
  </si>
  <si>
    <t>Eschenstruth Waldhof, Helsa</t>
  </si>
  <si>
    <t>51.234681</t>
  </si>
  <si>
    <t>9.673802</t>
  </si>
  <si>
    <t>Eschenstruth, Helsa</t>
  </si>
  <si>
    <t>51.226715</t>
  </si>
  <si>
    <t>9.671738</t>
  </si>
  <si>
    <t>Escherndorf-Vogelsburg</t>
  </si>
  <si>
    <t>49.866740</t>
  </si>
  <si>
    <t>10.165791</t>
  </si>
  <si>
    <t>Eschhofen</t>
  </si>
  <si>
    <t>50.393484</t>
  </si>
  <si>
    <t>8.104429</t>
  </si>
  <si>
    <t>Eschwege-Niederhone</t>
  </si>
  <si>
    <t>51.196291</t>
  </si>
  <si>
    <t>10.008073</t>
  </si>
  <si>
    <t>Eschwege-Niederhone Am Steg</t>
  </si>
  <si>
    <t>51.197660</t>
  </si>
  <si>
    <t>10.010310</t>
  </si>
  <si>
    <t>Eschweiler Hbf</t>
  </si>
  <si>
    <t>50.813532</t>
  </si>
  <si>
    <t>6.251937</t>
  </si>
  <si>
    <t>Eschweiler Talbahnhof</t>
  </si>
  <si>
    <t>50.814759</t>
  </si>
  <si>
    <t>6.263203</t>
  </si>
  <si>
    <t>Eschweiler-Nothberg</t>
  </si>
  <si>
    <t>50.812827</t>
  </si>
  <si>
    <t>6.293846</t>
  </si>
  <si>
    <t>Eschweiler-St.Jöris</t>
  </si>
  <si>
    <t>50.834826</t>
  </si>
  <si>
    <t>6.201643</t>
  </si>
  <si>
    <t>Eschweiler-Weisweiler</t>
  </si>
  <si>
    <t>50.824174</t>
  </si>
  <si>
    <t>6.320318</t>
  </si>
  <si>
    <t>Eschweiler-West</t>
  </si>
  <si>
    <t>50.817712</t>
  </si>
  <si>
    <t>6.251721</t>
  </si>
  <si>
    <t>Esens Bahnhofstraße</t>
  </si>
  <si>
    <t>Esens ZOB</t>
  </si>
  <si>
    <t>53.646601</t>
  </si>
  <si>
    <t>7.608676</t>
  </si>
  <si>
    <t>Esens(Ostfriesl)</t>
  </si>
  <si>
    <t>53.636214</t>
  </si>
  <si>
    <t>7.616211</t>
  </si>
  <si>
    <t>Espelkamp</t>
  </si>
  <si>
    <t>52.378688</t>
  </si>
  <si>
    <t>8.613358</t>
  </si>
  <si>
    <t>Espenau-Mönchehof</t>
  </si>
  <si>
    <t>51.390674</t>
  </si>
  <si>
    <t>9.455955</t>
  </si>
  <si>
    <t>Essen Hbf</t>
  </si>
  <si>
    <t>51.451355</t>
  </si>
  <si>
    <t>7.014793</t>
  </si>
  <si>
    <t>Essen Stadtwald</t>
  </si>
  <si>
    <t>51.422853</t>
  </si>
  <si>
    <t>7.023296</t>
  </si>
  <si>
    <t>Essen Süd</t>
  </si>
  <si>
    <t>51.439295</t>
  </si>
  <si>
    <t>7.023098</t>
  </si>
  <si>
    <t>Essen West</t>
  </si>
  <si>
    <t>51.454497</t>
  </si>
  <si>
    <t>6.979798</t>
  </si>
  <si>
    <t>Essen(Oldb)</t>
  </si>
  <si>
    <t>52.723882</t>
  </si>
  <si>
    <t>7.945437</t>
  </si>
  <si>
    <t>Essen-Altenessen</t>
  </si>
  <si>
    <t>51.484370</t>
  </si>
  <si>
    <t>7.007252</t>
  </si>
  <si>
    <t>Essen-Bergeborbeck</t>
  </si>
  <si>
    <t>51.480396</t>
  </si>
  <si>
    <t>6.977111</t>
  </si>
  <si>
    <t>Essen-Borbeck</t>
  </si>
  <si>
    <t>51.473103</t>
  </si>
  <si>
    <t>6.948461</t>
  </si>
  <si>
    <t>Essen-Borbeck Süd</t>
  </si>
  <si>
    <t>51.461673</t>
  </si>
  <si>
    <t>6.953922</t>
  </si>
  <si>
    <t>Essen-Dellwig</t>
  </si>
  <si>
    <t>51.487923</t>
  </si>
  <si>
    <t>6.922269</t>
  </si>
  <si>
    <t>Essen-Dellwig Ost</t>
  </si>
  <si>
    <t>51.487604</t>
  </si>
  <si>
    <t>6.927211</t>
  </si>
  <si>
    <t>Essen-Eiberg</t>
  </si>
  <si>
    <t>51.441814</t>
  </si>
  <si>
    <t>7.109691</t>
  </si>
  <si>
    <t>Essen-Frohnhausen</t>
  </si>
  <si>
    <t>51.455113</t>
  </si>
  <si>
    <t>6.965285</t>
  </si>
  <si>
    <t>Essen-Gerschede</t>
  </si>
  <si>
    <t>51.483036</t>
  </si>
  <si>
    <t>6.943309</t>
  </si>
  <si>
    <t>Essen-Holthausen</t>
  </si>
  <si>
    <t>51.417711</t>
  </si>
  <si>
    <t>7.072649</t>
  </si>
  <si>
    <t>Essen-Hügel</t>
  </si>
  <si>
    <t>51.404517</t>
  </si>
  <si>
    <t>7.008821</t>
  </si>
  <si>
    <t>Essen-Kray Nord</t>
  </si>
  <si>
    <t>51.469430</t>
  </si>
  <si>
    <t>7.080476</t>
  </si>
  <si>
    <t>Essen-Kray Süd</t>
  </si>
  <si>
    <t>51.458055</t>
  </si>
  <si>
    <t>7.074655</t>
  </si>
  <si>
    <t>Essen-Kupferdreh</t>
  </si>
  <si>
    <t>51.390945</t>
  </si>
  <si>
    <t>7.080247</t>
  </si>
  <si>
    <t>Essen-Steele</t>
  </si>
  <si>
    <t>51.450684</t>
  </si>
  <si>
    <t>7.075552</t>
  </si>
  <si>
    <t>Essen-Steele Ost</t>
  </si>
  <si>
    <t>51.444201</t>
  </si>
  <si>
    <t>7.088561</t>
  </si>
  <si>
    <t>Essen-Überruhr</t>
  </si>
  <si>
    <t>51.428541</t>
  </si>
  <si>
    <t>7.068716</t>
  </si>
  <si>
    <t>Essen-Werden</t>
  </si>
  <si>
    <t>51.386828</t>
  </si>
  <si>
    <t>6.997845</t>
  </si>
  <si>
    <t>Essen-Zollverein Nord</t>
  </si>
  <si>
    <t>51.493609</t>
  </si>
  <si>
    <t>7.046744</t>
  </si>
  <si>
    <t>Eßleben</t>
  </si>
  <si>
    <t>49.943101</t>
  </si>
  <si>
    <t>10.085225</t>
  </si>
  <si>
    <t>Esslingen(Neckar)</t>
  </si>
  <si>
    <t>48.738545</t>
  </si>
  <si>
    <t>9.300522</t>
  </si>
  <si>
    <t>Esslingen-Mettingen</t>
  </si>
  <si>
    <t>48.747083</t>
  </si>
  <si>
    <t>9.275830</t>
  </si>
  <si>
    <t>Esslingen-Zell</t>
  </si>
  <si>
    <t>48.724328</t>
  </si>
  <si>
    <t>9.359389</t>
  </si>
  <si>
    <t>Esting</t>
  </si>
  <si>
    <t>48.212196</t>
  </si>
  <si>
    <t>11.317322</t>
  </si>
  <si>
    <t>Etelsen</t>
  </si>
  <si>
    <t>52.999203</t>
  </si>
  <si>
    <t>9.123745</t>
  </si>
  <si>
    <t>Ettenhausen</t>
  </si>
  <si>
    <t>50.874563</t>
  </si>
  <si>
    <t>10.232251</t>
  </si>
  <si>
    <t>Etterzhausen</t>
  </si>
  <si>
    <t>49.030609</t>
  </si>
  <si>
    <t>11.978031</t>
  </si>
  <si>
    <t>Ettlingen Stadt</t>
  </si>
  <si>
    <t>48.938617</t>
  </si>
  <si>
    <t>8.409106</t>
  </si>
  <si>
    <t>Ettlingen West</t>
  </si>
  <si>
    <t>48.947182</t>
  </si>
  <si>
    <t>8.387878</t>
  </si>
  <si>
    <t>Etzbach</t>
  </si>
  <si>
    <t>50.781323</t>
  </si>
  <si>
    <t>7.688659</t>
  </si>
  <si>
    <t>Etzelwang</t>
  </si>
  <si>
    <t>49.525525</t>
  </si>
  <si>
    <t>11.586408</t>
  </si>
  <si>
    <t>Etzenbach</t>
  </si>
  <si>
    <t>47.866770</t>
  </si>
  <si>
    <t>7.748889</t>
  </si>
  <si>
    <t>Etzenricht</t>
  </si>
  <si>
    <t>49.628817</t>
  </si>
  <si>
    <t>12.098291</t>
  </si>
  <si>
    <t>Etzenrot</t>
  </si>
  <si>
    <t>48.914209</t>
  </si>
  <si>
    <t>8.457623</t>
  </si>
  <si>
    <t>Etzleben</t>
  </si>
  <si>
    <t>51.258077</t>
  </si>
  <si>
    <t>11.181128</t>
  </si>
  <si>
    <t>Eubigheim</t>
  </si>
  <si>
    <t>49.501732</t>
  </si>
  <si>
    <t>9.538015</t>
  </si>
  <si>
    <t>Euerdorf</t>
  </si>
  <si>
    <t>50.149535</t>
  </si>
  <si>
    <t>10.027633</t>
  </si>
  <si>
    <t>Euskirchen</t>
  </si>
  <si>
    <t>50.657760</t>
  </si>
  <si>
    <t>6.792193</t>
  </si>
  <si>
    <t>Euskirchen Zuckerfabrik</t>
  </si>
  <si>
    <t>50.657133</t>
  </si>
  <si>
    <t>6.813240</t>
  </si>
  <si>
    <t>Euskirchen-Großbüllesheim</t>
  </si>
  <si>
    <t>50.686747</t>
  </si>
  <si>
    <t>6.816188</t>
  </si>
  <si>
    <t>Euskirchen-Kreuzweingarten</t>
  </si>
  <si>
    <t>50.613054</t>
  </si>
  <si>
    <t>6.796055</t>
  </si>
  <si>
    <t>Euskirchen-Kuchenheim</t>
  </si>
  <si>
    <t>50.655602</t>
  </si>
  <si>
    <t>6.834478</t>
  </si>
  <si>
    <t>Euskirchen-Stotzheim</t>
  </si>
  <si>
    <t>50.634199</t>
  </si>
  <si>
    <t>6.811062</t>
  </si>
  <si>
    <t>Eutin</t>
  </si>
  <si>
    <t>54.135343</t>
  </si>
  <si>
    <t>10.610123</t>
  </si>
  <si>
    <t>Eutingen im Gäu</t>
  </si>
  <si>
    <t>48.479952</t>
  </si>
  <si>
    <t>8.782236</t>
  </si>
  <si>
    <t>Eutingen Nord</t>
  </si>
  <si>
    <t>48.484700</t>
  </si>
  <si>
    <t>8.753100</t>
  </si>
  <si>
    <t>Eutingen(Baden)</t>
  </si>
  <si>
    <t>48.909846</t>
  </si>
  <si>
    <t>8.743772</t>
  </si>
  <si>
    <t>Eyach</t>
  </si>
  <si>
    <t>48.446288</t>
  </si>
  <si>
    <t>8.783101</t>
  </si>
  <si>
    <t>Eystrup</t>
  </si>
  <si>
    <t>52.783369</t>
  </si>
  <si>
    <t>9.231390</t>
  </si>
  <si>
    <t>Fachingen(Lahn)</t>
  </si>
  <si>
    <t>50.361781</t>
  </si>
  <si>
    <t>7.992566</t>
  </si>
  <si>
    <t>Fährbrücke</t>
  </si>
  <si>
    <t>50.650124</t>
  </si>
  <si>
    <t>12.619722</t>
  </si>
  <si>
    <t>Fahrenkrug</t>
  </si>
  <si>
    <t>53.943962</t>
  </si>
  <si>
    <t>10.253159</t>
  </si>
  <si>
    <t>Fahrnau</t>
  </si>
  <si>
    <t>47.661560</t>
  </si>
  <si>
    <t>7.839425</t>
  </si>
  <si>
    <t>Falkenau(Sachs)Hp</t>
  </si>
  <si>
    <t>50.854685</t>
  </si>
  <si>
    <t>13.118402</t>
  </si>
  <si>
    <t>Falkenau(Sachs)Süd</t>
  </si>
  <si>
    <t>50.849350</t>
  </si>
  <si>
    <t>13.110263</t>
  </si>
  <si>
    <t>Falkenberg(Elster)</t>
  </si>
  <si>
    <t>51.583620</t>
  </si>
  <si>
    <t>13.247685</t>
  </si>
  <si>
    <t>Falkenberg(Mark)</t>
  </si>
  <si>
    <t>52.808176</t>
  </si>
  <si>
    <t>13.959985</t>
  </si>
  <si>
    <t>Falkenberg(Mark) Ortsmitte</t>
  </si>
  <si>
    <t>52.805114</t>
  </si>
  <si>
    <t>13.958220</t>
  </si>
  <si>
    <t>Falkenhagen Gewerbepark Prignitz</t>
  </si>
  <si>
    <t>53.213765</t>
  </si>
  <si>
    <t>12.212613</t>
  </si>
  <si>
    <t>Falkensee</t>
  </si>
  <si>
    <t>52.559772</t>
  </si>
  <si>
    <t>13.089636</t>
  </si>
  <si>
    <t>Falkenstein(Vogtl)</t>
  </si>
  <si>
    <t>50.479056</t>
  </si>
  <si>
    <t>12.361094</t>
  </si>
  <si>
    <t>Fallersleben</t>
  </si>
  <si>
    <t>52.423496</t>
  </si>
  <si>
    <t>10.717325</t>
  </si>
  <si>
    <t>Fangschleuse</t>
  </si>
  <si>
    <t>52.406725</t>
  </si>
  <si>
    <t>13.824926</t>
  </si>
  <si>
    <t>Fangschleuse Tesla Süd</t>
  </si>
  <si>
    <t>52.392174</t>
  </si>
  <si>
    <t>13.796232</t>
  </si>
  <si>
    <t>Farchant</t>
  </si>
  <si>
    <t>47.530970</t>
  </si>
  <si>
    <t>11.114860</t>
  </si>
  <si>
    <t>Fasanenpark</t>
  </si>
  <si>
    <t>48.079713</t>
  </si>
  <si>
    <t>11.609378</t>
  </si>
  <si>
    <t>Faulbach(Main)</t>
  </si>
  <si>
    <t>49.786932</t>
  </si>
  <si>
    <t>9.437614</t>
  </si>
  <si>
    <t>Faurndau</t>
  </si>
  <si>
    <t>48.710807</t>
  </si>
  <si>
    <t>9.616047</t>
  </si>
  <si>
    <t>Favoritepark</t>
  </si>
  <si>
    <t>48.909209</t>
  </si>
  <si>
    <t>9.180233</t>
  </si>
  <si>
    <t>Fehmarn-Burg</t>
  </si>
  <si>
    <t>54.443591</t>
  </si>
  <si>
    <t>11.188980</t>
  </si>
  <si>
    <t>Fehrbellin Brücke</t>
  </si>
  <si>
    <t>52.815989</t>
  </si>
  <si>
    <t>12.765162</t>
  </si>
  <si>
    <t>Fehrbellin Marnholz</t>
  </si>
  <si>
    <t>52.807357</t>
  </si>
  <si>
    <t>12.782461</t>
  </si>
  <si>
    <t>Fehrbellin Post</t>
  </si>
  <si>
    <t>52.811519</t>
  </si>
  <si>
    <t>12.771809</t>
  </si>
  <si>
    <t>Fehrbellin Rathaus</t>
  </si>
  <si>
    <t>52.815412</t>
  </si>
  <si>
    <t>12.766940</t>
  </si>
  <si>
    <t>Feilitzsch</t>
  </si>
  <si>
    <t>50.364324</t>
  </si>
  <si>
    <t>11.934034</t>
  </si>
  <si>
    <t>Feldafing</t>
  </si>
  <si>
    <t>47.946938</t>
  </si>
  <si>
    <t>11.290224</t>
  </si>
  <si>
    <t>Feldberg(Meckl)</t>
  </si>
  <si>
    <t>53.330754</t>
  </si>
  <si>
    <t>13.431271</t>
  </si>
  <si>
    <t>Felde</t>
  </si>
  <si>
    <t>54.309847</t>
  </si>
  <si>
    <t>9.947018</t>
  </si>
  <si>
    <t>Feldhausen</t>
  </si>
  <si>
    <t>51.614953</t>
  </si>
  <si>
    <t>6.973216</t>
  </si>
  <si>
    <t>Feldkirchen(b München)</t>
  </si>
  <si>
    <t>48.151846</t>
  </si>
  <si>
    <t>11.732103</t>
  </si>
  <si>
    <t>Feldolling</t>
  </si>
  <si>
    <t>47.895336</t>
  </si>
  <si>
    <t>11.852244</t>
  </si>
  <si>
    <t>Fellbach</t>
  </si>
  <si>
    <t>48.820298</t>
  </si>
  <si>
    <t>9.270599</t>
  </si>
  <si>
    <t>Felsberg-Altenbrunslar</t>
  </si>
  <si>
    <t>51.165227</t>
  </si>
  <si>
    <t>9.445462</t>
  </si>
  <si>
    <t>Felsberg-Gensungen</t>
  </si>
  <si>
    <t>51.131122</t>
  </si>
  <si>
    <t>9.435630</t>
  </si>
  <si>
    <t>Felsberg-Wolfershausen</t>
  </si>
  <si>
    <t>51.186552</t>
  </si>
  <si>
    <t>9.450060</t>
  </si>
  <si>
    <t>Ferch-Lienewitz</t>
  </si>
  <si>
    <t>52.303553</t>
  </si>
  <si>
    <t>12.964073</t>
  </si>
  <si>
    <t>Ferdinandshof</t>
  </si>
  <si>
    <t>53.660087</t>
  </si>
  <si>
    <t>13.881913</t>
  </si>
  <si>
    <t>Fermerswalde</t>
  </si>
  <si>
    <t>51.642998</t>
  </si>
  <si>
    <t>13.173589</t>
  </si>
  <si>
    <t>Fermerswalde Berg</t>
  </si>
  <si>
    <t>51.643242</t>
  </si>
  <si>
    <t>13.178446</t>
  </si>
  <si>
    <t>Ferndorf(Siegen)</t>
  </si>
  <si>
    <t>50.959453</t>
  </si>
  <si>
    <t>8.009227</t>
  </si>
  <si>
    <t>Feucht Ost</t>
  </si>
  <si>
    <t>49.376032</t>
  </si>
  <si>
    <t>11.220502</t>
  </si>
  <si>
    <t>Feucht-Moosbach</t>
  </si>
  <si>
    <t>49.387913</t>
  </si>
  <si>
    <t>11.260901</t>
  </si>
  <si>
    <t>Feudingen</t>
  </si>
  <si>
    <t>50.940797</t>
  </si>
  <si>
    <t>8.329337</t>
  </si>
  <si>
    <t>Fichtenberg</t>
  </si>
  <si>
    <t>48.987346</t>
  </si>
  <si>
    <t>9.700763</t>
  </si>
  <si>
    <t>Filderstadt</t>
  </si>
  <si>
    <t>48.676493</t>
  </si>
  <si>
    <t>9.217709</t>
  </si>
  <si>
    <t>Filsen</t>
  </si>
  <si>
    <t>50.239009</t>
  </si>
  <si>
    <t>7.583393</t>
  </si>
  <si>
    <t>Finkenheerd</t>
  </si>
  <si>
    <t>52.249419</t>
  </si>
  <si>
    <t>14.569595</t>
  </si>
  <si>
    <t>Finkenkrug</t>
  </si>
  <si>
    <t>52.569663</t>
  </si>
  <si>
    <t>13.051255</t>
  </si>
  <si>
    <t>Finnentrop</t>
  </si>
  <si>
    <t>51.173048</t>
  </si>
  <si>
    <t>7.964563</t>
  </si>
  <si>
    <t>Finningerstraße</t>
  </si>
  <si>
    <t>48.389993</t>
  </si>
  <si>
    <t>10.026228</t>
  </si>
  <si>
    <t>Finsterwald</t>
  </si>
  <si>
    <t>47.752887</t>
  </si>
  <si>
    <t>11.728178</t>
  </si>
  <si>
    <t>Finsterwalde(Niederlausitz)</t>
  </si>
  <si>
    <t>51.637001</t>
  </si>
  <si>
    <t>13.710388</t>
  </si>
  <si>
    <t>Fischach(Schwab) Bf</t>
  </si>
  <si>
    <t>48.292023</t>
  </si>
  <si>
    <t>10.653901</t>
  </si>
  <si>
    <t>Fischbach(Nürnberg)</t>
  </si>
  <si>
    <t>49.413340</t>
  </si>
  <si>
    <t>11.174070</t>
  </si>
  <si>
    <t>Fischbachau</t>
  </si>
  <si>
    <t>47.705654</t>
  </si>
  <si>
    <t>11.933540</t>
  </si>
  <si>
    <t>Fischbach-Camphausen</t>
  </si>
  <si>
    <t>49.304744</t>
  </si>
  <si>
    <t>7.031132</t>
  </si>
  <si>
    <t>Fischbach-Weierbach</t>
  </si>
  <si>
    <t>49.738901</t>
  </si>
  <si>
    <t>7.404671</t>
  </si>
  <si>
    <t>Fischen</t>
  </si>
  <si>
    <t>47.456591</t>
  </si>
  <si>
    <t>10.271717</t>
  </si>
  <si>
    <t>Fischhaus</t>
  </si>
  <si>
    <t>48.655403</t>
  </si>
  <si>
    <t>13.440826</t>
  </si>
  <si>
    <t>Fischhausen-Neuhaus</t>
  </si>
  <si>
    <t>47.706260</t>
  </si>
  <si>
    <t>11.873281</t>
  </si>
  <si>
    <t>Fladungen</t>
  </si>
  <si>
    <t>50.519551</t>
  </si>
  <si>
    <t>10.150691</t>
  </si>
  <si>
    <t>Flechtingen</t>
  </si>
  <si>
    <t>52.347968</t>
  </si>
  <si>
    <t>11.261352</t>
  </si>
  <si>
    <t>Fleetmark</t>
  </si>
  <si>
    <t>52.790802</t>
  </si>
  <si>
    <t>11.378693</t>
  </si>
  <si>
    <t>Flehingen</t>
  </si>
  <si>
    <t>49.084595</t>
  </si>
  <si>
    <t>8.782727</t>
  </si>
  <si>
    <t>Flensburg</t>
  </si>
  <si>
    <t>54.774039</t>
  </si>
  <si>
    <t>9.436526</t>
  </si>
  <si>
    <t>Flensburg(Gr)</t>
  </si>
  <si>
    <t>Flensburg-Weiche</t>
  </si>
  <si>
    <t>54.757919</t>
  </si>
  <si>
    <t>9.398257</t>
  </si>
  <si>
    <t>Flieden</t>
  </si>
  <si>
    <t>50.421770</t>
  </si>
  <si>
    <t>9.577568</t>
  </si>
  <si>
    <t>Flintbek</t>
  </si>
  <si>
    <t>54.243349</t>
  </si>
  <si>
    <t>10.062913</t>
  </si>
  <si>
    <t>Flintsbach</t>
  </si>
  <si>
    <t>47.724252</t>
  </si>
  <si>
    <t>12.128024</t>
  </si>
  <si>
    <t>Flöha</t>
  </si>
  <si>
    <t>50.854355</t>
  </si>
  <si>
    <t>13.075152</t>
  </si>
  <si>
    <t>Flöha-Plaue</t>
  </si>
  <si>
    <t>50.844489</t>
  </si>
  <si>
    <t>13.085007</t>
  </si>
  <si>
    <t>Flomersheim</t>
  </si>
  <si>
    <t>49.513958</t>
  </si>
  <si>
    <t>8.333801</t>
  </si>
  <si>
    <t>Flörsheim(Main)</t>
  </si>
  <si>
    <t>50.017211</t>
  </si>
  <si>
    <t>8.431013</t>
  </si>
  <si>
    <t>Floßmühle</t>
  </si>
  <si>
    <t>50.758757</t>
  </si>
  <si>
    <t>13.181082</t>
  </si>
  <si>
    <t>Flughafen BER</t>
  </si>
  <si>
    <t>52.364804</t>
  </si>
  <si>
    <t>13.511950</t>
  </si>
  <si>
    <t>Flughafen BER (S-Bahn)</t>
  </si>
  <si>
    <t>52.364843</t>
  </si>
  <si>
    <t>13.511918</t>
  </si>
  <si>
    <t>Fohrde</t>
  </si>
  <si>
    <t>52.484148</t>
  </si>
  <si>
    <t>12.462820</t>
  </si>
  <si>
    <t>Fohrde Dorf</t>
  </si>
  <si>
    <t>52.483391</t>
  </si>
  <si>
    <t>12.471368</t>
  </si>
  <si>
    <t>Föhren</t>
  </si>
  <si>
    <t>49.857099</t>
  </si>
  <si>
    <t>6.767531</t>
  </si>
  <si>
    <t>Forbach(fr)</t>
  </si>
  <si>
    <t>49.214087</t>
  </si>
  <si>
    <t>6.944314</t>
  </si>
  <si>
    <t>Forbach(Schwarzw)</t>
  </si>
  <si>
    <t>48.680399</t>
  </si>
  <si>
    <t>8.361491</t>
  </si>
  <si>
    <t>Förbau</t>
  </si>
  <si>
    <t>50.207519</t>
  </si>
  <si>
    <t>11.910685</t>
  </si>
  <si>
    <t>Forchheim Nord</t>
  </si>
  <si>
    <t>49.732200</t>
  </si>
  <si>
    <t>11.064400</t>
  </si>
  <si>
    <t>Forchheim(b Karlsruhe)</t>
  </si>
  <si>
    <t>48.964785</t>
  </si>
  <si>
    <t>8.338934</t>
  </si>
  <si>
    <t>Förderstedt</t>
  </si>
  <si>
    <t>51.903517</t>
  </si>
  <si>
    <t>11.633757</t>
  </si>
  <si>
    <t>Fornsbach</t>
  </si>
  <si>
    <t>48.975445</t>
  </si>
  <si>
    <t>9.642498</t>
  </si>
  <si>
    <t>Forst(Gr)</t>
  </si>
  <si>
    <t>Forst(Lausitz)</t>
  </si>
  <si>
    <t>51.738882</t>
  </si>
  <si>
    <t>14.637628</t>
  </si>
  <si>
    <t>Forsthaus</t>
  </si>
  <si>
    <t>51.303412</t>
  </si>
  <si>
    <t>6.503498</t>
  </si>
  <si>
    <t>Forsthaus bei Tilzow</t>
  </si>
  <si>
    <t>54.381315</t>
  </si>
  <si>
    <t>13.423171</t>
  </si>
  <si>
    <t>Forsting</t>
  </si>
  <si>
    <t>48.081864</t>
  </si>
  <si>
    <t>12.091448</t>
  </si>
  <si>
    <t>Forth</t>
  </si>
  <si>
    <t>49.591698</t>
  </si>
  <si>
    <t>11.221457</t>
  </si>
  <si>
    <t>Förtha(Eisenach)</t>
  </si>
  <si>
    <t>50.938853</t>
  </si>
  <si>
    <t>10.262007</t>
  </si>
  <si>
    <t>Förtschendorf</t>
  </si>
  <si>
    <t>50.392901</t>
  </si>
  <si>
    <t>11.350128</t>
  </si>
  <si>
    <t>Frahelsbruck</t>
  </si>
  <si>
    <t>49.191145</t>
  </si>
  <si>
    <t>13.027454</t>
  </si>
  <si>
    <t>Frankenberg(Eder)</t>
  </si>
  <si>
    <t>51.054565</t>
  </si>
  <si>
    <t>8.789181</t>
  </si>
  <si>
    <t>Frankenberg(Sachs)</t>
  </si>
  <si>
    <t>50.911233</t>
  </si>
  <si>
    <t>13.043191</t>
  </si>
  <si>
    <t>Frankenberg(Sachs) Süd</t>
  </si>
  <si>
    <t>50.902784</t>
  </si>
  <si>
    <t>13.036378</t>
  </si>
  <si>
    <t>Frankenberg-Goßberg</t>
  </si>
  <si>
    <t>51.064998</t>
  </si>
  <si>
    <t>8.799326</t>
  </si>
  <si>
    <t>Frankenberg-Viermünden</t>
  </si>
  <si>
    <t>51.100937</t>
  </si>
  <si>
    <t>8.833070</t>
  </si>
  <si>
    <t>Frankeneck</t>
  </si>
  <si>
    <t>49.375021</t>
  </si>
  <si>
    <t>8.049631</t>
  </si>
  <si>
    <t>Frankenstein(Pfalz)</t>
  </si>
  <si>
    <t>49.438867</t>
  </si>
  <si>
    <t>7.969802</t>
  </si>
  <si>
    <t>Frankenstein(Sachs)</t>
  </si>
  <si>
    <t>50.902921</t>
  </si>
  <si>
    <t>13.228467</t>
  </si>
  <si>
    <t>Frankenthal Hbf</t>
  </si>
  <si>
    <t>49.535567</t>
  </si>
  <si>
    <t>8.349702</t>
  </si>
  <si>
    <t>Frankenthal Süd</t>
  </si>
  <si>
    <t>49.522649</t>
  </si>
  <si>
    <t>8.349558</t>
  </si>
  <si>
    <t>Frankfurt am Main - Stadion</t>
  </si>
  <si>
    <t>50.068228</t>
  </si>
  <si>
    <t>8.633247</t>
  </si>
  <si>
    <t>Frankfurt(M) Flughafen Fernbf</t>
  </si>
  <si>
    <t>50.053167</t>
  </si>
  <si>
    <t>8.570185</t>
  </si>
  <si>
    <t>Frankfurt(M)Flughafen</t>
  </si>
  <si>
    <t>50.051209</t>
  </si>
  <si>
    <t>8.570971</t>
  </si>
  <si>
    <t>Frankfurt(M)Hauptwache</t>
  </si>
  <si>
    <t>50.113926</t>
  </si>
  <si>
    <t>8.678947</t>
  </si>
  <si>
    <t>Frankfurt(M)Konstablerwache</t>
  </si>
  <si>
    <t>50.114623</t>
  </si>
  <si>
    <t>8.687098</t>
  </si>
  <si>
    <t>Frankfurt(M)Lokalbahnhof</t>
  </si>
  <si>
    <t>50.102171</t>
  </si>
  <si>
    <t>8.693025</t>
  </si>
  <si>
    <t>Frankfurt(M)Taunusanlage</t>
  </si>
  <si>
    <t>50.113565</t>
  </si>
  <si>
    <t>8.668864</t>
  </si>
  <si>
    <t>Frankfurt(Main) Bockenheimer Warte (SEV)</t>
  </si>
  <si>
    <t>Frankfurt(Main) Stresemannallee/Mörfelder Landstr</t>
  </si>
  <si>
    <t>50.089204</t>
  </si>
  <si>
    <t>8.671591</t>
  </si>
  <si>
    <t>Frankfurt(Main)-Gateway Gardens</t>
  </si>
  <si>
    <t>50.056574</t>
  </si>
  <si>
    <t>8.594495</t>
  </si>
  <si>
    <t>50.107145</t>
  </si>
  <si>
    <t>8.663789</t>
  </si>
  <si>
    <t>Frankfurt(Main)Messe</t>
  </si>
  <si>
    <t>50.111736</t>
  </si>
  <si>
    <t>8.643518</t>
  </si>
  <si>
    <t>Frankfurt(Main)Ost</t>
  </si>
  <si>
    <t>50.112574</t>
  </si>
  <si>
    <t>8.708640</t>
  </si>
  <si>
    <t>Frankfurt(Main)West</t>
  </si>
  <si>
    <t>50.119299</t>
  </si>
  <si>
    <t>8.639395</t>
  </si>
  <si>
    <t>Frankfurt(O) Rosengarten Lindenplatz</t>
  </si>
  <si>
    <t>52.341076</t>
  </si>
  <si>
    <t>14.471868</t>
  </si>
  <si>
    <t>Frankfurt(Oder)</t>
  </si>
  <si>
    <t>52.336416</t>
  </si>
  <si>
    <t>14.546496</t>
  </si>
  <si>
    <t>Frankfurt(Oder) Bahnhof</t>
  </si>
  <si>
    <t>Frankfurt(Oder) Kleist Forum</t>
  </si>
  <si>
    <t>Frankfurt(Oder)(Gr)</t>
  </si>
  <si>
    <t>Frankfurt(Oder)-Neuberesinchen</t>
  </si>
  <si>
    <t>52.322329</t>
  </si>
  <si>
    <t>14.546050</t>
  </si>
  <si>
    <t>Frankfurt(Oder)-Rosengarten</t>
  </si>
  <si>
    <t>52.337769</t>
  </si>
  <si>
    <t>14.472631</t>
  </si>
  <si>
    <t>Frankfurt-Berkersheim</t>
  </si>
  <si>
    <t>50.176486</t>
  </si>
  <si>
    <t>8.697827</t>
  </si>
  <si>
    <t>Frankfurt-Eschersheim</t>
  </si>
  <si>
    <t>50.158298</t>
  </si>
  <si>
    <t>8.655210</t>
  </si>
  <si>
    <t>Frankfurt-Frankfurter Berg</t>
  </si>
  <si>
    <t>50.170224</t>
  </si>
  <si>
    <t>8.676557</t>
  </si>
  <si>
    <t>Frankfurt-Ginnheim</t>
  </si>
  <si>
    <t>50.142999</t>
  </si>
  <si>
    <t>8.643140</t>
  </si>
  <si>
    <t>Frankfurt-Griesheim</t>
  </si>
  <si>
    <t>50.094334</t>
  </si>
  <si>
    <t>8.606394</t>
  </si>
  <si>
    <t>Frankfurt-Höchst Farbwerke</t>
  </si>
  <si>
    <t>50.098453</t>
  </si>
  <si>
    <t>8.528320</t>
  </si>
  <si>
    <t>Frankfurt-Louisa</t>
  </si>
  <si>
    <t>50.083956</t>
  </si>
  <si>
    <t>8.670369</t>
  </si>
  <si>
    <t>Frankfurt-Nied</t>
  </si>
  <si>
    <t>50.102519</t>
  </si>
  <si>
    <t>8.570734</t>
  </si>
  <si>
    <t>Frankfurt-Rödelheim</t>
  </si>
  <si>
    <t>50.124615</t>
  </si>
  <si>
    <t>8.607026</t>
  </si>
  <si>
    <t>Frankfurt-Sindlingen</t>
  </si>
  <si>
    <t>50.087497</t>
  </si>
  <si>
    <t>8.512259</t>
  </si>
  <si>
    <t>Frankfurt-Sossenheim</t>
  </si>
  <si>
    <t>50.115074</t>
  </si>
  <si>
    <t>8.553526</t>
  </si>
  <si>
    <t>Frankfurt-Unterliederbach</t>
  </si>
  <si>
    <t>50.107963</t>
  </si>
  <si>
    <t>8.527994</t>
  </si>
  <si>
    <t>Frankfurt-Zeilsheim</t>
  </si>
  <si>
    <t>50.090124</t>
  </si>
  <si>
    <t>8.506011</t>
  </si>
  <si>
    <t>Frankleben</t>
  </si>
  <si>
    <t>51.309561</t>
  </si>
  <si>
    <t>11.937582</t>
  </si>
  <si>
    <t>Frauenalb-Schielberg</t>
  </si>
  <si>
    <t>48.837294</t>
  </si>
  <si>
    <t>8.440492</t>
  </si>
  <si>
    <t>Frauenau</t>
  </si>
  <si>
    <t>48.987653</t>
  </si>
  <si>
    <t>13.300048</t>
  </si>
  <si>
    <t>Frauenhain</t>
  </si>
  <si>
    <t>51.384223</t>
  </si>
  <si>
    <t>13.503636</t>
  </si>
  <si>
    <t>Frechen-Königsdorf</t>
  </si>
  <si>
    <t>50.936501</t>
  </si>
  <si>
    <t>6.777846</t>
  </si>
  <si>
    <t>Freckleben</t>
  </si>
  <si>
    <t>51.702365</t>
  </si>
  <si>
    <t>11.544130</t>
  </si>
  <si>
    <t>Freden(Leine)</t>
  </si>
  <si>
    <t>51.927787</t>
  </si>
  <si>
    <t>9.899006</t>
  </si>
  <si>
    <t>Fredenbeck</t>
  </si>
  <si>
    <t>53.516826</t>
  </si>
  <si>
    <t>9.397044</t>
  </si>
  <si>
    <t>Fredersdorf(b Berlin)</t>
  </si>
  <si>
    <t>52.526212</t>
  </si>
  <si>
    <t>13.760628</t>
  </si>
  <si>
    <t>Freiberg(Neckar)</t>
  </si>
  <si>
    <t>48.930107</t>
  </si>
  <si>
    <t>9.197796</t>
  </si>
  <si>
    <t>Freiberg(Sachs)</t>
  </si>
  <si>
    <t>50.908725</t>
  </si>
  <si>
    <t>13.344141</t>
  </si>
  <si>
    <t>Freiburg Klinikum</t>
  </si>
  <si>
    <t>48.005562</t>
  </si>
  <si>
    <t>7.842755</t>
  </si>
  <si>
    <t>Freiburg Messe/Universität</t>
  </si>
  <si>
    <t>48.012918</t>
  </si>
  <si>
    <t>7.832668</t>
  </si>
  <si>
    <t>Freiburg-Herdern</t>
  </si>
  <si>
    <t>48.008237</t>
  </si>
  <si>
    <t>7.850973</t>
  </si>
  <si>
    <t>Freiburg-Landwasser</t>
  </si>
  <si>
    <t>48.028800</t>
  </si>
  <si>
    <t>7.810860</t>
  </si>
  <si>
    <t>Freiburg-Littenweiler</t>
  </si>
  <si>
    <t>47.981672</t>
  </si>
  <si>
    <t>7.895133</t>
  </si>
  <si>
    <t>Freiburg-St Georgen</t>
  </si>
  <si>
    <t>47.975496</t>
  </si>
  <si>
    <t>7.803006</t>
  </si>
  <si>
    <t>Freiburg-Wiehre</t>
  </si>
  <si>
    <t>47.982413</t>
  </si>
  <si>
    <t>7.854127</t>
  </si>
  <si>
    <t>Freiburg-Zähringen</t>
  </si>
  <si>
    <t>48.024363</t>
  </si>
  <si>
    <t>7.863734</t>
  </si>
  <si>
    <t>Freienohl</t>
  </si>
  <si>
    <t>51.366422</t>
  </si>
  <si>
    <t>8.169484</t>
  </si>
  <si>
    <t>Freienorla</t>
  </si>
  <si>
    <t>50.771382</t>
  </si>
  <si>
    <t>11.540139</t>
  </si>
  <si>
    <t>Freihalden</t>
  </si>
  <si>
    <t>48.384704</t>
  </si>
  <si>
    <t>10.502200</t>
  </si>
  <si>
    <t>Freihöls</t>
  </si>
  <si>
    <t>49.401538</t>
  </si>
  <si>
    <t>12.019355</t>
  </si>
  <si>
    <t>Freihung</t>
  </si>
  <si>
    <t>49.627221</t>
  </si>
  <si>
    <t>11.902879</t>
  </si>
  <si>
    <t>Freilassing</t>
  </si>
  <si>
    <t>47.836916</t>
  </si>
  <si>
    <t>12.977193</t>
  </si>
  <si>
    <t>Freilassing Salzburger Platz</t>
  </si>
  <si>
    <t>47.840935</t>
  </si>
  <si>
    <t>12.982927</t>
  </si>
  <si>
    <t>Freilassing-Hofham</t>
  </si>
  <si>
    <t>47.831196</t>
  </si>
  <si>
    <t>12.968277</t>
  </si>
  <si>
    <t>Freimersheim(Rheinh)</t>
  </si>
  <si>
    <t>49.710777</t>
  </si>
  <si>
    <t>8.086508</t>
  </si>
  <si>
    <t>Freinsheim</t>
  </si>
  <si>
    <t>49.501493</t>
  </si>
  <si>
    <t>8.205192</t>
  </si>
  <si>
    <t>Freising</t>
  </si>
  <si>
    <t>48.395195</t>
  </si>
  <si>
    <t>11.744539</t>
  </si>
  <si>
    <t>Freital-Coßmannsdorf</t>
  </si>
  <si>
    <t>50.976876</t>
  </si>
  <si>
    <t>13.624952</t>
  </si>
  <si>
    <t>Freital-Deuben</t>
  </si>
  <si>
    <t>50.999358</t>
  </si>
  <si>
    <t>13.646432</t>
  </si>
  <si>
    <t>Freital-Hainsberg</t>
  </si>
  <si>
    <t>50.988898</t>
  </si>
  <si>
    <t>13.637938</t>
  </si>
  <si>
    <t>Freital-Hainsberg West</t>
  </si>
  <si>
    <t>50.981083</t>
  </si>
  <si>
    <t>13.622714</t>
  </si>
  <si>
    <t>Freital-Potschappel</t>
  </si>
  <si>
    <t>51.013894</t>
  </si>
  <si>
    <t>13.662552</t>
  </si>
  <si>
    <t>Frellstedt</t>
  </si>
  <si>
    <t>52.213749</t>
  </si>
  <si>
    <t>10.909994</t>
  </si>
  <si>
    <t>Frelsdorf</t>
  </si>
  <si>
    <t>53.501305</t>
  </si>
  <si>
    <t>8.901283</t>
  </si>
  <si>
    <t>Fremdingen Bf</t>
  </si>
  <si>
    <t>48.971278</t>
  </si>
  <si>
    <t>10.460287</t>
  </si>
  <si>
    <t>Fremersdorf</t>
  </si>
  <si>
    <t>49.409926</t>
  </si>
  <si>
    <t>6.647942</t>
  </si>
  <si>
    <t>Frenz</t>
  </si>
  <si>
    <t>51.749194</t>
  </si>
  <si>
    <t>11.898933</t>
  </si>
  <si>
    <t>Fresenburg</t>
  </si>
  <si>
    <t>53.842599</t>
  </si>
  <si>
    <t>10.390584</t>
  </si>
  <si>
    <t>Fretzdorf</t>
  </si>
  <si>
    <t>53.065105</t>
  </si>
  <si>
    <t>12.545846</t>
  </si>
  <si>
    <t>Fretzdorf Dorf</t>
  </si>
  <si>
    <t>53.066024</t>
  </si>
  <si>
    <t>12.551544</t>
  </si>
  <si>
    <t>Freudenberg-Kirschfurt</t>
  </si>
  <si>
    <t>49.743755</t>
  </si>
  <si>
    <t>9.317981</t>
  </si>
  <si>
    <t>Freudenstadt Hbf</t>
  </si>
  <si>
    <t>48.460322</t>
  </si>
  <si>
    <t>8.428803</t>
  </si>
  <si>
    <t>Freudenstadt Industriegebiet</t>
  </si>
  <si>
    <t>48.464967</t>
  </si>
  <si>
    <t>8.434941</t>
  </si>
  <si>
    <t>Freudenstadt Schulzentrum</t>
  </si>
  <si>
    <t>48.467406</t>
  </si>
  <si>
    <t>8.421419</t>
  </si>
  <si>
    <t>Freudenstadt Stadt</t>
  </si>
  <si>
    <t>48.467566</t>
  </si>
  <si>
    <t>8.410694</t>
  </si>
  <si>
    <t>Freusburg Siedlung</t>
  </si>
  <si>
    <t>50.815983</t>
  </si>
  <si>
    <t>7.897253</t>
  </si>
  <si>
    <t>Freyburg(Unstrut)</t>
  </si>
  <si>
    <t>51.209079</t>
  </si>
  <si>
    <t>11.767313</t>
  </si>
  <si>
    <t>Freyung Bf</t>
  </si>
  <si>
    <t>48.802843</t>
  </si>
  <si>
    <t>13.548351</t>
  </si>
  <si>
    <t>Frickenhausen</t>
  </si>
  <si>
    <t>48.595369</t>
  </si>
  <si>
    <t>9.358010</t>
  </si>
  <si>
    <t>Frickenhausen Kelterstraße</t>
  </si>
  <si>
    <t>48.592057</t>
  </si>
  <si>
    <t>9.364479</t>
  </si>
  <si>
    <t>Frickhofen</t>
  </si>
  <si>
    <t>50.504908</t>
  </si>
  <si>
    <t>8.030676</t>
  </si>
  <si>
    <t>Fridingen(b Tuttlingen)</t>
  </si>
  <si>
    <t>48.031822</t>
  </si>
  <si>
    <t>8.936060</t>
  </si>
  <si>
    <t>Fridolfing</t>
  </si>
  <si>
    <t>47.984203</t>
  </si>
  <si>
    <t>12.799689</t>
  </si>
  <si>
    <t>Friedberg Süd</t>
  </si>
  <si>
    <t>50.320279</t>
  </si>
  <si>
    <t>8.747646</t>
  </si>
  <si>
    <t>Friedberg(Augsburg)</t>
  </si>
  <si>
    <t>48.352043</t>
  </si>
  <si>
    <t>10.982487</t>
  </si>
  <si>
    <t>Friedberg(Hess)</t>
  </si>
  <si>
    <t>50.332606</t>
  </si>
  <si>
    <t>8.762056</t>
  </si>
  <si>
    <t>Friedelhausen</t>
  </si>
  <si>
    <t>50.671607</t>
  </si>
  <si>
    <t>8.710961</t>
  </si>
  <si>
    <t>Friedensdorf(Lahn)</t>
  </si>
  <si>
    <t>50.857459</t>
  </si>
  <si>
    <t>8.560747</t>
  </si>
  <si>
    <t>Friedersdorf(Königs Wusterhausen)</t>
  </si>
  <si>
    <t>52.289563</t>
  </si>
  <si>
    <t>13.786518</t>
  </si>
  <si>
    <t>Friedewald(Kr Dresden) Bad</t>
  </si>
  <si>
    <t>51.137948</t>
  </si>
  <si>
    <t>13.662422</t>
  </si>
  <si>
    <t>Friedewald(Kr Dresden)Hp</t>
  </si>
  <si>
    <t>51.131301</t>
  </si>
  <si>
    <t>13.651873</t>
  </si>
  <si>
    <t>Friedland(Han)</t>
  </si>
  <si>
    <t>51.421562</t>
  </si>
  <si>
    <t>9.914746</t>
  </si>
  <si>
    <t>Friedrich Wilhelmshütte</t>
  </si>
  <si>
    <t>50.802044</t>
  </si>
  <si>
    <t>7.159382</t>
  </si>
  <si>
    <t>Friedrichroda</t>
  </si>
  <si>
    <t>50.862151</t>
  </si>
  <si>
    <t>10.576685</t>
  </si>
  <si>
    <t>Friedrichsdorf(Taunus)</t>
  </si>
  <si>
    <t>50.252490</t>
  </si>
  <si>
    <t>8.644776</t>
  </si>
  <si>
    <t>Friedrichsfeld(Niederrhein)</t>
  </si>
  <si>
    <t>51.621600</t>
  </si>
  <si>
    <t>6.651121</t>
  </si>
  <si>
    <t>Friedrichsgabe</t>
  </si>
  <si>
    <t>53.728876</t>
  </si>
  <si>
    <t>9.988860</t>
  </si>
  <si>
    <t>Friedrichshafen Fähre</t>
  </si>
  <si>
    <t>47.651013</t>
  </si>
  <si>
    <t>9.484214</t>
  </si>
  <si>
    <t>Friedrichshafen Flughafen</t>
  </si>
  <si>
    <t>47.672213</t>
  </si>
  <si>
    <t>9.523714</t>
  </si>
  <si>
    <t>Friedrichshafen Hafen (Schiff)</t>
  </si>
  <si>
    <t>47.650344</t>
  </si>
  <si>
    <t>9.483197</t>
  </si>
  <si>
    <t>Friedrichshafen Landratsamt</t>
  </si>
  <si>
    <t>47.657146</t>
  </si>
  <si>
    <t>9.451988</t>
  </si>
  <si>
    <t>Friedrichshafen Löwenunterführung</t>
  </si>
  <si>
    <t>47.654573</t>
  </si>
  <si>
    <t>9.481856</t>
  </si>
  <si>
    <t>Friedrichshafen Ost</t>
  </si>
  <si>
    <t>47.651706</t>
  </si>
  <si>
    <t>9.502018</t>
  </si>
  <si>
    <t>47.653224</t>
  </si>
  <si>
    <t>9.473900</t>
  </si>
  <si>
    <t>Friedrichshafen-Fischbach</t>
  </si>
  <si>
    <t>47.672481</t>
  </si>
  <si>
    <t>9.417383</t>
  </si>
  <si>
    <t>Friedrichshafen-Kluftern</t>
  </si>
  <si>
    <t>47.688149</t>
  </si>
  <si>
    <t>9.409515</t>
  </si>
  <si>
    <t>Friedrichshafen-Manzell</t>
  </si>
  <si>
    <t>47.664320</t>
  </si>
  <si>
    <t>9.429156</t>
  </si>
  <si>
    <t>Friedrichshöhe</t>
  </si>
  <si>
    <t>51.639626</t>
  </si>
  <si>
    <t>10.937618</t>
  </si>
  <si>
    <t>Friedrichsruhe(Meck)</t>
  </si>
  <si>
    <t>53.524802</t>
  </si>
  <si>
    <t>11.739088</t>
  </si>
  <si>
    <t>Friedrichssegen</t>
  </si>
  <si>
    <t>50.311955</t>
  </si>
  <si>
    <t>7.650733</t>
  </si>
  <si>
    <t>Friedrichstadt</t>
  </si>
  <si>
    <t>54.377487</t>
  </si>
  <si>
    <t>9.079258</t>
  </si>
  <si>
    <t>Friedrichstal b Freudenstadt</t>
  </si>
  <si>
    <t>48.481805</t>
  </si>
  <si>
    <t>8.376926</t>
  </si>
  <si>
    <t>Friedrichstal(Baden)</t>
  </si>
  <si>
    <t>49.100970</t>
  </si>
  <si>
    <t>8.474139</t>
  </si>
  <si>
    <t>Friedrichsthal(b Bayreuth)</t>
  </si>
  <si>
    <t>49.962598</t>
  </si>
  <si>
    <t>11.627833</t>
  </si>
  <si>
    <t>Friedrichsthal(Saar)</t>
  </si>
  <si>
    <t>49.320061</t>
  </si>
  <si>
    <t>7.089130</t>
  </si>
  <si>
    <t>Friedrichsthal(Saar) Mitte</t>
  </si>
  <si>
    <t>49.327160</t>
  </si>
  <si>
    <t>7.093916</t>
  </si>
  <si>
    <t>Friesack Markt</t>
  </si>
  <si>
    <t>52.742486</t>
  </si>
  <si>
    <t>12.579267</t>
  </si>
  <si>
    <t>Friesack(Mark)</t>
  </si>
  <si>
    <t>52.760712</t>
  </si>
  <si>
    <t>12.587542</t>
  </si>
  <si>
    <t>Friesdorf</t>
  </si>
  <si>
    <t>51.589460</t>
  </si>
  <si>
    <t>11.302089</t>
  </si>
  <si>
    <t>Friesdorf Ost</t>
  </si>
  <si>
    <t>51.597820</t>
  </si>
  <si>
    <t>11.323432</t>
  </si>
  <si>
    <t>Friesenheim(Baden)</t>
  </si>
  <si>
    <t>48.381589</t>
  </si>
  <si>
    <t>7.862948</t>
  </si>
  <si>
    <t>Frimmersdorf</t>
  </si>
  <si>
    <t>51.046143</t>
  </si>
  <si>
    <t>6.566541</t>
  </si>
  <si>
    <t>Fritzlar</t>
  </si>
  <si>
    <t>51.125223</t>
  </si>
  <si>
    <t>9.282089</t>
  </si>
  <si>
    <t>Frohburg</t>
  </si>
  <si>
    <t>51.069159</t>
  </si>
  <si>
    <t>12.559288</t>
  </si>
  <si>
    <t>Frommern</t>
  </si>
  <si>
    <t>48.244034</t>
  </si>
  <si>
    <t>8.872122</t>
  </si>
  <si>
    <t>Fröndenberg</t>
  </si>
  <si>
    <t>51.471254</t>
  </si>
  <si>
    <t>7.762198</t>
  </si>
  <si>
    <t>Fröndenberg-Frömern</t>
  </si>
  <si>
    <t>51.499263</t>
  </si>
  <si>
    <t>7.735929</t>
  </si>
  <si>
    <t>Fronhausen(Lahn)</t>
  </si>
  <si>
    <t>50.706058</t>
  </si>
  <si>
    <t>8.699123</t>
  </si>
  <si>
    <t>Frose</t>
  </si>
  <si>
    <t>51.793636</t>
  </si>
  <si>
    <t>11.374843</t>
  </si>
  <si>
    <t>Fröttstädt</t>
  </si>
  <si>
    <t>50.930357</t>
  </si>
  <si>
    <t>10.573019</t>
  </si>
  <si>
    <t>Fulda</t>
  </si>
  <si>
    <t>50.554906</t>
  </si>
  <si>
    <t>9.684169</t>
  </si>
  <si>
    <t>Fuldatal-Ihringshausen</t>
  </si>
  <si>
    <t>51.348591</t>
  </si>
  <si>
    <t>9.526070</t>
  </si>
  <si>
    <t>Fürfurt</t>
  </si>
  <si>
    <t>50.430492</t>
  </si>
  <si>
    <t>8.253138</t>
  </si>
  <si>
    <t>Fürfurt Ortsmitte</t>
  </si>
  <si>
    <t>50.431213</t>
  </si>
  <si>
    <t>8.255235</t>
  </si>
  <si>
    <t>Furschenbach</t>
  </si>
  <si>
    <t>48.579767</t>
  </si>
  <si>
    <t>8.135178</t>
  </si>
  <si>
    <t>Fürstenberg(Havel)</t>
  </si>
  <si>
    <t>53.186784</t>
  </si>
  <si>
    <t>13.139273</t>
  </si>
  <si>
    <t>Fürsteneck</t>
  </si>
  <si>
    <t>48.718431</t>
  </si>
  <si>
    <t>13.469922</t>
  </si>
  <si>
    <t>Fürstenfeldbruck</t>
  </si>
  <si>
    <t>48.171656</t>
  </si>
  <si>
    <t>11.262148</t>
  </si>
  <si>
    <t>Fürstenwald</t>
  </si>
  <si>
    <t>51.380359</t>
  </si>
  <si>
    <t>9.359567</t>
  </si>
  <si>
    <t>Fürstenwalde Süd</t>
  </si>
  <si>
    <t>52.341895</t>
  </si>
  <si>
    <t>14.086609</t>
  </si>
  <si>
    <t>Fürstenwalde(Spree)</t>
  </si>
  <si>
    <t>52.366858</t>
  </si>
  <si>
    <t>14.059640</t>
  </si>
  <si>
    <t>Fürstenzell</t>
  </si>
  <si>
    <t>48.513180</t>
  </si>
  <si>
    <t>13.333817</t>
  </si>
  <si>
    <t>Fürstenzell Aspertsham</t>
  </si>
  <si>
    <t>48.515167</t>
  </si>
  <si>
    <t>13.335333</t>
  </si>
  <si>
    <t>Furth im Wald</t>
  </si>
  <si>
    <t>49.309812</t>
  </si>
  <si>
    <t>12.838811</t>
  </si>
  <si>
    <t>Furth im Wald(Gr)</t>
  </si>
  <si>
    <t>Fürth Westvorstadt</t>
  </si>
  <si>
    <t>49.469031</t>
  </si>
  <si>
    <t>10.971479</t>
  </si>
  <si>
    <t>Furth(b Deisenhofen)</t>
  </si>
  <si>
    <t>48.035521</t>
  </si>
  <si>
    <t>11.593281</t>
  </si>
  <si>
    <t>Fürth(Bay)Hbf</t>
  </si>
  <si>
    <t>49.469707</t>
  </si>
  <si>
    <t>10.989988</t>
  </si>
  <si>
    <t>Fürth(Odenw)</t>
  </si>
  <si>
    <t>49.648534</t>
  </si>
  <si>
    <t>8.781003</t>
  </si>
  <si>
    <t>Fürth-Burgfarrnbach</t>
  </si>
  <si>
    <t>49.491033</t>
  </si>
  <si>
    <t>10.923627</t>
  </si>
  <si>
    <t>Fürth-Dambach</t>
  </si>
  <si>
    <t>49.460740</t>
  </si>
  <si>
    <t>10.970196</t>
  </si>
  <si>
    <t>Fürth-Klinikum</t>
  </si>
  <si>
    <t>49.482403</t>
  </si>
  <si>
    <t>10.967560</t>
  </si>
  <si>
    <t>Fürth-Unterfürberg</t>
  </si>
  <si>
    <t>49.474914</t>
  </si>
  <si>
    <t>10.957532</t>
  </si>
  <si>
    <t>Füssen</t>
  </si>
  <si>
    <t>47.570710</t>
  </si>
  <si>
    <t>10.696789</t>
  </si>
  <si>
    <t>Füssen Pulverturm</t>
  </si>
  <si>
    <t>Fützen</t>
  </si>
  <si>
    <t>47.807733</t>
  </si>
  <si>
    <t>8.534507</t>
  </si>
  <si>
    <t>Gablingen</t>
  </si>
  <si>
    <t>48.463417</t>
  </si>
  <si>
    <t>10.850752</t>
  </si>
  <si>
    <t>Gadebusch</t>
  </si>
  <si>
    <t>53.705173</t>
  </si>
  <si>
    <t>11.119425</t>
  </si>
  <si>
    <t>Gaggenau Bf</t>
  </si>
  <si>
    <t>48.805772</t>
  </si>
  <si>
    <t>8.319977</t>
  </si>
  <si>
    <t>Gaggenau Mercedes-Benz Werk</t>
  </si>
  <si>
    <t>48.798038</t>
  </si>
  <si>
    <t>8.327476</t>
  </si>
  <si>
    <t>Gaienhofen</t>
  </si>
  <si>
    <t>47.679460</t>
  </si>
  <si>
    <t>8.982314</t>
  </si>
  <si>
    <t>Gaildorf West</t>
  </si>
  <si>
    <t>49.003822</t>
  </si>
  <si>
    <t>9.753892</t>
  </si>
  <si>
    <t>Gaimersheim</t>
  </si>
  <si>
    <t>48.798789</t>
  </si>
  <si>
    <t>11.369790</t>
  </si>
  <si>
    <t>Gaißach</t>
  </si>
  <si>
    <t>47.737467</t>
  </si>
  <si>
    <t>11.575401</t>
  </si>
  <si>
    <t>Gallin</t>
  </si>
  <si>
    <t>53.516599</t>
  </si>
  <si>
    <t>12.129003</t>
  </si>
  <si>
    <t>Gamburg(Tauber)</t>
  </si>
  <si>
    <t>49.698297</t>
  </si>
  <si>
    <t>9.595580</t>
  </si>
  <si>
    <t>Gammertingen</t>
  </si>
  <si>
    <t>48.250699</t>
  </si>
  <si>
    <t>9.217149</t>
  </si>
  <si>
    <t>Gammertingen Europastraße</t>
  </si>
  <si>
    <t>48.242017</t>
  </si>
  <si>
    <t>9.210298</t>
  </si>
  <si>
    <t>Ganderkesee</t>
  </si>
  <si>
    <t>53.035251</t>
  </si>
  <si>
    <t>8.542777</t>
  </si>
  <si>
    <t>Gangloffsömmern</t>
  </si>
  <si>
    <t>51.191473</t>
  </si>
  <si>
    <t>10.954856</t>
  </si>
  <si>
    <t>Ganzlin</t>
  </si>
  <si>
    <t>53.381626</t>
  </si>
  <si>
    <t>12.247117</t>
  </si>
  <si>
    <t>Garbeck</t>
  </si>
  <si>
    <t>51.321459</t>
  </si>
  <si>
    <t>7.839903</t>
  </si>
  <si>
    <t>Garbenteich</t>
  </si>
  <si>
    <t>50.540288</t>
  </si>
  <si>
    <t>8.745273</t>
  </si>
  <si>
    <t>Garching(Alz)</t>
  </si>
  <si>
    <t>48.130371</t>
  </si>
  <si>
    <t>12.572990</t>
  </si>
  <si>
    <t>Gardelegen</t>
  </si>
  <si>
    <t>52.518376</t>
  </si>
  <si>
    <t>11.404536</t>
  </si>
  <si>
    <t>Garding</t>
  </si>
  <si>
    <t>54.326053</t>
  </si>
  <si>
    <t>8.777620</t>
  </si>
  <si>
    <t>Garding Mitte</t>
  </si>
  <si>
    <t>54.327932</t>
  </si>
  <si>
    <t>8.780095</t>
  </si>
  <si>
    <t>Garftitz</t>
  </si>
  <si>
    <t>54.377710</t>
  </si>
  <si>
    <t>13.637847</t>
  </si>
  <si>
    <t>Garmisch-Partenkirchen</t>
  </si>
  <si>
    <t>47.491452</t>
  </si>
  <si>
    <t>11.097013</t>
  </si>
  <si>
    <t>Garmisch-Partenkirchen Hausberg</t>
  </si>
  <si>
    <t>47.483288</t>
  </si>
  <si>
    <t>11.092136</t>
  </si>
  <si>
    <t>Gars(Inn)</t>
  </si>
  <si>
    <t>48.147540</t>
  </si>
  <si>
    <t>12.298550</t>
  </si>
  <si>
    <t>Gärtringen</t>
  </si>
  <si>
    <t>48.640912</t>
  </si>
  <si>
    <t>8.908993</t>
  </si>
  <si>
    <t>Gatersleben</t>
  </si>
  <si>
    <t>51.828111</t>
  </si>
  <si>
    <t>11.291362</t>
  </si>
  <si>
    <t>Gau Algesheim</t>
  </si>
  <si>
    <t>49.961432</t>
  </si>
  <si>
    <t>8.016065</t>
  </si>
  <si>
    <t>Gau Bickelheim</t>
  </si>
  <si>
    <t>49.840292</t>
  </si>
  <si>
    <t>8.020291</t>
  </si>
  <si>
    <t>Gaubüttelbrunn</t>
  </si>
  <si>
    <t>49.634438</t>
  </si>
  <si>
    <t>9.854452</t>
  </si>
  <si>
    <t>Gäufelden</t>
  </si>
  <si>
    <t>48.559661</t>
  </si>
  <si>
    <t>8.850308</t>
  </si>
  <si>
    <t>Gausbach</t>
  </si>
  <si>
    <t>48.686753</t>
  </si>
  <si>
    <t>8.362372</t>
  </si>
  <si>
    <t>Gauselfingen</t>
  </si>
  <si>
    <t>48.276178</t>
  </si>
  <si>
    <t>9.163284</t>
  </si>
  <si>
    <t>Gauting</t>
  </si>
  <si>
    <t>48.070658</t>
  </si>
  <si>
    <t>11.376146</t>
  </si>
  <si>
    <t>Gebersdorf</t>
  </si>
  <si>
    <t>50.527357</t>
  </si>
  <si>
    <t>11.269547</t>
  </si>
  <si>
    <t>Gebra(Hainleite)</t>
  </si>
  <si>
    <t>51.427155</t>
  </si>
  <si>
    <t>10.595388</t>
  </si>
  <si>
    <t>Geeste</t>
  </si>
  <si>
    <t>52.598094</t>
  </si>
  <si>
    <t>7.312044</t>
  </si>
  <si>
    <t>Geestenseth</t>
  </si>
  <si>
    <t>53.506732</t>
  </si>
  <si>
    <t>8.858373</t>
  </si>
  <si>
    <t>Geestgottberg</t>
  </si>
  <si>
    <t>52.955743</t>
  </si>
  <si>
    <t>11.736957</t>
  </si>
  <si>
    <t>Gehlberg</t>
  </si>
  <si>
    <t>50.683768</t>
  </si>
  <si>
    <t>10.769351</t>
  </si>
  <si>
    <t>Geigant</t>
  </si>
  <si>
    <t>49.323354</t>
  </si>
  <si>
    <t>12.681424</t>
  </si>
  <si>
    <t>50.961039</t>
  </si>
  <si>
    <t>6.124518</t>
  </si>
  <si>
    <t>Geilhausen</t>
  </si>
  <si>
    <t>50.771499</t>
  </si>
  <si>
    <t>7.638723</t>
  </si>
  <si>
    <t>Geiselhöring</t>
  </si>
  <si>
    <t>48.822392</t>
  </si>
  <si>
    <t>12.392077</t>
  </si>
  <si>
    <t>Geisenbrunn</t>
  </si>
  <si>
    <t>48.109157</t>
  </si>
  <si>
    <t>11.324847</t>
  </si>
  <si>
    <t>Geisenhausen</t>
  </si>
  <si>
    <t>48.473960</t>
  </si>
  <si>
    <t>12.248327</t>
  </si>
  <si>
    <t>Geisenheim</t>
  </si>
  <si>
    <t>49.985973</t>
  </si>
  <si>
    <t>7.968804</t>
  </si>
  <si>
    <t>Geising</t>
  </si>
  <si>
    <t>50.760699</t>
  </si>
  <si>
    <t>13.786064</t>
  </si>
  <si>
    <t>Geisingen</t>
  </si>
  <si>
    <t>47.921342</t>
  </si>
  <si>
    <t>8.653951</t>
  </si>
  <si>
    <t>Geisingen-Aulfingen</t>
  </si>
  <si>
    <t>47.886408</t>
  </si>
  <si>
    <t>8.661611</t>
  </si>
  <si>
    <t>Geisingen-Hausen</t>
  </si>
  <si>
    <t>47.912445</t>
  </si>
  <si>
    <t>8.678602</t>
  </si>
  <si>
    <t>Geisingen-Kirchen</t>
  </si>
  <si>
    <t>47.905062</t>
  </si>
  <si>
    <t>8.674345</t>
  </si>
  <si>
    <t>Geisingen-Leipferdingen</t>
  </si>
  <si>
    <t>47.869173</t>
  </si>
  <si>
    <t>8.654687</t>
  </si>
  <si>
    <t>Geislingen(Steige)</t>
  </si>
  <si>
    <t>48.619358</t>
  </si>
  <si>
    <t>9.841941</t>
  </si>
  <si>
    <t>Geislingen(Steige)West</t>
  </si>
  <si>
    <t>48.630766</t>
  </si>
  <si>
    <t>9.821909</t>
  </si>
  <si>
    <t>Geitau</t>
  </si>
  <si>
    <t>47.693887</t>
  </si>
  <si>
    <t>11.966403</t>
  </si>
  <si>
    <t>Geithain</t>
  </si>
  <si>
    <t>51.058217</t>
  </si>
  <si>
    <t>12.697455</t>
  </si>
  <si>
    <t>Gelbensande</t>
  </si>
  <si>
    <t>54.198696</t>
  </si>
  <si>
    <t>12.304809</t>
  </si>
  <si>
    <t>Geldern</t>
  </si>
  <si>
    <t>51.513289</t>
  </si>
  <si>
    <t>6.319336</t>
  </si>
  <si>
    <t>Gelnhausen</t>
  </si>
  <si>
    <t>50.196343</t>
  </si>
  <si>
    <t>9.189278</t>
  </si>
  <si>
    <t>Gelsenkirchen Hbf</t>
  </si>
  <si>
    <t>51.504903</t>
  </si>
  <si>
    <t>7.102455</t>
  </si>
  <si>
    <t>Gelsenkirchen Zoo</t>
  </si>
  <si>
    <t>51.537686</t>
  </si>
  <si>
    <t>7.111104</t>
  </si>
  <si>
    <t>Gelsenkirchen-Buer Nord</t>
  </si>
  <si>
    <t>51.587245</t>
  </si>
  <si>
    <t>7.050593</t>
  </si>
  <si>
    <t>Gelsenkirchen-Buer Süd</t>
  </si>
  <si>
    <t>51.549085</t>
  </si>
  <si>
    <t>7.040156</t>
  </si>
  <si>
    <t>Gelsenkirchen-Hassel</t>
  </si>
  <si>
    <t>51.610858</t>
  </si>
  <si>
    <t>7.066571</t>
  </si>
  <si>
    <t>Gelsenkirchen-Rotthausen</t>
  </si>
  <si>
    <t>51.492642</t>
  </si>
  <si>
    <t>7.089009</t>
  </si>
  <si>
    <t>Geltendorf</t>
  </si>
  <si>
    <t>48.105991</t>
  </si>
  <si>
    <t>11.037455</t>
  </si>
  <si>
    <t>Gemmingen</t>
  </si>
  <si>
    <t>49.151295</t>
  </si>
  <si>
    <t>8.984648</t>
  </si>
  <si>
    <t>Gemmingen West</t>
  </si>
  <si>
    <t>49.154442</t>
  </si>
  <si>
    <t>8.977585</t>
  </si>
  <si>
    <t>Gemünden(Main)</t>
  </si>
  <si>
    <t>50.050018</t>
  </si>
  <si>
    <t>9.699894</t>
  </si>
  <si>
    <t>Genderkingen</t>
  </si>
  <si>
    <t>48.695840</t>
  </si>
  <si>
    <t>10.885159</t>
  </si>
  <si>
    <t>Gendorf</t>
  </si>
  <si>
    <t>48.179484</t>
  </si>
  <si>
    <t>12.721098</t>
  </si>
  <si>
    <t>Gengenbach</t>
  </si>
  <si>
    <t>48.404659</t>
  </si>
  <si>
    <t>8.010192</t>
  </si>
  <si>
    <t>Gennweiler</t>
  </si>
  <si>
    <t>49.369979</t>
  </si>
  <si>
    <t>7.049984</t>
  </si>
  <si>
    <t>Gensingen-Horrweiler</t>
  </si>
  <si>
    <t>49.898260</t>
  </si>
  <si>
    <t>7.938188</t>
  </si>
  <si>
    <t>Genthin</t>
  </si>
  <si>
    <t>52.403220</t>
  </si>
  <si>
    <t>12.157103</t>
  </si>
  <si>
    <t>Georgensgmünd</t>
  </si>
  <si>
    <t>49.183351</t>
  </si>
  <si>
    <t>11.016176</t>
  </si>
  <si>
    <t>Gera Hbf</t>
  </si>
  <si>
    <t>50.883421</t>
  </si>
  <si>
    <t>12.077092</t>
  </si>
  <si>
    <t>Gera Süd</t>
  </si>
  <si>
    <t>50.871159</t>
  </si>
  <si>
    <t>12.076443</t>
  </si>
  <si>
    <t>Geraberg</t>
  </si>
  <si>
    <t>50.715593</t>
  </si>
  <si>
    <t>10.857196</t>
  </si>
  <si>
    <t>Geradstetten</t>
  </si>
  <si>
    <t>48.805203</t>
  </si>
  <si>
    <t>9.439753</t>
  </si>
  <si>
    <t>Gera-Langenberg</t>
  </si>
  <si>
    <t>50.916971</t>
  </si>
  <si>
    <t>12.047200</t>
  </si>
  <si>
    <t>Gera-Zwötzen</t>
  </si>
  <si>
    <t>50.850050</t>
  </si>
  <si>
    <t>12.082181</t>
  </si>
  <si>
    <t>Gerhausen</t>
  </si>
  <si>
    <t>48.399720</t>
  </si>
  <si>
    <t>9.806227</t>
  </si>
  <si>
    <t>Gerichshain</t>
  </si>
  <si>
    <t>51.353880</t>
  </si>
  <si>
    <t>12.587444</t>
  </si>
  <si>
    <t>Gerlachsheim</t>
  </si>
  <si>
    <t>49.580886</t>
  </si>
  <si>
    <t>9.710612</t>
  </si>
  <si>
    <t>Gerlenhofen</t>
  </si>
  <si>
    <t>48.351332</t>
  </si>
  <si>
    <t>10.037282</t>
  </si>
  <si>
    <t>Germering-Unterpfaffenhofen</t>
  </si>
  <si>
    <t>48.128870</t>
  </si>
  <si>
    <t>11.364023</t>
  </si>
  <si>
    <t>Germersheim</t>
  </si>
  <si>
    <t>49.225402</t>
  </si>
  <si>
    <t>8.365282</t>
  </si>
  <si>
    <t>Germersheim Mitte/Rhein</t>
  </si>
  <si>
    <t>49.219876</t>
  </si>
  <si>
    <t>8.379305</t>
  </si>
  <si>
    <t>Germersheim Süd/Nolte</t>
  </si>
  <si>
    <t>49.208341</t>
  </si>
  <si>
    <t>8.373755</t>
  </si>
  <si>
    <t>Gernlinden</t>
  </si>
  <si>
    <t>48.212765</t>
  </si>
  <si>
    <t>11.300378</t>
  </si>
  <si>
    <t>Gernrode(Harz)</t>
  </si>
  <si>
    <t>51.729765</t>
  </si>
  <si>
    <t>11.149083</t>
  </si>
  <si>
    <t>Gernrode-Niederorschel</t>
  </si>
  <si>
    <t>51.383224</t>
  </si>
  <si>
    <t>10.416533</t>
  </si>
  <si>
    <t>Gernsbach Bf</t>
  </si>
  <si>
    <t>48.768307</t>
  </si>
  <si>
    <t>8.336714</t>
  </si>
  <si>
    <t>Gernsbach Mitte</t>
  </si>
  <si>
    <t>48.763086</t>
  </si>
  <si>
    <t>8.339042</t>
  </si>
  <si>
    <t>Gernsheim</t>
  </si>
  <si>
    <t>49.753598</t>
  </si>
  <si>
    <t>8.490200</t>
  </si>
  <si>
    <t>Geroldshausen</t>
  </si>
  <si>
    <t>49.686941</t>
  </si>
  <si>
    <t>9.903994</t>
  </si>
  <si>
    <t>Gerolstein</t>
  </si>
  <si>
    <t>50.224006</t>
  </si>
  <si>
    <t>6.660372</t>
  </si>
  <si>
    <t>Gersdorf(Görlitz)</t>
  </si>
  <si>
    <t>51.125212</t>
  </si>
  <si>
    <t>14.854250</t>
  </si>
  <si>
    <t>Gersfeld(Rhön)</t>
  </si>
  <si>
    <t>50.449396</t>
  </si>
  <si>
    <t>9.914389</t>
  </si>
  <si>
    <t>Gerstetten</t>
  </si>
  <si>
    <t>48.624836</t>
  </si>
  <si>
    <t>10.022662</t>
  </si>
  <si>
    <t>Gersthofen</t>
  </si>
  <si>
    <t>48.423020</t>
  </si>
  <si>
    <t>10.861193</t>
  </si>
  <si>
    <t>Gerstungen</t>
  </si>
  <si>
    <t>50.964665</t>
  </si>
  <si>
    <t>10.065041</t>
  </si>
  <si>
    <t>Gertenbach</t>
  </si>
  <si>
    <t>51.379874</t>
  </si>
  <si>
    <t>9.804389</t>
  </si>
  <si>
    <t>Gerwisch</t>
  </si>
  <si>
    <t>52.177587</t>
  </si>
  <si>
    <t>11.742095</t>
  </si>
  <si>
    <t>Geseke</t>
  </si>
  <si>
    <t>51.645230</t>
  </si>
  <si>
    <t>8.510292</t>
  </si>
  <si>
    <t>Gessertshausen</t>
  </si>
  <si>
    <t>48.333715</t>
  </si>
  <si>
    <t>10.732382</t>
  </si>
  <si>
    <t>Gettenau-Bingenheim</t>
  </si>
  <si>
    <t>50.379695</t>
  </si>
  <si>
    <t>8.885976</t>
  </si>
  <si>
    <t>Gettorf</t>
  </si>
  <si>
    <t>54.409893</t>
  </si>
  <si>
    <t>9.978678</t>
  </si>
  <si>
    <t>Gevelsberg Hbf</t>
  </si>
  <si>
    <t>51.324399</t>
  </si>
  <si>
    <t>7.339760</t>
  </si>
  <si>
    <t>Gevelsberg West</t>
  </si>
  <si>
    <t>51.317276</t>
  </si>
  <si>
    <t>7.313845</t>
  </si>
  <si>
    <t>Gevelsberg West Am Westbahnhof</t>
  </si>
  <si>
    <t>51.316849</t>
  </si>
  <si>
    <t>7.313565</t>
  </si>
  <si>
    <t>Gevelsberg-Kipp</t>
  </si>
  <si>
    <t>51.319930</t>
  </si>
  <si>
    <t>7.327172</t>
  </si>
  <si>
    <t>Gevelsberg-Knapp</t>
  </si>
  <si>
    <t>51.336964</t>
  </si>
  <si>
    <t>7.377884</t>
  </si>
  <si>
    <t>Giengen(Brenz)</t>
  </si>
  <si>
    <t>48.620023</t>
  </si>
  <si>
    <t>10.236994</t>
  </si>
  <si>
    <t>Giersleben</t>
  </si>
  <si>
    <t>51.764600</t>
  </si>
  <si>
    <t>11.568545</t>
  </si>
  <si>
    <t>Gießen</t>
  </si>
  <si>
    <t>50.579059</t>
  </si>
  <si>
    <t>8.661462</t>
  </si>
  <si>
    <t>Gießen Berliner Platz</t>
  </si>
  <si>
    <t>50.583593</t>
  </si>
  <si>
    <t>8.678940</t>
  </si>
  <si>
    <t>Gießen Erdkauter Weg</t>
  </si>
  <si>
    <t>50.571304</t>
  </si>
  <si>
    <t>8.683241</t>
  </si>
  <si>
    <t>Gießen Licher Str</t>
  </si>
  <si>
    <t>50.581667</t>
  </si>
  <si>
    <t>8.697242</t>
  </si>
  <si>
    <t>Gießen Oswaldsgarten</t>
  </si>
  <si>
    <t>50.588169</t>
  </si>
  <si>
    <t>8.668969</t>
  </si>
  <si>
    <t>Gießen Volkshalle</t>
  </si>
  <si>
    <t>50.586178</t>
  </si>
  <si>
    <t>8.697677</t>
  </si>
  <si>
    <t>Gifhorn</t>
  </si>
  <si>
    <t>52.456155</t>
  </si>
  <si>
    <t>10.545284</t>
  </si>
  <si>
    <t>Gifhorn Stadt</t>
  </si>
  <si>
    <t>52.479774</t>
  </si>
  <si>
    <t>10.542940</t>
  </si>
  <si>
    <t>Gilching-Argelsried</t>
  </si>
  <si>
    <t>48.105674</t>
  </si>
  <si>
    <t>11.299598</t>
  </si>
  <si>
    <t>Gildenhall</t>
  </si>
  <si>
    <t>52.933488</t>
  </si>
  <si>
    <t>12.839423</t>
  </si>
  <si>
    <t>Gingen(Fils)</t>
  </si>
  <si>
    <t>48.661039</t>
  </si>
  <si>
    <t>9.787826</t>
  </si>
  <si>
    <t>Girod</t>
  </si>
  <si>
    <t>50.454329</t>
  </si>
  <si>
    <t>7.902936</t>
  </si>
  <si>
    <t>Gittelde/Bad Grund(Harz)</t>
  </si>
  <si>
    <t>51.787337</t>
  </si>
  <si>
    <t>10.203025</t>
  </si>
  <si>
    <t>Gladbeck Ost</t>
  </si>
  <si>
    <t>51.575531</t>
  </si>
  <si>
    <t>6.994813</t>
  </si>
  <si>
    <t>Gladbeck West</t>
  </si>
  <si>
    <t>51.574922</t>
  </si>
  <si>
    <t>6.976389</t>
  </si>
  <si>
    <t>Gladbeck-Zweckel</t>
  </si>
  <si>
    <t>51.590270</t>
  </si>
  <si>
    <t>6.984424</t>
  </si>
  <si>
    <t>Glan-Münchweiler</t>
  </si>
  <si>
    <t>49.470176</t>
  </si>
  <si>
    <t>7.444848</t>
  </si>
  <si>
    <t>Glanzstoffwerke</t>
  </si>
  <si>
    <t>49.828554</t>
  </si>
  <si>
    <t>9.152309</t>
  </si>
  <si>
    <t>Glashütte(Sachs)</t>
  </si>
  <si>
    <t>50.851102</t>
  </si>
  <si>
    <t>13.782378</t>
  </si>
  <si>
    <t>Glaubitz(Riesa)</t>
  </si>
  <si>
    <t>51.317562</t>
  </si>
  <si>
    <t>13.365435</t>
  </si>
  <si>
    <t>Glauburg-Glauberg</t>
  </si>
  <si>
    <t>50.313433</t>
  </si>
  <si>
    <t>8.996226</t>
  </si>
  <si>
    <t>Glauburg-Stockheim</t>
  </si>
  <si>
    <t>50.327056</t>
  </si>
  <si>
    <t>9.010123</t>
  </si>
  <si>
    <t>50.828524</t>
  </si>
  <si>
    <t>12.548646</t>
  </si>
  <si>
    <t>Glauchau-Schönbörnchen</t>
  </si>
  <si>
    <t>50.821057</t>
  </si>
  <si>
    <t>12.500671</t>
  </si>
  <si>
    <t>Gleisberg-Marbach</t>
  </si>
  <si>
    <t>51.066157</t>
  </si>
  <si>
    <t>13.239539</t>
  </si>
  <si>
    <t>Glesch</t>
  </si>
  <si>
    <t>50.971261</t>
  </si>
  <si>
    <t>6.589633</t>
  </si>
  <si>
    <t>Globig</t>
  </si>
  <si>
    <t>51.777320</t>
  </si>
  <si>
    <t>12.729400</t>
  </si>
  <si>
    <t>Glossen(b Oschatz)</t>
  </si>
  <si>
    <t>51.242839</t>
  </si>
  <si>
    <t>12.995480</t>
  </si>
  <si>
    <t>Glöwen</t>
  </si>
  <si>
    <t>52.903512</t>
  </si>
  <si>
    <t>12.083928</t>
  </si>
  <si>
    <t>Glückstadt</t>
  </si>
  <si>
    <t>53.788606</t>
  </si>
  <si>
    <t>9.428320</t>
  </si>
  <si>
    <t>Gmund(Tegernsee)</t>
  </si>
  <si>
    <t>47.749510</t>
  </si>
  <si>
    <t>11.734868</t>
  </si>
  <si>
    <t>Gnadau</t>
  </si>
  <si>
    <t>51.979599</t>
  </si>
  <si>
    <t>11.781150</t>
  </si>
  <si>
    <t>Gnadau Ort</t>
  </si>
  <si>
    <t>51.974027</t>
  </si>
  <si>
    <t>11.777200</t>
  </si>
  <si>
    <t>Gnarrenburg</t>
  </si>
  <si>
    <t>53.381236</t>
  </si>
  <si>
    <t>9.008099</t>
  </si>
  <si>
    <t>Gnevkow</t>
  </si>
  <si>
    <t>53.792896</t>
  </si>
  <si>
    <t>13.174670</t>
  </si>
  <si>
    <t>Gnevkow Wendeschleife</t>
  </si>
  <si>
    <t>53.788270</t>
  </si>
  <si>
    <t>13.167332</t>
  </si>
  <si>
    <t>Göbelnrod</t>
  </si>
  <si>
    <t>50.597631</t>
  </si>
  <si>
    <t>8.921448</t>
  </si>
  <si>
    <t>Goch</t>
  </si>
  <si>
    <t>51.681824</t>
  </si>
  <si>
    <t>6.160862</t>
  </si>
  <si>
    <t>Gochsheim(Baden)</t>
  </si>
  <si>
    <t>49.109411</t>
  </si>
  <si>
    <t>8.744695</t>
  </si>
  <si>
    <t>Godramstein</t>
  </si>
  <si>
    <t>49.206850</t>
  </si>
  <si>
    <t>8.076028</t>
  </si>
  <si>
    <t>Göhrde</t>
  </si>
  <si>
    <t>53.167749</t>
  </si>
  <si>
    <t>10.851118</t>
  </si>
  <si>
    <t>Göhren(Rügen)</t>
  </si>
  <si>
    <t>54.345961</t>
  </si>
  <si>
    <t>13.737704</t>
  </si>
  <si>
    <t>Gokels</t>
  </si>
  <si>
    <t>54.118755</t>
  </si>
  <si>
    <t>9.470081</t>
  </si>
  <si>
    <t>Goldbeck(Osterburg)</t>
  </si>
  <si>
    <t>52.716060</t>
  </si>
  <si>
    <t>11.858149</t>
  </si>
  <si>
    <t>Goldberg(Württ)</t>
  </si>
  <si>
    <t>48.696910</t>
  </si>
  <si>
    <t>9.020430</t>
  </si>
  <si>
    <t>Goldenstedt(Oldb)</t>
  </si>
  <si>
    <t>52.800611</t>
  </si>
  <si>
    <t>8.394579</t>
  </si>
  <si>
    <t>Goldhausen</t>
  </si>
  <si>
    <t>50.461438</t>
  </si>
  <si>
    <t>7.873057</t>
  </si>
  <si>
    <t>Goldshöfe</t>
  </si>
  <si>
    <t>48.894221</t>
  </si>
  <si>
    <t>10.128254</t>
  </si>
  <si>
    <t>Göllheim-Dreisen</t>
  </si>
  <si>
    <t>49.599376</t>
  </si>
  <si>
    <t>8.016444</t>
  </si>
  <si>
    <t>Gollmitz(Niederlausitz)</t>
  </si>
  <si>
    <t>51.703335</t>
  </si>
  <si>
    <t>13.883834</t>
  </si>
  <si>
    <t>Golm</t>
  </si>
  <si>
    <t>52.409774</t>
  </si>
  <si>
    <t>12.971864</t>
  </si>
  <si>
    <t>Gölshausen</t>
  </si>
  <si>
    <t>49.044904</t>
  </si>
  <si>
    <t>8.724715</t>
  </si>
  <si>
    <t>Gölshausen Industriegebiet</t>
  </si>
  <si>
    <t>49.051803</t>
  </si>
  <si>
    <t>8.739879</t>
  </si>
  <si>
    <t>Golßen(Niederlausitz)</t>
  </si>
  <si>
    <t>51.974272</t>
  </si>
  <si>
    <t>13.574773</t>
  </si>
  <si>
    <t>Golßen(Niederlausitz) Stadtwall</t>
  </si>
  <si>
    <t>51.970502</t>
  </si>
  <si>
    <t>13.602616</t>
  </si>
  <si>
    <t>Golzow(Eberswalde)</t>
  </si>
  <si>
    <t>52.914013</t>
  </si>
  <si>
    <t>13.826975</t>
  </si>
  <si>
    <t>Golzow(Oderbruch)</t>
  </si>
  <si>
    <t>52.562531</t>
  </si>
  <si>
    <t>14.511810</t>
  </si>
  <si>
    <t>Gomadingen</t>
  </si>
  <si>
    <t>48.399121</t>
  </si>
  <si>
    <t>9.392136</t>
  </si>
  <si>
    <t>Gommern</t>
  </si>
  <si>
    <t>52.074002</t>
  </si>
  <si>
    <t>11.838780</t>
  </si>
  <si>
    <t>Gondelsheim Marktplatz</t>
  </si>
  <si>
    <t>49.059592</t>
  </si>
  <si>
    <t>8.657549</t>
  </si>
  <si>
    <t>Gondelsheim Schlossstadion</t>
  </si>
  <si>
    <t>49.065737</t>
  </si>
  <si>
    <t>8.662867</t>
  </si>
  <si>
    <t>Gondelsheim(Baden)</t>
  </si>
  <si>
    <t>49.059704</t>
  </si>
  <si>
    <t>8.660281</t>
  </si>
  <si>
    <t>Göppingen</t>
  </si>
  <si>
    <t>48.700027</t>
  </si>
  <si>
    <t>9.651969</t>
  </si>
  <si>
    <t>Görden</t>
  </si>
  <si>
    <t>52.427881</t>
  </si>
  <si>
    <t>12.503951</t>
  </si>
  <si>
    <t>Gorgast</t>
  </si>
  <si>
    <t>52.563191</t>
  </si>
  <si>
    <t>14.551279</t>
  </si>
  <si>
    <t>Görlitz</t>
  </si>
  <si>
    <t>51.146767</t>
  </si>
  <si>
    <t>14.979080</t>
  </si>
  <si>
    <t>Görlitz-Rauschwalde</t>
  </si>
  <si>
    <t>51.149078</t>
  </si>
  <si>
    <t>14.936010</t>
  </si>
  <si>
    <t>Görlitz-Weinhübel</t>
  </si>
  <si>
    <t>51.128664</t>
  </si>
  <si>
    <t>14.970271</t>
  </si>
  <si>
    <t>Görsbach</t>
  </si>
  <si>
    <t>51.455733</t>
  </si>
  <si>
    <t>10.941792</t>
  </si>
  <si>
    <t>Görschnitz</t>
  </si>
  <si>
    <t>49.957306</t>
  </si>
  <si>
    <t>11.700315</t>
  </si>
  <si>
    <t>Gosberg</t>
  </si>
  <si>
    <t>49.704458</t>
  </si>
  <si>
    <t>11.109206</t>
  </si>
  <si>
    <t>Gosberg Kirche</t>
  </si>
  <si>
    <t>49.704382</t>
  </si>
  <si>
    <t>11.115460</t>
  </si>
  <si>
    <t>Goßdorf-Kohlmühle</t>
  </si>
  <si>
    <t>50.941170</t>
  </si>
  <si>
    <t>14.164655</t>
  </si>
  <si>
    <t>Goßfelden</t>
  </si>
  <si>
    <t>50.868314</t>
  </si>
  <si>
    <t>8.738417</t>
  </si>
  <si>
    <t>Goßmannsdorf</t>
  </si>
  <si>
    <t>49.684959</t>
  </si>
  <si>
    <t>10.025594</t>
  </si>
  <si>
    <t>50.893200</t>
  </si>
  <si>
    <t>12.429301</t>
  </si>
  <si>
    <t>Gotha B.-v.-Suttner-Platz</t>
  </si>
  <si>
    <t>50.950460</t>
  </si>
  <si>
    <t>10.698956</t>
  </si>
  <si>
    <t>Gotha Krankenhaus</t>
  </si>
  <si>
    <t>50.929606</t>
  </si>
  <si>
    <t>10.678368</t>
  </si>
  <si>
    <t>Gotha Ost</t>
  </si>
  <si>
    <t>50.961881</t>
  </si>
  <si>
    <t>10.720869</t>
  </si>
  <si>
    <t>Götschendorf</t>
  </si>
  <si>
    <t>53.086833</t>
  </si>
  <si>
    <t>13.665919</t>
  </si>
  <si>
    <t>Götschendorf Mitte</t>
  </si>
  <si>
    <t>53.091533</t>
  </si>
  <si>
    <t>13.673799</t>
  </si>
  <si>
    <t>Gottenheim</t>
  </si>
  <si>
    <t>48.051653</t>
  </si>
  <si>
    <t>7.727832</t>
  </si>
  <si>
    <t>Gotteszell</t>
  </si>
  <si>
    <t>48.958131</t>
  </si>
  <si>
    <t>12.983435</t>
  </si>
  <si>
    <t>Gottmadingen</t>
  </si>
  <si>
    <t>47.737377</t>
  </si>
  <si>
    <t>8.774841</t>
  </si>
  <si>
    <t>Götz</t>
  </si>
  <si>
    <t>52.411224</t>
  </si>
  <si>
    <t>12.725983</t>
  </si>
  <si>
    <t>Graal-Müritz</t>
  </si>
  <si>
    <t>54.248777</t>
  </si>
  <si>
    <t>12.245387</t>
  </si>
  <si>
    <t>Graal-Müritz Koppelweg</t>
  </si>
  <si>
    <t>54.245890</t>
  </si>
  <si>
    <t>12.237167</t>
  </si>
  <si>
    <t>Graal-Müritz Ostseering</t>
  </si>
  <si>
    <t>54.249200</t>
  </si>
  <si>
    <t>12.244040</t>
  </si>
  <si>
    <t>Graal-Müritz Süd</t>
  </si>
  <si>
    <t>54.248423</t>
  </si>
  <si>
    <t>12.235133</t>
  </si>
  <si>
    <t>Graben(Lechfeld)Gewerbepark</t>
  </si>
  <si>
    <t>48.199148</t>
  </si>
  <si>
    <t>10.852411</t>
  </si>
  <si>
    <t>Graben-Neudorf</t>
  </si>
  <si>
    <t>49.161797</t>
  </si>
  <si>
    <t>8.490630</t>
  </si>
  <si>
    <t>Graben-Neudorf Nord</t>
  </si>
  <si>
    <t>49.177958</t>
  </si>
  <si>
    <t>8.494096</t>
  </si>
  <si>
    <t>Graben-Neudorf Nord Polizei</t>
  </si>
  <si>
    <t>49.172706</t>
  </si>
  <si>
    <t>8.496291</t>
  </si>
  <si>
    <t>Grabow(Meckl)</t>
  </si>
  <si>
    <t>53.282902</t>
  </si>
  <si>
    <t>11.564201</t>
  </si>
  <si>
    <t>Gräfelfing</t>
  </si>
  <si>
    <t>48.119774</t>
  </si>
  <si>
    <t>11.425571</t>
  </si>
  <si>
    <t>Grafenaschau</t>
  </si>
  <si>
    <t>47.667029</t>
  </si>
  <si>
    <t>11.137400</t>
  </si>
  <si>
    <t>Grafenau</t>
  </si>
  <si>
    <t>48.856168</t>
  </si>
  <si>
    <t>13.393327</t>
  </si>
  <si>
    <t>Gräfendorf</t>
  </si>
  <si>
    <t>50.118279</t>
  </si>
  <si>
    <t>9.737162</t>
  </si>
  <si>
    <t>Gräfenhainichen</t>
  </si>
  <si>
    <t>51.724731</t>
  </si>
  <si>
    <t>12.460037</t>
  </si>
  <si>
    <t>Gräfenroda</t>
  </si>
  <si>
    <t>50.758996</t>
  </si>
  <si>
    <t>10.833276</t>
  </si>
  <si>
    <t>Gräfenstuhl-Klippmühle</t>
  </si>
  <si>
    <t>51.602149</t>
  </si>
  <si>
    <t>11.404245</t>
  </si>
  <si>
    <t>Grafenwiesen</t>
  </si>
  <si>
    <t>49.202635</t>
  </si>
  <si>
    <t>12.877825</t>
  </si>
  <si>
    <t>Grafing Bahnhof</t>
  </si>
  <si>
    <t>48.043226</t>
  </si>
  <si>
    <t>11.940423</t>
  </si>
  <si>
    <t>Grafing Stadt</t>
  </si>
  <si>
    <t>48.047217</t>
  </si>
  <si>
    <t>11.962758</t>
  </si>
  <si>
    <t>Grafling-Arzting</t>
  </si>
  <si>
    <t>48.889645</t>
  </si>
  <si>
    <t>12.973322</t>
  </si>
  <si>
    <t>Grafrath</t>
  </si>
  <si>
    <t>48.132096</t>
  </si>
  <si>
    <t>11.153259</t>
  </si>
  <si>
    <t>Grafschaft-Gelsdorf Feuerwehr</t>
  </si>
  <si>
    <t>50.581522</t>
  </si>
  <si>
    <t>7.031928</t>
  </si>
  <si>
    <t>Grambow</t>
  </si>
  <si>
    <t>53.417381</t>
  </si>
  <si>
    <t>14.347457</t>
  </si>
  <si>
    <t>Grambow(Gr)</t>
  </si>
  <si>
    <t>Gransee</t>
  </si>
  <si>
    <t>53.001076</t>
  </si>
  <si>
    <t>13.167120</t>
  </si>
  <si>
    <t>Gransee Gymnasium</t>
  </si>
  <si>
    <t>53.000001</t>
  </si>
  <si>
    <t>13.154253</t>
  </si>
  <si>
    <t>Grauschwitz Flocke</t>
  </si>
  <si>
    <t>51.237291</t>
  </si>
  <si>
    <t>13.067876</t>
  </si>
  <si>
    <t>Gräveneck</t>
  </si>
  <si>
    <t>50.451905</t>
  </si>
  <si>
    <t>8.250757</t>
  </si>
  <si>
    <t>Gräveneck Ortsmitte</t>
  </si>
  <si>
    <t>50.449923</t>
  </si>
  <si>
    <t>8.261193</t>
  </si>
  <si>
    <t>Grävenwiesbach</t>
  </si>
  <si>
    <t>50.382239</t>
  </si>
  <si>
    <t>8.458553</t>
  </si>
  <si>
    <t>Grebenstein</t>
  </si>
  <si>
    <t>51.447485</t>
  </si>
  <si>
    <t>9.420159</t>
  </si>
  <si>
    <t>Greifswald</t>
  </si>
  <si>
    <t>54.092923</t>
  </si>
  <si>
    <t>13.370262</t>
  </si>
  <si>
    <t>Greifswald Süd</t>
  </si>
  <si>
    <t>54.076443</t>
  </si>
  <si>
    <t>13.396656</t>
  </si>
  <si>
    <t>Greifswald-Eldena</t>
  </si>
  <si>
    <t>54.089464</t>
  </si>
  <si>
    <t>13.449473</t>
  </si>
  <si>
    <t>Greifswald-FriedrichshagenAbzw</t>
  </si>
  <si>
    <t>54.080243</t>
  </si>
  <si>
    <t>13.486598</t>
  </si>
  <si>
    <t>Greiz</t>
  </si>
  <si>
    <t>50.652974</t>
  </si>
  <si>
    <t>12.194465</t>
  </si>
  <si>
    <t>Greiz-Dölau</t>
  </si>
  <si>
    <t>50.630879</t>
  </si>
  <si>
    <t>12.185217</t>
  </si>
  <si>
    <t>Grenzach</t>
  </si>
  <si>
    <t>47.550900</t>
  </si>
  <si>
    <t>7.659506</t>
  </si>
  <si>
    <t>Greppin</t>
  </si>
  <si>
    <t>51.645358</t>
  </si>
  <si>
    <t>12.297969</t>
  </si>
  <si>
    <t>Greußen</t>
  </si>
  <si>
    <t>51.229134</t>
  </si>
  <si>
    <t>10.941476</t>
  </si>
  <si>
    <t>Greven</t>
  </si>
  <si>
    <t>52.089946</t>
  </si>
  <si>
    <t>7.599353</t>
  </si>
  <si>
    <t>Grevenbroich</t>
  </si>
  <si>
    <t>51.093701</t>
  </si>
  <si>
    <t>6.580447</t>
  </si>
  <si>
    <t>Grevesmühlen</t>
  </si>
  <si>
    <t>53.857468</t>
  </si>
  <si>
    <t>11.184712</t>
  </si>
  <si>
    <t>Grieben(Meckl)</t>
  </si>
  <si>
    <t>53.851233</t>
  </si>
  <si>
    <t>11.068569</t>
  </si>
  <si>
    <t>Griebo</t>
  </si>
  <si>
    <t>51.880576</t>
  </si>
  <si>
    <t>12.522977</t>
  </si>
  <si>
    <t>Griebo An der B187</t>
  </si>
  <si>
    <t>51.881864</t>
  </si>
  <si>
    <t>12.509492</t>
  </si>
  <si>
    <t>Griedel</t>
  </si>
  <si>
    <t>50.442036</t>
  </si>
  <si>
    <t>8.700952</t>
  </si>
  <si>
    <t>Griefstedt</t>
  </si>
  <si>
    <t>51.230531</t>
  </si>
  <si>
    <t>11.136714</t>
  </si>
  <si>
    <t>Griesen(Oberbay)</t>
  </si>
  <si>
    <t>47.478217</t>
  </si>
  <si>
    <t>10.946120</t>
  </si>
  <si>
    <t>Grießen(Baden)</t>
  </si>
  <si>
    <t>47.628432</t>
  </si>
  <si>
    <t>8.396003</t>
  </si>
  <si>
    <t>Grimma ob Bf</t>
  </si>
  <si>
    <t>51.230076</t>
  </si>
  <si>
    <t>12.714131</t>
  </si>
  <si>
    <t>Grimmelshofen</t>
  </si>
  <si>
    <t>47.787971</t>
  </si>
  <si>
    <t>8.504429</t>
  </si>
  <si>
    <t>Grimmen</t>
  </si>
  <si>
    <t>54.109739</t>
  </si>
  <si>
    <t>13.034025</t>
  </si>
  <si>
    <t>Grimmenthal</t>
  </si>
  <si>
    <t>50.532953</t>
  </si>
  <si>
    <t>10.450512</t>
  </si>
  <si>
    <t>Grobau</t>
  </si>
  <si>
    <t>50.432302</t>
  </si>
  <si>
    <t>11.943905</t>
  </si>
  <si>
    <t>Gröbenzell</t>
  </si>
  <si>
    <t>48.194919</t>
  </si>
  <si>
    <t>11.374107</t>
  </si>
  <si>
    <t>Gröbers</t>
  </si>
  <si>
    <t>51.432347</t>
  </si>
  <si>
    <t>12.116826</t>
  </si>
  <si>
    <t>Gröbers Sparkasse</t>
  </si>
  <si>
    <t>51.429986</t>
  </si>
  <si>
    <t>12.118143</t>
  </si>
  <si>
    <t>Gröditz(Riesa)</t>
  </si>
  <si>
    <t>51.411468</t>
  </si>
  <si>
    <t>13.439542</t>
  </si>
  <si>
    <t>Grombach</t>
  </si>
  <si>
    <t>49.226145</t>
  </si>
  <si>
    <t>8.996902</t>
  </si>
  <si>
    <t>Gronau(Westf)</t>
  </si>
  <si>
    <t>52.215107</t>
  </si>
  <si>
    <t>7.022436</t>
  </si>
  <si>
    <t>Gronau(Westf)Gr</t>
  </si>
  <si>
    <t>52.218297</t>
  </si>
  <si>
    <t>6.979970</t>
  </si>
  <si>
    <t>Gronsdorf</t>
  </si>
  <si>
    <t>48.118401</t>
  </si>
  <si>
    <t>11.698619</t>
  </si>
  <si>
    <t>Groß Ammensleben</t>
  </si>
  <si>
    <t>52.235646</t>
  </si>
  <si>
    <t>11.525417</t>
  </si>
  <si>
    <t>Groß Behnitz</t>
  </si>
  <si>
    <t>52.585750</t>
  </si>
  <si>
    <t>12.758052</t>
  </si>
  <si>
    <t>Groß Brütz</t>
  </si>
  <si>
    <t>53.653088</t>
  </si>
  <si>
    <t>11.251439</t>
  </si>
  <si>
    <t>Groß Düngen</t>
  </si>
  <si>
    <t>52.097730</t>
  </si>
  <si>
    <t>10.020077</t>
  </si>
  <si>
    <t>Groß Gerau</t>
  </si>
  <si>
    <t>49.924883</t>
  </si>
  <si>
    <t>8.485954</t>
  </si>
  <si>
    <t>Groß Gerau-Dornberg</t>
  </si>
  <si>
    <t>49.912279</t>
  </si>
  <si>
    <t>8.494709</t>
  </si>
  <si>
    <t>Groß Gerau-Dornheim</t>
  </si>
  <si>
    <t>49.877507</t>
  </si>
  <si>
    <t>8.493656</t>
  </si>
  <si>
    <t>Groß Gerau-Dornheim Rathausplatz</t>
  </si>
  <si>
    <t>49.877094</t>
  </si>
  <si>
    <t>8.481921</t>
  </si>
  <si>
    <t>Groß Ippener DHE</t>
  </si>
  <si>
    <t>52.949135</t>
  </si>
  <si>
    <t>8.632519</t>
  </si>
  <si>
    <t>Groß Karben</t>
  </si>
  <si>
    <t>50.231840</t>
  </si>
  <si>
    <t>8.753528</t>
  </si>
  <si>
    <t>Groß Kiesow</t>
  </si>
  <si>
    <t>54.013721</t>
  </si>
  <si>
    <t>13.480617</t>
  </si>
  <si>
    <t>Groß Köris</t>
  </si>
  <si>
    <t>52.159607</t>
  </si>
  <si>
    <t>13.650807</t>
  </si>
  <si>
    <t>Groß Kreutz</t>
  </si>
  <si>
    <t>52.410761</t>
  </si>
  <si>
    <t>12.776335</t>
  </si>
  <si>
    <t>Groß Laasch</t>
  </si>
  <si>
    <t>53.346481</t>
  </si>
  <si>
    <t>11.534139</t>
  </si>
  <si>
    <t>Groß Lüsewitz</t>
  </si>
  <si>
    <t>54.073407</t>
  </si>
  <si>
    <t>12.339221</t>
  </si>
  <si>
    <t>Groß Lüsewitz Abzweig</t>
  </si>
  <si>
    <t>54.077606</t>
  </si>
  <si>
    <t>12.340723</t>
  </si>
  <si>
    <t>Groß Mackenstedt DHE</t>
  </si>
  <si>
    <t>52.997922</t>
  </si>
  <si>
    <t>8.703535</t>
  </si>
  <si>
    <t>Groß Pankow</t>
  </si>
  <si>
    <t>53.123014</t>
  </si>
  <si>
    <t>12.047421</t>
  </si>
  <si>
    <t>Groß Quassow</t>
  </si>
  <si>
    <t>53.314823</t>
  </si>
  <si>
    <t>13.003845</t>
  </si>
  <si>
    <t>Groß Schönebeck</t>
  </si>
  <si>
    <t>52.904287</t>
  </si>
  <si>
    <t>13.537516</t>
  </si>
  <si>
    <t>Groß Schwaß</t>
  </si>
  <si>
    <t>54.077026</t>
  </si>
  <si>
    <t>12.046120</t>
  </si>
  <si>
    <t>Großarmschlag</t>
  </si>
  <si>
    <t>48.885723</t>
  </si>
  <si>
    <t>13.375921</t>
  </si>
  <si>
    <t>Großauheim(Kr Hanau)</t>
  </si>
  <si>
    <t>50.107050</t>
  </si>
  <si>
    <t>8.943837</t>
  </si>
  <si>
    <t>Großbeeren</t>
  </si>
  <si>
    <t>52.350673</t>
  </si>
  <si>
    <t>13.284770</t>
  </si>
  <si>
    <t>Großbeeren Märkische Allee Süd</t>
  </si>
  <si>
    <t>52.351358</t>
  </si>
  <si>
    <t>13.288543</t>
  </si>
  <si>
    <t>Großbodungen</t>
  </si>
  <si>
    <t>51.478035</t>
  </si>
  <si>
    <t>10.481390</t>
  </si>
  <si>
    <t>Großbothen</t>
  </si>
  <si>
    <t>51.184007</t>
  </si>
  <si>
    <t>12.759140</t>
  </si>
  <si>
    <t>Großburgwedel</t>
  </si>
  <si>
    <t>52.506820</t>
  </si>
  <si>
    <t>9.858535</t>
  </si>
  <si>
    <t>Großdeuben</t>
  </si>
  <si>
    <t>51.232352</t>
  </si>
  <si>
    <t>12.383193</t>
  </si>
  <si>
    <t>Großen Buseck</t>
  </si>
  <si>
    <t>50.605784</t>
  </si>
  <si>
    <t>8.782073</t>
  </si>
  <si>
    <t>Großen Linden</t>
  </si>
  <si>
    <t>50.528297</t>
  </si>
  <si>
    <t>8.662097</t>
  </si>
  <si>
    <t>Großenaspe</t>
  </si>
  <si>
    <t>53.980974</t>
  </si>
  <si>
    <t>9.969829</t>
  </si>
  <si>
    <t>Großenbrode</t>
  </si>
  <si>
    <t>54.366310</t>
  </si>
  <si>
    <t>11.080779</t>
  </si>
  <si>
    <t>Großengottern</t>
  </si>
  <si>
    <t>51.144503</t>
  </si>
  <si>
    <t>10.556041</t>
  </si>
  <si>
    <t>Großenhain Cottb Bf</t>
  </si>
  <si>
    <t>51.291636</t>
  </si>
  <si>
    <t>13.523916</t>
  </si>
  <si>
    <t>Großenkneten</t>
  </si>
  <si>
    <t>52.945057</t>
  </si>
  <si>
    <t>8.241136</t>
  </si>
  <si>
    <t>Großenlüder</t>
  </si>
  <si>
    <t>50.592936</t>
  </si>
  <si>
    <t>9.550001</t>
  </si>
  <si>
    <t>Großfurra</t>
  </si>
  <si>
    <t>51.398882</t>
  </si>
  <si>
    <t>10.802815</t>
  </si>
  <si>
    <t>Großgeschaidt</t>
  </si>
  <si>
    <t>49.565031</t>
  </si>
  <si>
    <t>11.172204</t>
  </si>
  <si>
    <t>Großharthau</t>
  </si>
  <si>
    <t>51.102124</t>
  </si>
  <si>
    <t>14.087646</t>
  </si>
  <si>
    <t>Großhelfendorf</t>
  </si>
  <si>
    <t>47.946060</t>
  </si>
  <si>
    <t>11.781260</t>
  </si>
  <si>
    <t>Großheringen</t>
  </si>
  <si>
    <t>51.105981</t>
  </si>
  <si>
    <t>11.657745</t>
  </si>
  <si>
    <t>Großhesselohe Isartalbf</t>
  </si>
  <si>
    <t>48.071068</t>
  </si>
  <si>
    <t>11.530945</t>
  </si>
  <si>
    <t>Großkarolinenfeld</t>
  </si>
  <si>
    <t>47.888827</t>
  </si>
  <si>
    <t>12.084824</t>
  </si>
  <si>
    <t>Großkorbetha</t>
  </si>
  <si>
    <t>51.267318</t>
  </si>
  <si>
    <t>12.022171</t>
  </si>
  <si>
    <t>Großkrotzenburg</t>
  </si>
  <si>
    <t>50.087726</t>
  </si>
  <si>
    <t>8.982792</t>
  </si>
  <si>
    <t>Großkugel</t>
  </si>
  <si>
    <t>51.418449</t>
  </si>
  <si>
    <t>12.165368</t>
  </si>
  <si>
    <t>Großkugel Beuditzer Weg</t>
  </si>
  <si>
    <t>51.418502</t>
  </si>
  <si>
    <t>12.158393</t>
  </si>
  <si>
    <t>Großlehna</t>
  </si>
  <si>
    <t>51.304806</t>
  </si>
  <si>
    <t>12.168818</t>
  </si>
  <si>
    <t>Großneuhausen</t>
  </si>
  <si>
    <t>51.164516</t>
  </si>
  <si>
    <t>11.286163</t>
  </si>
  <si>
    <t>Großpösna</t>
  </si>
  <si>
    <t>51.266709</t>
  </si>
  <si>
    <t>12.488839</t>
  </si>
  <si>
    <t>Großräschen</t>
  </si>
  <si>
    <t>51.591488</t>
  </si>
  <si>
    <t>14.014898</t>
  </si>
  <si>
    <t>Groß-Rohrheim</t>
  </si>
  <si>
    <t>49.714066</t>
  </si>
  <si>
    <t>8.476857</t>
  </si>
  <si>
    <t>Großröhrsdorf</t>
  </si>
  <si>
    <t>51.148519</t>
  </si>
  <si>
    <t>14.017310</t>
  </si>
  <si>
    <t>Großrudestedt</t>
  </si>
  <si>
    <t>51.095650</t>
  </si>
  <si>
    <t>11.091093</t>
  </si>
  <si>
    <t>Großschönau(Sachs)</t>
  </si>
  <si>
    <t>50.892556</t>
  </si>
  <si>
    <t>14.665450</t>
  </si>
  <si>
    <t>Großschwabhausen</t>
  </si>
  <si>
    <t>50.936958</t>
  </si>
  <si>
    <t>11.481934</t>
  </si>
  <si>
    <t>Großsteinberg</t>
  </si>
  <si>
    <t>51.250586</t>
  </si>
  <si>
    <t>12.637415</t>
  </si>
  <si>
    <t>Groß-Umstadt Klein-Umstadt</t>
  </si>
  <si>
    <t>49.894367</t>
  </si>
  <si>
    <t>8.938635</t>
  </si>
  <si>
    <t>Groß-Umstadt Mitte</t>
  </si>
  <si>
    <t>49.864062</t>
  </si>
  <si>
    <t>8.924707</t>
  </si>
  <si>
    <t>Groß-Umstadt Wiebelsbach</t>
  </si>
  <si>
    <t>49.833204</t>
  </si>
  <si>
    <t>8.940897</t>
  </si>
  <si>
    <t>Großwalbur</t>
  </si>
  <si>
    <t>50.327190</t>
  </si>
  <si>
    <t>10.849282</t>
  </si>
  <si>
    <t>Großweitzschen</t>
  </si>
  <si>
    <t>51.159494</t>
  </si>
  <si>
    <t>13.052765</t>
  </si>
  <si>
    <t>Großwudicke</t>
  </si>
  <si>
    <t>52.590435</t>
  </si>
  <si>
    <t>12.231128</t>
  </si>
  <si>
    <t>Grötzingen</t>
  </si>
  <si>
    <t>49.005975</t>
  </si>
  <si>
    <t>8.492941</t>
  </si>
  <si>
    <t>Grötzingen Krappmühlenweg</t>
  </si>
  <si>
    <t>49.005875</t>
  </si>
  <si>
    <t>8.512436</t>
  </si>
  <si>
    <t>Grötzingen Oberausstraße</t>
  </si>
  <si>
    <t>49.005260</t>
  </si>
  <si>
    <t>8.504049</t>
  </si>
  <si>
    <t>Grub am Forst</t>
  </si>
  <si>
    <t>50.227523</t>
  </si>
  <si>
    <t>11.025858</t>
  </si>
  <si>
    <t>Grub(Oberbay)</t>
  </si>
  <si>
    <t>48.164523</t>
  </si>
  <si>
    <t>11.782559</t>
  </si>
  <si>
    <t>Grub(Oberpf)</t>
  </si>
  <si>
    <t>49.357856</t>
  </si>
  <si>
    <t>12.681653</t>
  </si>
  <si>
    <t>Grüna(Sachs)Hp</t>
  </si>
  <si>
    <t>50.811417</t>
  </si>
  <si>
    <t>12.798514</t>
  </si>
  <si>
    <t>Grunbach</t>
  </si>
  <si>
    <t>48.810360</t>
  </si>
  <si>
    <t>9.420029</t>
  </si>
  <si>
    <t>Grünbach(Vogtl)</t>
  </si>
  <si>
    <t>50.439895</t>
  </si>
  <si>
    <t>12.372815</t>
  </si>
  <si>
    <t>Grünberg(Oberhess)</t>
  </si>
  <si>
    <t>50.596589</t>
  </si>
  <si>
    <t>8.959931</t>
  </si>
  <si>
    <t>Grünebach Ort</t>
  </si>
  <si>
    <t>50.777143</t>
  </si>
  <si>
    <t>7.902350</t>
  </si>
  <si>
    <t>Grünebacherhütte</t>
  </si>
  <si>
    <t>50.781656</t>
  </si>
  <si>
    <t>7.891546</t>
  </si>
  <si>
    <t>Grüneberg</t>
  </si>
  <si>
    <t>52.867800</t>
  </si>
  <si>
    <t>13.213023</t>
  </si>
  <si>
    <t>Grunern Gasthof Bahnhof</t>
  </si>
  <si>
    <t>Grünhainichen-Borstendorf</t>
  </si>
  <si>
    <t>50.774622</t>
  </si>
  <si>
    <t>13.163443</t>
  </si>
  <si>
    <t>Grunow(Niederlausitz)</t>
  </si>
  <si>
    <t>52.165074</t>
  </si>
  <si>
    <t>14.378843</t>
  </si>
  <si>
    <t>Grunow(Nl) Dorf</t>
  </si>
  <si>
    <t>52.157949</t>
  </si>
  <si>
    <t>14.391820</t>
  </si>
  <si>
    <t>Grünsfeld</t>
  </si>
  <si>
    <t>49.604933</t>
  </si>
  <si>
    <t>9.745447</t>
  </si>
  <si>
    <t>Grünstadt</t>
  </si>
  <si>
    <t>49.564384</t>
  </si>
  <si>
    <t>8.167962</t>
  </si>
  <si>
    <t>Grünstadt Nord</t>
  </si>
  <si>
    <t>49.573355</t>
  </si>
  <si>
    <t>8.170781</t>
  </si>
  <si>
    <t>Grünstädtel</t>
  </si>
  <si>
    <t>50.530154</t>
  </si>
  <si>
    <t>12.816782</t>
  </si>
  <si>
    <t>Grüntal-Wittlensweiler</t>
  </si>
  <si>
    <t>48.475399</t>
  </si>
  <si>
    <t>8.460747</t>
  </si>
  <si>
    <t>Guben</t>
  </si>
  <si>
    <t>51.957203</t>
  </si>
  <si>
    <t>14.706775</t>
  </si>
  <si>
    <t>Gubin(Gr)</t>
  </si>
  <si>
    <t>Güdingen</t>
  </si>
  <si>
    <t>49.197713</t>
  </si>
  <si>
    <t>7.030805</t>
  </si>
  <si>
    <t>Gültstein</t>
  </si>
  <si>
    <t>48.577494</t>
  </si>
  <si>
    <t>8.881558</t>
  </si>
  <si>
    <t>Gummersbach</t>
  </si>
  <si>
    <t>51.023632</t>
  </si>
  <si>
    <t>7.566310</t>
  </si>
  <si>
    <t>Gummersbach-Dieringhausen</t>
  </si>
  <si>
    <t>50.985420</t>
  </si>
  <si>
    <t>7.542483</t>
  </si>
  <si>
    <t>Gumpenried-Asbach</t>
  </si>
  <si>
    <t>49.071832</t>
  </si>
  <si>
    <t>13.000993</t>
  </si>
  <si>
    <t>Gundelfingen(Bay)</t>
  </si>
  <si>
    <t>48.548779</t>
  </si>
  <si>
    <t>10.377186</t>
  </si>
  <si>
    <t>Gundelfingen(Breisgau)</t>
  </si>
  <si>
    <t>48.044025</t>
  </si>
  <si>
    <t>7.874185</t>
  </si>
  <si>
    <t>Gundelsdorf</t>
  </si>
  <si>
    <t>50.279917</t>
  </si>
  <si>
    <t>11.301455</t>
  </si>
  <si>
    <t>Gundelshausen</t>
  </si>
  <si>
    <t>48.944880</t>
  </si>
  <si>
    <t>12.003553</t>
  </si>
  <si>
    <t>Gundelsheim(Neckar)</t>
  </si>
  <si>
    <t>49.282933</t>
  </si>
  <si>
    <t>9.157870</t>
  </si>
  <si>
    <t>Gundersheim(Rheinhess)</t>
  </si>
  <si>
    <t>49.690167</t>
  </si>
  <si>
    <t>8.196596</t>
  </si>
  <si>
    <t>Gündlkofen</t>
  </si>
  <si>
    <t>48.526159</t>
  </si>
  <si>
    <t>12.033642</t>
  </si>
  <si>
    <t>Güntersberge</t>
  </si>
  <si>
    <t>51.644231</t>
  </si>
  <si>
    <t>10.985669</t>
  </si>
  <si>
    <t>Guntersblum</t>
  </si>
  <si>
    <t>49.791980</t>
  </si>
  <si>
    <t>8.351257</t>
  </si>
  <si>
    <t>Günzach</t>
  </si>
  <si>
    <t>47.819599</t>
  </si>
  <si>
    <t>10.439565</t>
  </si>
  <si>
    <t>Günzburg</t>
  </si>
  <si>
    <t>48.460563</t>
  </si>
  <si>
    <t>10.279262</t>
  </si>
  <si>
    <t>Gunzen</t>
  </si>
  <si>
    <t>50.351499</t>
  </si>
  <si>
    <t>12.333347</t>
  </si>
  <si>
    <t>Güsen(b Genthin)</t>
  </si>
  <si>
    <t>52.334215</t>
  </si>
  <si>
    <t>11.976476</t>
  </si>
  <si>
    <t>Gussenstadt</t>
  </si>
  <si>
    <t>48.639901</t>
  </si>
  <si>
    <t>9.957623</t>
  </si>
  <si>
    <t>Güsten</t>
  </si>
  <si>
    <t>51.793017</t>
  </si>
  <si>
    <t>11.601766</t>
  </si>
  <si>
    <t>Gustorf</t>
  </si>
  <si>
    <t>51.067173</t>
  </si>
  <si>
    <t>6.570011</t>
  </si>
  <si>
    <t>Güstrow</t>
  </si>
  <si>
    <t>53.800597</t>
  </si>
  <si>
    <t>12.172836</t>
  </si>
  <si>
    <t>Gutach(Breisgau)</t>
  </si>
  <si>
    <t>48.113325</t>
  </si>
  <si>
    <t>7.988493</t>
  </si>
  <si>
    <t>Gutenfürst</t>
  </si>
  <si>
    <t>50.418797</t>
  </si>
  <si>
    <t>11.960916</t>
  </si>
  <si>
    <t>51.993474</t>
  </si>
  <si>
    <t>11.986389</t>
  </si>
  <si>
    <t>Gütersloh Hbf</t>
  </si>
  <si>
    <t>51.906941</t>
  </si>
  <si>
    <t>8.385071</t>
  </si>
  <si>
    <t>Guthmannshausen</t>
  </si>
  <si>
    <t>51.132368</t>
  </si>
  <si>
    <t>11.365703</t>
  </si>
  <si>
    <t>Guxhagen</t>
  </si>
  <si>
    <t>51.204322</t>
  </si>
  <si>
    <t>9.482159</t>
  </si>
  <si>
    <t>Haan</t>
  </si>
  <si>
    <t>51.188120</t>
  </si>
  <si>
    <t>6.998018</t>
  </si>
  <si>
    <t>Haan-Gruiten</t>
  </si>
  <si>
    <t>51.214559</t>
  </si>
  <si>
    <t>7.010546</t>
  </si>
  <si>
    <t>Haar</t>
  </si>
  <si>
    <t>48.111413</t>
  </si>
  <si>
    <t>11.731150</t>
  </si>
  <si>
    <t>Haarhausen</t>
  </si>
  <si>
    <t>50.867437</t>
  </si>
  <si>
    <t>10.905715</t>
  </si>
  <si>
    <t>Hachenburg</t>
  </si>
  <si>
    <t>50.664001</t>
  </si>
  <si>
    <t>7.822895</t>
  </si>
  <si>
    <t>Hadamar</t>
  </si>
  <si>
    <t>50.446900</t>
  </si>
  <si>
    <t>8.043513</t>
  </si>
  <si>
    <t>Hadamar Stadtmitte</t>
  </si>
  <si>
    <t>Hademarschen</t>
  </si>
  <si>
    <t>54.122809</t>
  </si>
  <si>
    <t>9.414475</t>
  </si>
  <si>
    <t>Hademstorf</t>
  </si>
  <si>
    <t>52.711982</t>
  </si>
  <si>
    <t>9.639434</t>
  </si>
  <si>
    <t>Hadmersleben</t>
  </si>
  <si>
    <t>52.007360</t>
  </si>
  <si>
    <t>11.324446</t>
  </si>
  <si>
    <t>Haffkrug</t>
  </si>
  <si>
    <t>54.054189</t>
  </si>
  <si>
    <t>10.742682</t>
  </si>
  <si>
    <t>Hagebök</t>
  </si>
  <si>
    <t>53.961260</t>
  </si>
  <si>
    <t>11.614882</t>
  </si>
  <si>
    <t>Hagebök Neubau B105</t>
  </si>
  <si>
    <t>53.960633</t>
  </si>
  <si>
    <t>11.615594</t>
  </si>
  <si>
    <t>Hagelstadt</t>
  </si>
  <si>
    <t>48.895859</t>
  </si>
  <si>
    <t>12.214829</t>
  </si>
  <si>
    <t>Hagen Hbf</t>
  </si>
  <si>
    <t>51.362747</t>
  </si>
  <si>
    <t>7.460249</t>
  </si>
  <si>
    <t>Hagen(Han)</t>
  </si>
  <si>
    <t>52.573690</t>
  </si>
  <si>
    <t>9.408946</t>
  </si>
  <si>
    <t>Hagenbach</t>
  </si>
  <si>
    <t>49.016280</t>
  </si>
  <si>
    <t>8.253223</t>
  </si>
  <si>
    <t>Hagenbüchach</t>
  </si>
  <si>
    <t>49.536347</t>
  </si>
  <si>
    <t>10.767799</t>
  </si>
  <si>
    <t>Hagen-Heubing</t>
  </si>
  <si>
    <t>51.352318</t>
  </si>
  <si>
    <t>7.423087</t>
  </si>
  <si>
    <t>Hagen-Oberhagen</t>
  </si>
  <si>
    <t>51.351114</t>
  </si>
  <si>
    <t>7.478792</t>
  </si>
  <si>
    <t>Hagenow Land</t>
  </si>
  <si>
    <t>53.413582</t>
  </si>
  <si>
    <t>11.215695</t>
  </si>
  <si>
    <t>Hagenow Stadt</t>
  </si>
  <si>
    <t>53.429437</t>
  </si>
  <si>
    <t>11.184990</t>
  </si>
  <si>
    <t>Hagen-Wehringhausen</t>
  </si>
  <si>
    <t>51.353583</t>
  </si>
  <si>
    <t>7.452767</t>
  </si>
  <si>
    <t>Hagenwerder</t>
  </si>
  <si>
    <t>51.070117</t>
  </si>
  <si>
    <t>14.960228</t>
  </si>
  <si>
    <t>Hagen-Westerbauer</t>
  </si>
  <si>
    <t>51.341781</t>
  </si>
  <si>
    <t>7.397392</t>
  </si>
  <si>
    <t>Hagnau(Bodensee)</t>
  </si>
  <si>
    <t>47.673518</t>
  </si>
  <si>
    <t>9.314118</t>
  </si>
  <si>
    <t>Hähnichen</t>
  </si>
  <si>
    <t>51.364119</t>
  </si>
  <si>
    <t>14.856726</t>
  </si>
  <si>
    <t>Hähnlein-Alsbach</t>
  </si>
  <si>
    <t>49.739623</t>
  </si>
  <si>
    <t>8.606503</t>
  </si>
  <si>
    <t>Haidenaab-Göppmannsbühl</t>
  </si>
  <si>
    <t>49.885777</t>
  </si>
  <si>
    <t>11.820045</t>
  </si>
  <si>
    <t>Haidkapelle</t>
  </si>
  <si>
    <t>48.360626</t>
  </si>
  <si>
    <t>9.261571</t>
  </si>
  <si>
    <t>Haidmühle Dreisessel Parkplatz</t>
  </si>
  <si>
    <t>48.782255</t>
  </si>
  <si>
    <t>13.797458</t>
  </si>
  <si>
    <t>Haiger</t>
  </si>
  <si>
    <t>50.741206</t>
  </si>
  <si>
    <t>8.221679</t>
  </si>
  <si>
    <t>Haiger Obertor</t>
  </si>
  <si>
    <t>50.740863</t>
  </si>
  <si>
    <t>8.202250</t>
  </si>
  <si>
    <t>Haigerloch</t>
  </si>
  <si>
    <t>48.370200</t>
  </si>
  <si>
    <t>8.801301</t>
  </si>
  <si>
    <t>Hailer-Meerholz</t>
  </si>
  <si>
    <t>50.189671</t>
  </si>
  <si>
    <t>9.150665</t>
  </si>
  <si>
    <t>Hainburg Hainstadt</t>
  </si>
  <si>
    <t>50.078113</t>
  </si>
  <si>
    <t>8.938135</t>
  </si>
  <si>
    <t>Hainewalde</t>
  </si>
  <si>
    <t>50.906608</t>
  </si>
  <si>
    <t>14.704463</t>
  </si>
  <si>
    <t>Hainewalde Gemeindeamt</t>
  </si>
  <si>
    <t>50.907615</t>
  </si>
  <si>
    <t>14.701932</t>
  </si>
  <si>
    <t>Hainichen</t>
  </si>
  <si>
    <t>50.968095</t>
  </si>
  <si>
    <t>13.119057</t>
  </si>
  <si>
    <t>Hainstadt(Baden)</t>
  </si>
  <si>
    <t>49.543058</t>
  </si>
  <si>
    <t>9.326884</t>
  </si>
  <si>
    <t>Haitz-Höchst</t>
  </si>
  <si>
    <t>50.208634</t>
  </si>
  <si>
    <t>9.226821</t>
  </si>
  <si>
    <t>Halbe</t>
  </si>
  <si>
    <t>52.108384</t>
  </si>
  <si>
    <t>13.701855</t>
  </si>
  <si>
    <t>Halberstadt Hbf</t>
  </si>
  <si>
    <t>51.899309</t>
  </si>
  <si>
    <t>11.073452</t>
  </si>
  <si>
    <t>Halberstadt Oststr</t>
  </si>
  <si>
    <t>51.885011</t>
  </si>
  <si>
    <t>11.065436</t>
  </si>
  <si>
    <t>Halberstadt-Spiegelsberge</t>
  </si>
  <si>
    <t>51.882581</t>
  </si>
  <si>
    <t>11.048307</t>
  </si>
  <si>
    <t>Halbmeil</t>
  </si>
  <si>
    <t>48.290749</t>
  </si>
  <si>
    <t>8.270454</t>
  </si>
  <si>
    <t>Haldensleben</t>
  </si>
  <si>
    <t>52.285034</t>
  </si>
  <si>
    <t>11.406106</t>
  </si>
  <si>
    <t>Haldern(Rheinl)</t>
  </si>
  <si>
    <t>51.772558</t>
  </si>
  <si>
    <t>6.455832</t>
  </si>
  <si>
    <t>Halen</t>
  </si>
  <si>
    <t>52.339122</t>
  </si>
  <si>
    <t>7.945044</t>
  </si>
  <si>
    <t>Halfing</t>
  </si>
  <si>
    <t>47.952944</t>
  </si>
  <si>
    <t>12.279275</t>
  </si>
  <si>
    <t>Hallbergmoos</t>
  </si>
  <si>
    <t>48.309167</t>
  </si>
  <si>
    <t>11.714334</t>
  </si>
  <si>
    <t>Halle Dessauer Brücke</t>
  </si>
  <si>
    <t>51.500123</t>
  </si>
  <si>
    <t>11.982535</t>
  </si>
  <si>
    <t>Halle Messe</t>
  </si>
  <si>
    <t>51.454760</t>
  </si>
  <si>
    <t>12.028041</t>
  </si>
  <si>
    <t>Halle Rosengarten</t>
  </si>
  <si>
    <t>51.446863</t>
  </si>
  <si>
    <t>11.982787</t>
  </si>
  <si>
    <t>Halle Steintorbrücke</t>
  </si>
  <si>
    <t>51.490201</t>
  </si>
  <si>
    <t>11.986895</t>
  </si>
  <si>
    <t>Halle Südstadt</t>
  </si>
  <si>
    <t>51.447959</t>
  </si>
  <si>
    <t>11.950925</t>
  </si>
  <si>
    <t>Halle Wohnstadt Nord</t>
  </si>
  <si>
    <t>51.517146</t>
  </si>
  <si>
    <t>11.964810</t>
  </si>
  <si>
    <t>Halle Zoo</t>
  </si>
  <si>
    <t>51.503651</t>
  </si>
  <si>
    <t>11.970346</t>
  </si>
  <si>
    <t>Halle Zscherbener Straße</t>
  </si>
  <si>
    <t>51.473314</t>
  </si>
  <si>
    <t>11.921056</t>
  </si>
  <si>
    <t>Halle(S) Heidebf</t>
  </si>
  <si>
    <t>51.502354</t>
  </si>
  <si>
    <t>11.887318</t>
  </si>
  <si>
    <t>Halle(Saale)Hbf</t>
  </si>
  <si>
    <t>51.477509</t>
  </si>
  <si>
    <t>11.987085</t>
  </si>
  <si>
    <t>Halle(Westf)</t>
  </si>
  <si>
    <t>52.057295</t>
  </si>
  <si>
    <t>8.357729</t>
  </si>
  <si>
    <t>Halle(Westf) OWL-Arena</t>
  </si>
  <si>
    <t>52.061643</t>
  </si>
  <si>
    <t>8.343797</t>
  </si>
  <si>
    <t>Halle-Ammendorf</t>
  </si>
  <si>
    <t>51.424133</t>
  </si>
  <si>
    <t>11.987913</t>
  </si>
  <si>
    <t>Halle-Neustadt</t>
  </si>
  <si>
    <t>51.480056</t>
  </si>
  <si>
    <t>11.920632</t>
  </si>
  <si>
    <t>Halle-Nietleben</t>
  </si>
  <si>
    <t>51.487825</t>
  </si>
  <si>
    <t>11.908451</t>
  </si>
  <si>
    <t>Halle-Silberhöhe</t>
  </si>
  <si>
    <t>51.445546</t>
  </si>
  <si>
    <t>11.966801</t>
  </si>
  <si>
    <t>Halle-Trotha</t>
  </si>
  <si>
    <t>51.523898</t>
  </si>
  <si>
    <t>11.962170</t>
  </si>
  <si>
    <t>Hallig Hooge</t>
  </si>
  <si>
    <t>54.578506</t>
  </si>
  <si>
    <t>8.556625</t>
  </si>
  <si>
    <t>Hallig Langeneß</t>
  </si>
  <si>
    <t>54.618398</t>
  </si>
  <si>
    <t>8.547762</t>
  </si>
  <si>
    <t>Hallstadt(b Bamberg)</t>
  </si>
  <si>
    <t>49.929551</t>
  </si>
  <si>
    <t>10.885454</t>
  </si>
  <si>
    <t>Hallstadt(b Bamberg) Sparkasse</t>
  </si>
  <si>
    <t>49.927185</t>
  </si>
  <si>
    <t>10.875018</t>
  </si>
  <si>
    <t>Halstenbek</t>
  </si>
  <si>
    <t>53.630377</t>
  </si>
  <si>
    <t>9.839092</t>
  </si>
  <si>
    <t>Haltern am See</t>
  </si>
  <si>
    <t>51.737668</t>
  </si>
  <si>
    <t>7.184366</t>
  </si>
  <si>
    <t>Haltingen Gewerbestr.</t>
  </si>
  <si>
    <t>47.618105</t>
  </si>
  <si>
    <t>7.613199</t>
  </si>
  <si>
    <t>Haltingen Markgräflerstr.</t>
  </si>
  <si>
    <t>47.610201</t>
  </si>
  <si>
    <t>7.615066</t>
  </si>
  <si>
    <t>Halver-Oberbrügge</t>
  </si>
  <si>
    <t>51.191867</t>
  </si>
  <si>
    <t>7.574042</t>
  </si>
  <si>
    <t>Hamburg Airport</t>
  </si>
  <si>
    <t>53.632350</t>
  </si>
  <si>
    <t>10.006646</t>
  </si>
  <si>
    <t>Hamburg Alte Wöhr</t>
  </si>
  <si>
    <t>53.597930</t>
  </si>
  <si>
    <t>10.035415</t>
  </si>
  <si>
    <t>Hamburg Berliner Tor</t>
  </si>
  <si>
    <t>53.552870</t>
  </si>
  <si>
    <t>10.024630</t>
  </si>
  <si>
    <t>Hamburg Billwerder-Moorfleet</t>
  </si>
  <si>
    <t>53.515589</t>
  </si>
  <si>
    <t>10.096658</t>
  </si>
  <si>
    <t>Hamburg Burgwedel</t>
  </si>
  <si>
    <t>53.647614</t>
  </si>
  <si>
    <t>9.908496</t>
  </si>
  <si>
    <t>Hamburg Dammtor</t>
  </si>
  <si>
    <t>53.560751</t>
  </si>
  <si>
    <t>9.989566</t>
  </si>
  <si>
    <t>Hamburg Diebsteich</t>
  </si>
  <si>
    <t>53.568569</t>
  </si>
  <si>
    <t>9.934260</t>
  </si>
  <si>
    <t>Hamburg Elbbrücken</t>
  </si>
  <si>
    <t>53.534824</t>
  </si>
  <si>
    <t>10.024660</t>
  </si>
  <si>
    <t>Hamburg Elbgaustraße</t>
  </si>
  <si>
    <t>53.602575</t>
  </si>
  <si>
    <t>9.893738</t>
  </si>
  <si>
    <t>Hamburg Friedrichsberg</t>
  </si>
  <si>
    <t>53.576328</t>
  </si>
  <si>
    <t>10.057433</t>
  </si>
  <si>
    <t>Hamburg Hasselbrook</t>
  </si>
  <si>
    <t>53.564711</t>
  </si>
  <si>
    <t>10.056129</t>
  </si>
  <si>
    <t>Hamburg Hbf</t>
  </si>
  <si>
    <t>53.552736</t>
  </si>
  <si>
    <t>10.006909</t>
  </si>
  <si>
    <t>Hamburg Hochkamp</t>
  </si>
  <si>
    <t>53.561370</t>
  </si>
  <si>
    <t>9.842076</t>
  </si>
  <si>
    <t>Hamburg Hoheneichen</t>
  </si>
  <si>
    <t>53.635478</t>
  </si>
  <si>
    <t>10.067648</t>
  </si>
  <si>
    <t>Hamburg Holstenstraße</t>
  </si>
  <si>
    <t>53.561762</t>
  </si>
  <si>
    <t>9.949741</t>
  </si>
  <si>
    <t>Hamburg Jungfernstieg</t>
  </si>
  <si>
    <t>53.552194</t>
  </si>
  <si>
    <t>9.993883</t>
  </si>
  <si>
    <t>Hamburg Klein Borstel U-Bahnhof</t>
  </si>
  <si>
    <t>Hamburg Klein Flottbek</t>
  </si>
  <si>
    <t>53.558169</t>
  </si>
  <si>
    <t>9.861122</t>
  </si>
  <si>
    <t>Hamburg Königstraße</t>
  </si>
  <si>
    <t>53.547796</t>
  </si>
  <si>
    <t>9.944088</t>
  </si>
  <si>
    <t>Hamburg Kornweg(Klein Borstel)</t>
  </si>
  <si>
    <t>53.632381</t>
  </si>
  <si>
    <t>10.053841</t>
  </si>
  <si>
    <t>Hamburg Landungsbrücken</t>
  </si>
  <si>
    <t>53.546132</t>
  </si>
  <si>
    <t>9.971281</t>
  </si>
  <si>
    <t>Hamburg Landwehr</t>
  </si>
  <si>
    <t>53.561199</t>
  </si>
  <si>
    <t>10.038021</t>
  </si>
  <si>
    <t>Hamburg Mittlerer Landweg</t>
  </si>
  <si>
    <t>53.498172</t>
  </si>
  <si>
    <t>10.131122</t>
  </si>
  <si>
    <t>Hamburg Neuwiedenthal</t>
  </si>
  <si>
    <t>53.473059</t>
  </si>
  <si>
    <t>9.877434</t>
  </si>
  <si>
    <t>Hamburg Reeperbahn</t>
  </si>
  <si>
    <t>53.549668</t>
  </si>
  <si>
    <t>9.957668</t>
  </si>
  <si>
    <t>Hamburg Rübenkamp</t>
  </si>
  <si>
    <t>53.605968</t>
  </si>
  <si>
    <t>10.033083</t>
  </si>
  <si>
    <t>Hamburg SEV-Barmbek Wiesendamm D</t>
  </si>
  <si>
    <t>Hamburg SEV-Binsbark</t>
  </si>
  <si>
    <t>53.549465</t>
  </si>
  <si>
    <t>9.984804</t>
  </si>
  <si>
    <t>Hamburg Wandsbeker Chaussee</t>
  </si>
  <si>
    <t>53.569734</t>
  </si>
  <si>
    <t>10.059975</t>
  </si>
  <si>
    <t>Hamburg-Allermöhe</t>
  </si>
  <si>
    <t>53.490356</t>
  </si>
  <si>
    <t>10.158735</t>
  </si>
  <si>
    <t>Hamburg-Altona</t>
  </si>
  <si>
    <t>53.552695</t>
  </si>
  <si>
    <t>9.935175</t>
  </si>
  <si>
    <t>Hamburg-Bahrenfeld</t>
  </si>
  <si>
    <t>53.560060</t>
  </si>
  <si>
    <t>9.910778</t>
  </si>
  <si>
    <t>Hamburg-Barmbek</t>
  </si>
  <si>
    <t>53.587458</t>
  </si>
  <si>
    <t>10.044164</t>
  </si>
  <si>
    <t>Hamburg-Bergedorf</t>
  </si>
  <si>
    <t>53.489832</t>
  </si>
  <si>
    <t>10.206171</t>
  </si>
  <si>
    <t>Hamburg-Blankenese</t>
  </si>
  <si>
    <t>53.564364</t>
  </si>
  <si>
    <t>9.814607</t>
  </si>
  <si>
    <t>Hamburg-Eidelstedt</t>
  </si>
  <si>
    <t>53.595887</t>
  </si>
  <si>
    <t>9.907097</t>
  </si>
  <si>
    <t>Hamburg-Eidelstedt Zentrum</t>
  </si>
  <si>
    <t>53.610375</t>
  </si>
  <si>
    <t>9.901522</t>
  </si>
  <si>
    <t>Hamburg-Fischbek</t>
  </si>
  <si>
    <t>53.474731</t>
  </si>
  <si>
    <t>9.819561</t>
  </si>
  <si>
    <t>Hamburg-Hammerbrook</t>
  </si>
  <si>
    <t>53.546610</t>
  </si>
  <si>
    <t>10.023610</t>
  </si>
  <si>
    <t>Hamburg-Harburg</t>
  </si>
  <si>
    <t>53.455908</t>
  </si>
  <si>
    <t>9.991701</t>
  </si>
  <si>
    <t>Hamburg-Harburg Rathaus</t>
  </si>
  <si>
    <t>53.460694</t>
  </si>
  <si>
    <t>9.980463</t>
  </si>
  <si>
    <t>Hamburg-Heimfeld</t>
  </si>
  <si>
    <t>53.465481</t>
  </si>
  <si>
    <t>9.963187</t>
  </si>
  <si>
    <t>Hamburg-Hörgensweg</t>
  </si>
  <si>
    <t>53.617283</t>
  </si>
  <si>
    <t>9.903627</t>
  </si>
  <si>
    <t>Hamburg-Iserbrook</t>
  </si>
  <si>
    <t>53.576606</t>
  </si>
  <si>
    <t>9.814049</t>
  </si>
  <si>
    <t>Hamburg-Langenfelde</t>
  </si>
  <si>
    <t>53.579692</t>
  </si>
  <si>
    <t>9.930920</t>
  </si>
  <si>
    <t>Hamburg-Nettelnburg</t>
  </si>
  <si>
    <t>53.487888</t>
  </si>
  <si>
    <t>10.181408</t>
  </si>
  <si>
    <t>Hamburg-Neugraben</t>
  </si>
  <si>
    <t>53.474143</t>
  </si>
  <si>
    <t>9.852048</t>
  </si>
  <si>
    <t>Hamburg-Othmarschen</t>
  </si>
  <si>
    <t>53.559233</t>
  </si>
  <si>
    <t>9.885967</t>
  </si>
  <si>
    <t>Hamburg-Ottensen</t>
  </si>
  <si>
    <t>53.559558</t>
  </si>
  <si>
    <t>9.926941</t>
  </si>
  <si>
    <t>Hamburg-Poppenbüttel</t>
  </si>
  <si>
    <t>53.652183</t>
  </si>
  <si>
    <t>10.094034</t>
  </si>
  <si>
    <t>Hamburg-Rahlstedt</t>
  </si>
  <si>
    <t>53.604857</t>
  </si>
  <si>
    <t>10.154396</t>
  </si>
  <si>
    <t>Hamburg-Rissen</t>
  </si>
  <si>
    <t>53.583216</t>
  </si>
  <si>
    <t>9.757057</t>
  </si>
  <si>
    <t>Hamburg-Rothenburgsort</t>
  </si>
  <si>
    <t>53.538476</t>
  </si>
  <si>
    <t>10.043953</t>
  </si>
  <si>
    <t>Hamburg-Schnelsen</t>
  </si>
  <si>
    <t>53.634124</t>
  </si>
  <si>
    <t>9.906616</t>
  </si>
  <si>
    <t>Hamburg-Stellingen</t>
  </si>
  <si>
    <t>53.589843</t>
  </si>
  <si>
    <t>9.918336</t>
  </si>
  <si>
    <t>Hamburg-Sternschanze</t>
  </si>
  <si>
    <t>53.563719</t>
  </si>
  <si>
    <t>9.967204</t>
  </si>
  <si>
    <t>Hamburg-Sülldorf</t>
  </si>
  <si>
    <t>53.581122</t>
  </si>
  <si>
    <t>9.797519</t>
  </si>
  <si>
    <t>Hamburg-Tiefstack</t>
  </si>
  <si>
    <t>53.531225</t>
  </si>
  <si>
    <t>10.065591</t>
  </si>
  <si>
    <t>Hamburg-Tonndorf</t>
  </si>
  <si>
    <t>53.586385</t>
  </si>
  <si>
    <t>10.123050</t>
  </si>
  <si>
    <t>Hamburg-Veddel</t>
  </si>
  <si>
    <t>53.521703</t>
  </si>
  <si>
    <t>10.013313</t>
  </si>
  <si>
    <t>Hamburg-Wandsbek</t>
  </si>
  <si>
    <t>53.569971</t>
  </si>
  <si>
    <t>10.077224</t>
  </si>
  <si>
    <t>Hamburg-Wellingsbüttel</t>
  </si>
  <si>
    <t>53.641327</t>
  </si>
  <si>
    <t>10.082825</t>
  </si>
  <si>
    <t>Hamburg-Wilhelmsburg</t>
  </si>
  <si>
    <t>53.498936</t>
  </si>
  <si>
    <t>10.007006</t>
  </si>
  <si>
    <t>Hämelerwald</t>
  </si>
  <si>
    <t>52.354704</t>
  </si>
  <si>
    <t>10.110601</t>
  </si>
  <si>
    <t>Hameln</t>
  </si>
  <si>
    <t>52.101850</t>
  </si>
  <si>
    <t>9.375906</t>
  </si>
  <si>
    <t>Hämerten</t>
  </si>
  <si>
    <t>52.599024</t>
  </si>
  <si>
    <t>11.971770</t>
  </si>
  <si>
    <t>Hamm(Westf)Hbf</t>
  </si>
  <si>
    <t>51.678078</t>
  </si>
  <si>
    <t>7.807821</t>
  </si>
  <si>
    <t>Hammah</t>
  </si>
  <si>
    <t>53.612143</t>
  </si>
  <si>
    <t>9.368728</t>
  </si>
  <si>
    <t>Hamm-Bockum-Hövel</t>
  </si>
  <si>
    <t>51.704809</t>
  </si>
  <si>
    <t>7.774547</t>
  </si>
  <si>
    <t>Hammelburg</t>
  </si>
  <si>
    <t>50.120041</t>
  </si>
  <si>
    <t>9.882966</t>
  </si>
  <si>
    <t>Hammelburg Ost</t>
  </si>
  <si>
    <t>50.115889</t>
  </si>
  <si>
    <t>9.902111</t>
  </si>
  <si>
    <t>Hammelspring</t>
  </si>
  <si>
    <t>53.070228</t>
  </si>
  <si>
    <t>13.435744</t>
  </si>
  <si>
    <t>Hammerau</t>
  </si>
  <si>
    <t>47.795883</t>
  </si>
  <si>
    <t>12.946134</t>
  </si>
  <si>
    <t>Hammerstein</t>
  </si>
  <si>
    <t>47.690295</t>
  </si>
  <si>
    <t>7.644148</t>
  </si>
  <si>
    <t>Hammerstein Abzw. Bahnhof</t>
  </si>
  <si>
    <t>47.690260</t>
  </si>
  <si>
    <t>7.646176</t>
  </si>
  <si>
    <t>Hammerunterwiesenthal</t>
  </si>
  <si>
    <t>50.441091</t>
  </si>
  <si>
    <t>13.008722</t>
  </si>
  <si>
    <t>Hammerunterwiesenthal Kirche</t>
  </si>
  <si>
    <t>50.443478</t>
  </si>
  <si>
    <t>13.012353</t>
  </si>
  <si>
    <t>Hamm-Heessen</t>
  </si>
  <si>
    <t>51.709195</t>
  </si>
  <si>
    <t>7.831551</t>
  </si>
  <si>
    <t>Hamminkeln</t>
  </si>
  <si>
    <t>51.735104</t>
  </si>
  <si>
    <t>6.601745</t>
  </si>
  <si>
    <t>Hamminkeln-Dingden</t>
  </si>
  <si>
    <t>51.770232</t>
  </si>
  <si>
    <t>6.607872</t>
  </si>
  <si>
    <t>Hamm-Westtünnen</t>
  </si>
  <si>
    <t>51.650216</t>
  </si>
  <si>
    <t>7.859326</t>
  </si>
  <si>
    <t>Hanau Hbf</t>
  </si>
  <si>
    <t>50.120953</t>
  </si>
  <si>
    <t>8.929000</t>
  </si>
  <si>
    <t>Hanau Klein-Auheim</t>
  </si>
  <si>
    <t>50.100734</t>
  </si>
  <si>
    <t>8.934288</t>
  </si>
  <si>
    <t>Hanau Nord</t>
  </si>
  <si>
    <t>50.141433</t>
  </si>
  <si>
    <t>8.925848</t>
  </si>
  <si>
    <t>Hanau West</t>
  </si>
  <si>
    <t>50.131949</t>
  </si>
  <si>
    <t>8.908818</t>
  </si>
  <si>
    <t>Hanau-Wilhelmsbad</t>
  </si>
  <si>
    <t>50.143872</t>
  </si>
  <si>
    <t>8.883250</t>
  </si>
  <si>
    <t>Handeloh</t>
  </si>
  <si>
    <t>53.241693</t>
  </si>
  <si>
    <t>9.844711</t>
  </si>
  <si>
    <t>Hanfertal</t>
  </si>
  <si>
    <t>48.099767</t>
  </si>
  <si>
    <t>9.235652</t>
  </si>
  <si>
    <t>Hangelar Mitte</t>
  </si>
  <si>
    <t>50.760201</t>
  </si>
  <si>
    <t>7.165958</t>
  </si>
  <si>
    <t>Hangelar Ost</t>
  </si>
  <si>
    <t>50.763573</t>
  </si>
  <si>
    <t>7.171558</t>
  </si>
  <si>
    <t>Hangelar West</t>
  </si>
  <si>
    <t>50.758135</t>
  </si>
  <si>
    <t>7.158734</t>
  </si>
  <si>
    <t>Hangelsberg</t>
  </si>
  <si>
    <t>52.400271</t>
  </si>
  <si>
    <t>13.920916</t>
  </si>
  <si>
    <t>Hann Münden</t>
  </si>
  <si>
    <t>51.412582</t>
  </si>
  <si>
    <t>9.658272</t>
  </si>
  <si>
    <t>Hannover Anderten-Misburg</t>
  </si>
  <si>
    <t>52.369161</t>
  </si>
  <si>
    <t>9.861109</t>
  </si>
  <si>
    <t>Hannover Bismarckstr.</t>
  </si>
  <si>
    <t>52.356456</t>
  </si>
  <si>
    <t>9.769728</t>
  </si>
  <si>
    <t>Hannover Flughafen</t>
  </si>
  <si>
    <t>52.458725</t>
  </si>
  <si>
    <t>9.699105</t>
  </si>
  <si>
    <t>Hannover Hbf</t>
  </si>
  <si>
    <t>52.376761</t>
  </si>
  <si>
    <t>9.741021</t>
  </si>
  <si>
    <t>Hannover Karl-Wiechert-Allee</t>
  </si>
  <si>
    <t>52.374417</t>
  </si>
  <si>
    <t>9.808116</t>
  </si>
  <si>
    <t>Hannover Messe/Laatzen</t>
  </si>
  <si>
    <t>52.316899</t>
  </si>
  <si>
    <t>9.792863</t>
  </si>
  <si>
    <t>Hannover-Bornum</t>
  </si>
  <si>
    <t>52.350246</t>
  </si>
  <si>
    <t>9.679538</t>
  </si>
  <si>
    <t>Hannover-Kleefeld</t>
  </si>
  <si>
    <t>52.373607</t>
  </si>
  <si>
    <t>9.790610</t>
  </si>
  <si>
    <t>Hannover-Ledeburg</t>
  </si>
  <si>
    <t>52.408787</t>
  </si>
  <si>
    <t>9.691117</t>
  </si>
  <si>
    <t>Hannover-Leinhausen</t>
  </si>
  <si>
    <t>52.396853</t>
  </si>
  <si>
    <t>9.676300</t>
  </si>
  <si>
    <t>Hannover-Linden/Fischerhof</t>
  </si>
  <si>
    <t>52.352636</t>
  </si>
  <si>
    <t>9.723114</t>
  </si>
  <si>
    <t>Hannover-Nordstadt</t>
  </si>
  <si>
    <t>52.393845</t>
  </si>
  <si>
    <t>9.717763</t>
  </si>
  <si>
    <t>Hannover-Vinnhorst</t>
  </si>
  <si>
    <t>52.424043</t>
  </si>
  <si>
    <t>9.707729</t>
  </si>
  <si>
    <t>Hanweiler(Gr)</t>
  </si>
  <si>
    <t>Hanweiler-Bad Rilchingen</t>
  </si>
  <si>
    <t>49.118753</t>
  </si>
  <si>
    <t>7.049986</t>
  </si>
  <si>
    <t>Happurg</t>
  </si>
  <si>
    <t>49.500052</t>
  </si>
  <si>
    <t>11.468355</t>
  </si>
  <si>
    <t>Harber</t>
  </si>
  <si>
    <t>52.986100</t>
  </si>
  <si>
    <t>9.884778</t>
  </si>
  <si>
    <t>Harblek</t>
  </si>
  <si>
    <t>54.361971</t>
  </si>
  <si>
    <t>8.962646</t>
  </si>
  <si>
    <t>Harburg(Schwab)</t>
  </si>
  <si>
    <t>48.786619</t>
  </si>
  <si>
    <t>10.694643</t>
  </si>
  <si>
    <t>Hardegsen</t>
  </si>
  <si>
    <t>51.659020</t>
  </si>
  <si>
    <t>9.826032</t>
  </si>
  <si>
    <t>Hardegsen Rathaus</t>
  </si>
  <si>
    <t>51.652812</t>
  </si>
  <si>
    <t>9.833325</t>
  </si>
  <si>
    <t>Hardhof</t>
  </si>
  <si>
    <t>49.496925</t>
  </si>
  <si>
    <t>10.784726</t>
  </si>
  <si>
    <t>Haren(Ems)</t>
  </si>
  <si>
    <t>52.785123</t>
  </si>
  <si>
    <t>7.301428</t>
  </si>
  <si>
    <t>Harlesiel</t>
  </si>
  <si>
    <t>53.708954</t>
  </si>
  <si>
    <t>7.809332</t>
  </si>
  <si>
    <t>Harlesiel Anleger</t>
  </si>
  <si>
    <t>53.708433</t>
  </si>
  <si>
    <t>7.809331</t>
  </si>
  <si>
    <t>Harpstedt DHE</t>
  </si>
  <si>
    <t>52.911543</t>
  </si>
  <si>
    <t>8.600783</t>
  </si>
  <si>
    <t>Harra</t>
  </si>
  <si>
    <t>50.418476</t>
  </si>
  <si>
    <t>11.686006</t>
  </si>
  <si>
    <t>Harra Nord</t>
  </si>
  <si>
    <t>50.429170</t>
  </si>
  <si>
    <t>11.674692</t>
  </si>
  <si>
    <t>Harras(Thür)</t>
  </si>
  <si>
    <t>50.412981</t>
  </si>
  <si>
    <t>10.858072</t>
  </si>
  <si>
    <t>Harsdorf</t>
  </si>
  <si>
    <t>50.027762</t>
  </si>
  <si>
    <t>11.566273</t>
  </si>
  <si>
    <t>Harsefeld</t>
  </si>
  <si>
    <t>53.450062</t>
  </si>
  <si>
    <t>9.498657</t>
  </si>
  <si>
    <t>Harsum</t>
  </si>
  <si>
    <t>52.206496</t>
  </si>
  <si>
    <t>9.965697</t>
  </si>
  <si>
    <t>Hartenstein</t>
  </si>
  <si>
    <t>50.651833</t>
  </si>
  <si>
    <t>12.658653</t>
  </si>
  <si>
    <t>Hartershofen</t>
  </si>
  <si>
    <t>49.416762</t>
  </si>
  <si>
    <t>10.242238</t>
  </si>
  <si>
    <t>Harthaus</t>
  </si>
  <si>
    <t>48.133502</t>
  </si>
  <si>
    <t>11.387867</t>
  </si>
  <si>
    <t>Hartmannmühle</t>
  </si>
  <si>
    <t>50.778384</t>
  </si>
  <si>
    <t>13.792418</t>
  </si>
  <si>
    <t>Hartmannshof</t>
  </si>
  <si>
    <t>49.498858</t>
  </si>
  <si>
    <t>11.554562</t>
  </si>
  <si>
    <t>Harxheim-Zell</t>
  </si>
  <si>
    <t>49.640740</t>
  </si>
  <si>
    <t>8.137885</t>
  </si>
  <si>
    <t>Harzgerode</t>
  </si>
  <si>
    <t>51.643460</t>
  </si>
  <si>
    <t>11.142641</t>
  </si>
  <si>
    <t>Hasbergen</t>
  </si>
  <si>
    <t>52.241697</t>
  </si>
  <si>
    <t>7.953967</t>
  </si>
  <si>
    <t>Haselbrunn</t>
  </si>
  <si>
    <t>47.744530</t>
  </si>
  <si>
    <t>8.975309</t>
  </si>
  <si>
    <t>Haselünne EFH</t>
  </si>
  <si>
    <t>52.677186</t>
  </si>
  <si>
    <t>7.484319</t>
  </si>
  <si>
    <t>Haslach</t>
  </si>
  <si>
    <t>48.280040</t>
  </si>
  <si>
    <t>8.087975</t>
  </si>
  <si>
    <t>Hasloch(Main)</t>
  </si>
  <si>
    <t>49.789335</t>
  </si>
  <si>
    <t>9.482125</t>
  </si>
  <si>
    <t>Hasloh</t>
  </si>
  <si>
    <t>53.694569</t>
  </si>
  <si>
    <t>9.919906</t>
  </si>
  <si>
    <t>Haslohfurth</t>
  </si>
  <si>
    <t>53.744568</t>
  </si>
  <si>
    <t>9.986760</t>
  </si>
  <si>
    <t>Haspelmoor</t>
  </si>
  <si>
    <t>48.223263</t>
  </si>
  <si>
    <t>11.098784</t>
  </si>
  <si>
    <t>Hassel(Saar)</t>
  </si>
  <si>
    <t>49.263323</t>
  </si>
  <si>
    <t>7.171309</t>
  </si>
  <si>
    <t>Hasselborn</t>
  </si>
  <si>
    <t>50.406593</t>
  </si>
  <si>
    <t>8.495336</t>
  </si>
  <si>
    <t>Hasselborn DGH</t>
  </si>
  <si>
    <t>50.406058</t>
  </si>
  <si>
    <t>8.491011</t>
  </si>
  <si>
    <t>Hasselfelde</t>
  </si>
  <si>
    <t>51.687699</t>
  </si>
  <si>
    <t>10.850903</t>
  </si>
  <si>
    <t>Haßfurt</t>
  </si>
  <si>
    <t>50.033323</t>
  </si>
  <si>
    <t>10.509998</t>
  </si>
  <si>
    <t>Haßloch(Pfalz)</t>
  </si>
  <si>
    <t>49.371956</t>
  </si>
  <si>
    <t>8.253396</t>
  </si>
  <si>
    <t>Haßmersheim</t>
  </si>
  <si>
    <t>49.304030</t>
  </si>
  <si>
    <t>9.154129</t>
  </si>
  <si>
    <t>Haste</t>
  </si>
  <si>
    <t>52.379656</t>
  </si>
  <si>
    <t>9.389097</t>
  </si>
  <si>
    <t>Hattenheim</t>
  </si>
  <si>
    <t>50.013663</t>
  </si>
  <si>
    <t>8.056800</t>
  </si>
  <si>
    <t>Hattersheim(Main)</t>
  </si>
  <si>
    <t>50.067879</t>
  </si>
  <si>
    <t>8.489638</t>
  </si>
  <si>
    <t>Hattert</t>
  </si>
  <si>
    <t>50.676034</t>
  </si>
  <si>
    <t>7.776343</t>
  </si>
  <si>
    <t>Hattingen(Ruhr)</t>
  </si>
  <si>
    <t>51.400911</t>
  </si>
  <si>
    <t>7.169865</t>
  </si>
  <si>
    <t>Hattingen(Ruhr) Mitte</t>
  </si>
  <si>
    <t>51.397198</t>
  </si>
  <si>
    <t>7.180538</t>
  </si>
  <si>
    <t>Hattorf</t>
  </si>
  <si>
    <t>51.646223</t>
  </si>
  <si>
    <t>10.235999</t>
  </si>
  <si>
    <t>Hatzenport</t>
  </si>
  <si>
    <t>50.227678</t>
  </si>
  <si>
    <t>7.413508</t>
  </si>
  <si>
    <t>Hauenstein Mitte</t>
  </si>
  <si>
    <t>49.199169</t>
  </si>
  <si>
    <t>7.849564</t>
  </si>
  <si>
    <t>Hauenstein(Pfalz)</t>
  </si>
  <si>
    <t>49.201394</t>
  </si>
  <si>
    <t>7.830006</t>
  </si>
  <si>
    <t>Haunetal-Neukirchen</t>
  </si>
  <si>
    <t>50.770838</t>
  </si>
  <si>
    <t>9.692546</t>
  </si>
  <si>
    <t>Haupeltshofen</t>
  </si>
  <si>
    <t>48.180467</t>
  </si>
  <si>
    <t>10.382430</t>
  </si>
  <si>
    <t>Hauptstuhl</t>
  </si>
  <si>
    <t>49.401974</t>
  </si>
  <si>
    <t>7.490949</t>
  </si>
  <si>
    <t>Hausach</t>
  </si>
  <si>
    <t>48.284924</t>
  </si>
  <si>
    <t>8.181665</t>
  </si>
  <si>
    <t>Hausen (b Düren)</t>
  </si>
  <si>
    <t>50.652576</t>
  </si>
  <si>
    <t>6.491212</t>
  </si>
  <si>
    <t>Hausen i Tal</t>
  </si>
  <si>
    <t>48.080408</t>
  </si>
  <si>
    <t>9.027574</t>
  </si>
  <si>
    <t>Hausen(Eichsfeld)</t>
  </si>
  <si>
    <t>51.382523</t>
  </si>
  <si>
    <t>10.379167</t>
  </si>
  <si>
    <t>Hausen(Schwab)</t>
  </si>
  <si>
    <t>48.101004</t>
  </si>
  <si>
    <t>10.482517</t>
  </si>
  <si>
    <t>Hausen(Taunus)</t>
  </si>
  <si>
    <t>50.307749</t>
  </si>
  <si>
    <t>8.507244</t>
  </si>
  <si>
    <t>Hausen(Taunus) Auf der Hochwiese</t>
  </si>
  <si>
    <t>50.306889</t>
  </si>
  <si>
    <t>8.502963</t>
  </si>
  <si>
    <t>Hausen-Raitbach</t>
  </si>
  <si>
    <t>47.679310</t>
  </si>
  <si>
    <t>7.846041</t>
  </si>
  <si>
    <t>Hausen-Starzeln</t>
  </si>
  <si>
    <t>48.301744</t>
  </si>
  <si>
    <t>9.068047</t>
  </si>
  <si>
    <t>Häuserhof</t>
  </si>
  <si>
    <t>50.418575</t>
  </si>
  <si>
    <t>8.938986</t>
  </si>
  <si>
    <t>Hausham</t>
  </si>
  <si>
    <t>47.750412</t>
  </si>
  <si>
    <t>11.840257</t>
  </si>
  <si>
    <t>Havixbeck</t>
  </si>
  <si>
    <t>51.966713</t>
  </si>
  <si>
    <t>7.407711</t>
  </si>
  <si>
    <t>Haynsburg</t>
  </si>
  <si>
    <t>51.027594</t>
  </si>
  <si>
    <t>12.065243</t>
  </si>
  <si>
    <t>Hebertsfelden</t>
  </si>
  <si>
    <t>48.416496</t>
  </si>
  <si>
    <t>12.818533</t>
  </si>
  <si>
    <t>Hebertshausen</t>
  </si>
  <si>
    <t>48.291106</t>
  </si>
  <si>
    <t>11.455487</t>
  </si>
  <si>
    <t>Hechingen</t>
  </si>
  <si>
    <t>48.359646</t>
  </si>
  <si>
    <t>8.968513</t>
  </si>
  <si>
    <t>Hechingen Landesbahn</t>
  </si>
  <si>
    <t>48.359052</t>
  </si>
  <si>
    <t>8.968155</t>
  </si>
  <si>
    <t>Hechthausen</t>
  </si>
  <si>
    <t>53.638716</t>
  </si>
  <si>
    <t>9.228071</t>
  </si>
  <si>
    <t>Heddesheim/Hirschberg</t>
  </si>
  <si>
    <t>49.509408</t>
  </si>
  <si>
    <t>8.633746</t>
  </si>
  <si>
    <t>Hedemünden</t>
  </si>
  <si>
    <t>51.392164</t>
  </si>
  <si>
    <t>9.762144</t>
  </si>
  <si>
    <t>Hedersdorf</t>
  </si>
  <si>
    <t>49.569344</t>
  </si>
  <si>
    <t>11.338705</t>
  </si>
  <si>
    <t>Hedersleben-Wedderstedt</t>
  </si>
  <si>
    <t>51.844688</t>
  </si>
  <si>
    <t>11.250771</t>
  </si>
  <si>
    <t>Heggen</t>
  </si>
  <si>
    <t>51.153517</t>
  </si>
  <si>
    <t>7.963238</t>
  </si>
  <si>
    <t>Hegne</t>
  </si>
  <si>
    <t>47.706037</t>
  </si>
  <si>
    <t>9.099572</t>
  </si>
  <si>
    <t>Heide(Holst)</t>
  </si>
  <si>
    <t>54.193563</t>
  </si>
  <si>
    <t>9.101029</t>
  </si>
  <si>
    <t>Heidelberg Alte Eppelheimer Str./Emil-Maier-Str.</t>
  </si>
  <si>
    <t>49.406045</t>
  </si>
  <si>
    <t>8.673116</t>
  </si>
  <si>
    <t>Heidelberg Hbf</t>
  </si>
  <si>
    <t>49.403567</t>
  </si>
  <si>
    <t>8.675442</t>
  </si>
  <si>
    <t>Heidelberg Hbf (Willy-Brandt-Platz)</t>
  </si>
  <si>
    <t>49.404070</t>
  </si>
  <si>
    <t>8.677310</t>
  </si>
  <si>
    <t>Heidelberg Orthopädie</t>
  </si>
  <si>
    <t>49.409995</t>
  </si>
  <si>
    <t>8.774913</t>
  </si>
  <si>
    <t>Heidelberg Seegarten</t>
  </si>
  <si>
    <t>49.406908</t>
  </si>
  <si>
    <t>8.690003</t>
  </si>
  <si>
    <t>Heidelberg-Altstadt</t>
  </si>
  <si>
    <t>49.415237</t>
  </si>
  <si>
    <t>8.720887</t>
  </si>
  <si>
    <t>Heidelberg-Kirchheim/Rohrbach</t>
  </si>
  <si>
    <t>49.379389</t>
  </si>
  <si>
    <t>8.675383</t>
  </si>
  <si>
    <t>Heidelberg-Pfaffengrund/Wieblingen</t>
  </si>
  <si>
    <t>49.411929</t>
  </si>
  <si>
    <t>8.641570</t>
  </si>
  <si>
    <t>Heidelberg-Schlierbach/Ziegelhausen</t>
  </si>
  <si>
    <t>49.415309</t>
  </si>
  <si>
    <t>8.760564</t>
  </si>
  <si>
    <t>Heidelberg-Weststadt/Südstadt</t>
  </si>
  <si>
    <t>49.398324</t>
  </si>
  <si>
    <t>8.688749</t>
  </si>
  <si>
    <t>Heidelsheim</t>
  </si>
  <si>
    <t>49.101610</t>
  </si>
  <si>
    <t>8.649483</t>
  </si>
  <si>
    <t>Heidelsheim Marktplatz</t>
  </si>
  <si>
    <t>49.101577</t>
  </si>
  <si>
    <t>8.643536</t>
  </si>
  <si>
    <t>Heidelsheim Nord</t>
  </si>
  <si>
    <t>49.105113</t>
  </si>
  <si>
    <t>8.645252</t>
  </si>
  <si>
    <t>Heidelsheim Schwimmbad</t>
  </si>
  <si>
    <t>49.105796</t>
  </si>
  <si>
    <t>8.640301</t>
  </si>
  <si>
    <t>Heidenau</t>
  </si>
  <si>
    <t>50.981859</t>
  </si>
  <si>
    <t>13.857887</t>
  </si>
  <si>
    <t>Heidenau Süd</t>
  </si>
  <si>
    <t>50.971696</t>
  </si>
  <si>
    <t>13.874717</t>
  </si>
  <si>
    <t>Heidenau-Großsedlitz</t>
  </si>
  <si>
    <t>50.960822</t>
  </si>
  <si>
    <t>13.894877</t>
  </si>
  <si>
    <t>Heidenau-Großsedlitz Pechhütte</t>
  </si>
  <si>
    <t>50.960200</t>
  </si>
  <si>
    <t>13.892514</t>
  </si>
  <si>
    <t>Heidenheim</t>
  </si>
  <si>
    <t>48.680170</t>
  </si>
  <si>
    <t>10.156642</t>
  </si>
  <si>
    <t>Heidenheim Voithwerk</t>
  </si>
  <si>
    <t>48.669482</t>
  </si>
  <si>
    <t>10.156077</t>
  </si>
  <si>
    <t>Heidenheim-Mergelstetten</t>
  </si>
  <si>
    <t>48.653279</t>
  </si>
  <si>
    <t>10.160976</t>
  </si>
  <si>
    <t>Heidenheim-Schnaitheim</t>
  </si>
  <si>
    <t>48.708281</t>
  </si>
  <si>
    <t>10.158760</t>
  </si>
  <si>
    <t>Heidersdorf Gasthaus Flöhatal</t>
  </si>
  <si>
    <t>50.658085</t>
  </si>
  <si>
    <t>13.408910</t>
  </si>
  <si>
    <t>Heidersdorf Rathaus</t>
  </si>
  <si>
    <t>50.664061</t>
  </si>
  <si>
    <t>13.419324</t>
  </si>
  <si>
    <t>Heidesheim(Rheinhess)</t>
  </si>
  <si>
    <t>49.997023</t>
  </si>
  <si>
    <t>8.111318</t>
  </si>
  <si>
    <t>Heidkrug</t>
  </si>
  <si>
    <t>53.057093</t>
  </si>
  <si>
    <t>8.680195</t>
  </si>
  <si>
    <t>Heigenbrücken</t>
  </si>
  <si>
    <t>50.022860</t>
  </si>
  <si>
    <t>9.380805</t>
  </si>
  <si>
    <t>Heilbad Heiligenstadt</t>
  </si>
  <si>
    <t>51.377316</t>
  </si>
  <si>
    <t>10.124518</t>
  </si>
  <si>
    <t>Heilbr.-Böckingen Berufsschulzentrum</t>
  </si>
  <si>
    <t>49.140369</t>
  </si>
  <si>
    <t>9.181617</t>
  </si>
  <si>
    <t>Heilbronn Finanzamt</t>
  </si>
  <si>
    <t>49.140527</t>
  </si>
  <si>
    <t>9.235010</t>
  </si>
  <si>
    <t>Heilbronn Friedensplatz</t>
  </si>
  <si>
    <t>49.141313</t>
  </si>
  <si>
    <t>9.228776</t>
  </si>
  <si>
    <t>Heilbronn Harmonie</t>
  </si>
  <si>
    <t>49.141586</t>
  </si>
  <si>
    <t>9.223006</t>
  </si>
  <si>
    <t>Heilbronn Harmonie/Hafenmarktpassage</t>
  </si>
  <si>
    <t>49.142702</t>
  </si>
  <si>
    <t>9.222436</t>
  </si>
  <si>
    <t>Heilbronn Harmonie/Kunsthalle</t>
  </si>
  <si>
    <t>49.142486</t>
  </si>
  <si>
    <t>9.222599</t>
  </si>
  <si>
    <t>Heilbronn Hauptbahnhof/Willy-Brandt-Pl.</t>
  </si>
  <si>
    <t>Heilbronn Hbf</t>
  </si>
  <si>
    <t>49.143306</t>
  </si>
  <si>
    <t>9.207715</t>
  </si>
  <si>
    <t>Heilbronn Industrieplatz</t>
  </si>
  <si>
    <t>49.155321</t>
  </si>
  <si>
    <t>9.217886</t>
  </si>
  <si>
    <t>Heilbronn Karlstor</t>
  </si>
  <si>
    <t>49.146303</t>
  </si>
  <si>
    <t>9.234284</t>
  </si>
  <si>
    <t>Heilbronn Kaufland</t>
  </si>
  <si>
    <t>49.170076</t>
  </si>
  <si>
    <t>9.224687</t>
  </si>
  <si>
    <t>Heilbronn Neckar-Turm/K.-S.-Pl</t>
  </si>
  <si>
    <t>49.142656</t>
  </si>
  <si>
    <t>9.213758</t>
  </si>
  <si>
    <t>Heilbronn Pfühlpark</t>
  </si>
  <si>
    <t>49.139956</t>
  </si>
  <si>
    <t>9.241382</t>
  </si>
  <si>
    <t>Heilbronn Rathaus</t>
  </si>
  <si>
    <t>49.141944</t>
  </si>
  <si>
    <t>9.219060</t>
  </si>
  <si>
    <t>Heilbronn Sülmertor</t>
  </si>
  <si>
    <t>49.151601</t>
  </si>
  <si>
    <t>9.220598</t>
  </si>
  <si>
    <t>Heilbronn Technisches Schulzentrum</t>
  </si>
  <si>
    <t>49.148667</t>
  </si>
  <si>
    <t>9.221490</t>
  </si>
  <si>
    <t>Heilbronn Theater</t>
  </si>
  <si>
    <t>49.146273</t>
  </si>
  <si>
    <t>9.222150</t>
  </si>
  <si>
    <t>Heilbronn Trappensee</t>
  </si>
  <si>
    <t>49.140282</t>
  </si>
  <si>
    <t>9.252570</t>
  </si>
  <si>
    <t>Heiligenberg DEV</t>
  </si>
  <si>
    <t>52.802123</t>
  </si>
  <si>
    <t>8.974391</t>
  </si>
  <si>
    <t>Heiligendamm</t>
  </si>
  <si>
    <t>54.141677</t>
  </si>
  <si>
    <t>11.842863</t>
  </si>
  <si>
    <t>Heiligendamm Abzweig</t>
  </si>
  <si>
    <t>54.130328</t>
  </si>
  <si>
    <t>11.859857</t>
  </si>
  <si>
    <t>Heiligenfelde</t>
  </si>
  <si>
    <t>52.878060</t>
  </si>
  <si>
    <t>8.867377</t>
  </si>
  <si>
    <t>Heiligengrabe</t>
  </si>
  <si>
    <t>53.150107</t>
  </si>
  <si>
    <t>12.342584</t>
  </si>
  <si>
    <t>Heiligengrabe Feuerwehr</t>
  </si>
  <si>
    <t>53.144156</t>
  </si>
  <si>
    <t>12.359803</t>
  </si>
  <si>
    <t>Heiligengrabe Stift</t>
  </si>
  <si>
    <t>53.142707</t>
  </si>
  <si>
    <t>12.354748</t>
  </si>
  <si>
    <t>Heiligenrode DHE</t>
  </si>
  <si>
    <t>52.981461</t>
  </si>
  <si>
    <t>8.698955</t>
  </si>
  <si>
    <t>Heiligenstatt(Obb)</t>
  </si>
  <si>
    <t>48.213359</t>
  </si>
  <si>
    <t>12.609585</t>
  </si>
  <si>
    <t>Heiligenstein(Pfalz)</t>
  </si>
  <si>
    <t>49.285660</t>
  </si>
  <si>
    <t>8.393726</t>
  </si>
  <si>
    <t>Heilsbronn</t>
  </si>
  <si>
    <t>49.345950</t>
  </si>
  <si>
    <t>10.791053</t>
  </si>
  <si>
    <t>Heimbach (Eifel)</t>
  </si>
  <si>
    <t>50.636515</t>
  </si>
  <si>
    <t>6.473500</t>
  </si>
  <si>
    <t>Heimbach(Nahe)</t>
  </si>
  <si>
    <t>49.617676</t>
  </si>
  <si>
    <t>7.231047</t>
  </si>
  <si>
    <t>Heimbach(Nahe)Ort</t>
  </si>
  <si>
    <t>49.613212</t>
  </si>
  <si>
    <t>7.251982</t>
  </si>
  <si>
    <t>Heimenkirch</t>
  </si>
  <si>
    <t>47.628909</t>
  </si>
  <si>
    <t>9.902100</t>
  </si>
  <si>
    <t>Heimerdingen</t>
  </si>
  <si>
    <t>48.851473</t>
  </si>
  <si>
    <t>8.985433</t>
  </si>
  <si>
    <t>Heimersheim/Lohrsdorf</t>
  </si>
  <si>
    <t>50.548113</t>
  </si>
  <si>
    <t>7.185198</t>
  </si>
  <si>
    <t>Heimstetten</t>
  </si>
  <si>
    <t>48.158755</t>
  </si>
  <si>
    <t>11.759659</t>
  </si>
  <si>
    <t>Heinebach</t>
  </si>
  <si>
    <t>51.045739</t>
  </si>
  <si>
    <t>9.664423</t>
  </si>
  <si>
    <t>Heinsberg Kreishaus</t>
  </si>
  <si>
    <t>51.061774</t>
  </si>
  <si>
    <t>6.108940</t>
  </si>
  <si>
    <t>Heinsberg(Rheinl)</t>
  </si>
  <si>
    <t>51.065037</t>
  </si>
  <si>
    <t>6.098881</t>
  </si>
  <si>
    <t>Heinsberg-Dremmen</t>
  </si>
  <si>
    <t>51.045683</t>
  </si>
  <si>
    <t>6.152515</t>
  </si>
  <si>
    <t>Heinsberg-Horst</t>
  </si>
  <si>
    <t>51.028841</t>
  </si>
  <si>
    <t>6.182303</t>
  </si>
  <si>
    <t>Heinsberg-Oberbruch</t>
  </si>
  <si>
    <t>51.053072</t>
  </si>
  <si>
    <t>6.135084</t>
  </si>
  <si>
    <t>Heinsberg-Porselen</t>
  </si>
  <si>
    <t>51.040615</t>
  </si>
  <si>
    <t>6.174482</t>
  </si>
  <si>
    <t>Heinsberg-Randerath</t>
  </si>
  <si>
    <t>51.016244</t>
  </si>
  <si>
    <t>6.182449</t>
  </si>
  <si>
    <t>Heinschenwalde</t>
  </si>
  <si>
    <t>53.498728</t>
  </si>
  <si>
    <t>8.972913</t>
  </si>
  <si>
    <t>Heinzenhausen</t>
  </si>
  <si>
    <t>49.625596</t>
  </si>
  <si>
    <t>7.607437</t>
  </si>
  <si>
    <t>Heitersheim</t>
  </si>
  <si>
    <t>47.879859</t>
  </si>
  <si>
    <t>7.646194</t>
  </si>
  <si>
    <t>Heldrungen</t>
  </si>
  <si>
    <t>51.302171</t>
  </si>
  <si>
    <t>11.183186</t>
  </si>
  <si>
    <t>Helenesee</t>
  </si>
  <si>
    <t>52.278758</t>
  </si>
  <si>
    <t>14.478219</t>
  </si>
  <si>
    <t>Helgoland Katamaran</t>
  </si>
  <si>
    <t>54.178392</t>
  </si>
  <si>
    <t>7.889632</t>
  </si>
  <si>
    <t>Helgoland(Südhafen)</t>
  </si>
  <si>
    <t>54.174334</t>
  </si>
  <si>
    <t>7.893366</t>
  </si>
  <si>
    <t>Helmbach</t>
  </si>
  <si>
    <t>49.341543</t>
  </si>
  <si>
    <t>7.988614</t>
  </si>
  <si>
    <t>Helmbrechts</t>
  </si>
  <si>
    <t>50.233800</t>
  </si>
  <si>
    <t>11.724351</t>
  </si>
  <si>
    <t>Helmsdorf(Pirna)</t>
  </si>
  <si>
    <t>51.034205</t>
  </si>
  <si>
    <t>14.046491</t>
  </si>
  <si>
    <t>Helmsheim</t>
  </si>
  <si>
    <t>49.085750</t>
  </si>
  <si>
    <t>8.651336</t>
  </si>
  <si>
    <t>Helmsheim B35/Bf</t>
  </si>
  <si>
    <t>49.086459</t>
  </si>
  <si>
    <t>8.648058</t>
  </si>
  <si>
    <t>Helmstadt Rathaus</t>
  </si>
  <si>
    <t>49.325072</t>
  </si>
  <si>
    <t>8.975540</t>
  </si>
  <si>
    <t>Helmstadt(Baden)</t>
  </si>
  <si>
    <t>49.320089</t>
  </si>
  <si>
    <t>8.975130</t>
  </si>
  <si>
    <t>Helmstedt</t>
  </si>
  <si>
    <t>52.222086</t>
  </si>
  <si>
    <t>11.010553</t>
  </si>
  <si>
    <t>Helmstedt Braunsch.T</t>
  </si>
  <si>
    <t>52.229175</t>
  </si>
  <si>
    <t>10.997892</t>
  </si>
  <si>
    <t>Helpup</t>
  </si>
  <si>
    <t>51.977380</t>
  </si>
  <si>
    <t>8.714725</t>
  </si>
  <si>
    <t>Hemmenhofen</t>
  </si>
  <si>
    <t>47.671988</t>
  </si>
  <si>
    <t>8.968943</t>
  </si>
  <si>
    <t>Hemmerde</t>
  </si>
  <si>
    <t>51.553942</t>
  </si>
  <si>
    <t>7.803364</t>
  </si>
  <si>
    <t>Hemmersdorf(Saar)</t>
  </si>
  <si>
    <t>49.353998</t>
  </si>
  <si>
    <t>6.614569</t>
  </si>
  <si>
    <t>Hemmingen</t>
  </si>
  <si>
    <t>48.867783</t>
  </si>
  <si>
    <t>9.031696</t>
  </si>
  <si>
    <t>Hemmoor</t>
  </si>
  <si>
    <t>53.684081</t>
  </si>
  <si>
    <t>9.165803</t>
  </si>
  <si>
    <t>Hemsbach</t>
  </si>
  <si>
    <t>49.590869</t>
  </si>
  <si>
    <t>8.648722</t>
  </si>
  <si>
    <t>Hemsen(b Soltau)</t>
  </si>
  <si>
    <t>53.078795</t>
  </si>
  <si>
    <t>9.811174</t>
  </si>
  <si>
    <t>Henfenfeld</t>
  </si>
  <si>
    <t>49.501412</t>
  </si>
  <si>
    <t>11.386550</t>
  </si>
  <si>
    <t>Hennef im Siegbogen</t>
  </si>
  <si>
    <t>50.773156</t>
  </si>
  <si>
    <t>7.313288</t>
  </si>
  <si>
    <t>Hennef(Sieg)</t>
  </si>
  <si>
    <t>50.773332</t>
  </si>
  <si>
    <t>7.284592</t>
  </si>
  <si>
    <t>Hennen</t>
  </si>
  <si>
    <t>51.437155</t>
  </si>
  <si>
    <t>7.646847</t>
  </si>
  <si>
    <t>Hennersdorf(Sachs)</t>
  </si>
  <si>
    <t>50.791751</t>
  </si>
  <si>
    <t>13.070919</t>
  </si>
  <si>
    <t>Hennigsdorf (S)</t>
  </si>
  <si>
    <t>52.637904</t>
  </si>
  <si>
    <t>13.205808</t>
  </si>
  <si>
    <t>Hennigsdorf(b Berlin)</t>
  </si>
  <si>
    <t>52.638203</t>
  </si>
  <si>
    <t>13.205336</t>
  </si>
  <si>
    <t>Henstedt-Ulzburg</t>
  </si>
  <si>
    <t>53.795121</t>
  </si>
  <si>
    <t>9.982182</t>
  </si>
  <si>
    <t>Heppenheim(Bergstr)</t>
  </si>
  <si>
    <t>49.641553</t>
  </si>
  <si>
    <t>8.633379</t>
  </si>
  <si>
    <t>Herbertingen</t>
  </si>
  <si>
    <t>48.063622</t>
  </si>
  <si>
    <t>9.413808</t>
  </si>
  <si>
    <t>Herbertingen Ort</t>
  </si>
  <si>
    <t>48.053570</t>
  </si>
  <si>
    <t>9.433397</t>
  </si>
  <si>
    <t>Herbertshofen</t>
  </si>
  <si>
    <t>48.529528</t>
  </si>
  <si>
    <t>10.848027</t>
  </si>
  <si>
    <t>Herblingen</t>
  </si>
  <si>
    <t>47.717003</t>
  </si>
  <si>
    <t>8.664127</t>
  </si>
  <si>
    <t>Herbolzheim(Breisg)</t>
  </si>
  <si>
    <t>48.223866</t>
  </si>
  <si>
    <t>7.767638</t>
  </si>
  <si>
    <t>Herbolzheim(Jagst)</t>
  </si>
  <si>
    <t>49.281494</t>
  </si>
  <si>
    <t>9.259824</t>
  </si>
  <si>
    <t>Herborn(Dillkr)</t>
  </si>
  <si>
    <t>50.684405</t>
  </si>
  <si>
    <t>8.308140</t>
  </si>
  <si>
    <t>Herbrechtingen</t>
  </si>
  <si>
    <t>48.625634</t>
  </si>
  <si>
    <t>10.170334</t>
  </si>
  <si>
    <t>Herchen</t>
  </si>
  <si>
    <t>50.771269</t>
  </si>
  <si>
    <t>7.521349</t>
  </si>
  <si>
    <t>Herdecke</t>
  </si>
  <si>
    <t>51.404806</t>
  </si>
  <si>
    <t>7.432619</t>
  </si>
  <si>
    <t>Herdern</t>
  </si>
  <si>
    <t>47.574972</t>
  </si>
  <si>
    <t>8.455361</t>
  </si>
  <si>
    <t>Herdorf</t>
  </si>
  <si>
    <t>50.778376</t>
  </si>
  <si>
    <t>7.953179</t>
  </si>
  <si>
    <t>Herford</t>
  </si>
  <si>
    <t>52.119609</t>
  </si>
  <si>
    <t>8.663643</t>
  </si>
  <si>
    <t>Hergatz</t>
  </si>
  <si>
    <t>47.646810</t>
  </si>
  <si>
    <t>9.827382</t>
  </si>
  <si>
    <t>Hergershausen</t>
  </si>
  <si>
    <t>49.936802</t>
  </si>
  <si>
    <t>8.916575</t>
  </si>
  <si>
    <t>Heringen(Helme)</t>
  </si>
  <si>
    <t>51.451498</t>
  </si>
  <si>
    <t>10.875255</t>
  </si>
  <si>
    <t>Heringsdorf Neuhof</t>
  </si>
  <si>
    <t>53.952765</t>
  </si>
  <si>
    <t>14.148259</t>
  </si>
  <si>
    <t>Herlasgrün</t>
  </si>
  <si>
    <t>50.570936</t>
  </si>
  <si>
    <t>12.235424</t>
  </si>
  <si>
    <t>Herleshausen Hp</t>
  </si>
  <si>
    <t>51.002642</t>
  </si>
  <si>
    <t>10.171661</t>
  </si>
  <si>
    <t>Hermaringen</t>
  </si>
  <si>
    <t>48.594584</t>
  </si>
  <si>
    <t>10.258331</t>
  </si>
  <si>
    <t>Hermentingen</t>
  </si>
  <si>
    <t>48.200845</t>
  </si>
  <si>
    <t>9.217467</t>
  </si>
  <si>
    <t>Hermsdorf(Dresden)</t>
  </si>
  <si>
    <t>51.165545</t>
  </si>
  <si>
    <t>13.815351</t>
  </si>
  <si>
    <t>Hermsdorf-Klosterlausnitz</t>
  </si>
  <si>
    <t>50.903779</t>
  </si>
  <si>
    <t>11.858626</t>
  </si>
  <si>
    <t>Herne</t>
  </si>
  <si>
    <t>51.543652</t>
  </si>
  <si>
    <t>7.217830</t>
  </si>
  <si>
    <t>Herne-Börnig</t>
  </si>
  <si>
    <t>51.554789</t>
  </si>
  <si>
    <t>7.268350</t>
  </si>
  <si>
    <t>Heroldsberg</t>
  </si>
  <si>
    <t>49.528614</t>
  </si>
  <si>
    <t>11.149921</t>
  </si>
  <si>
    <t>Heroldsberg Nord</t>
  </si>
  <si>
    <t>49.544582</t>
  </si>
  <si>
    <t>11.146804</t>
  </si>
  <si>
    <t>Herrath</t>
  </si>
  <si>
    <t>51.104316</t>
  </si>
  <si>
    <t>6.367399</t>
  </si>
  <si>
    <t>Herrenberg</t>
  </si>
  <si>
    <t>48.593991</t>
  </si>
  <si>
    <t>8.862662</t>
  </si>
  <si>
    <t>Herrenberg Zwerchweg</t>
  </si>
  <si>
    <t>48.584969</t>
  </si>
  <si>
    <t>8.867661</t>
  </si>
  <si>
    <t>Herrensee</t>
  </si>
  <si>
    <t>52.529928</t>
  </si>
  <si>
    <t>13.886577</t>
  </si>
  <si>
    <t>Herrlingen</t>
  </si>
  <si>
    <t>48.417731</t>
  </si>
  <si>
    <t>9.897730</t>
  </si>
  <si>
    <t>Herrlishöfen</t>
  </si>
  <si>
    <t>48.139440</t>
  </si>
  <si>
    <t>9.808465</t>
  </si>
  <si>
    <t>Herrnburg</t>
  </si>
  <si>
    <t>53.837707</t>
  </si>
  <si>
    <t>10.760008</t>
  </si>
  <si>
    <t>Herrsching</t>
  </si>
  <si>
    <t>47.998849</t>
  </si>
  <si>
    <t>11.170571</t>
  </si>
  <si>
    <t>Hersbruck(l Pegnitz)</t>
  </si>
  <si>
    <t>49.500462</t>
  </si>
  <si>
    <t>11.435143</t>
  </si>
  <si>
    <t>Hersbruck(r Pegnitz)</t>
  </si>
  <si>
    <t>49.510073</t>
  </si>
  <si>
    <t>11.423826</t>
  </si>
  <si>
    <t>Herten(Baden)</t>
  </si>
  <si>
    <t>47.549507</t>
  </si>
  <si>
    <t>7.739663</t>
  </si>
  <si>
    <t>Herten(Westf)</t>
  </si>
  <si>
    <t>51.597508</t>
  </si>
  <si>
    <t>7.139053</t>
  </si>
  <si>
    <t>Hervest-Dorsten</t>
  </si>
  <si>
    <t>51.671910</t>
  </si>
  <si>
    <t>6.974167</t>
  </si>
  <si>
    <t>Herxheim am Berg</t>
  </si>
  <si>
    <t>49.509491</t>
  </si>
  <si>
    <t>8.190044</t>
  </si>
  <si>
    <t>Herzberg Schloß</t>
  </si>
  <si>
    <t>51.654495</t>
  </si>
  <si>
    <t>10.332804</t>
  </si>
  <si>
    <t>Herzberg(Elster)</t>
  </si>
  <si>
    <t>51.679446</t>
  </si>
  <si>
    <t>13.202786</t>
  </si>
  <si>
    <t>51.643861</t>
  </si>
  <si>
    <t>10.329923</t>
  </si>
  <si>
    <t>Herzberg(Mark)</t>
  </si>
  <si>
    <t>52.905361</t>
  </si>
  <si>
    <t>12.978391</t>
  </si>
  <si>
    <t>Herzebrock</t>
  </si>
  <si>
    <t>51.880225</t>
  </si>
  <si>
    <t>8.236268</t>
  </si>
  <si>
    <t>Herzhorn</t>
  </si>
  <si>
    <t>53.783537</t>
  </si>
  <si>
    <t>9.483884</t>
  </si>
  <si>
    <t>Herzogenrath</t>
  </si>
  <si>
    <t>50.870916</t>
  </si>
  <si>
    <t>6.094486</t>
  </si>
  <si>
    <t>Herzogenrath(Gr)</t>
  </si>
  <si>
    <t>Herzogenrath-Alt-Merkstein</t>
  </si>
  <si>
    <t>50.885434</t>
  </si>
  <si>
    <t>6.100999</t>
  </si>
  <si>
    <t>Herzogenrath-August-Schmidt-Platz</t>
  </si>
  <si>
    <t>50.886962</t>
  </si>
  <si>
    <t>6.119504</t>
  </si>
  <si>
    <t>Hesedorf</t>
  </si>
  <si>
    <t>53.472715</t>
  </si>
  <si>
    <t>9.195048</t>
  </si>
  <si>
    <t>Heselbach</t>
  </si>
  <si>
    <t>48.536689</t>
  </si>
  <si>
    <t>8.398967</t>
  </si>
  <si>
    <t>Hesepe</t>
  </si>
  <si>
    <t>52.439221</t>
  </si>
  <si>
    <t>7.967599</t>
  </si>
  <si>
    <t>Hesseln</t>
  </si>
  <si>
    <t>52.068397</t>
  </si>
  <si>
    <t>8.311956</t>
  </si>
  <si>
    <t>Hesseneck Kailbach</t>
  </si>
  <si>
    <t>49.539338</t>
  </si>
  <si>
    <t>9.077482</t>
  </si>
  <si>
    <t>Hesseneck Schöllenbach</t>
  </si>
  <si>
    <t>49.565936</t>
  </si>
  <si>
    <t>9.067626</t>
  </si>
  <si>
    <t>Hessisch Oldendorf</t>
  </si>
  <si>
    <t>52.166572</t>
  </si>
  <si>
    <t>9.243874</t>
  </si>
  <si>
    <t>Hetschburg</t>
  </si>
  <si>
    <t>50.912802</t>
  </si>
  <si>
    <t>11.298205</t>
  </si>
  <si>
    <t>Hettenhausen</t>
  </si>
  <si>
    <t>50.448397</t>
  </si>
  <si>
    <t>9.814657</t>
  </si>
  <si>
    <t>Hettingen(Hohenz)</t>
  </si>
  <si>
    <t>48.217364</t>
  </si>
  <si>
    <t>9.229298</t>
  </si>
  <si>
    <t>Hettstedt</t>
  </si>
  <si>
    <t>51.636945</t>
  </si>
  <si>
    <t>11.513231</t>
  </si>
  <si>
    <t>Hettstedt Kupferkammerhütte (Bergwerksbahn)</t>
  </si>
  <si>
    <t>51.633092</t>
  </si>
  <si>
    <t>11.510765</t>
  </si>
  <si>
    <t>Hetzdorf(Flöhatal)</t>
  </si>
  <si>
    <t>50.840313</t>
  </si>
  <si>
    <t>13.127695</t>
  </si>
  <si>
    <t>Hetzerath</t>
  </si>
  <si>
    <t>49.878134</t>
  </si>
  <si>
    <t>6.798385</t>
  </si>
  <si>
    <t>Heudeber-Danstedt</t>
  </si>
  <si>
    <t>51.904740</t>
  </si>
  <si>
    <t>10.866495</t>
  </si>
  <si>
    <t>Heufeld</t>
  </si>
  <si>
    <t>47.871195</t>
  </si>
  <si>
    <t>11.967380</t>
  </si>
  <si>
    <t>Heufeldmühle</t>
  </si>
  <si>
    <t>47.877551</t>
  </si>
  <si>
    <t>11.934356</t>
  </si>
  <si>
    <t>Heusenstamm</t>
  </si>
  <si>
    <t>50.060069</t>
  </si>
  <si>
    <t>8.802202</t>
  </si>
  <si>
    <t>Hiddenhausen-Schweicheln</t>
  </si>
  <si>
    <t>52.158440</t>
  </si>
  <si>
    <t>8.668239</t>
  </si>
  <si>
    <t>Hilchenbach</t>
  </si>
  <si>
    <t>50.992260</t>
  </si>
  <si>
    <t>8.107146</t>
  </si>
  <si>
    <t>Hildbrandsgrün</t>
  </si>
  <si>
    <t>50.210375</t>
  </si>
  <si>
    <t>11.728323</t>
  </si>
  <si>
    <t>Hildburghausen</t>
  </si>
  <si>
    <t>50.425133</t>
  </si>
  <si>
    <t>10.717828</t>
  </si>
  <si>
    <t>Hilden</t>
  </si>
  <si>
    <t>51.167020</t>
  </si>
  <si>
    <t>6.922006</t>
  </si>
  <si>
    <t>Hilden Süd</t>
  </si>
  <si>
    <t>51.163682</t>
  </si>
  <si>
    <t>6.937366</t>
  </si>
  <si>
    <t>Hildesheim Ost</t>
  </si>
  <si>
    <t>52.146551</t>
  </si>
  <si>
    <t>9.963169</t>
  </si>
  <si>
    <t>Hille</t>
  </si>
  <si>
    <t>52.332575</t>
  </si>
  <si>
    <t>8.749193</t>
  </si>
  <si>
    <t>Hillnhütten</t>
  </si>
  <si>
    <t>50.972778</t>
  </si>
  <si>
    <t>8.071317</t>
  </si>
  <si>
    <t>Hilpertsau</t>
  </si>
  <si>
    <t>48.739895</t>
  </si>
  <si>
    <t>8.348683</t>
  </si>
  <si>
    <t>Hilpoltstein</t>
  </si>
  <si>
    <t>49.188773</t>
  </si>
  <si>
    <t>11.184146</t>
  </si>
  <si>
    <t>Hilter</t>
  </si>
  <si>
    <t>52.135256</t>
  </si>
  <si>
    <t>8.152301</t>
  </si>
  <si>
    <t>Himmelpforten</t>
  </si>
  <si>
    <t>53.623301</t>
  </si>
  <si>
    <t>9.310465</t>
  </si>
  <si>
    <t>Himmelreich</t>
  </si>
  <si>
    <t>47.958616</t>
  </si>
  <si>
    <t>7.991356</t>
  </si>
  <si>
    <t>Himmelstadt</t>
  </si>
  <si>
    <t>49.923438</t>
  </si>
  <si>
    <t>9.808214</t>
  </si>
  <si>
    <t>Hinrichssegen</t>
  </si>
  <si>
    <t>47.874416</t>
  </si>
  <si>
    <t>11.950658</t>
  </si>
  <si>
    <t>Hinter Bollhagen</t>
  </si>
  <si>
    <t>54.129553</t>
  </si>
  <si>
    <t>11.810513</t>
  </si>
  <si>
    <t>Hinterweidenthal</t>
  </si>
  <si>
    <t>49.201538</t>
  </si>
  <si>
    <t>7.747673</t>
  </si>
  <si>
    <t>Hinterweidenthal Ort</t>
  </si>
  <si>
    <t>49.197498</t>
  </si>
  <si>
    <t>7.750568</t>
  </si>
  <si>
    <t>Hinterweidenthal Ost</t>
  </si>
  <si>
    <t>49.203132</t>
  </si>
  <si>
    <t>7.773047</t>
  </si>
  <si>
    <t>Hinterzarten</t>
  </si>
  <si>
    <t>47.906278</t>
  </si>
  <si>
    <t>8.106033</t>
  </si>
  <si>
    <t>Hirsau</t>
  </si>
  <si>
    <t>48.734059</t>
  </si>
  <si>
    <t>8.736790</t>
  </si>
  <si>
    <t>Hirschaid</t>
  </si>
  <si>
    <t>49.819261</t>
  </si>
  <si>
    <t>10.991446</t>
  </si>
  <si>
    <t>Hirschfelde</t>
  </si>
  <si>
    <t>50.943388</t>
  </si>
  <si>
    <t>14.891018</t>
  </si>
  <si>
    <t>Hirschfelde Markt</t>
  </si>
  <si>
    <t>50.945450</t>
  </si>
  <si>
    <t>14.889321</t>
  </si>
  <si>
    <t>Hirschfelden</t>
  </si>
  <si>
    <t>48.289802</t>
  </si>
  <si>
    <t>10.362294</t>
  </si>
  <si>
    <t>Hirschhorn(Pfalz)</t>
  </si>
  <si>
    <t>49.515588</t>
  </si>
  <si>
    <t>7.681008</t>
  </si>
  <si>
    <t>Hittfeld</t>
  </si>
  <si>
    <t>53.403712</t>
  </si>
  <si>
    <t>9.974525</t>
  </si>
  <si>
    <t>Hitzacker</t>
  </si>
  <si>
    <t>53.139158</t>
  </si>
  <si>
    <t>11.038199</t>
  </si>
  <si>
    <t>Hochdahl</t>
  </si>
  <si>
    <t>51.218832</t>
  </si>
  <si>
    <t>6.944419</t>
  </si>
  <si>
    <t>Hochdahl-Millrath</t>
  </si>
  <si>
    <t>51.216501</t>
  </si>
  <si>
    <t>6.966684</t>
  </si>
  <si>
    <t>Hochdorf(b Horb)</t>
  </si>
  <si>
    <t>48.482485</t>
  </si>
  <si>
    <t>8.724052</t>
  </si>
  <si>
    <t>Hochhausen(Tauber)</t>
  </si>
  <si>
    <t>49.663812</t>
  </si>
  <si>
    <t>9.633235</t>
  </si>
  <si>
    <t>Hochheim(Main)</t>
  </si>
  <si>
    <t>50.004305</t>
  </si>
  <si>
    <t>8.350017</t>
  </si>
  <si>
    <t>Hochneukirch</t>
  </si>
  <si>
    <t>51.103293</t>
  </si>
  <si>
    <t>6.466316</t>
  </si>
  <si>
    <t>Hochspeyer</t>
  </si>
  <si>
    <t>49.444074</t>
  </si>
  <si>
    <t>7.904164</t>
  </si>
  <si>
    <t>Höchst Hetschbach</t>
  </si>
  <si>
    <t>49.807717</t>
  </si>
  <si>
    <t>8.983131</t>
  </si>
  <si>
    <t>Höchst Mümling-Grumbach</t>
  </si>
  <si>
    <t>49.771755</t>
  </si>
  <si>
    <t>8.985615</t>
  </si>
  <si>
    <t>Höchst(Odenw)</t>
  </si>
  <si>
    <t>49.794499</t>
  </si>
  <si>
    <t>8.988549</t>
  </si>
  <si>
    <t>Höchstädt(Donau)</t>
  </si>
  <si>
    <t>48.618309</t>
  </si>
  <si>
    <t>10.566218</t>
  </si>
  <si>
    <t>Hochstadt-Marktzeuln</t>
  </si>
  <si>
    <t>50.153133</t>
  </si>
  <si>
    <t>11.171529</t>
  </si>
  <si>
    <t>Hochstätten(Pfalz)</t>
  </si>
  <si>
    <t>49.763342</t>
  </si>
  <si>
    <t>7.829096</t>
  </si>
  <si>
    <t>Hochstetten</t>
  </si>
  <si>
    <t>49.133571</t>
  </si>
  <si>
    <t>8.415770</t>
  </si>
  <si>
    <t>Hochstetten Grenzstraße</t>
  </si>
  <si>
    <t>49.129785</t>
  </si>
  <si>
    <t>8.416037</t>
  </si>
  <si>
    <t>Hochstetten(Nahe)</t>
  </si>
  <si>
    <t>49.798662</t>
  </si>
  <si>
    <t>7.510962</t>
  </si>
  <si>
    <t>Hochwang</t>
  </si>
  <si>
    <t>48.389121</t>
  </si>
  <si>
    <t>10.298007</t>
  </si>
  <si>
    <t>Hockenheim</t>
  </si>
  <si>
    <t>49.317414</t>
  </si>
  <si>
    <t>8.537385</t>
  </si>
  <si>
    <t>Hockeroda</t>
  </si>
  <si>
    <t>50.597720</t>
  </si>
  <si>
    <t>11.434282</t>
  </si>
  <si>
    <t>Hodenhagen</t>
  </si>
  <si>
    <t>52.766564</t>
  </si>
  <si>
    <t>9.595056</t>
  </si>
  <si>
    <t>Hof(Münstertal)</t>
  </si>
  <si>
    <t>47.857122</t>
  </si>
  <si>
    <t>7.772654</t>
  </si>
  <si>
    <t>Hofeld</t>
  </si>
  <si>
    <t>49.511922</t>
  </si>
  <si>
    <t>7.159755</t>
  </si>
  <si>
    <t>Hofen(b Aalen)</t>
  </si>
  <si>
    <t>48.872692</t>
  </si>
  <si>
    <t>10.114407</t>
  </si>
  <si>
    <t>Höfen(Enz) Bf</t>
  </si>
  <si>
    <t>48.798560</t>
  </si>
  <si>
    <t>8.581040</t>
  </si>
  <si>
    <t>Höfen(Enz) Nord</t>
  </si>
  <si>
    <t>48.807709</t>
  </si>
  <si>
    <t>8.581724</t>
  </si>
  <si>
    <t>Hoffenheim</t>
  </si>
  <si>
    <t>49.272037</t>
  </si>
  <si>
    <t>8.838411</t>
  </si>
  <si>
    <t>Hoffnungsthal</t>
  </si>
  <si>
    <t>50.911363</t>
  </si>
  <si>
    <t>7.196513</t>
  </si>
  <si>
    <t>Hofgeismar</t>
  </si>
  <si>
    <t>51.499186</t>
  </si>
  <si>
    <t>9.395461</t>
  </si>
  <si>
    <t>Hofgeismar-Hümme</t>
  </si>
  <si>
    <t>51.542923</t>
  </si>
  <si>
    <t>9.401965</t>
  </si>
  <si>
    <t>Hofheim (Ried)</t>
  </si>
  <si>
    <t>49.659467</t>
  </si>
  <si>
    <t>8.408970</t>
  </si>
  <si>
    <t>Hofheim(Taunus)</t>
  </si>
  <si>
    <t>50.084471</t>
  </si>
  <si>
    <t>8.443842</t>
  </si>
  <si>
    <t>Höfingen</t>
  </si>
  <si>
    <t>48.814986</t>
  </si>
  <si>
    <t>9.025315</t>
  </si>
  <si>
    <t>Hof-Neuhof</t>
  </si>
  <si>
    <t>50.321538</t>
  </si>
  <si>
    <t>11.904711</t>
  </si>
  <si>
    <t>Hohegrete</t>
  </si>
  <si>
    <t>50.764840</t>
  </si>
  <si>
    <t>7.642228</t>
  </si>
  <si>
    <t>Hohen Neuendorf West</t>
  </si>
  <si>
    <t>52.672398</t>
  </si>
  <si>
    <t>13.271342</t>
  </si>
  <si>
    <t>Hohen Neuendorf(b Berlin)</t>
  </si>
  <si>
    <t>52.669072</t>
  </si>
  <si>
    <t>13.287091</t>
  </si>
  <si>
    <t>Hohenbrunn</t>
  </si>
  <si>
    <t>48.046572</t>
  </si>
  <si>
    <t>11.698872</t>
  </si>
  <si>
    <t>Hohenbucko-Lebusa</t>
  </si>
  <si>
    <t>51.775826</t>
  </si>
  <si>
    <t>13.459302</t>
  </si>
  <si>
    <t>Hohendorf</t>
  </si>
  <si>
    <t>54.027270</t>
  </si>
  <si>
    <t>13.730268</t>
  </si>
  <si>
    <t>Hohenebra Ort</t>
  </si>
  <si>
    <t>51.306070</t>
  </si>
  <si>
    <t>10.809501</t>
  </si>
  <si>
    <t>Hoheneggelsen</t>
  </si>
  <si>
    <t>52.200177</t>
  </si>
  <si>
    <t>10.197820</t>
  </si>
  <si>
    <t>Hohenfichte</t>
  </si>
  <si>
    <t>50.822064</t>
  </si>
  <si>
    <t>13.133981</t>
  </si>
  <si>
    <t>Höhenkirchen-Siegertsbrunn</t>
  </si>
  <si>
    <t>48.018465</t>
  </si>
  <si>
    <t>11.719226</t>
  </si>
  <si>
    <t>Hohenleipisch</t>
  </si>
  <si>
    <t>51.492756</t>
  </si>
  <si>
    <t>13.564969</t>
  </si>
  <si>
    <t>Hohenleipisch Mitte</t>
  </si>
  <si>
    <t>51.497112</t>
  </si>
  <si>
    <t>13.556913</t>
  </si>
  <si>
    <t>Hohenleuben</t>
  </si>
  <si>
    <t>50.702689</t>
  </si>
  <si>
    <t>12.036402</t>
  </si>
  <si>
    <t>Hohenleuben Markt</t>
  </si>
  <si>
    <t>50.710797</t>
  </si>
  <si>
    <t>12.054232</t>
  </si>
  <si>
    <t>Hohenlimburg</t>
  </si>
  <si>
    <t>51.348854</t>
  </si>
  <si>
    <t>7.571686</t>
  </si>
  <si>
    <t>Hohennauen Dorf</t>
  </si>
  <si>
    <t>52.667748</t>
  </si>
  <si>
    <t>12.338124</t>
  </si>
  <si>
    <t>Hohenpeißenberg</t>
  </si>
  <si>
    <t>47.788795</t>
  </si>
  <si>
    <t>10.999251</t>
  </si>
  <si>
    <t>Hohenroda</t>
  </si>
  <si>
    <t>51.499026</t>
  </si>
  <si>
    <t>12.421434</t>
  </si>
  <si>
    <t>Hohenschäftlarn</t>
  </si>
  <si>
    <t>47.991299</t>
  </si>
  <si>
    <t>11.457513</t>
  </si>
  <si>
    <t>Hohenstadt(Mittelfr)</t>
  </si>
  <si>
    <t>49.518339</t>
  </si>
  <si>
    <t>11.491465</t>
  </si>
  <si>
    <t>Hohenstein-Ernstthal</t>
  </si>
  <si>
    <t>50.798548</t>
  </si>
  <si>
    <t>12.706564</t>
  </si>
  <si>
    <t>Hohensülzen</t>
  </si>
  <si>
    <t>49.621788</t>
  </si>
  <si>
    <t>8.214173</t>
  </si>
  <si>
    <t>Hohenthurm</t>
  </si>
  <si>
    <t>51.512359</t>
  </si>
  <si>
    <t>12.097881</t>
  </si>
  <si>
    <t>Hohenthurm Briefzentrum</t>
  </si>
  <si>
    <t>51.525346</t>
  </si>
  <si>
    <t>12.101696</t>
  </si>
  <si>
    <t>Hohenwarth</t>
  </si>
  <si>
    <t>49.205389</t>
  </si>
  <si>
    <t>12.943161</t>
  </si>
  <si>
    <t>Hohenwarth Campingplatz</t>
  </si>
  <si>
    <t>49.204834</t>
  </si>
  <si>
    <t>12.924448</t>
  </si>
  <si>
    <t>Hohenwestedt</t>
  </si>
  <si>
    <t>54.086589</t>
  </si>
  <si>
    <t>9.654161</t>
  </si>
  <si>
    <t>Hohenwulsch</t>
  </si>
  <si>
    <t>52.667319</t>
  </si>
  <si>
    <t>11.595136</t>
  </si>
  <si>
    <t>Höhmühlbach</t>
  </si>
  <si>
    <t>49.243893</t>
  </si>
  <si>
    <t>7.526028</t>
  </si>
  <si>
    <t>Hohndorf Mitte</t>
  </si>
  <si>
    <t>50.743048</t>
  </si>
  <si>
    <t>12.675725</t>
  </si>
  <si>
    <t>Holdorf(Meckl)</t>
  </si>
  <si>
    <t>53.734800</t>
  </si>
  <si>
    <t>11.065701</t>
  </si>
  <si>
    <t>Holdorf(Oldb)</t>
  </si>
  <si>
    <t>52.574971</t>
  </si>
  <si>
    <t>8.138367</t>
  </si>
  <si>
    <t>Höllenthal</t>
  </si>
  <si>
    <t>50.363800</t>
  </si>
  <si>
    <t>11.683818</t>
  </si>
  <si>
    <t>Höllriegelskreuth</t>
  </si>
  <si>
    <t>48.043452</t>
  </si>
  <si>
    <t>11.509752</t>
  </si>
  <si>
    <t>Holm-Seppensen</t>
  </si>
  <si>
    <t>53.284812</t>
  </si>
  <si>
    <t>9.870008</t>
  </si>
  <si>
    <t>Holstentherme</t>
  </si>
  <si>
    <t>53.839935</t>
  </si>
  <si>
    <t>9.946077</t>
  </si>
  <si>
    <t>Holtensen/Linderte</t>
  </si>
  <si>
    <t>52.271953</t>
  </si>
  <si>
    <t>9.653221</t>
  </si>
  <si>
    <t>Holthusen</t>
  </si>
  <si>
    <t>53.555607</t>
  </si>
  <si>
    <t>11.365260</t>
  </si>
  <si>
    <t>Holzdorf(b Weimar)</t>
  </si>
  <si>
    <t>50.941869</t>
  </si>
  <si>
    <t>11.277195</t>
  </si>
  <si>
    <t>Holzdorf(Elster)</t>
  </si>
  <si>
    <t>51.780291</t>
  </si>
  <si>
    <t>13.114137</t>
  </si>
  <si>
    <t>Holzgerlingen Bf</t>
  </si>
  <si>
    <t>48.637525</t>
  </si>
  <si>
    <t>9.006945</t>
  </si>
  <si>
    <t>Holzgerlingen Buch</t>
  </si>
  <si>
    <t>48.626696</t>
  </si>
  <si>
    <t>9.024768</t>
  </si>
  <si>
    <t>Holzgerlingen Hülben</t>
  </si>
  <si>
    <t>48.644557</t>
  </si>
  <si>
    <t>9.008542</t>
  </si>
  <si>
    <t>Holzhau</t>
  </si>
  <si>
    <t>50.734140</t>
  </si>
  <si>
    <t>13.591861</t>
  </si>
  <si>
    <t>Holzhau Skilift</t>
  </si>
  <si>
    <t>50.733830</t>
  </si>
  <si>
    <t>13.576665</t>
  </si>
  <si>
    <t>Holzhausen(Kr Siegen)</t>
  </si>
  <si>
    <t>50.739322</t>
  </si>
  <si>
    <t>8.135495</t>
  </si>
  <si>
    <t>Holzheim(b Neuss)</t>
  </si>
  <si>
    <t>51.165653</t>
  </si>
  <si>
    <t>6.664626</t>
  </si>
  <si>
    <t>Holzkirchen</t>
  </si>
  <si>
    <t>47.884384</t>
  </si>
  <si>
    <t>11.697234</t>
  </si>
  <si>
    <t>Holzminden</t>
  </si>
  <si>
    <t>51.820268</t>
  </si>
  <si>
    <t>9.453743</t>
  </si>
  <si>
    <t>Holzwickede</t>
  </si>
  <si>
    <t>51.504767</t>
  </si>
  <si>
    <t>7.619647</t>
  </si>
  <si>
    <t>Homburg(Saar)Hbf</t>
  </si>
  <si>
    <t>49.328082</t>
  </si>
  <si>
    <t>7.337035</t>
  </si>
  <si>
    <t>Honrath</t>
  </si>
  <si>
    <t>50.910589</t>
  </si>
  <si>
    <t>7.252882</t>
  </si>
  <si>
    <t>Hopfgarten(Sachs)</t>
  </si>
  <si>
    <t>51.105574</t>
  </si>
  <si>
    <t>12.662693</t>
  </si>
  <si>
    <t>Hopfgarten(Weimar)</t>
  </si>
  <si>
    <t>50.984228</t>
  </si>
  <si>
    <t>11.221193</t>
  </si>
  <si>
    <t>Höpfling</t>
  </si>
  <si>
    <t>47.811226</t>
  </si>
  <si>
    <t>12.651162</t>
  </si>
  <si>
    <t>Hoppecke</t>
  </si>
  <si>
    <t>51.378059</t>
  </si>
  <si>
    <t>8.640059</t>
  </si>
  <si>
    <t>Hoppegarten(Mark)</t>
  </si>
  <si>
    <t>52.518122</t>
  </si>
  <si>
    <t>13.672956</t>
  </si>
  <si>
    <t>Hoppingen</t>
  </si>
  <si>
    <t>48.803817</t>
  </si>
  <si>
    <t>10.653198</t>
  </si>
  <si>
    <t>Hoppstädten(Nahe)</t>
  </si>
  <si>
    <t>49.615527</t>
  </si>
  <si>
    <t>7.195011</t>
  </si>
  <si>
    <t>Horb</t>
  </si>
  <si>
    <t>48.441471</t>
  </si>
  <si>
    <t>8.688982</t>
  </si>
  <si>
    <t>Horb-Heiligenfeld</t>
  </si>
  <si>
    <t>48.467796</t>
  </si>
  <si>
    <t>8.660151</t>
  </si>
  <si>
    <t>Hörden</t>
  </si>
  <si>
    <t>48.781523</t>
  </si>
  <si>
    <t>8.345190</t>
  </si>
  <si>
    <t>Horka</t>
  </si>
  <si>
    <t>51.303984</t>
  </si>
  <si>
    <t>14.902096</t>
  </si>
  <si>
    <t>Horka(Gr)</t>
  </si>
  <si>
    <t>Hörlkofen</t>
  </si>
  <si>
    <t>48.242591</t>
  </si>
  <si>
    <t>11.942341</t>
  </si>
  <si>
    <t>Horn-Bad Meinberg</t>
  </si>
  <si>
    <t>51.881518</t>
  </si>
  <si>
    <t>8.955092</t>
  </si>
  <si>
    <t>Hornberg(Schwarzw)</t>
  </si>
  <si>
    <t>48.211895</t>
  </si>
  <si>
    <t>8.232940</t>
  </si>
  <si>
    <t>Horneburg</t>
  </si>
  <si>
    <t>53.508677</t>
  </si>
  <si>
    <t>9.576550</t>
  </si>
  <si>
    <t>Hornstorf</t>
  </si>
  <si>
    <t>53.906688</t>
  </si>
  <si>
    <t>11.534673</t>
  </si>
  <si>
    <t>Hornstorf Neubau</t>
  </si>
  <si>
    <t>53.905516</t>
  </si>
  <si>
    <t>11.534007</t>
  </si>
  <si>
    <t>Hörpolding</t>
  </si>
  <si>
    <t>47.964138</t>
  </si>
  <si>
    <t>12.568261</t>
  </si>
  <si>
    <t>Horrem</t>
  </si>
  <si>
    <t>50.916249</t>
  </si>
  <si>
    <t>6.713497</t>
  </si>
  <si>
    <t>Hörschel Bahnhof</t>
  </si>
  <si>
    <t>51.006937</t>
  </si>
  <si>
    <t>10.228281</t>
  </si>
  <si>
    <t>Hörschel Hp</t>
  </si>
  <si>
    <t>51.007795</t>
  </si>
  <si>
    <t>10.233271</t>
  </si>
  <si>
    <t>Hörselgau</t>
  </si>
  <si>
    <t>50.923383</t>
  </si>
  <si>
    <t>10.577866</t>
  </si>
  <si>
    <t>Horst(Holst)</t>
  </si>
  <si>
    <t>53.804596</t>
  </si>
  <si>
    <t>9.645156</t>
  </si>
  <si>
    <t>Hörstel</t>
  </si>
  <si>
    <t>52.295686</t>
  </si>
  <si>
    <t>7.591557</t>
  </si>
  <si>
    <t>Hörstmar(Lippe)</t>
  </si>
  <si>
    <t>52.012502</t>
  </si>
  <si>
    <t>8.844978</t>
  </si>
  <si>
    <t>Hösbach</t>
  </si>
  <si>
    <t>49.999713</t>
  </si>
  <si>
    <t>9.229008</t>
  </si>
  <si>
    <t>Hösel</t>
  </si>
  <si>
    <t>51.341521</t>
  </si>
  <si>
    <t>6.893231</t>
  </si>
  <si>
    <t>Hosena</t>
  </si>
  <si>
    <t>51.454706</t>
  </si>
  <si>
    <t>14.016105</t>
  </si>
  <si>
    <t>Hoßkirch Königseggsee</t>
  </si>
  <si>
    <t>47.933719</t>
  </si>
  <si>
    <t>9.437613</t>
  </si>
  <si>
    <t>Höste</t>
  </si>
  <si>
    <t>52.158949</t>
  </si>
  <si>
    <t>7.921090</t>
  </si>
  <si>
    <t>Hövelhof</t>
  </si>
  <si>
    <t>51.823991</t>
  </si>
  <si>
    <t>8.661685</t>
  </si>
  <si>
    <t>Hövelriege</t>
  </si>
  <si>
    <t>51.865123</t>
  </si>
  <si>
    <t>8.642067</t>
  </si>
  <si>
    <t>Höxter Rathaus</t>
  </si>
  <si>
    <t>51.772604</t>
  </si>
  <si>
    <t>9.381918</t>
  </si>
  <si>
    <t>Höxter Schulzentrum</t>
  </si>
  <si>
    <t>51.774471</t>
  </si>
  <si>
    <t>9.372762</t>
  </si>
  <si>
    <t>Höxter-Godelheim</t>
  </si>
  <si>
    <t>51.735123</t>
  </si>
  <si>
    <t>9.356871</t>
  </si>
  <si>
    <t>Höxter-Lüchtringen</t>
  </si>
  <si>
    <t>51.790928</t>
  </si>
  <si>
    <t>9.427208</t>
  </si>
  <si>
    <t>Höxter-Ottbergen</t>
  </si>
  <si>
    <t>51.710990</t>
  </si>
  <si>
    <t>9.304909</t>
  </si>
  <si>
    <t>Hoyerswerda</t>
  </si>
  <si>
    <t>51.432788</t>
  </si>
  <si>
    <t>14.231407</t>
  </si>
  <si>
    <t>Hoyerswerda Lausitzer Platz</t>
  </si>
  <si>
    <t>51.438714</t>
  </si>
  <si>
    <t>14.263064</t>
  </si>
  <si>
    <t>Hoyerswerda-Neustadt</t>
  </si>
  <si>
    <t>51.429086</t>
  </si>
  <si>
    <t>14.266683</t>
  </si>
  <si>
    <t>Hoykenkamp</t>
  </si>
  <si>
    <t>53.069799</t>
  </si>
  <si>
    <t>8.598683</t>
  </si>
  <si>
    <t>Hubacker</t>
  </si>
  <si>
    <t>48.507398</t>
  </si>
  <si>
    <t>8.135691</t>
  </si>
  <si>
    <t>Hubertushöhe</t>
  </si>
  <si>
    <t>52.233870</t>
  </si>
  <si>
    <t>13.965151</t>
  </si>
  <si>
    <t>Huchem-Stammeln</t>
  </si>
  <si>
    <t>50.852519</t>
  </si>
  <si>
    <t>6.453370</t>
  </si>
  <si>
    <t>Hückelhoven-Baal</t>
  </si>
  <si>
    <t>51.032974</t>
  </si>
  <si>
    <t>6.272807</t>
  </si>
  <si>
    <t>Huckstorf</t>
  </si>
  <si>
    <t>53.984480</t>
  </si>
  <si>
    <t>12.116026</t>
  </si>
  <si>
    <t>Huckstorf Ort</t>
  </si>
  <si>
    <t>53.985003</t>
  </si>
  <si>
    <t>12.106934</t>
  </si>
  <si>
    <t>Hude</t>
  </si>
  <si>
    <t>53.109429</t>
  </si>
  <si>
    <t>8.460956</t>
  </si>
  <si>
    <t>Hüffenhardt</t>
  </si>
  <si>
    <t>49.291132</t>
  </si>
  <si>
    <t>9.086804</t>
  </si>
  <si>
    <t>Hüfingen Mitte</t>
  </si>
  <si>
    <t>47.928963</t>
  </si>
  <si>
    <t>8.490065</t>
  </si>
  <si>
    <t>Hufschlag</t>
  </si>
  <si>
    <t>47.875599</t>
  </si>
  <si>
    <t>12.664941</t>
  </si>
  <si>
    <t>Huglfing</t>
  </si>
  <si>
    <t>47.776736</t>
  </si>
  <si>
    <t>11.140552</t>
  </si>
  <si>
    <t>Hugstetten</t>
  </si>
  <si>
    <t>48.048247</t>
  </si>
  <si>
    <t>7.783929</t>
  </si>
  <si>
    <t>Hulb</t>
  </si>
  <si>
    <t>48.679267</t>
  </si>
  <si>
    <t>8.982644</t>
  </si>
  <si>
    <t>Hülser Berg</t>
  </si>
  <si>
    <t>51.396120</t>
  </si>
  <si>
    <t>6.533900</t>
  </si>
  <si>
    <t>Hundsgrün</t>
  </si>
  <si>
    <t>50.366256</t>
  </si>
  <si>
    <t>12.211452</t>
  </si>
  <si>
    <t>Hundstadt</t>
  </si>
  <si>
    <t>50.370908</t>
  </si>
  <si>
    <t>8.469063</t>
  </si>
  <si>
    <t>Hünfeld</t>
  </si>
  <si>
    <t>50.673312</t>
  </si>
  <si>
    <t>9.762935</t>
  </si>
  <si>
    <t>Hungen</t>
  </si>
  <si>
    <t>50.478234</t>
  </si>
  <si>
    <t>8.892333</t>
  </si>
  <si>
    <t>Huntlosen</t>
  </si>
  <si>
    <t>52.990817</t>
  </si>
  <si>
    <t>8.266520</t>
  </si>
  <si>
    <t>Hürth-Kalscheuren</t>
  </si>
  <si>
    <t>50.875671</t>
  </si>
  <si>
    <t>6.910223</t>
  </si>
  <si>
    <t>Husby</t>
  </si>
  <si>
    <t>54.764372</t>
  </si>
  <si>
    <t>9.575505</t>
  </si>
  <si>
    <t>Husum</t>
  </si>
  <si>
    <t>54.472083</t>
  </si>
  <si>
    <t>9.055953</t>
  </si>
  <si>
    <t>Husum Bahnhof</t>
  </si>
  <si>
    <t>Hütten</t>
  </si>
  <si>
    <t>48.370998</t>
  </si>
  <si>
    <t>9.642462</t>
  </si>
  <si>
    <t>Hüttengrund</t>
  </si>
  <si>
    <t>50.381153</t>
  </si>
  <si>
    <t>11.197711</t>
  </si>
  <si>
    <t>Huttenheim</t>
  </si>
  <si>
    <t>49.197162</t>
  </si>
  <si>
    <t>8.472636</t>
  </si>
  <si>
    <t>Huttenheim Kirche</t>
  </si>
  <si>
    <t>49.196879</t>
  </si>
  <si>
    <t>8.466010</t>
  </si>
  <si>
    <t>Huttenheim Philippsburger Str.</t>
  </si>
  <si>
    <t>49.203032</t>
  </si>
  <si>
    <t>8.465233</t>
  </si>
  <si>
    <t>Hüttingen</t>
  </si>
  <si>
    <t>49.967418</t>
  </si>
  <si>
    <t>6.585008</t>
  </si>
  <si>
    <t>Huzenbach</t>
  </si>
  <si>
    <t>48.582625</t>
  </si>
  <si>
    <t>8.391276</t>
  </si>
  <si>
    <t>Ibach</t>
  </si>
  <si>
    <t>48.455116</t>
  </si>
  <si>
    <t>8.162739</t>
  </si>
  <si>
    <t>Ibbenbüren</t>
  </si>
  <si>
    <t>52.276867</t>
  </si>
  <si>
    <t>7.721486</t>
  </si>
  <si>
    <t>Ibbenbüren-Aasee</t>
  </si>
  <si>
    <t>Ibbenbüren-Esch</t>
  </si>
  <si>
    <t>52.299746</t>
  </si>
  <si>
    <t>7.655968</t>
  </si>
  <si>
    <t>Ibbenbüren-Laggenbeck</t>
  </si>
  <si>
    <t>52.264860</t>
  </si>
  <si>
    <t>7.780962</t>
  </si>
  <si>
    <t>Ichenhausen</t>
  </si>
  <si>
    <t>48.370187</t>
  </si>
  <si>
    <t>10.302138</t>
  </si>
  <si>
    <t>Icking</t>
  </si>
  <si>
    <t>47.953249</t>
  </si>
  <si>
    <t>11.436647</t>
  </si>
  <si>
    <t>Idar-Oberstein</t>
  </si>
  <si>
    <t>49.699368</t>
  </si>
  <si>
    <t>7.321230</t>
  </si>
  <si>
    <t>50.215990</t>
  </si>
  <si>
    <t>8.257264</t>
  </si>
  <si>
    <t>Iffeldorf</t>
  </si>
  <si>
    <t>47.782064</t>
  </si>
  <si>
    <t>11.329019</t>
  </si>
  <si>
    <t>Igel</t>
  </si>
  <si>
    <t>49.707370</t>
  </si>
  <si>
    <t>6.550679</t>
  </si>
  <si>
    <t>Igel(Gr)</t>
  </si>
  <si>
    <t>Igensdorf</t>
  </si>
  <si>
    <t>49.620122</t>
  </si>
  <si>
    <t>11.234530</t>
  </si>
  <si>
    <t>Igersheim</t>
  </si>
  <si>
    <t>49.493425</t>
  </si>
  <si>
    <t>9.812535</t>
  </si>
  <si>
    <t>Ihringen</t>
  </si>
  <si>
    <t>48.040410</t>
  </si>
  <si>
    <t>7.648777</t>
  </si>
  <si>
    <t>Ilberstedt</t>
  </si>
  <si>
    <t>51.806558</t>
  </si>
  <si>
    <t>11.647375</t>
  </si>
  <si>
    <t>Ilfeld</t>
  </si>
  <si>
    <t>51.578963</t>
  </si>
  <si>
    <t>10.789808</t>
  </si>
  <si>
    <t>Ilfeld Bad</t>
  </si>
  <si>
    <t>51.593422</t>
  </si>
  <si>
    <t>10.784562</t>
  </si>
  <si>
    <t>Ilfeld Neanderklinik</t>
  </si>
  <si>
    <t>51.584457</t>
  </si>
  <si>
    <t>10.788006</t>
  </si>
  <si>
    <t>Ilfeld Schreiberwiese</t>
  </si>
  <si>
    <t>51.573049</t>
  </si>
  <si>
    <t>10.786525</t>
  </si>
  <si>
    <t>Illertissen</t>
  </si>
  <si>
    <t>48.222828</t>
  </si>
  <si>
    <t>10.099942</t>
  </si>
  <si>
    <t>Illesheim</t>
  </si>
  <si>
    <t>49.479731</t>
  </si>
  <si>
    <t>10.382648</t>
  </si>
  <si>
    <t>Illingen(Saar)</t>
  </si>
  <si>
    <t>49.376422</t>
  </si>
  <si>
    <t>7.048966</t>
  </si>
  <si>
    <t>Illingen(Württ)</t>
  </si>
  <si>
    <t>48.956588</t>
  </si>
  <si>
    <t>8.921162</t>
  </si>
  <si>
    <t>Ilmenau</t>
  </si>
  <si>
    <t>50.684481</t>
  </si>
  <si>
    <t>10.923086</t>
  </si>
  <si>
    <t>Ilmenau Bad</t>
  </si>
  <si>
    <t>50.681348</t>
  </si>
  <si>
    <t>10.908966</t>
  </si>
  <si>
    <t>Ilmenau Pörlitzer Höhe</t>
  </si>
  <si>
    <t>50.694694</t>
  </si>
  <si>
    <t>10.922891</t>
  </si>
  <si>
    <t>Ilmenau-Roda</t>
  </si>
  <si>
    <t>50.697228</t>
  </si>
  <si>
    <t>10.889111</t>
  </si>
  <si>
    <t>Ilsenburg</t>
  </si>
  <si>
    <t>51.869004</t>
  </si>
  <si>
    <t>10.683103</t>
  </si>
  <si>
    <t>Im Steinhof, Helsa</t>
  </si>
  <si>
    <t>51.254663</t>
  </si>
  <si>
    <t>9.685200</t>
  </si>
  <si>
    <t>Im Tal, Hessisch Lichtenau</t>
  </si>
  <si>
    <t>51.203759</t>
  </si>
  <si>
    <t>9.721029</t>
  </si>
  <si>
    <t>Immelborn</t>
  </si>
  <si>
    <t>50.793271</t>
  </si>
  <si>
    <t>10.280478</t>
  </si>
  <si>
    <t>Immendingen</t>
  </si>
  <si>
    <t>47.936007</t>
  </si>
  <si>
    <t>8.729536</t>
  </si>
  <si>
    <t>Immendingen Mitte</t>
  </si>
  <si>
    <t>47.937109</t>
  </si>
  <si>
    <t>8.735162</t>
  </si>
  <si>
    <t>Immendingen Zimmern</t>
  </si>
  <si>
    <t>47.932876</t>
  </si>
  <si>
    <t>8.714051</t>
  </si>
  <si>
    <t>Immenhausen</t>
  </si>
  <si>
    <t>51.426902</t>
  </si>
  <si>
    <t>9.464397</t>
  </si>
  <si>
    <t>Immenreuth</t>
  </si>
  <si>
    <t>49.911344</t>
  </si>
  <si>
    <t>11.869660</t>
  </si>
  <si>
    <t>Immensen-Arpke</t>
  </si>
  <si>
    <t>52.391356</t>
  </si>
  <si>
    <t>10.084479</t>
  </si>
  <si>
    <t>Immenstaad(Bodensee)</t>
  </si>
  <si>
    <t>47.662326</t>
  </si>
  <si>
    <t>9.367036</t>
  </si>
  <si>
    <t>Immenstadt</t>
  </si>
  <si>
    <t>47.559203</t>
  </si>
  <si>
    <t>10.213999</t>
  </si>
  <si>
    <t>Imsweiler</t>
  </si>
  <si>
    <t>49.597656</t>
  </si>
  <si>
    <t>7.807976</t>
  </si>
  <si>
    <t>Ingelbach</t>
  </si>
  <si>
    <t>50.688903</t>
  </si>
  <si>
    <t>7.726214</t>
  </si>
  <si>
    <t>Ingelheim</t>
  </si>
  <si>
    <t>49.976277</t>
  </si>
  <si>
    <t>8.053716</t>
  </si>
  <si>
    <t>Ingolstadt Audi</t>
  </si>
  <si>
    <t>48.790496</t>
  </si>
  <si>
    <t>11.407456</t>
  </si>
  <si>
    <t>Ingolstadt Nord</t>
  </si>
  <si>
    <t>48.773690</t>
  </si>
  <si>
    <t>11.432250</t>
  </si>
  <si>
    <t>Inningen</t>
  </si>
  <si>
    <t>48.311336</t>
  </si>
  <si>
    <t>10.868876</t>
  </si>
  <si>
    <t>Insel Reichenau</t>
  </si>
  <si>
    <t>47.689981</t>
  </si>
  <si>
    <t>9.054442</t>
  </si>
  <si>
    <t>Inselstadt Malchow</t>
  </si>
  <si>
    <t>53.482010</t>
  </si>
  <si>
    <t>12.423808</t>
  </si>
  <si>
    <t>Insheim</t>
  </si>
  <si>
    <t>49.157166</t>
  </si>
  <si>
    <t>8.152134</t>
  </si>
  <si>
    <t>Iphofen</t>
  </si>
  <si>
    <t>49.696797</t>
  </si>
  <si>
    <t>10.255147</t>
  </si>
  <si>
    <t>Ipsheim</t>
  </si>
  <si>
    <t>49.525500</t>
  </si>
  <si>
    <t>10.485764</t>
  </si>
  <si>
    <t>Irfersgrün</t>
  </si>
  <si>
    <t>50.608547</t>
  </si>
  <si>
    <t>12.409602</t>
  </si>
  <si>
    <t>Irrenlohe</t>
  </si>
  <si>
    <t>49.362776</t>
  </si>
  <si>
    <t>12.101376</t>
  </si>
  <si>
    <t>Iserlohn</t>
  </si>
  <si>
    <t>51.373294</t>
  </si>
  <si>
    <t>7.691608</t>
  </si>
  <si>
    <t>Iserlohnerheide</t>
  </si>
  <si>
    <t>51.399861</t>
  </si>
  <si>
    <t>7.692210</t>
  </si>
  <si>
    <t>Isernhagen</t>
  </si>
  <si>
    <t>52.486091</t>
  </si>
  <si>
    <t>9.803842</t>
  </si>
  <si>
    <t>Ismaning</t>
  </si>
  <si>
    <t>48.226012</t>
  </si>
  <si>
    <t>11.679489</t>
  </si>
  <si>
    <t>Ispringen</t>
  </si>
  <si>
    <t>48.914427</t>
  </si>
  <si>
    <t>8.672220</t>
  </si>
  <si>
    <t>Isselhorst-Avenwedde</t>
  </si>
  <si>
    <t>51.939976</t>
  </si>
  <si>
    <t>8.438524</t>
  </si>
  <si>
    <t>Istein</t>
  </si>
  <si>
    <t>47.660889</t>
  </si>
  <si>
    <t>7.542943</t>
  </si>
  <si>
    <t>Ittersbach Bahnhof</t>
  </si>
  <si>
    <t>48.869154</t>
  </si>
  <si>
    <t>8.511045</t>
  </si>
  <si>
    <t>Ittersbach Rathaus</t>
  </si>
  <si>
    <t>48.865902</t>
  </si>
  <si>
    <t>8.509824</t>
  </si>
  <si>
    <t>Ittling</t>
  </si>
  <si>
    <t>48.884909</t>
  </si>
  <si>
    <t>12.637998</t>
  </si>
  <si>
    <t>Ittlingen</t>
  </si>
  <si>
    <t>49.187119</t>
  </si>
  <si>
    <t>8.934580</t>
  </si>
  <si>
    <t>Itzehoe</t>
  </si>
  <si>
    <t>53.923873</t>
  </si>
  <si>
    <t>9.510287</t>
  </si>
  <si>
    <t>Itzehoe Bahnhof(Draisine)</t>
  </si>
  <si>
    <t>Itzelberg</t>
  </si>
  <si>
    <t>48.730681</t>
  </si>
  <si>
    <t>10.136300</t>
  </si>
  <si>
    <t>Iznang</t>
  </si>
  <si>
    <t>47.717133</t>
  </si>
  <si>
    <t>8.961571</t>
  </si>
  <si>
    <t>Jabel(Meckl)</t>
  </si>
  <si>
    <t>53.545263</t>
  </si>
  <si>
    <t>12.547559</t>
  </si>
  <si>
    <t>Jacobsdorf(Mark)</t>
  </si>
  <si>
    <t>52.332626</t>
  </si>
  <si>
    <t>14.355037</t>
  </si>
  <si>
    <t>Jaderberg</t>
  </si>
  <si>
    <t>53.344878</t>
  </si>
  <si>
    <t>8.184538</t>
  </si>
  <si>
    <t>Jagdschloß</t>
  </si>
  <si>
    <t>54.376479</t>
  </si>
  <si>
    <t>13.619872</t>
  </si>
  <si>
    <t>Jägersfreude</t>
  </si>
  <si>
    <t>49.265758</t>
  </si>
  <si>
    <t>7.004970</t>
  </si>
  <si>
    <t>Jagstzell</t>
  </si>
  <si>
    <t>49.031239</t>
  </si>
  <si>
    <t>10.098819</t>
  </si>
  <si>
    <t>Jahnsdorf Kreisverkehr</t>
  </si>
  <si>
    <t>50.755973</t>
  </si>
  <si>
    <t>12.858035</t>
  </si>
  <si>
    <t>Jahnsdorf(Erzgeb)</t>
  </si>
  <si>
    <t>50.754946</t>
  </si>
  <si>
    <t>12.857511</t>
  </si>
  <si>
    <t>Jänschwalde</t>
  </si>
  <si>
    <t>51.866273</t>
  </si>
  <si>
    <t>14.500761</t>
  </si>
  <si>
    <t>Jänschwalde Dorf</t>
  </si>
  <si>
    <t>51.861822</t>
  </si>
  <si>
    <t>14.499076</t>
  </si>
  <si>
    <t>Jänschwalde Ost</t>
  </si>
  <si>
    <t>51.877817</t>
  </si>
  <si>
    <t>14.541248</t>
  </si>
  <si>
    <t>Jarrenwisch</t>
  </si>
  <si>
    <t>54.212081</t>
  </si>
  <si>
    <t>8.962896</t>
  </si>
  <si>
    <t>Jasnitz</t>
  </si>
  <si>
    <t>53.386389</t>
  </si>
  <si>
    <t>11.374058</t>
  </si>
  <si>
    <t>Jatznick</t>
  </si>
  <si>
    <t>53.603062</t>
  </si>
  <si>
    <t>13.937671</t>
  </si>
  <si>
    <t>Jatznick Gemeindeverwaltung</t>
  </si>
  <si>
    <t>53.581687</t>
  </si>
  <si>
    <t>13.939065</t>
  </si>
  <si>
    <t>Jävenitz</t>
  </si>
  <si>
    <t>52.519664</t>
  </si>
  <si>
    <t>11.493067</t>
  </si>
  <si>
    <t>Jeber-Bergfrieden</t>
  </si>
  <si>
    <t>51.984637</t>
  </si>
  <si>
    <t>12.349699</t>
  </si>
  <si>
    <t>Jechtingen</t>
  </si>
  <si>
    <t>48.119844</t>
  </si>
  <si>
    <t>7.610624</t>
  </si>
  <si>
    <t>Jeeser</t>
  </si>
  <si>
    <t>54.164548</t>
  </si>
  <si>
    <t>13.258802</t>
  </si>
  <si>
    <t>Jena Saalbf</t>
  </si>
  <si>
    <t>50.936920</t>
  </si>
  <si>
    <t>11.593783</t>
  </si>
  <si>
    <t>Jena West</t>
  </si>
  <si>
    <t>50.923286</t>
  </si>
  <si>
    <t>11.577848</t>
  </si>
  <si>
    <t>Jena-Göschwitz</t>
  </si>
  <si>
    <t>50.883942</t>
  </si>
  <si>
    <t>11.593537</t>
  </si>
  <si>
    <t>Jena-Zwätzen</t>
  </si>
  <si>
    <t>50.955487</t>
  </si>
  <si>
    <t>Jerichow</t>
  </si>
  <si>
    <t>52.500297</t>
  </si>
  <si>
    <t>12.029388</t>
  </si>
  <si>
    <t>Jerxheim</t>
  </si>
  <si>
    <t>52.066238</t>
  </si>
  <si>
    <t>10.882937</t>
  </si>
  <si>
    <t>Jesewitz(Leipzig)</t>
  </si>
  <si>
    <t>51.419881</t>
  </si>
  <si>
    <t>12.545378</t>
  </si>
  <si>
    <t>Jessen(Elster)</t>
  </si>
  <si>
    <t>51.792787</t>
  </si>
  <si>
    <t>12.954722</t>
  </si>
  <si>
    <t>Jeßnitz(Anh)</t>
  </si>
  <si>
    <t>51.682552</t>
  </si>
  <si>
    <t>12.277353</t>
  </si>
  <si>
    <t>Jettenbach</t>
  </si>
  <si>
    <t>48.171428</t>
  </si>
  <si>
    <t>12.366820</t>
  </si>
  <si>
    <t>Jettingen</t>
  </si>
  <si>
    <t>48.399126</t>
  </si>
  <si>
    <t>10.445473</t>
  </si>
  <si>
    <t>Jever</t>
  </si>
  <si>
    <t>53.568715</t>
  </si>
  <si>
    <t>7.892980</t>
  </si>
  <si>
    <t>Joachimsthal</t>
  </si>
  <si>
    <t>52.980380</t>
  </si>
  <si>
    <t>13.749473</t>
  </si>
  <si>
    <t>Joachimsthal Kaiserbahnhof</t>
  </si>
  <si>
    <t>52.963952</t>
  </si>
  <si>
    <t>13.755016</t>
  </si>
  <si>
    <t>Jocketa</t>
  </si>
  <si>
    <t>50.555297</t>
  </si>
  <si>
    <t>12.170103</t>
  </si>
  <si>
    <t>Jockgrim Bf</t>
  </si>
  <si>
    <t>49.092289</t>
  </si>
  <si>
    <t>8.272272</t>
  </si>
  <si>
    <t>Johanngeorgenstadt</t>
  </si>
  <si>
    <t>50.437596</t>
  </si>
  <si>
    <t>12.728736</t>
  </si>
  <si>
    <t>Jöhlingen</t>
  </si>
  <si>
    <t>49.028180</t>
  </si>
  <si>
    <t>8.575224</t>
  </si>
  <si>
    <t>Jöhlingen West</t>
  </si>
  <si>
    <t>49.030939</t>
  </si>
  <si>
    <t>8.569975</t>
  </si>
  <si>
    <t>Jöhstadt Schlössel</t>
  </si>
  <si>
    <t>50.518021</t>
  </si>
  <si>
    <t>13.103077</t>
  </si>
  <si>
    <t>Jossa</t>
  </si>
  <si>
    <t>50.232506</t>
  </si>
  <si>
    <t>9.604178</t>
  </si>
  <si>
    <t>Jößnitz</t>
  </si>
  <si>
    <t>50.537618</t>
  </si>
  <si>
    <t>12.139827</t>
  </si>
  <si>
    <t>Jübek</t>
  </si>
  <si>
    <t>54.558782</t>
  </si>
  <si>
    <t>9.405438</t>
  </si>
  <si>
    <t>Jüchen</t>
  </si>
  <si>
    <t>51.097113</t>
  </si>
  <si>
    <t>6.500923</t>
  </si>
  <si>
    <t>Juist</t>
  </si>
  <si>
    <t>53.672131</t>
  </si>
  <si>
    <t>6.995762</t>
  </si>
  <si>
    <t>Julbach</t>
  </si>
  <si>
    <t>48.250895</t>
  </si>
  <si>
    <t>12.958025</t>
  </si>
  <si>
    <t>Jülich</t>
  </si>
  <si>
    <t>50.918531</t>
  </si>
  <si>
    <t>6.368283</t>
  </si>
  <si>
    <t>Jülich An den Aspen</t>
  </si>
  <si>
    <t>50.936068</t>
  </si>
  <si>
    <t>6.357111</t>
  </si>
  <si>
    <t>Jülich Forschungszentrum</t>
  </si>
  <si>
    <t>50.898594</t>
  </si>
  <si>
    <t>6.392244</t>
  </si>
  <si>
    <t>Jülich-Broich</t>
  </si>
  <si>
    <t>50.947237</t>
  </si>
  <si>
    <t>6.342104</t>
  </si>
  <si>
    <t>Jülich-Nord</t>
  </si>
  <si>
    <t>50.928899</t>
  </si>
  <si>
    <t>6.366587</t>
  </si>
  <si>
    <t>Jülich-Selgersdorf</t>
  </si>
  <si>
    <t>50.890229</t>
  </si>
  <si>
    <t>6.408290</t>
  </si>
  <si>
    <t>Jungingen(Hohenz)</t>
  </si>
  <si>
    <t>48.326187</t>
  </si>
  <si>
    <t>9.038123</t>
  </si>
  <si>
    <t>Jungnau</t>
  </si>
  <si>
    <t>48.139161</t>
  </si>
  <si>
    <t>9.213664</t>
  </si>
  <si>
    <t>Jünkerath</t>
  </si>
  <si>
    <t>50.344769</t>
  </si>
  <si>
    <t>6.580939</t>
  </si>
  <si>
    <t>Jüterbog</t>
  </si>
  <si>
    <t>51.997509</t>
  </si>
  <si>
    <t>13.054353</t>
  </si>
  <si>
    <t>Jütrichau</t>
  </si>
  <si>
    <t>51.934203</t>
  </si>
  <si>
    <t>12.126403</t>
  </si>
  <si>
    <t>Kaarst IKEA</t>
  </si>
  <si>
    <t>51.217023</t>
  </si>
  <si>
    <t>6.629881</t>
  </si>
  <si>
    <t>Kaarst IKEA Bruchweg</t>
  </si>
  <si>
    <t>51.215579</t>
  </si>
  <si>
    <t>6.629467</t>
  </si>
  <si>
    <t>Kaarst Mitte/Holzbüttgen</t>
  </si>
  <si>
    <t>51.219504</t>
  </si>
  <si>
    <t>6.617246</t>
  </si>
  <si>
    <t>Kaarst Mitte/Holzbüttgen Pfarrzentrum</t>
  </si>
  <si>
    <t>51.216738</t>
  </si>
  <si>
    <t>6.616361</t>
  </si>
  <si>
    <t>Kaarster Bahnhof</t>
  </si>
  <si>
    <t>51.222551</t>
  </si>
  <si>
    <t>6.607274</t>
  </si>
  <si>
    <t>Kaarster See</t>
  </si>
  <si>
    <t>51.226689</t>
  </si>
  <si>
    <t>6.593977</t>
  </si>
  <si>
    <t>Kablow</t>
  </si>
  <si>
    <t>52.300067</t>
  </si>
  <si>
    <t>13.721351</t>
  </si>
  <si>
    <t>Kahl Kopp/Heide</t>
  </si>
  <si>
    <t>50.079145</t>
  </si>
  <si>
    <t>9.015770</t>
  </si>
  <si>
    <t>Kahl(Main)</t>
  </si>
  <si>
    <t>50.076870</t>
  </si>
  <si>
    <t>9.005468</t>
  </si>
  <si>
    <t>Kahla(Thür)</t>
  </si>
  <si>
    <t>50.808926</t>
  </si>
  <si>
    <t>11.589104</t>
  </si>
  <si>
    <t>Kainzenbad</t>
  </si>
  <si>
    <t>Kaisersesch</t>
  </si>
  <si>
    <t>50.232102</t>
  </si>
  <si>
    <t>7.129573</t>
  </si>
  <si>
    <t>Kaiserslautern Friedhof</t>
  </si>
  <si>
    <t>49.444676</t>
  </si>
  <si>
    <t>7.794864</t>
  </si>
  <si>
    <t>Kaiserslautern Galgenschanze</t>
  </si>
  <si>
    <t>49.435490</t>
  </si>
  <si>
    <t>7.744124</t>
  </si>
  <si>
    <t>Kaiserslautern Hbf</t>
  </si>
  <si>
    <t>49.435859</t>
  </si>
  <si>
    <t>7.768627</t>
  </si>
  <si>
    <t>Kaiserslautern Pfaffwerk</t>
  </si>
  <si>
    <t>49.434714</t>
  </si>
  <si>
    <t>7.751248</t>
  </si>
  <si>
    <t>Kaiserslautern West</t>
  </si>
  <si>
    <t>49.447535</t>
  </si>
  <si>
    <t>7.749812</t>
  </si>
  <si>
    <t>Kaiserslautern-Hohenecken</t>
  </si>
  <si>
    <t>49.415790</t>
  </si>
  <si>
    <t>7.699292</t>
  </si>
  <si>
    <t>Kälberau</t>
  </si>
  <si>
    <t>50.090911</t>
  </si>
  <si>
    <t>9.091445</t>
  </si>
  <si>
    <t>Kalchreuth</t>
  </si>
  <si>
    <t>49.558442</t>
  </si>
  <si>
    <t>11.139993</t>
  </si>
  <si>
    <t>Kaldenkirchen</t>
  </si>
  <si>
    <t>51.327184</t>
  </si>
  <si>
    <t>6.203225</t>
  </si>
  <si>
    <t>Kalenborn(Westerw)</t>
  </si>
  <si>
    <t>50.615535</t>
  </si>
  <si>
    <t>7.312721</t>
  </si>
  <si>
    <t>Kall</t>
  </si>
  <si>
    <t>50.538493</t>
  </si>
  <si>
    <t>6.557283</t>
  </si>
  <si>
    <t>Kalsow</t>
  </si>
  <si>
    <t>53.925699</t>
  </si>
  <si>
    <t>11.578350</t>
  </si>
  <si>
    <t>Kalsow Abzweig B105</t>
  </si>
  <si>
    <t>53.915739</t>
  </si>
  <si>
    <t>11.584541</t>
  </si>
  <si>
    <t>Kalteneck</t>
  </si>
  <si>
    <t>48.689385</t>
  </si>
  <si>
    <t>13.453011</t>
  </si>
  <si>
    <t>Kaltenkirchen Süd</t>
  </si>
  <si>
    <t>53.823588</t>
  </si>
  <si>
    <t>9.973065</t>
  </si>
  <si>
    <t>Kaltenkirchen(Holst)</t>
  </si>
  <si>
    <t>53.834417</t>
  </si>
  <si>
    <t>9.966825</t>
  </si>
  <si>
    <t>Kalterherberg</t>
  </si>
  <si>
    <t>50.521219</t>
  </si>
  <si>
    <t>6.206534</t>
  </si>
  <si>
    <t>Kalthof(Kr Iserlohn)</t>
  </si>
  <si>
    <t>51.425059</t>
  </si>
  <si>
    <t>7.672364</t>
  </si>
  <si>
    <t>Kamen</t>
  </si>
  <si>
    <t>51.585224</t>
  </si>
  <si>
    <t>7.661000</t>
  </si>
  <si>
    <t>Kamen-Methler</t>
  </si>
  <si>
    <t>51.567379</t>
  </si>
  <si>
    <t>7.613056</t>
  </si>
  <si>
    <t>Kamenz(Sachs)</t>
  </si>
  <si>
    <t>51.273781</t>
  </si>
  <si>
    <t>14.092192</t>
  </si>
  <si>
    <t>Kämmereiforst</t>
  </si>
  <si>
    <t>51.476154</t>
  </si>
  <si>
    <t>12.541189</t>
  </si>
  <si>
    <t>Kamp-Bornhofen</t>
  </si>
  <si>
    <t>50.227988</t>
  </si>
  <si>
    <t>7.618251</t>
  </si>
  <si>
    <t>Kamp-Bornhofen KD</t>
  </si>
  <si>
    <t>Kandel</t>
  </si>
  <si>
    <t>49.079140</t>
  </si>
  <si>
    <t>8.198025</t>
  </si>
  <si>
    <t>Kandern</t>
  </si>
  <si>
    <t>47.713491</t>
  </si>
  <si>
    <t>7.656905</t>
  </si>
  <si>
    <t>Kandern Staiggasse</t>
  </si>
  <si>
    <t>47.711545</t>
  </si>
  <si>
    <t>7.659421</t>
  </si>
  <si>
    <t>Kanzem</t>
  </si>
  <si>
    <t>49.669359</t>
  </si>
  <si>
    <t>6.573666</t>
  </si>
  <si>
    <t>Kapellen-Drusweiler</t>
  </si>
  <si>
    <t>49.105621</t>
  </si>
  <si>
    <t>8.030754</t>
  </si>
  <si>
    <t>Kapellen-Wevelinghoven</t>
  </si>
  <si>
    <t>51.129795</t>
  </si>
  <si>
    <t>6.621061</t>
  </si>
  <si>
    <t>Kapen Biosphärenreservat</t>
  </si>
  <si>
    <t>12.336690</t>
  </si>
  <si>
    <t>Kappelrodeck</t>
  </si>
  <si>
    <t>48.593404</t>
  </si>
  <si>
    <t>8.116094</t>
  </si>
  <si>
    <t>Kappelrodeck Ost</t>
  </si>
  <si>
    <t>48.586925</t>
  </si>
  <si>
    <t>8.125834</t>
  </si>
  <si>
    <t>Kapsweyer</t>
  </si>
  <si>
    <t>49.038878</t>
  </si>
  <si>
    <t>8.022177</t>
  </si>
  <si>
    <t>Kargow</t>
  </si>
  <si>
    <t>53.499530</t>
  </si>
  <si>
    <t>12.762547</t>
  </si>
  <si>
    <t>Karlsburg</t>
  </si>
  <si>
    <t>53.982447</t>
  </si>
  <si>
    <t>13.609802</t>
  </si>
  <si>
    <t>Karlsdorf</t>
  </si>
  <si>
    <t>49.144484</t>
  </si>
  <si>
    <t>8.547872</t>
  </si>
  <si>
    <t>Karlshagen</t>
  </si>
  <si>
    <t>54.116755</t>
  </si>
  <si>
    <t>13.831430</t>
  </si>
  <si>
    <t>Karlsruhe Albtalbahnhof</t>
  </si>
  <si>
    <t>48.993707</t>
  </si>
  <si>
    <t>8.396110</t>
  </si>
  <si>
    <t>Karlsruhe Durlacher Tor/KIT-Campus Süd</t>
  </si>
  <si>
    <t>49.008840</t>
  </si>
  <si>
    <t>8.418070</t>
  </si>
  <si>
    <t>Karlsruhe Entenfang</t>
  </si>
  <si>
    <t>49.010666</t>
  </si>
  <si>
    <t>8.359504</t>
  </si>
  <si>
    <t>Karlsruhe Mühlburger Tor</t>
  </si>
  <si>
    <t>49.010640</t>
  </si>
  <si>
    <t>8.382773</t>
  </si>
  <si>
    <t>Karlsruhe West</t>
  </si>
  <si>
    <t>49.002159</t>
  </si>
  <si>
    <t>8.362951</t>
  </si>
  <si>
    <t>Karlsruhe-Durlach</t>
  </si>
  <si>
    <t>49.002328</t>
  </si>
  <si>
    <t>8.462822</t>
  </si>
  <si>
    <t>Karlsruhe-Hagsfeld</t>
  </si>
  <si>
    <t>49.025938</t>
  </si>
  <si>
    <t>8.453645</t>
  </si>
  <si>
    <t>Karlsruhe-Kniel. Rheinbergstr.</t>
  </si>
  <si>
    <t>49.035015</t>
  </si>
  <si>
    <t>8.336613</t>
  </si>
  <si>
    <t>Karlsruhe-Knielingen</t>
  </si>
  <si>
    <t>49.026695</t>
  </si>
  <si>
    <t>8.341171</t>
  </si>
  <si>
    <t>Karlsruhe-Mühlburg</t>
  </si>
  <si>
    <t>49.014557</t>
  </si>
  <si>
    <t>8.351126</t>
  </si>
  <si>
    <t>Karlsruhe-Neureut Kirchfeld</t>
  </si>
  <si>
    <t>49.052912</t>
  </si>
  <si>
    <t>8.388835</t>
  </si>
  <si>
    <t>Karlstadt(Main)</t>
  </si>
  <si>
    <t>49.962899</t>
  </si>
  <si>
    <t>9.768148</t>
  </si>
  <si>
    <t>Karow(Meckl)</t>
  </si>
  <si>
    <t>53.540271</t>
  </si>
  <si>
    <t>12.272265</t>
  </si>
  <si>
    <t>Karpfham</t>
  </si>
  <si>
    <t>48.407990</t>
  </si>
  <si>
    <t>13.187394</t>
  </si>
  <si>
    <t>Karsdorf</t>
  </si>
  <si>
    <t>51.280688</t>
  </si>
  <si>
    <t>11.655766</t>
  </si>
  <si>
    <t>Karstädt</t>
  </si>
  <si>
    <t>53.160684</t>
  </si>
  <si>
    <t>11.738618</t>
  </si>
  <si>
    <t>Karthaus</t>
  </si>
  <si>
    <t>49.710340</t>
  </si>
  <si>
    <t>6.596854</t>
  </si>
  <si>
    <t>Kasbach</t>
  </si>
  <si>
    <t>50.585644</t>
  </si>
  <si>
    <t>7.260031</t>
  </si>
  <si>
    <t>Kasbach Brauerei Steffens</t>
  </si>
  <si>
    <t>50.591964</t>
  </si>
  <si>
    <t>7.259105</t>
  </si>
  <si>
    <t>Kassel Hauptbahnhof Nord</t>
  </si>
  <si>
    <t>51.318839</t>
  </si>
  <si>
    <t>9.490260</t>
  </si>
  <si>
    <t>Kassel Hbf</t>
  </si>
  <si>
    <t>51.318260</t>
  </si>
  <si>
    <t>9.489501</t>
  </si>
  <si>
    <t>Kassel-Harleshausen</t>
  </si>
  <si>
    <t>51.332178</t>
  </si>
  <si>
    <t>9.452250</t>
  </si>
  <si>
    <t>Kassel-Jungfernkopf</t>
  </si>
  <si>
    <t>51.338918</t>
  </si>
  <si>
    <t>9.462869</t>
  </si>
  <si>
    <t>Kassel-Kirchditmold</t>
  </si>
  <si>
    <t>51.324561</t>
  </si>
  <si>
    <t>9.452204</t>
  </si>
  <si>
    <t>Kassel-Oberzwehren</t>
  </si>
  <si>
    <t>51.276348</t>
  </si>
  <si>
    <t>9.454028</t>
  </si>
  <si>
    <t>Kastl(Oberbay)</t>
  </si>
  <si>
    <t>48.193865</t>
  </si>
  <si>
    <t>12.711546</t>
  </si>
  <si>
    <t>Katharinenheerd</t>
  </si>
  <si>
    <t>54.334163</t>
  </si>
  <si>
    <t>8.830489</t>
  </si>
  <si>
    <t>Katharinenheerd Abzweig Bahnhof</t>
  </si>
  <si>
    <t>Kating</t>
  </si>
  <si>
    <t>54.326030</t>
  </si>
  <si>
    <t>8.872281</t>
  </si>
  <si>
    <t>Katlenburg</t>
  </si>
  <si>
    <t>51.686158</t>
  </si>
  <si>
    <t>10.099740</t>
  </si>
  <si>
    <t>Kattenes</t>
  </si>
  <si>
    <t>50.254549</t>
  </si>
  <si>
    <t>7.439219</t>
  </si>
  <si>
    <t>Kattenvenne</t>
  </si>
  <si>
    <t>52.113144</t>
  </si>
  <si>
    <t>7.860109</t>
  </si>
  <si>
    <t>Katzenfurt</t>
  </si>
  <si>
    <t>50.615870</t>
  </si>
  <si>
    <t>8.343086</t>
  </si>
  <si>
    <t>Katzhütte</t>
  </si>
  <si>
    <t>50.561065</t>
  </si>
  <si>
    <t>11.061110</t>
  </si>
  <si>
    <t>Katzwang</t>
  </si>
  <si>
    <t>49.355258</t>
  </si>
  <si>
    <t>11.042724</t>
  </si>
  <si>
    <t>Katzweiler</t>
  </si>
  <si>
    <t>49.500082</t>
  </si>
  <si>
    <t>7.700935</t>
  </si>
  <si>
    <t>Kaub</t>
  </si>
  <si>
    <t>50.083197</t>
  </si>
  <si>
    <t>7.768750</t>
  </si>
  <si>
    <t>Kaub KD</t>
  </si>
  <si>
    <t>Kaufbeuren</t>
  </si>
  <si>
    <t>47.875432</t>
  </si>
  <si>
    <t>10.629496</t>
  </si>
  <si>
    <t>Kaufering</t>
  </si>
  <si>
    <t>48.081079</t>
  </si>
  <si>
    <t>10.854911</t>
  </si>
  <si>
    <t>Kaulsdorf(Saale)</t>
  </si>
  <si>
    <t>50.611697</t>
  </si>
  <si>
    <t>11.433361</t>
  </si>
  <si>
    <t>Kavelstorf</t>
  </si>
  <si>
    <t>54.007081</t>
  </si>
  <si>
    <t>12.197821</t>
  </si>
  <si>
    <t>Kavelstorf Neubau</t>
  </si>
  <si>
    <t>54.009802</t>
  </si>
  <si>
    <t>12.199446</t>
  </si>
  <si>
    <t>Kehl</t>
  </si>
  <si>
    <t>48.576658</t>
  </si>
  <si>
    <t>7.806556</t>
  </si>
  <si>
    <t>Kehl(Gr)</t>
  </si>
  <si>
    <t>Kehlen</t>
  </si>
  <si>
    <t>47.683031</t>
  </si>
  <si>
    <t>9.548184</t>
  </si>
  <si>
    <t>Keitum</t>
  </si>
  <si>
    <t>54.888814</t>
  </si>
  <si>
    <t>8.368969</t>
  </si>
  <si>
    <t>Keitum Bahnhof, Sylt</t>
  </si>
  <si>
    <t>54.888274</t>
  </si>
  <si>
    <t>8.369455</t>
  </si>
  <si>
    <t>Kelkheim</t>
  </si>
  <si>
    <t>50.137264</t>
  </si>
  <si>
    <t>8.447730</t>
  </si>
  <si>
    <t>Kelkheim-Hornau</t>
  </si>
  <si>
    <t>50.147185</t>
  </si>
  <si>
    <t>8.444645</t>
  </si>
  <si>
    <t>Kelkheim-Münster</t>
  </si>
  <si>
    <t>50.124874</t>
  </si>
  <si>
    <t>8.461687</t>
  </si>
  <si>
    <t>Kellmünz</t>
  </si>
  <si>
    <t>48.120286</t>
  </si>
  <si>
    <t>10.124616</t>
  </si>
  <si>
    <t>Kelsterbach</t>
  </si>
  <si>
    <t>50.062490</t>
  </si>
  <si>
    <t>8.529479</t>
  </si>
  <si>
    <t>Kemnath-Neustadt</t>
  </si>
  <si>
    <t>49.843906</t>
  </si>
  <si>
    <t>11.862262</t>
  </si>
  <si>
    <t>Kempen(Niederrhein)</t>
  </si>
  <si>
    <t>51.367564</t>
  </si>
  <si>
    <t>6.425549</t>
  </si>
  <si>
    <t>Kempten(Allgäu)Hbf</t>
  </si>
  <si>
    <t>47.711745</t>
  </si>
  <si>
    <t>10.317610</t>
  </si>
  <si>
    <t>Kempten(Allgäu)Ost</t>
  </si>
  <si>
    <t>47.731293</t>
  </si>
  <si>
    <t>10.332050</t>
  </si>
  <si>
    <t>Kemtau</t>
  </si>
  <si>
    <t>50.742944</t>
  </si>
  <si>
    <t>12.953921</t>
  </si>
  <si>
    <t>Kennelgarten</t>
  </si>
  <si>
    <t>49.440998</t>
  </si>
  <si>
    <t>7.733013</t>
  </si>
  <si>
    <t>Kenz</t>
  </si>
  <si>
    <t>54.329875</t>
  </si>
  <si>
    <t>12.741013</t>
  </si>
  <si>
    <t>Kenzingen</t>
  </si>
  <si>
    <t>48.194451</t>
  </si>
  <si>
    <t>7.764094</t>
  </si>
  <si>
    <t>Kerkerbach</t>
  </si>
  <si>
    <t>50.401880</t>
  </si>
  <si>
    <t>8.135717</t>
  </si>
  <si>
    <t>Kerkwitz</t>
  </si>
  <si>
    <t>51.909578</t>
  </si>
  <si>
    <t>14.627567</t>
  </si>
  <si>
    <t>Kersbach</t>
  </si>
  <si>
    <t>49.686706</t>
  </si>
  <si>
    <t>11.060829</t>
  </si>
  <si>
    <t>Kestert</t>
  </si>
  <si>
    <t>50.187065</t>
  </si>
  <si>
    <t>7.648978</t>
  </si>
  <si>
    <t>Kettwig</t>
  </si>
  <si>
    <t>51.363375</t>
  </si>
  <si>
    <t>6.953747</t>
  </si>
  <si>
    <t>Kettwig Stausee</t>
  </si>
  <si>
    <t>51.356608</t>
  </si>
  <si>
    <t>6.939145</t>
  </si>
  <si>
    <t>Kevelaer</t>
  </si>
  <si>
    <t>51.581008</t>
  </si>
  <si>
    <t>6.252227</t>
  </si>
  <si>
    <t>Kiebingen</t>
  </si>
  <si>
    <t>48.479369</t>
  </si>
  <si>
    <t>8.973745</t>
  </si>
  <si>
    <t>Kiebitzhöhe</t>
  </si>
  <si>
    <t>51.181038</t>
  </si>
  <si>
    <t>11.203560</t>
  </si>
  <si>
    <t>Kiefersfelden</t>
  </si>
  <si>
    <t>47.609836</t>
  </si>
  <si>
    <t>12.190535</t>
  </si>
  <si>
    <t>Kiel Bahnhof Hassee CITTI-PARK</t>
  </si>
  <si>
    <t>54.311009</t>
  </si>
  <si>
    <t>10.098571</t>
  </si>
  <si>
    <t>Kiel Hbf</t>
  </si>
  <si>
    <t>54.314985</t>
  </si>
  <si>
    <t>10.131976</t>
  </si>
  <si>
    <t>Kiel Schulen am Langsee</t>
  </si>
  <si>
    <t>54.307205</t>
  </si>
  <si>
    <t>10.156965</t>
  </si>
  <si>
    <t>Kiel Wiener Allee</t>
  </si>
  <si>
    <t>54.296038</t>
  </si>
  <si>
    <t>10.182757</t>
  </si>
  <si>
    <t>Kiel-Ellerbek</t>
  </si>
  <si>
    <t>54.314117</t>
  </si>
  <si>
    <t>10.170073</t>
  </si>
  <si>
    <t>Kiel-Elmschenhagen</t>
  </si>
  <si>
    <t>54.287142</t>
  </si>
  <si>
    <t>10.180414</t>
  </si>
  <si>
    <t>Kiel-Hassee CITTI-PARK</t>
  </si>
  <si>
    <t>54.310569</t>
  </si>
  <si>
    <t>10.098596</t>
  </si>
  <si>
    <t>Kiel-Oppendorf</t>
  </si>
  <si>
    <t>54.326103</t>
  </si>
  <si>
    <t>10.208370</t>
  </si>
  <si>
    <t>Kiel-Russee</t>
  </si>
  <si>
    <t>54.310040</t>
  </si>
  <si>
    <t>10.070212</t>
  </si>
  <si>
    <t>Kierspe</t>
  </si>
  <si>
    <t>51.130014</t>
  </si>
  <si>
    <t>7.616229</t>
  </si>
  <si>
    <t>Kinding(Altmühltal)</t>
  </si>
  <si>
    <t>48.991379</t>
  </si>
  <si>
    <t>11.378503</t>
  </si>
  <si>
    <t>Kindsbach</t>
  </si>
  <si>
    <t>49.419371</t>
  </si>
  <si>
    <t>7.612836</t>
  </si>
  <si>
    <t>Kirch Göns</t>
  </si>
  <si>
    <t>50.473373</t>
  </si>
  <si>
    <t>8.666869</t>
  </si>
  <si>
    <t>Kirchanschöring</t>
  </si>
  <si>
    <t>47.953415</t>
  </si>
  <si>
    <t>12.831517</t>
  </si>
  <si>
    <t>Kirchberg(Murr)</t>
  </si>
  <si>
    <t>48.939161</t>
  </si>
  <si>
    <t>9.329056</t>
  </si>
  <si>
    <t>Kirchdorf(Deister)</t>
  </si>
  <si>
    <t>52.289852</t>
  </si>
  <si>
    <t>9.491936</t>
  </si>
  <si>
    <t>Kirchehrenbach</t>
  </si>
  <si>
    <t>49.735145</t>
  </si>
  <si>
    <t>11.141397</t>
  </si>
  <si>
    <t>Kirchehrenbach Mitte</t>
  </si>
  <si>
    <t>49.734032</t>
  </si>
  <si>
    <t>11.146382</t>
  </si>
  <si>
    <t>Kirchen</t>
  </si>
  <si>
    <t>50.806576</t>
  </si>
  <si>
    <t>7.880509</t>
  </si>
  <si>
    <t>Kirchenlaibach</t>
  </si>
  <si>
    <t>49.869904</t>
  </si>
  <si>
    <t>11.776325</t>
  </si>
  <si>
    <t>Kirchenlamitz Ost</t>
  </si>
  <si>
    <t>50.165496</t>
  </si>
  <si>
    <t>11.985965</t>
  </si>
  <si>
    <t>Kirchentellinsfurt</t>
  </si>
  <si>
    <t>48.528749</t>
  </si>
  <si>
    <t>9.139480</t>
  </si>
  <si>
    <t>Kirchhain(Bz Kassel)</t>
  </si>
  <si>
    <t>50.823779</t>
  </si>
  <si>
    <t>8.921399</t>
  </si>
  <si>
    <t>Kirchhammelwarden</t>
  </si>
  <si>
    <t>53.305655</t>
  </si>
  <si>
    <t>8.475233</t>
  </si>
  <si>
    <t>Kirchheim(Neckar)</t>
  </si>
  <si>
    <t>49.037646</t>
  </si>
  <si>
    <t>9.150903</t>
  </si>
  <si>
    <t>Kirchheim(Teck)</t>
  </si>
  <si>
    <t>48.644258</t>
  </si>
  <si>
    <t>9.443927</t>
  </si>
  <si>
    <t>Kirchheim(Teck)-Ötlingen</t>
  </si>
  <si>
    <t>48.657764</t>
  </si>
  <si>
    <t>9.416291</t>
  </si>
  <si>
    <t>Kirchheim(Teck)Süd</t>
  </si>
  <si>
    <t>48.640261</t>
  </si>
  <si>
    <t>9.451788</t>
  </si>
  <si>
    <t>Kirchheim(Unterfr)</t>
  </si>
  <si>
    <t>49.656749</t>
  </si>
  <si>
    <t>9.857713</t>
  </si>
  <si>
    <t>Kirchheim(Weinstr)</t>
  </si>
  <si>
    <t>49.537163</t>
  </si>
  <si>
    <t>8.181452</t>
  </si>
  <si>
    <t>Kirchheimbolanden</t>
  </si>
  <si>
    <t>49.668545</t>
  </si>
  <si>
    <t>8.016526</t>
  </si>
  <si>
    <t>Kirchhorsten</t>
  </si>
  <si>
    <t>52.307875</t>
  </si>
  <si>
    <t>9.119783</t>
  </si>
  <si>
    <t>Kirchhundem</t>
  </si>
  <si>
    <t>51.086068</t>
  </si>
  <si>
    <t>8.078103</t>
  </si>
  <si>
    <t>Kirch-Jesar</t>
  </si>
  <si>
    <t>53.448596</t>
  </si>
  <si>
    <t>11.263321</t>
  </si>
  <si>
    <t>Kirchlengern</t>
  </si>
  <si>
    <t>52.196755</t>
  </si>
  <si>
    <t>8.643778</t>
  </si>
  <si>
    <t>Kirchmöser</t>
  </si>
  <si>
    <t>52.375235</t>
  </si>
  <si>
    <t>12.422206</t>
  </si>
  <si>
    <t>Kirchscheidungen</t>
  </si>
  <si>
    <t>51.244700</t>
  </si>
  <si>
    <t>11.662570</t>
  </si>
  <si>
    <t>Kirchseelte DHE</t>
  </si>
  <si>
    <t>52.954896</t>
  </si>
  <si>
    <t>8.678321</t>
  </si>
  <si>
    <t>Kirchseeon</t>
  </si>
  <si>
    <t>48.070900</t>
  </si>
  <si>
    <t>11.887255</t>
  </si>
  <si>
    <t>Kirchweidach</t>
  </si>
  <si>
    <t>48.092947</t>
  </si>
  <si>
    <t>12.648167</t>
  </si>
  <si>
    <t>Kirchweyhe</t>
  </si>
  <si>
    <t>52.983765</t>
  </si>
  <si>
    <t>8.847236</t>
  </si>
  <si>
    <t>Kirchzarten</t>
  </si>
  <si>
    <t>47.967936</t>
  </si>
  <si>
    <t>7.959132</t>
  </si>
  <si>
    <t>Kirkel</t>
  </si>
  <si>
    <t>49.286182</t>
  </si>
  <si>
    <t>7.226450</t>
  </si>
  <si>
    <t>Kirn</t>
  </si>
  <si>
    <t>49.785769</t>
  </si>
  <si>
    <t>7.464589</t>
  </si>
  <si>
    <t>Kirnbach-Grün</t>
  </si>
  <si>
    <t>48.361930</t>
  </si>
  <si>
    <t>8.105907</t>
  </si>
  <si>
    <t>Kirnsulzbach</t>
  </si>
  <si>
    <t>49.762324</t>
  </si>
  <si>
    <t>7.435477</t>
  </si>
  <si>
    <t>Kirschbaumwasen</t>
  </si>
  <si>
    <t>48.623055</t>
  </si>
  <si>
    <t>8.355684</t>
  </si>
  <si>
    <t>Kissing</t>
  </si>
  <si>
    <t>48.300922</t>
  </si>
  <si>
    <t>10.959553</t>
  </si>
  <si>
    <t>Kißlegg</t>
  </si>
  <si>
    <t>47.793533</t>
  </si>
  <si>
    <t>9.881921</t>
  </si>
  <si>
    <t>Kitzingen</t>
  </si>
  <si>
    <t>49.732497</t>
  </si>
  <si>
    <t>10.155214</t>
  </si>
  <si>
    <t>Kläden(Stendal)</t>
  </si>
  <si>
    <t>52.634844</t>
  </si>
  <si>
    <t>11.661113</t>
  </si>
  <si>
    <t>Klaffenbach Hp</t>
  </si>
  <si>
    <t>50.772286</t>
  </si>
  <si>
    <t>12.903751</t>
  </si>
  <si>
    <t>Klais</t>
  </si>
  <si>
    <t>47.483032</t>
  </si>
  <si>
    <t>11.238589</t>
  </si>
  <si>
    <t>Klandorf</t>
  </si>
  <si>
    <t>52.877938</t>
  </si>
  <si>
    <t>13.555957</t>
  </si>
  <si>
    <t>Klanxbüll</t>
  </si>
  <si>
    <t>54.861997</t>
  </si>
  <si>
    <t>8.676454</t>
  </si>
  <si>
    <t>Klasdorf Glashütte</t>
  </si>
  <si>
    <t>52.021383</t>
  </si>
  <si>
    <t>13.543711</t>
  </si>
  <si>
    <t>Klecken</t>
  </si>
  <si>
    <t>53.366207</t>
  </si>
  <si>
    <t>9.928922</t>
  </si>
  <si>
    <t>Klecken Stöver</t>
  </si>
  <si>
    <t>53.369341</t>
  </si>
  <si>
    <t>9.938449</t>
  </si>
  <si>
    <t>Kleeth</t>
  </si>
  <si>
    <t>53.623142</t>
  </si>
  <si>
    <t>13.060526</t>
  </si>
  <si>
    <t>Klein Bünzow</t>
  </si>
  <si>
    <t>53.925067</t>
  </si>
  <si>
    <t>13.620311</t>
  </si>
  <si>
    <t>Klein Gerau</t>
  </si>
  <si>
    <t>49.919849</t>
  </si>
  <si>
    <t>8.516740</t>
  </si>
  <si>
    <t>Klein Winternheim-Ober Olm</t>
  </si>
  <si>
    <t>49.939711</t>
  </si>
  <si>
    <t>8.206986</t>
  </si>
  <si>
    <t>Kleinberghofen</t>
  </si>
  <si>
    <t>48.354045</t>
  </si>
  <si>
    <t>11.275478</t>
  </si>
  <si>
    <t>Kleinblittersdorf</t>
  </si>
  <si>
    <t>49.157289</t>
  </si>
  <si>
    <t>7.033459</t>
  </si>
  <si>
    <t>Kleinenbroich</t>
  </si>
  <si>
    <t>51.195662</t>
  </si>
  <si>
    <t>6.551972</t>
  </si>
  <si>
    <t>Kleinensiel</t>
  </si>
  <si>
    <t>53.444736</t>
  </si>
  <si>
    <t>8.476006</t>
  </si>
  <si>
    <t>Kleinfurra</t>
  </si>
  <si>
    <t>51.417407</t>
  </si>
  <si>
    <t>10.763196</t>
  </si>
  <si>
    <t>Kleingemünden</t>
  </si>
  <si>
    <t>50.062991</t>
  </si>
  <si>
    <t>9.687704</t>
  </si>
  <si>
    <t>Kleinheubach</t>
  </si>
  <si>
    <t>49.721423</t>
  </si>
  <si>
    <t>9.207476</t>
  </si>
  <si>
    <t>Kleinjena</t>
  </si>
  <si>
    <t>51.180265</t>
  </si>
  <si>
    <t>11.781279</t>
  </si>
  <si>
    <t>Kleinkems</t>
  </si>
  <si>
    <t>47.686129</t>
  </si>
  <si>
    <t>7.524662</t>
  </si>
  <si>
    <t>Kleinkötz</t>
  </si>
  <si>
    <t>48.411659</t>
  </si>
  <si>
    <t>10.288497</t>
  </si>
  <si>
    <t>Kleinostheim</t>
  </si>
  <si>
    <t>50.002645</t>
  </si>
  <si>
    <t>9.072252</t>
  </si>
  <si>
    <t>Kleinröhrsdorf</t>
  </si>
  <si>
    <t>51.134609</t>
  </si>
  <si>
    <t>13.990177</t>
  </si>
  <si>
    <t>Kleinschirma</t>
  </si>
  <si>
    <t>50.902742</t>
  </si>
  <si>
    <t>13.281757</t>
  </si>
  <si>
    <t>Kleinsteinbach</t>
  </si>
  <si>
    <t>48.966745</t>
  </si>
  <si>
    <t>8.554900</t>
  </si>
  <si>
    <t>Kleinwallstadt</t>
  </si>
  <si>
    <t>49.874910</t>
  </si>
  <si>
    <t>9.168168</t>
  </si>
  <si>
    <t>Kleve</t>
  </si>
  <si>
    <t>51.789734</t>
  </si>
  <si>
    <t>6.146224</t>
  </si>
  <si>
    <t>Klieken</t>
  </si>
  <si>
    <t>51.894530</t>
  </si>
  <si>
    <t>12.371778</t>
  </si>
  <si>
    <t>Klinge</t>
  </si>
  <si>
    <t>51.743608</t>
  </si>
  <si>
    <t>14.518271</t>
  </si>
  <si>
    <t>Klingenberg-Colmnitz</t>
  </si>
  <si>
    <t>50.925970</t>
  </si>
  <si>
    <t>13.501014</t>
  </si>
  <si>
    <t>Klingenbrunn</t>
  </si>
  <si>
    <t>48.944698</t>
  </si>
  <si>
    <t>13.336180</t>
  </si>
  <si>
    <t>Klingenthal</t>
  </si>
  <si>
    <t>50.357163</t>
  </si>
  <si>
    <t>12.462677</t>
  </si>
  <si>
    <t>Klinikum Bremen-Nord/Beckedorf</t>
  </si>
  <si>
    <t>53.185254</t>
  </si>
  <si>
    <t>8.595206</t>
  </si>
  <si>
    <t>Klitschmar</t>
  </si>
  <si>
    <t>51.508306</t>
  </si>
  <si>
    <t>12.228895</t>
  </si>
  <si>
    <t>Klitten</t>
  </si>
  <si>
    <t>51.348581</t>
  </si>
  <si>
    <t>14.590756</t>
  </si>
  <si>
    <t>Klitten Kirche</t>
  </si>
  <si>
    <t>51.348604</t>
  </si>
  <si>
    <t>14.603856</t>
  </si>
  <si>
    <t>Klockow(b Waren/Müritz)</t>
  </si>
  <si>
    <t>53.470795</t>
  </si>
  <si>
    <t>12.866870</t>
  </si>
  <si>
    <t>Kloster Bronnbach</t>
  </si>
  <si>
    <t>49.715144</t>
  </si>
  <si>
    <t>9.543516</t>
  </si>
  <si>
    <t>Kloster Marienthal</t>
  </si>
  <si>
    <t>50.738647</t>
  </si>
  <si>
    <t>7.668528</t>
  </si>
  <si>
    <t>Kloster Oesede</t>
  </si>
  <si>
    <t>52.200591</t>
  </si>
  <si>
    <t>8.111626</t>
  </si>
  <si>
    <t>Kloster(Hiddensee)</t>
  </si>
  <si>
    <t>54.584673</t>
  </si>
  <si>
    <t>13.112327</t>
  </si>
  <si>
    <t>Klosterbuch</t>
  </si>
  <si>
    <t>51.157622</t>
  </si>
  <si>
    <t>13.004060</t>
  </si>
  <si>
    <t>Klosterbuch Gasthof</t>
  </si>
  <si>
    <t>51.153004</t>
  </si>
  <si>
    <t>12.983283</t>
  </si>
  <si>
    <t>Klosterbuch Hp</t>
  </si>
  <si>
    <t>51.158015</t>
  </si>
  <si>
    <t>13.004165</t>
  </si>
  <si>
    <t>Klosterfelde</t>
  </si>
  <si>
    <t>52.791376</t>
  </si>
  <si>
    <t>13.488131</t>
  </si>
  <si>
    <t>Klosterlechfeld</t>
  </si>
  <si>
    <t>48.155393</t>
  </si>
  <si>
    <t>10.832630</t>
  </si>
  <si>
    <t>Klostermansfeld</t>
  </si>
  <si>
    <t>51.574682</t>
  </si>
  <si>
    <t>11.491904</t>
  </si>
  <si>
    <t>Klostermansfeld Randsiedlung</t>
  </si>
  <si>
    <t>51.591090</t>
  </si>
  <si>
    <t>11.498511</t>
  </si>
  <si>
    <t>Klosterreichenbach</t>
  </si>
  <si>
    <t>48.526627</t>
  </si>
  <si>
    <t>8.399008</t>
  </si>
  <si>
    <t>Klotten</t>
  </si>
  <si>
    <t>50.165561</t>
  </si>
  <si>
    <t>7.203759</t>
  </si>
  <si>
    <t>Knesebeck</t>
  </si>
  <si>
    <t>52.677812</t>
  </si>
  <si>
    <t>10.690267</t>
  </si>
  <si>
    <t>Knittlingen-Kleinvillars</t>
  </si>
  <si>
    <t>48.993444</t>
  </si>
  <si>
    <t>8.744536</t>
  </si>
  <si>
    <t>Knöringen-Essingen</t>
  </si>
  <si>
    <t>49.237489</t>
  </si>
  <si>
    <t>8.148229</t>
  </si>
  <si>
    <t>Kobern-Gondorf</t>
  </si>
  <si>
    <t>50.300718</t>
  </si>
  <si>
    <t>7.460750</t>
  </si>
  <si>
    <t>Koblenz Hbf</t>
  </si>
  <si>
    <t>50.350929</t>
  </si>
  <si>
    <t>7.588345</t>
  </si>
  <si>
    <t>Koblenz KD</t>
  </si>
  <si>
    <t>Koblenz Stadtmitte</t>
  </si>
  <si>
    <t>50.357961</t>
  </si>
  <si>
    <t>7.590024</t>
  </si>
  <si>
    <t>Koblenz Stadtmitte (Löhr-Center)</t>
  </si>
  <si>
    <t>Koblenz-Ehrenbreitstein</t>
  </si>
  <si>
    <t>50.361746</t>
  </si>
  <si>
    <t>7.610202</t>
  </si>
  <si>
    <t>Koblenz-Güls</t>
  </si>
  <si>
    <t>50.340849</t>
  </si>
  <si>
    <t>7.549005</t>
  </si>
  <si>
    <t>Koblenz-Lützel</t>
  </si>
  <si>
    <t>50.367487</t>
  </si>
  <si>
    <t>7.591607</t>
  </si>
  <si>
    <t>Koblenz-Lützel Balduinbrücke</t>
  </si>
  <si>
    <t>50.366530</t>
  </si>
  <si>
    <t>7.593860</t>
  </si>
  <si>
    <t>Koblenz-Moselweiß</t>
  </si>
  <si>
    <t>50.349463</t>
  </si>
  <si>
    <t>7.560646</t>
  </si>
  <si>
    <t>Kochel</t>
  </si>
  <si>
    <t>47.660650</t>
  </si>
  <si>
    <t>11.370987</t>
  </si>
  <si>
    <t>Kodersdorf</t>
  </si>
  <si>
    <t>51.259554</t>
  </si>
  <si>
    <t>14.916232</t>
  </si>
  <si>
    <t>Köditz</t>
  </si>
  <si>
    <t>50.328888</t>
  </si>
  <si>
    <t>11.848109</t>
  </si>
  <si>
    <t>Köfering</t>
  </si>
  <si>
    <t>48.931716</t>
  </si>
  <si>
    <t>12.208750</t>
  </si>
  <si>
    <t>Kohlscheid</t>
  </si>
  <si>
    <t>50.831728</t>
  </si>
  <si>
    <t>6.074485</t>
  </si>
  <si>
    <t>Kohlstetten</t>
  </si>
  <si>
    <t>48.400763</t>
  </si>
  <si>
    <t>9.332438</t>
  </si>
  <si>
    <t>Kolbermoor</t>
  </si>
  <si>
    <t>47.851926</t>
  </si>
  <si>
    <t>12.064147</t>
  </si>
  <si>
    <t>Kolkwitz</t>
  </si>
  <si>
    <t>51.757730</t>
  </si>
  <si>
    <t>14.250169</t>
  </si>
  <si>
    <t>Kolkwitz Süd</t>
  </si>
  <si>
    <t>51.746913</t>
  </si>
  <si>
    <t>14.242179</t>
  </si>
  <si>
    <t>Kölleda</t>
  </si>
  <si>
    <t>51.180274</t>
  </si>
  <si>
    <t>11.244906</t>
  </si>
  <si>
    <t>Kollmarsreute</t>
  </si>
  <si>
    <t>48.098271</t>
  </si>
  <si>
    <t>7.887074</t>
  </si>
  <si>
    <t>Kollnau</t>
  </si>
  <si>
    <t>48.101151</t>
  </si>
  <si>
    <t>7.973842</t>
  </si>
  <si>
    <t>Köln Airport-Businesspark</t>
  </si>
  <si>
    <t>50.910282</t>
  </si>
  <si>
    <t>7.044451</t>
  </si>
  <si>
    <t>Köln Frankfurter Straße</t>
  </si>
  <si>
    <t>50.915219</t>
  </si>
  <si>
    <t>7.051262</t>
  </si>
  <si>
    <t>Köln Geldernstr./Parkgürtel</t>
  </si>
  <si>
    <t>50.968551</t>
  </si>
  <si>
    <t>6.941413</t>
  </si>
  <si>
    <t>Köln Hansaring</t>
  </si>
  <si>
    <t>50.949131</t>
  </si>
  <si>
    <t>6.952565</t>
  </si>
  <si>
    <t>Köln Hbf</t>
  </si>
  <si>
    <t>50.943030</t>
  </si>
  <si>
    <t>6.958729</t>
  </si>
  <si>
    <t>Köln Hbf (Breslauer Platz)</t>
  </si>
  <si>
    <t>50.942898</t>
  </si>
  <si>
    <t>6.960458</t>
  </si>
  <si>
    <t>Köln KD</t>
  </si>
  <si>
    <t>Köln Messe/Deutz</t>
  </si>
  <si>
    <t>50.940874</t>
  </si>
  <si>
    <t>6.975001</t>
  </si>
  <si>
    <t>Köln Messe/Deutz Gl.11-12</t>
  </si>
  <si>
    <t>50.941721</t>
  </si>
  <si>
    <t>6.974067</t>
  </si>
  <si>
    <t>Köln Steinstraße</t>
  </si>
  <si>
    <t>50.895558</t>
  </si>
  <si>
    <t>7.057173</t>
  </si>
  <si>
    <t>Köln Süd</t>
  </si>
  <si>
    <t>50.927300</t>
  </si>
  <si>
    <t>6.938059</t>
  </si>
  <si>
    <t>Köln Trimbornstr</t>
  </si>
  <si>
    <t>50.935857</t>
  </si>
  <si>
    <t>6.996734</t>
  </si>
  <si>
    <t>Köln Volkhovener Weg</t>
  </si>
  <si>
    <t>51.014251</t>
  </si>
  <si>
    <t>6.893241</t>
  </si>
  <si>
    <t>Köln West</t>
  </si>
  <si>
    <t>50.943665</t>
  </si>
  <si>
    <t>6.934389</t>
  </si>
  <si>
    <t>Köln/Bonn Flughafen</t>
  </si>
  <si>
    <t>50.878901</t>
  </si>
  <si>
    <t>7.119302</t>
  </si>
  <si>
    <t>Köln-Blumenberg</t>
  </si>
  <si>
    <t>51.037414</t>
  </si>
  <si>
    <t>6.881921</t>
  </si>
  <si>
    <t>Köln-Buchforst</t>
  </si>
  <si>
    <t>50.953487</t>
  </si>
  <si>
    <t>7.004327</t>
  </si>
  <si>
    <t>Köln-Chorweiler</t>
  </si>
  <si>
    <t>51.021126</t>
  </si>
  <si>
    <t>6.897824</t>
  </si>
  <si>
    <t>Köln-Chorweiler Nord</t>
  </si>
  <si>
    <t>51.028126</t>
  </si>
  <si>
    <t>6.892772</t>
  </si>
  <si>
    <t>Köln-Dellbrück</t>
  </si>
  <si>
    <t>50.981437</t>
  </si>
  <si>
    <t>7.070124</t>
  </si>
  <si>
    <t>Köln-Ehrenfeld</t>
  </si>
  <si>
    <t>50.951533</t>
  </si>
  <si>
    <t>6.917276</t>
  </si>
  <si>
    <t>Köln-Holweide</t>
  </si>
  <si>
    <t>50.976270</t>
  </si>
  <si>
    <t>7.041235</t>
  </si>
  <si>
    <t>Köln-Longerich</t>
  </si>
  <si>
    <t>50.997736</t>
  </si>
  <si>
    <t>6.901557</t>
  </si>
  <si>
    <t>Köln-Mülheim</t>
  </si>
  <si>
    <t>50.957986</t>
  </si>
  <si>
    <t>7.013295</t>
  </si>
  <si>
    <t>Köln-Müngersdorf Technologiepark</t>
  </si>
  <si>
    <t>50.948394</t>
  </si>
  <si>
    <t>6.888201</t>
  </si>
  <si>
    <t>Köln-Nippes</t>
  </si>
  <si>
    <t>50.958666</t>
  </si>
  <si>
    <t>6.941605</t>
  </si>
  <si>
    <t>Köln-Stammheim</t>
  </si>
  <si>
    <t>50.990070</t>
  </si>
  <si>
    <t>7.002095</t>
  </si>
  <si>
    <t>Köln-Weiden West</t>
  </si>
  <si>
    <t>50.940900</t>
  </si>
  <si>
    <t>6.815137</t>
  </si>
  <si>
    <t>Köln-Worringen</t>
  </si>
  <si>
    <t>51.052378</t>
  </si>
  <si>
    <t>6.851719</t>
  </si>
  <si>
    <t>Kölpinsee</t>
  </si>
  <si>
    <t>54.035290</t>
  </si>
  <si>
    <t>14.022905</t>
  </si>
  <si>
    <t>Köndringen</t>
  </si>
  <si>
    <t>48.137458</t>
  </si>
  <si>
    <t>7.802925</t>
  </si>
  <si>
    <t>Königs Wusterhausen</t>
  </si>
  <si>
    <t>52.296635</t>
  </si>
  <si>
    <t>13.631472</t>
  </si>
  <si>
    <t>Königsbach(Baden)</t>
  </si>
  <si>
    <t>48.962584</t>
  </si>
  <si>
    <t>8.608931</t>
  </si>
  <si>
    <t>Königsborn</t>
  </si>
  <si>
    <t>52.134011</t>
  </si>
  <si>
    <t>11.756268</t>
  </si>
  <si>
    <t>Königsbronn</t>
  </si>
  <si>
    <t>48.739518</t>
  </si>
  <si>
    <t>10.116135</t>
  </si>
  <si>
    <t>Königsbrück</t>
  </si>
  <si>
    <t>51.260169</t>
  </si>
  <si>
    <t>13.899856</t>
  </si>
  <si>
    <t>Königschaffhausen</t>
  </si>
  <si>
    <t>48.137190</t>
  </si>
  <si>
    <t>7.658069</t>
  </si>
  <si>
    <t>Königshofen(Baden)</t>
  </si>
  <si>
    <t>49.546022</t>
  </si>
  <si>
    <t>9.724669</t>
  </si>
  <si>
    <t>Königshofen(Kahl)</t>
  </si>
  <si>
    <t>50.058847</t>
  </si>
  <si>
    <t>9.205986</t>
  </si>
  <si>
    <t>Königslutter</t>
  </si>
  <si>
    <t>52.257166</t>
  </si>
  <si>
    <t>10.812489</t>
  </si>
  <si>
    <t>Königsstollen</t>
  </si>
  <si>
    <t>50.776456</t>
  </si>
  <si>
    <t>7.934575</t>
  </si>
  <si>
    <t>Königstein(Taunus)</t>
  </si>
  <si>
    <t>50.177951</t>
  </si>
  <si>
    <t>8.468855</t>
  </si>
  <si>
    <t>Königswinter</t>
  </si>
  <si>
    <t>50.678638</t>
  </si>
  <si>
    <t>7.193592</t>
  </si>
  <si>
    <t>Könitz(Thür)</t>
  </si>
  <si>
    <t>50.660112</t>
  </si>
  <si>
    <t>11.487912</t>
  </si>
  <si>
    <t>Könnern</t>
  </si>
  <si>
    <t>51.673916</t>
  </si>
  <si>
    <t>11.780182</t>
  </si>
  <si>
    <t>Konstanz</t>
  </si>
  <si>
    <t>47.658754</t>
  </si>
  <si>
    <t>9.177312</t>
  </si>
  <si>
    <t>Konstanz-Fürstenberg</t>
  </si>
  <si>
    <t>47.677479</t>
  </si>
  <si>
    <t>9.162847</t>
  </si>
  <si>
    <t>Konstanz-Petershausen</t>
  </si>
  <si>
    <t>47.673956</t>
  </si>
  <si>
    <t>9.173884</t>
  </si>
  <si>
    <t>Konstanz-Wollmatingen</t>
  </si>
  <si>
    <t>47.682453</t>
  </si>
  <si>
    <t>9.147331</t>
  </si>
  <si>
    <t>Konz</t>
  </si>
  <si>
    <t>49.695979</t>
  </si>
  <si>
    <t>6.574309</t>
  </si>
  <si>
    <t>Konz Mitte</t>
  </si>
  <si>
    <t>49.700240</t>
  </si>
  <si>
    <t>6.573757</t>
  </si>
  <si>
    <t>Köppern</t>
  </si>
  <si>
    <t>50.269615</t>
  </si>
  <si>
    <t>8.646921</t>
  </si>
  <si>
    <t>Korbach Hbf</t>
  </si>
  <si>
    <t>51.278712</t>
  </si>
  <si>
    <t>8.873229</t>
  </si>
  <si>
    <t>Korbach Süd</t>
  </si>
  <si>
    <t>51.270264</t>
  </si>
  <si>
    <t>8.878815</t>
  </si>
  <si>
    <t>Kordel</t>
  </si>
  <si>
    <t>49.836367</t>
  </si>
  <si>
    <t>6.634933</t>
  </si>
  <si>
    <t>Kordel B422</t>
  </si>
  <si>
    <t>49.838180</t>
  </si>
  <si>
    <t>6.635414</t>
  </si>
  <si>
    <t>Kork</t>
  </si>
  <si>
    <t>48.570019</t>
  </si>
  <si>
    <t>7.874797</t>
  </si>
  <si>
    <t>Körle</t>
  </si>
  <si>
    <t>51.171588</t>
  </si>
  <si>
    <t>9.513137</t>
  </si>
  <si>
    <t>Körle Mülmischtal</t>
  </si>
  <si>
    <t>51.173790</t>
  </si>
  <si>
    <t>9.511830</t>
  </si>
  <si>
    <t>Korntal</t>
  </si>
  <si>
    <t>48.826416</t>
  </si>
  <si>
    <t>9.121168</t>
  </si>
  <si>
    <t>Korntal Gymnasium</t>
  </si>
  <si>
    <t>48.831057</t>
  </si>
  <si>
    <t>9.112353</t>
  </si>
  <si>
    <t>Kornwestheim Pbf</t>
  </si>
  <si>
    <t>48.862219</t>
  </si>
  <si>
    <t>9.179964</t>
  </si>
  <si>
    <t>Korschenbroich</t>
  </si>
  <si>
    <t>51.195650</t>
  </si>
  <si>
    <t>6.511886</t>
  </si>
  <si>
    <t>Koserow</t>
  </si>
  <si>
    <t>54.045335</t>
  </si>
  <si>
    <t>13.999275</t>
  </si>
  <si>
    <t>Köthen</t>
  </si>
  <si>
    <t>51.751929</t>
  </si>
  <si>
    <t>11.989358</t>
  </si>
  <si>
    <t>Kothmaißling</t>
  </si>
  <si>
    <t>49.242912</t>
  </si>
  <si>
    <t>12.729367</t>
  </si>
  <si>
    <t>Kottenheim</t>
  </si>
  <si>
    <t>50.348974</t>
  </si>
  <si>
    <t>7.248906</t>
  </si>
  <si>
    <t>Köttewitz</t>
  </si>
  <si>
    <t>50.945143</t>
  </si>
  <si>
    <t>13.859704</t>
  </si>
  <si>
    <t>Kötzschau</t>
  </si>
  <si>
    <t>51.304463</t>
  </si>
  <si>
    <t>12.123904</t>
  </si>
  <si>
    <t>Kövenig</t>
  </si>
  <si>
    <t>49.981207</t>
  </si>
  <si>
    <t>7.119488</t>
  </si>
  <si>
    <t>Kraftsdorf</t>
  </si>
  <si>
    <t>50.878075</t>
  </si>
  <si>
    <t>11.930855</t>
  </si>
  <si>
    <t>Kraftwerk Finkenheerd</t>
  </si>
  <si>
    <t>52.263228</t>
  </si>
  <si>
    <t>14.575654</t>
  </si>
  <si>
    <t>Kraghammer</t>
  </si>
  <si>
    <t>51.109134</t>
  </si>
  <si>
    <t>7.873762</t>
  </si>
  <si>
    <t>Krakow am See(Meckl)</t>
  </si>
  <si>
    <t>53.651386</t>
  </si>
  <si>
    <t>12.264909</t>
  </si>
  <si>
    <t>Kranichfeld</t>
  </si>
  <si>
    <t>50.856335</t>
  </si>
  <si>
    <t>11.203225</t>
  </si>
  <si>
    <t>Kraslice(Gr)</t>
  </si>
  <si>
    <t>Kratzeburg</t>
  </si>
  <si>
    <t>53.427803</t>
  </si>
  <si>
    <t>12.941627</t>
  </si>
  <si>
    <t>Krauthausen</t>
  </si>
  <si>
    <t>50.878662</t>
  </si>
  <si>
    <t>6.423270</t>
  </si>
  <si>
    <t>Kredenbach</t>
  </si>
  <si>
    <t>50.963257</t>
  </si>
  <si>
    <t>8.042776</t>
  </si>
  <si>
    <t>Krefeld Hbf</t>
  </si>
  <si>
    <t>51.325717</t>
  </si>
  <si>
    <t>6.569885</t>
  </si>
  <si>
    <t>Krefeld-Hohenbudberg Chempark</t>
  </si>
  <si>
    <t>51.373529</t>
  </si>
  <si>
    <t>6.664460</t>
  </si>
  <si>
    <t>Krefeld-Linn</t>
  </si>
  <si>
    <t>51.337305</t>
  </si>
  <si>
    <t>6.629668</t>
  </si>
  <si>
    <t>Krefeld-Oppum</t>
  </si>
  <si>
    <t>51.329749</t>
  </si>
  <si>
    <t>6.610090</t>
  </si>
  <si>
    <t>Krefeld-Uerdingen</t>
  </si>
  <si>
    <t>51.357278</t>
  </si>
  <si>
    <t>6.645778</t>
  </si>
  <si>
    <t>Kreiensen</t>
  </si>
  <si>
    <t>51.851423</t>
  </si>
  <si>
    <t>9.967798</t>
  </si>
  <si>
    <t>Kreimbach-Kaulbach</t>
  </si>
  <si>
    <t>49.551490</t>
  </si>
  <si>
    <t>7.631296</t>
  </si>
  <si>
    <t>Kremmen</t>
  </si>
  <si>
    <t>52.753347</t>
  </si>
  <si>
    <t>13.040231</t>
  </si>
  <si>
    <t>Krempe</t>
  </si>
  <si>
    <t>53.834111</t>
  </si>
  <si>
    <t>9.481757</t>
  </si>
  <si>
    <t>Kremperheide</t>
  </si>
  <si>
    <t>53.881178</t>
  </si>
  <si>
    <t>9.480377</t>
  </si>
  <si>
    <t>Krensitz</t>
  </si>
  <si>
    <t>51.490556</t>
  </si>
  <si>
    <t>12.461339</t>
  </si>
  <si>
    <t>Kressbronn</t>
  </si>
  <si>
    <t>47.594239</t>
  </si>
  <si>
    <t>9.598854</t>
  </si>
  <si>
    <t>Kressbronn Hafen</t>
  </si>
  <si>
    <t>47.586184</t>
  </si>
  <si>
    <t>9.599262</t>
  </si>
  <si>
    <t>Kretscham-Rothensehma</t>
  </si>
  <si>
    <t>50.467210</t>
  </si>
  <si>
    <t>12.988245</t>
  </si>
  <si>
    <t>Kreuz Konz</t>
  </si>
  <si>
    <t>49.703700</t>
  </si>
  <si>
    <t>6.576800</t>
  </si>
  <si>
    <t>Kreuzau Bahnhof</t>
  </si>
  <si>
    <t>50.750750</t>
  </si>
  <si>
    <t>6.488409</t>
  </si>
  <si>
    <t>Kreuzau-Eifelstraße</t>
  </si>
  <si>
    <t>50.742798</t>
  </si>
  <si>
    <t>6.491940</t>
  </si>
  <si>
    <t>Kreuzberg(Ahr)</t>
  </si>
  <si>
    <t>50.506442</t>
  </si>
  <si>
    <t>6.978557</t>
  </si>
  <si>
    <t>Kreuzstraße</t>
  </si>
  <si>
    <t>47.916494</t>
  </si>
  <si>
    <t>11.759014</t>
  </si>
  <si>
    <t>Kreuztal-Littfeld</t>
  </si>
  <si>
    <t>51.007190</t>
  </si>
  <si>
    <t>7.987142</t>
  </si>
  <si>
    <t>Kriftel</t>
  </si>
  <si>
    <t>50.082280</t>
  </si>
  <si>
    <t>8.475448</t>
  </si>
  <si>
    <t>Krippen</t>
  </si>
  <si>
    <t>50.913144</t>
  </si>
  <si>
    <t>14.160100</t>
  </si>
  <si>
    <t>Krölpa-Ranis</t>
  </si>
  <si>
    <t>50.677058</t>
  </si>
  <si>
    <t>11.543418</t>
  </si>
  <si>
    <t>Kronach</t>
  </si>
  <si>
    <t>50.239612</t>
  </si>
  <si>
    <t>11.320115</t>
  </si>
  <si>
    <t>Kronberg Süd</t>
  </si>
  <si>
    <t>50.173304</t>
  </si>
  <si>
    <t>8.529183</t>
  </si>
  <si>
    <t>Kronberg(Taunus)</t>
  </si>
  <si>
    <t>50.179919</t>
  </si>
  <si>
    <t>8.516874</t>
  </si>
  <si>
    <t>Kronshagen</t>
  </si>
  <si>
    <t>54.331211</t>
  </si>
  <si>
    <t>10.083155</t>
  </si>
  <si>
    <t>Kronskamp</t>
  </si>
  <si>
    <t>53.933556</t>
  </si>
  <si>
    <t>12.315387</t>
  </si>
  <si>
    <t>Kronweiler</t>
  </si>
  <si>
    <t>49.655588</t>
  </si>
  <si>
    <t>7.262416</t>
  </si>
  <si>
    <t>Kröpelin</t>
  </si>
  <si>
    <t>54.069137</t>
  </si>
  <si>
    <t>11.791573</t>
  </si>
  <si>
    <t>Kruft</t>
  </si>
  <si>
    <t>50.390541</t>
  </si>
  <si>
    <t>7.338598</t>
  </si>
  <si>
    <t>Krumbach(Schwab)</t>
  </si>
  <si>
    <t>48.247590</t>
  </si>
  <si>
    <t>10.358619</t>
  </si>
  <si>
    <t>Krumbach(Schwab)Schule</t>
  </si>
  <si>
    <t>48.235420</t>
  </si>
  <si>
    <t>10.361165</t>
  </si>
  <si>
    <t>Krumhermsdorf</t>
  </si>
  <si>
    <t>50.992963</t>
  </si>
  <si>
    <t>14.207348</t>
  </si>
  <si>
    <t>Krumpa</t>
  </si>
  <si>
    <t>51.289437</t>
  </si>
  <si>
    <t>11.854636</t>
  </si>
  <si>
    <t>Krumpa Addinol</t>
  </si>
  <si>
    <t>51.295424</t>
  </si>
  <si>
    <t>11.850543</t>
  </si>
  <si>
    <t>Krupunder</t>
  </si>
  <si>
    <t>53.615823</t>
  </si>
  <si>
    <t>9.867762</t>
  </si>
  <si>
    <t>Kubschütz</t>
  </si>
  <si>
    <t>51.165726</t>
  </si>
  <si>
    <t>14.509634</t>
  </si>
  <si>
    <t>Kuchen</t>
  </si>
  <si>
    <t>48.640523</t>
  </si>
  <si>
    <t>9.803400</t>
  </si>
  <si>
    <t>Kuhle(Bakenberg)</t>
  </si>
  <si>
    <t>54.647557</t>
  </si>
  <si>
    <t>13.284268</t>
  </si>
  <si>
    <t>Kühnhausen</t>
  </si>
  <si>
    <t>51.036371</t>
  </si>
  <si>
    <t>10.978069</t>
  </si>
  <si>
    <t>Kühren</t>
  </si>
  <si>
    <t>51.349390</t>
  </si>
  <si>
    <t>12.833225</t>
  </si>
  <si>
    <t>Külte-Wetterburg</t>
  </si>
  <si>
    <t>51.396821</t>
  </si>
  <si>
    <t>9.071138</t>
  </si>
  <si>
    <t>Kummerow(Stralsund)</t>
  </si>
  <si>
    <t>54.298331</t>
  </si>
  <si>
    <t>12.884616</t>
  </si>
  <si>
    <t>Kummersdorf(Storkow)</t>
  </si>
  <si>
    <t>52.275064</t>
  </si>
  <si>
    <t>13.874126</t>
  </si>
  <si>
    <t>Kunersdorf</t>
  </si>
  <si>
    <t>51.768640</t>
  </si>
  <si>
    <t>14.188364</t>
  </si>
  <si>
    <t>Künsebeck</t>
  </si>
  <si>
    <t>52.036703</t>
  </si>
  <si>
    <t>8.384328</t>
  </si>
  <si>
    <t>Küntrop</t>
  </si>
  <si>
    <t>51.293399</t>
  </si>
  <si>
    <t>7.814796</t>
  </si>
  <si>
    <t>Künzelsau Bf</t>
  </si>
  <si>
    <t>49.278686</t>
  </si>
  <si>
    <t>9.684523</t>
  </si>
  <si>
    <t>Kupfermühle</t>
  </si>
  <si>
    <t>53.762184</t>
  </si>
  <si>
    <t>10.326430</t>
  </si>
  <si>
    <t>Kuppenheim</t>
  </si>
  <si>
    <t>48.834128</t>
  </si>
  <si>
    <t>8.256112</t>
  </si>
  <si>
    <t>Küps</t>
  </si>
  <si>
    <t>50.195886</t>
  </si>
  <si>
    <t>11.268337</t>
  </si>
  <si>
    <t>Kürbitz</t>
  </si>
  <si>
    <t>50.462724</t>
  </si>
  <si>
    <t>12.069771</t>
  </si>
  <si>
    <t>Kurort Altenberg(Erzgebirge)</t>
  </si>
  <si>
    <t>50.766298</t>
  </si>
  <si>
    <t>13.753634</t>
  </si>
  <si>
    <t>Kurort Jonsdorf</t>
  </si>
  <si>
    <t>50.853855</t>
  </si>
  <si>
    <t>14.706610</t>
  </si>
  <si>
    <t>Kurort Jonsdorf Hst</t>
  </si>
  <si>
    <t>14.725668</t>
  </si>
  <si>
    <t>Kurort Kipsdorf</t>
  </si>
  <si>
    <t>50.805908</t>
  </si>
  <si>
    <t>13.676546</t>
  </si>
  <si>
    <t>Kurort Oberwiesenthal</t>
  </si>
  <si>
    <t>50.421178</t>
  </si>
  <si>
    <t>12.971981</t>
  </si>
  <si>
    <t>Kurort Oybin</t>
  </si>
  <si>
    <t>50.843662</t>
  </si>
  <si>
    <t>14.745577</t>
  </si>
  <si>
    <t>Kurort Oybin-Niederdorf</t>
  </si>
  <si>
    <t>50.862166</t>
  </si>
  <si>
    <t>14.753624</t>
  </si>
  <si>
    <t>Kurort Rathen</t>
  </si>
  <si>
    <t>50.956816</t>
  </si>
  <si>
    <t>14.075341</t>
  </si>
  <si>
    <t>Kusel</t>
  </si>
  <si>
    <t>49.538282</t>
  </si>
  <si>
    <t>7.410329</t>
  </si>
  <si>
    <t>Küstrin-Kietz</t>
  </si>
  <si>
    <t>52.568481</t>
  </si>
  <si>
    <t>14.607909</t>
  </si>
  <si>
    <t>Kutenholz</t>
  </si>
  <si>
    <t>53.470379</t>
  </si>
  <si>
    <t>9.309961</t>
  </si>
  <si>
    <t>Kutzenhausen</t>
  </si>
  <si>
    <t>48.334775</t>
  </si>
  <si>
    <t>10.696338</t>
  </si>
  <si>
    <t>Kyhna</t>
  </si>
  <si>
    <t>51.511073</t>
  </si>
  <si>
    <t>12.265876</t>
  </si>
  <si>
    <t>Kyllburg</t>
  </si>
  <si>
    <t>50.041930</t>
  </si>
  <si>
    <t>6.597027</t>
  </si>
  <si>
    <t>Kyritz</t>
  </si>
  <si>
    <t>52.942491</t>
  </si>
  <si>
    <t>12.390945</t>
  </si>
  <si>
    <t>Kyritz Am Bürgerpark</t>
  </si>
  <si>
    <t>52.949013</t>
  </si>
  <si>
    <t>12.389939</t>
  </si>
  <si>
    <t>Laaber</t>
  </si>
  <si>
    <t>49.070022</t>
  </si>
  <si>
    <t>11.884056</t>
  </si>
  <si>
    <t>Laaber Marktplatz</t>
  </si>
  <si>
    <t>49.065886</t>
  </si>
  <si>
    <t>11.885596</t>
  </si>
  <si>
    <t>Laage(Meckl)</t>
  </si>
  <si>
    <t>53.919599</t>
  </si>
  <si>
    <t>12.339608</t>
  </si>
  <si>
    <t>Laberweinting</t>
  </si>
  <si>
    <t>48.796839</t>
  </si>
  <si>
    <t>12.315237</t>
  </si>
  <si>
    <t>Ladenburg</t>
  </si>
  <si>
    <t>49.474242</t>
  </si>
  <si>
    <t>8.602803</t>
  </si>
  <si>
    <t>Lage(Lippe)</t>
  </si>
  <si>
    <t>51.991742</t>
  </si>
  <si>
    <t>8.801199</t>
  </si>
  <si>
    <t>Lagerlechfeld</t>
  </si>
  <si>
    <t>48.182949</t>
  </si>
  <si>
    <t>10.844197</t>
  </si>
  <si>
    <t>Lahntal-Sarnau</t>
  </si>
  <si>
    <t>50.871196</t>
  </si>
  <si>
    <t>8.756045</t>
  </si>
  <si>
    <t>Lahr(Schwarzw)</t>
  </si>
  <si>
    <t>48.340958</t>
  </si>
  <si>
    <t>7.835572</t>
  </si>
  <si>
    <t>Laineck</t>
  </si>
  <si>
    <t>49.959351</t>
  </si>
  <si>
    <t>11.615907</t>
  </si>
  <si>
    <t>Lalendorf</t>
  </si>
  <si>
    <t>53.755004</t>
  </si>
  <si>
    <t>12.386421</t>
  </si>
  <si>
    <t>Lalendorf Am Waldrand</t>
  </si>
  <si>
    <t>53.759991</t>
  </si>
  <si>
    <t>12.389405</t>
  </si>
  <si>
    <t>Lam</t>
  </si>
  <si>
    <t>49.191555</t>
  </si>
  <si>
    <t>13.051003</t>
  </si>
  <si>
    <t>Lambrecht(Pfalz)</t>
  </si>
  <si>
    <t>49.373336</t>
  </si>
  <si>
    <t>8.074391</t>
  </si>
  <si>
    <t>Lambsheim</t>
  </si>
  <si>
    <t>49.511863</t>
  </si>
  <si>
    <t>8.283476</t>
  </si>
  <si>
    <t>Lammersdorf</t>
  </si>
  <si>
    <t>50.631718</t>
  </si>
  <si>
    <t>6.272878</t>
  </si>
  <si>
    <t>Lampertheim</t>
  </si>
  <si>
    <t>49.598215</t>
  </si>
  <si>
    <t>8.478489</t>
  </si>
  <si>
    <t>Lampertsmühle-Otterbach</t>
  </si>
  <si>
    <t>49.483662</t>
  </si>
  <si>
    <t>7.729408</t>
  </si>
  <si>
    <t>Lampertswalde</t>
  </si>
  <si>
    <t>51.308629</t>
  </si>
  <si>
    <t>13.680854</t>
  </si>
  <si>
    <t>Lancken</t>
  </si>
  <si>
    <t>54.518032</t>
  </si>
  <si>
    <t>13.607885</t>
  </si>
  <si>
    <t>Lancken Neuer Friedhof</t>
  </si>
  <si>
    <t>54.514848</t>
  </si>
  <si>
    <t>13.611063</t>
  </si>
  <si>
    <t>Landau(Isar)</t>
  </si>
  <si>
    <t>48.682890</t>
  </si>
  <si>
    <t>12.695062</t>
  </si>
  <si>
    <t>Landau(Pfalz)Hbf</t>
  </si>
  <si>
    <t>49.197741</t>
  </si>
  <si>
    <t>8.126204</t>
  </si>
  <si>
    <t>Landau(Pfalz)Süd</t>
  </si>
  <si>
    <t>49.189165</t>
  </si>
  <si>
    <t>8.114176</t>
  </si>
  <si>
    <t>Landau(Pfalz)West</t>
  </si>
  <si>
    <t>49.195748</t>
  </si>
  <si>
    <t>8.107052</t>
  </si>
  <si>
    <t>Landsberg(b. Halle/Saale)</t>
  </si>
  <si>
    <t>51.532899</t>
  </si>
  <si>
    <t>12.166712</t>
  </si>
  <si>
    <t>Landsberg(b. Halle/Saale) Süd</t>
  </si>
  <si>
    <t>51.504396</t>
  </si>
  <si>
    <t>12.172315</t>
  </si>
  <si>
    <t>Landsberg(L)Schule</t>
  </si>
  <si>
    <t>48.054179</t>
  </si>
  <si>
    <t>10.869641</t>
  </si>
  <si>
    <t>Landsberg(Lech)</t>
  </si>
  <si>
    <t>48.047274</t>
  </si>
  <si>
    <t>10.871701</t>
  </si>
  <si>
    <t>Landshut(Bay)Hbf</t>
  </si>
  <si>
    <t>48.547492</t>
  </si>
  <si>
    <t>12.135930</t>
  </si>
  <si>
    <t>Landshut(Bay)Süd</t>
  </si>
  <si>
    <t>48.524269</t>
  </si>
  <si>
    <t>12.140504</t>
  </si>
  <si>
    <t>Landstuhl</t>
  </si>
  <si>
    <t>49.416287</t>
  </si>
  <si>
    <t>7.565931</t>
  </si>
  <si>
    <t>Landsweiler-Reden</t>
  </si>
  <si>
    <t>49.352246</t>
  </si>
  <si>
    <t>7.119316</t>
  </si>
  <si>
    <t>Lang Göns</t>
  </si>
  <si>
    <t>50.496920</t>
  </si>
  <si>
    <t>8.667054</t>
  </si>
  <si>
    <t>Langdorf</t>
  </si>
  <si>
    <t>49.020662</t>
  </si>
  <si>
    <t>13.161392</t>
  </si>
  <si>
    <t>Langebrück(Sachs)</t>
  </si>
  <si>
    <t>51.126751</t>
  </si>
  <si>
    <t>13.841072</t>
  </si>
  <si>
    <t>Langeln(Holst)</t>
  </si>
  <si>
    <t>53.791833</t>
  </si>
  <si>
    <t>9.862105</t>
  </si>
  <si>
    <t>Langelsheim</t>
  </si>
  <si>
    <t>51.930120</t>
  </si>
  <si>
    <t>10.343173</t>
  </si>
  <si>
    <t>Langen (b Bremerhaven)</t>
  </si>
  <si>
    <t>53.601940</t>
  </si>
  <si>
    <t>8.597014</t>
  </si>
  <si>
    <t>Langen(Hess)</t>
  </si>
  <si>
    <t>49.993612</t>
  </si>
  <si>
    <t>8.656787</t>
  </si>
  <si>
    <t>Langenargen</t>
  </si>
  <si>
    <t>47.599491</t>
  </si>
  <si>
    <t>9.544837</t>
  </si>
  <si>
    <t>Langenargen Hafen</t>
  </si>
  <si>
    <t>47.596104</t>
  </si>
  <si>
    <t>9.539273</t>
  </si>
  <si>
    <t>Langenau(Württ)</t>
  </si>
  <si>
    <t>48.493333</t>
  </si>
  <si>
    <t>10.125988</t>
  </si>
  <si>
    <t>Langenbach(Oberbay)</t>
  </si>
  <si>
    <t>48.438097</t>
  </si>
  <si>
    <t>11.852854</t>
  </si>
  <si>
    <t>Langenbrand</t>
  </si>
  <si>
    <t>48.702272</t>
  </si>
  <si>
    <t>8.355473</t>
  </si>
  <si>
    <t>Langendorf</t>
  </si>
  <si>
    <t>51.181451</t>
  </si>
  <si>
    <t>11.959322</t>
  </si>
  <si>
    <t>Langeneichstädt</t>
  </si>
  <si>
    <t>51.347150</t>
  </si>
  <si>
    <t>11.755908</t>
  </si>
  <si>
    <t>Langenfeld(Rhld)</t>
  </si>
  <si>
    <t>51.102677</t>
  </si>
  <si>
    <t>6.938278</t>
  </si>
  <si>
    <t>Langenfeld(Rhld)-Berghausen</t>
  </si>
  <si>
    <t>51.117510</t>
  </si>
  <si>
    <t>6.923684</t>
  </si>
  <si>
    <t>Langen-Flugsicherung</t>
  </si>
  <si>
    <t>50.005707</t>
  </si>
  <si>
    <t>8.658565</t>
  </si>
  <si>
    <t>Langenhagen Mitte</t>
  </si>
  <si>
    <t>52.440279</t>
  </si>
  <si>
    <t>9.725427</t>
  </si>
  <si>
    <t>Langenhagen Pferdemarkt</t>
  </si>
  <si>
    <t>52.450993</t>
  </si>
  <si>
    <t>9.735882</t>
  </si>
  <si>
    <t>Langenhagen-Kaltenweide</t>
  </si>
  <si>
    <t>52.480085</t>
  </si>
  <si>
    <t>9.736342</t>
  </si>
  <si>
    <t>Langenhahn</t>
  </si>
  <si>
    <t>50.587535</t>
  </si>
  <si>
    <t>7.914633</t>
  </si>
  <si>
    <t>Langenhorn(Schlesw)</t>
  </si>
  <si>
    <t>54.685934</t>
  </si>
  <si>
    <t>8.946413</t>
  </si>
  <si>
    <t>Langenlonsheim</t>
  </si>
  <si>
    <t>49.901372</t>
  </si>
  <si>
    <t>7.899887</t>
  </si>
  <si>
    <t>Langenmoor</t>
  </si>
  <si>
    <t>53.772441</t>
  </si>
  <si>
    <t>9.663746</t>
  </si>
  <si>
    <t>Langenorla Ost</t>
  </si>
  <si>
    <t>50.730738</t>
  </si>
  <si>
    <t>11.592446</t>
  </si>
  <si>
    <t>Langenorla West</t>
  </si>
  <si>
    <t>50.741877</t>
  </si>
  <si>
    <t>11.579663</t>
  </si>
  <si>
    <t>Langenprozelten</t>
  </si>
  <si>
    <t>50.061572</t>
  </si>
  <si>
    <t>9.661384</t>
  </si>
  <si>
    <t>Langenselbold</t>
  </si>
  <si>
    <t>50.162068</t>
  </si>
  <si>
    <t>9.057682</t>
  </si>
  <si>
    <t>Langenstein</t>
  </si>
  <si>
    <t>51.860457</t>
  </si>
  <si>
    <t>10.979275</t>
  </si>
  <si>
    <t>Langensteinbach Bahnhof</t>
  </si>
  <si>
    <t>48.915256</t>
  </si>
  <si>
    <t>8.503120</t>
  </si>
  <si>
    <t>Langenwang(Schwab)</t>
  </si>
  <si>
    <t>47.436588</t>
  </si>
  <si>
    <t>10.276032</t>
  </si>
  <si>
    <t>Langenweddingen</t>
  </si>
  <si>
    <t>52.045554</t>
  </si>
  <si>
    <t>11.532404</t>
  </si>
  <si>
    <t>Langenwolmsdorf</t>
  </si>
  <si>
    <t>51.036251</t>
  </si>
  <si>
    <t>14.153669</t>
  </si>
  <si>
    <t>Langenwolmsdorf Mitte</t>
  </si>
  <si>
    <t>51.038605</t>
  </si>
  <si>
    <t>14.127331</t>
  </si>
  <si>
    <t>Langenzenn</t>
  </si>
  <si>
    <t>49.496943</t>
  </si>
  <si>
    <t>10.801856</t>
  </si>
  <si>
    <t>Langeoog</t>
  </si>
  <si>
    <t>53.724177</t>
  </si>
  <si>
    <t>7.494457</t>
  </si>
  <si>
    <t>Langerwehe</t>
  </si>
  <si>
    <t>50.817909</t>
  </si>
  <si>
    <t>6.353467</t>
  </si>
  <si>
    <t>Langhagen</t>
  </si>
  <si>
    <t>53.680936</t>
  </si>
  <si>
    <t>12.425217</t>
  </si>
  <si>
    <t>Langlau</t>
  </si>
  <si>
    <t>49.118743</t>
  </si>
  <si>
    <t>10.859352</t>
  </si>
  <si>
    <t>Langsdorf(Oberhess)</t>
  </si>
  <si>
    <t>50.494954</t>
  </si>
  <si>
    <t>8.856990</t>
  </si>
  <si>
    <t>Langwedel</t>
  </si>
  <si>
    <t>52.977881</t>
  </si>
  <si>
    <t>9.194981</t>
  </si>
  <si>
    <t>Langweid(Lech)</t>
  </si>
  <si>
    <t>48.490447</t>
  </si>
  <si>
    <t>10.847966</t>
  </si>
  <si>
    <t>Lathen</t>
  </si>
  <si>
    <t>52.860749</t>
  </si>
  <si>
    <t>7.322574</t>
  </si>
  <si>
    <t>Laubendorf</t>
  </si>
  <si>
    <t>49.494365</t>
  </si>
  <si>
    <t>10.752696</t>
  </si>
  <si>
    <t>Laubenheim(Nahe)</t>
  </si>
  <si>
    <t>49.918799</t>
  </si>
  <si>
    <t>7.897215</t>
  </si>
  <si>
    <t>Laucha(Unstrut)</t>
  </si>
  <si>
    <t>51.222058</t>
  </si>
  <si>
    <t>11.678442</t>
  </si>
  <si>
    <t>Lauchhammer</t>
  </si>
  <si>
    <t>51.474569</t>
  </si>
  <si>
    <t>13.743242</t>
  </si>
  <si>
    <t>Lauchheim</t>
  </si>
  <si>
    <t>48.868885</t>
  </si>
  <si>
    <t>10.236563</t>
  </si>
  <si>
    <t>Lauchringen</t>
  </si>
  <si>
    <t>47.629088</t>
  </si>
  <si>
    <t>8.322193</t>
  </si>
  <si>
    <t>Lauchringen West</t>
  </si>
  <si>
    <t>47.632775</t>
  </si>
  <si>
    <t>8.308102</t>
  </si>
  <si>
    <t>Lauda</t>
  </si>
  <si>
    <t>49.565385</t>
  </si>
  <si>
    <t>9.709512</t>
  </si>
  <si>
    <t>Laudenbach am Main</t>
  </si>
  <si>
    <t>49.742528</t>
  </si>
  <si>
    <t>9.179126</t>
  </si>
  <si>
    <t>Laudenbach(Bergstr)</t>
  </si>
  <si>
    <t>49.612076</t>
  </si>
  <si>
    <t>8.644539</t>
  </si>
  <si>
    <t>Laudenbach(Württ)</t>
  </si>
  <si>
    <t>49.455421</t>
  </si>
  <si>
    <t>9.923100</t>
  </si>
  <si>
    <t>Lauenbrück</t>
  </si>
  <si>
    <t>53.197030</t>
  </si>
  <si>
    <t>9.563710</t>
  </si>
  <si>
    <t>Lauenburg(Elbe)</t>
  </si>
  <si>
    <t>53.369629</t>
  </si>
  <si>
    <t>10.567973</t>
  </si>
  <si>
    <t>Lauenförde-Beverungen</t>
  </si>
  <si>
    <t>51.658470</t>
  </si>
  <si>
    <t>9.392667</t>
  </si>
  <si>
    <t>Lauenstein(Sachs)</t>
  </si>
  <si>
    <t>50.786565</t>
  </si>
  <si>
    <t>13.814398</t>
  </si>
  <si>
    <t>Lauf West</t>
  </si>
  <si>
    <t>49.501129</t>
  </si>
  <si>
    <t>11.278000</t>
  </si>
  <si>
    <t>Lauf(links Pegnitz)</t>
  </si>
  <si>
    <t>49.507097</t>
  </si>
  <si>
    <t>11.285976</t>
  </si>
  <si>
    <t>Lauf(rechts Pegnitz)</t>
  </si>
  <si>
    <t>49.512333</t>
  </si>
  <si>
    <t>11.277359</t>
  </si>
  <si>
    <t>Laufach</t>
  </si>
  <si>
    <t>50.010670</t>
  </si>
  <si>
    <t>9.277692</t>
  </si>
  <si>
    <t>Laufen(Oberbay)</t>
  </si>
  <si>
    <t>47.933653</t>
  </si>
  <si>
    <t>12.922363</t>
  </si>
  <si>
    <t>Laufen(Oberbayern) Gymnasium</t>
  </si>
  <si>
    <t>47.934327</t>
  </si>
  <si>
    <t>12.932489</t>
  </si>
  <si>
    <t>Laufen(Oberbayern) Mozartplatz</t>
  </si>
  <si>
    <t>47.934580</t>
  </si>
  <si>
    <t>12.928691</t>
  </si>
  <si>
    <t>Laufenburg(Baden)</t>
  </si>
  <si>
    <t>47.563408</t>
  </si>
  <si>
    <t>8.058312</t>
  </si>
  <si>
    <t>Laufenburg(Baden)Ost</t>
  </si>
  <si>
    <t>47.566163</t>
  </si>
  <si>
    <t>8.073691</t>
  </si>
  <si>
    <t>Lauffen(Neckar)</t>
  </si>
  <si>
    <t>49.076514</t>
  </si>
  <si>
    <t>9.146136</t>
  </si>
  <si>
    <t>Lauingen</t>
  </si>
  <si>
    <t>48.574566</t>
  </si>
  <si>
    <t>10.424966</t>
  </si>
  <si>
    <t>Laupheim Stadt</t>
  </si>
  <si>
    <t>48.233304</t>
  </si>
  <si>
    <t>9.878394</t>
  </si>
  <si>
    <t>Laupheim West</t>
  </si>
  <si>
    <t>48.231112</t>
  </si>
  <si>
    <t>9.848251</t>
  </si>
  <si>
    <t>Laurenburg(Lahn)</t>
  </si>
  <si>
    <t>50.329552</t>
  </si>
  <si>
    <t>7.905766</t>
  </si>
  <si>
    <t>Lauscha(Thür)</t>
  </si>
  <si>
    <t>50.473314</t>
  </si>
  <si>
    <t>11.160302</t>
  </si>
  <si>
    <t>Lausheim-Blumegg</t>
  </si>
  <si>
    <t>47.792619</t>
  </si>
  <si>
    <t>8.492805</t>
  </si>
  <si>
    <t>Laußnitz</t>
  </si>
  <si>
    <t>51.248250</t>
  </si>
  <si>
    <t>13.879653</t>
  </si>
  <si>
    <t>Lauta(Nl)</t>
  </si>
  <si>
    <t>51.447233</t>
  </si>
  <si>
    <t>14.093147</t>
  </si>
  <si>
    <t>Lautenbach(Baden)</t>
  </si>
  <si>
    <t>48.519483</t>
  </si>
  <si>
    <t>8.116067</t>
  </si>
  <si>
    <t>Lauter(Sachs)</t>
  </si>
  <si>
    <t>50.568051</t>
  </si>
  <si>
    <t>12.749028</t>
  </si>
  <si>
    <t>Lauterbach Mole</t>
  </si>
  <si>
    <t>54.342219</t>
  </si>
  <si>
    <t>13.503118</t>
  </si>
  <si>
    <t>Lauterbach(Hess)Nord</t>
  </si>
  <si>
    <t>50.643691</t>
  </si>
  <si>
    <t>9.407491</t>
  </si>
  <si>
    <t>Lauterbach(Rügen)</t>
  </si>
  <si>
    <t>54.345215</t>
  </si>
  <si>
    <t>13.500754</t>
  </si>
  <si>
    <t>Lauterbach-Steinbach</t>
  </si>
  <si>
    <t>51.175036</t>
  </si>
  <si>
    <t>12.619387</t>
  </si>
  <si>
    <t>Lauterbourg(fr)</t>
  </si>
  <si>
    <t>48.975292</t>
  </si>
  <si>
    <t>8.195538</t>
  </si>
  <si>
    <t>Lauterecken-Grumbach</t>
  </si>
  <si>
    <t>49.653709</t>
  </si>
  <si>
    <t>7.590710</t>
  </si>
  <si>
    <t>Lebach</t>
  </si>
  <si>
    <t>49.408332</t>
  </si>
  <si>
    <t>6.907231</t>
  </si>
  <si>
    <t>Lebach-Jabach</t>
  </si>
  <si>
    <t>49.407259</t>
  </si>
  <si>
    <t>6.891823</t>
  </si>
  <si>
    <t>Leer(Ostfriesl)</t>
  </si>
  <si>
    <t>53.231650</t>
  </si>
  <si>
    <t>7.465283</t>
  </si>
  <si>
    <t>Leese-Stolzenau</t>
  </si>
  <si>
    <t>52.509469</t>
  </si>
  <si>
    <t>9.110127</t>
  </si>
  <si>
    <t>Legden</t>
  </si>
  <si>
    <t>52.034933</t>
  </si>
  <si>
    <t>7.088505</t>
  </si>
  <si>
    <t>Legefeld</t>
  </si>
  <si>
    <t>50.926908</t>
  </si>
  <si>
    <t>11.288262</t>
  </si>
  <si>
    <t>Legelshurst</t>
  </si>
  <si>
    <t>48.558550</t>
  </si>
  <si>
    <t>7.913549</t>
  </si>
  <si>
    <t>Lehmen</t>
  </si>
  <si>
    <t>50.284746</t>
  </si>
  <si>
    <t>7.455230</t>
  </si>
  <si>
    <t>Lehndorf(Altenburg)</t>
  </si>
  <si>
    <t>50.937827</t>
  </si>
  <si>
    <t>12.425806</t>
  </si>
  <si>
    <t>Lehnheim</t>
  </si>
  <si>
    <t>50.606710</t>
  </si>
  <si>
    <t>8.992076</t>
  </si>
  <si>
    <t>Lehnitz</t>
  </si>
  <si>
    <t>52.741702</t>
  </si>
  <si>
    <t>13.263224</t>
  </si>
  <si>
    <t>Lehrte</t>
  </si>
  <si>
    <t>52.376722</t>
  </si>
  <si>
    <t>9.974599</t>
  </si>
  <si>
    <t>Lehrte Neues Zentrum</t>
  </si>
  <si>
    <t>52.376944</t>
  </si>
  <si>
    <t>9.976161</t>
  </si>
  <si>
    <t>Leichlingen</t>
  </si>
  <si>
    <t>51.107521</t>
  </si>
  <si>
    <t>7.005251</t>
  </si>
  <si>
    <t>Leiferde(b Gifhorn)</t>
  </si>
  <si>
    <t>52.456453</t>
  </si>
  <si>
    <t>10.427937</t>
  </si>
  <si>
    <t>Leimstruth</t>
  </si>
  <si>
    <t>50.990658</t>
  </si>
  <si>
    <t>8.312789</t>
  </si>
  <si>
    <t>Leinefelde</t>
  </si>
  <si>
    <t>51.388836</t>
  </si>
  <si>
    <t>10.328758</t>
  </si>
  <si>
    <t>Leinfelden</t>
  </si>
  <si>
    <t>48.696506</t>
  </si>
  <si>
    <t>9.142866</t>
  </si>
  <si>
    <t>Leingarten</t>
  </si>
  <si>
    <t>49.145064</t>
  </si>
  <si>
    <t>9.121611</t>
  </si>
  <si>
    <t>Leingarten Mitte</t>
  </si>
  <si>
    <t>49.145631</t>
  </si>
  <si>
    <t>9.112802</t>
  </si>
  <si>
    <t>Leingarten Ost</t>
  </si>
  <si>
    <t>49.144173</t>
  </si>
  <si>
    <t>9.130958</t>
  </si>
  <si>
    <t>Leingarten West</t>
  </si>
  <si>
    <t>49.145977</t>
  </si>
  <si>
    <t>9.105799</t>
  </si>
  <si>
    <t>Leipheim</t>
  </si>
  <si>
    <t>48.450171</t>
  </si>
  <si>
    <t>10.215369</t>
  </si>
  <si>
    <t>Leipzig Allee-Center</t>
  </si>
  <si>
    <t>51.319158</t>
  </si>
  <si>
    <t>12.291748</t>
  </si>
  <si>
    <t>Leipzig Anger-Crottendorf</t>
  </si>
  <si>
    <t>51.332435</t>
  </si>
  <si>
    <t>12.420511</t>
  </si>
  <si>
    <t>Leipzig Anger-Crottendorf (Ersatzverkehr)</t>
  </si>
  <si>
    <t>Leipzig Augustusplatz</t>
  </si>
  <si>
    <t>51.338878</t>
  </si>
  <si>
    <t>12.381469</t>
  </si>
  <si>
    <t>Leipzig Coppiplatz</t>
  </si>
  <si>
    <t>51.367074</t>
  </si>
  <si>
    <t>12.366024</t>
  </si>
  <si>
    <t>Leipzig Deutsche Nationalbibliothek</t>
  </si>
  <si>
    <t>51.323470</t>
  </si>
  <si>
    <t>12.395115</t>
  </si>
  <si>
    <t>Leipzig Essener Straße</t>
  </si>
  <si>
    <t>51.376358</t>
  </si>
  <si>
    <t>12.396988</t>
  </si>
  <si>
    <t>Leipzig Grünauer Allee</t>
  </si>
  <si>
    <t>51.320905</t>
  </si>
  <si>
    <t>12.303006</t>
  </si>
  <si>
    <t>51.345471</t>
  </si>
  <si>
    <t>12.382064</t>
  </si>
  <si>
    <t>Leipzig Hbf Ostseite</t>
  </si>
  <si>
    <t>51.343642</t>
  </si>
  <si>
    <t>12.382334</t>
  </si>
  <si>
    <t>Leipzig Karlsruher Str</t>
  </si>
  <si>
    <t>51.317236</t>
  </si>
  <si>
    <t>12.279271</t>
  </si>
  <si>
    <t>Leipzig Markt</t>
  </si>
  <si>
    <t>51.340640</t>
  </si>
  <si>
    <t>12.374612</t>
  </si>
  <si>
    <t>Leipzig MDR</t>
  </si>
  <si>
    <t>51.320067</t>
  </si>
  <si>
    <t>12.386318</t>
  </si>
  <si>
    <t>Leipzig Messe</t>
  </si>
  <si>
    <t>51.396145</t>
  </si>
  <si>
    <t>12.389278</t>
  </si>
  <si>
    <t>Leipzig Messeverwaltung</t>
  </si>
  <si>
    <t>Leipzig Miltitzer Allee</t>
  </si>
  <si>
    <t>51.315353</t>
  </si>
  <si>
    <t>12.267345</t>
  </si>
  <si>
    <t>Leipzig Mockau Post</t>
  </si>
  <si>
    <t>51.375197</t>
  </si>
  <si>
    <t>12.412717</t>
  </si>
  <si>
    <t>Leipzig Mockauer Straße</t>
  </si>
  <si>
    <t>51.373800</t>
  </si>
  <si>
    <t>12.412100</t>
  </si>
  <si>
    <t>Leipzig Möckernscher Markt</t>
  </si>
  <si>
    <t>51.369448</t>
  </si>
  <si>
    <t>12.338468</t>
  </si>
  <si>
    <t>Leipzig Nord</t>
  </si>
  <si>
    <t>51.364162</t>
  </si>
  <si>
    <t>12.401060</t>
  </si>
  <si>
    <t>Leipzig Olbrichtstraße</t>
  </si>
  <si>
    <t>51.369887</t>
  </si>
  <si>
    <t>12.353500</t>
  </si>
  <si>
    <t>Leipzig Roßplatz</t>
  </si>
  <si>
    <t>51.335388</t>
  </si>
  <si>
    <t>12.378512</t>
  </si>
  <si>
    <t>Leipzig S-Bahnhof Möckern</t>
  </si>
  <si>
    <t>51.365585</t>
  </si>
  <si>
    <t>12.351884</t>
  </si>
  <si>
    <t>Leipzig Slevogtstraße</t>
  </si>
  <si>
    <t>51.372944</t>
  </si>
  <si>
    <t>12.344416</t>
  </si>
  <si>
    <t>Leipzig Torgauer Platz</t>
  </si>
  <si>
    <t>51.345066</t>
  </si>
  <si>
    <t>12.414337</t>
  </si>
  <si>
    <t>Leipzig Werkstättenstraße</t>
  </si>
  <si>
    <t>51.340599</t>
  </si>
  <si>
    <t>12.456179</t>
  </si>
  <si>
    <t>Leipzig Wilhelm-Leuschner-Platz</t>
  </si>
  <si>
    <t>51.335396</t>
  </si>
  <si>
    <t>12.375394</t>
  </si>
  <si>
    <t>Leipzig/Halle Flughafen</t>
  </si>
  <si>
    <t>51.423338</t>
  </si>
  <si>
    <t>12.223426</t>
  </si>
  <si>
    <t>Leipzig-Connewitz</t>
  </si>
  <si>
    <t>51.300717</t>
  </si>
  <si>
    <t>12.386313</t>
  </si>
  <si>
    <t>Leipzig-Engelsdorf</t>
  </si>
  <si>
    <t>51.343946</t>
  </si>
  <si>
    <t>12.477634</t>
  </si>
  <si>
    <t>Leipzig-Gohlis</t>
  </si>
  <si>
    <t>51.362861</t>
  </si>
  <si>
    <t>12.374533</t>
  </si>
  <si>
    <t>Leipzig-Heiterblick</t>
  </si>
  <si>
    <t>51.369339</t>
  </si>
  <si>
    <t>12.459979</t>
  </si>
  <si>
    <t>Leipzig-Heiterblick Portitzer Allee</t>
  </si>
  <si>
    <t>51.367466</t>
  </si>
  <si>
    <t>12.460763</t>
  </si>
  <si>
    <t>Leipzig-Holzhausen</t>
  </si>
  <si>
    <t>51.306041</t>
  </si>
  <si>
    <t>12.461448</t>
  </si>
  <si>
    <t>Leipzig-Knauthain</t>
  </si>
  <si>
    <t>51.278181</t>
  </si>
  <si>
    <t>12.309095</t>
  </si>
  <si>
    <t>Leipzig-Leutzsch</t>
  </si>
  <si>
    <t>51.354001</t>
  </si>
  <si>
    <t>12.303738</t>
  </si>
  <si>
    <t>Leipzig-Liebertwolkwitz</t>
  </si>
  <si>
    <t>51.283970</t>
  </si>
  <si>
    <t>12.469248</t>
  </si>
  <si>
    <t>Leipzig-Lindenau</t>
  </si>
  <si>
    <t>51.333756</t>
  </si>
  <si>
    <t>12.321483</t>
  </si>
  <si>
    <t>Leipzig-Lützschena</t>
  </si>
  <si>
    <t>51.390057</t>
  </si>
  <si>
    <t>12.293091</t>
  </si>
  <si>
    <t>Leipzig-Miltitz</t>
  </si>
  <si>
    <t>51.325316</t>
  </si>
  <si>
    <t>12.255030</t>
  </si>
  <si>
    <t>Leipzig-Möckern</t>
  </si>
  <si>
    <t>51.364431</t>
  </si>
  <si>
    <t>12.352271</t>
  </si>
  <si>
    <t>Leipzig-Mölkau</t>
  </si>
  <si>
    <t>51.325238</t>
  </si>
  <si>
    <t>12.459820</t>
  </si>
  <si>
    <t>Leipzig-Paunsdorf</t>
  </si>
  <si>
    <t>51.344300</t>
  </si>
  <si>
    <t>12.444338</t>
  </si>
  <si>
    <t>Leipzig-Plagwitz</t>
  </si>
  <si>
    <t>51.328040</t>
  </si>
  <si>
    <t>12.322080</t>
  </si>
  <si>
    <t>Leipzig-Rückmarsdorf</t>
  </si>
  <si>
    <t>51.341871</t>
  </si>
  <si>
    <t>12.282668</t>
  </si>
  <si>
    <t>Leipzig-Sellerhausen</t>
  </si>
  <si>
    <t>51.345178</t>
  </si>
  <si>
    <t>12.424666</t>
  </si>
  <si>
    <t>Leipzig-Stötteritz</t>
  </si>
  <si>
    <t>51.324512</t>
  </si>
  <si>
    <t>12.411428</t>
  </si>
  <si>
    <t>Leipzig-Thekla</t>
  </si>
  <si>
    <t>51.371626</t>
  </si>
  <si>
    <t>12.430751</t>
  </si>
  <si>
    <t>Leipzig-Wahren</t>
  </si>
  <si>
    <t>51.380687</t>
  </si>
  <si>
    <t>12.321484</t>
  </si>
  <si>
    <t>Leisnig</t>
  </si>
  <si>
    <t>51.160325</t>
  </si>
  <si>
    <t>12.938389</t>
  </si>
  <si>
    <t>Leißling</t>
  </si>
  <si>
    <t>51.185484</t>
  </si>
  <si>
    <t>11.909824</t>
  </si>
  <si>
    <t>Leitstade</t>
  </si>
  <si>
    <t>53.169143</t>
  </si>
  <si>
    <t>10.912783</t>
  </si>
  <si>
    <t>Lembeck</t>
  </si>
  <si>
    <t>51.751244</t>
  </si>
  <si>
    <t>7.025480</t>
  </si>
  <si>
    <t>Lemförde</t>
  </si>
  <si>
    <t>52.460163</t>
  </si>
  <si>
    <t>8.361610</t>
  </si>
  <si>
    <t>Lemgo</t>
  </si>
  <si>
    <t>52.022400</t>
  </si>
  <si>
    <t>8.894696</t>
  </si>
  <si>
    <t>Lemgo-Lüttfeld</t>
  </si>
  <si>
    <t>52.020965</t>
  </si>
  <si>
    <t>8.910700</t>
  </si>
  <si>
    <t>Lemmie</t>
  </si>
  <si>
    <t>52.285104</t>
  </si>
  <si>
    <t>9.608572</t>
  </si>
  <si>
    <t>Lendringsen</t>
  </si>
  <si>
    <t>51.410398</t>
  </si>
  <si>
    <t>7.826617</t>
  </si>
  <si>
    <t>Lengede-Broistedt</t>
  </si>
  <si>
    <t>52.197022</t>
  </si>
  <si>
    <t>10.320695</t>
  </si>
  <si>
    <t>Lengefeld am Markt</t>
  </si>
  <si>
    <t>50.718969</t>
  </si>
  <si>
    <t>13.192469</t>
  </si>
  <si>
    <t>Lengefeld-Rauenstein</t>
  </si>
  <si>
    <t>50.730583</t>
  </si>
  <si>
    <t>13.202676</t>
  </si>
  <si>
    <t>Lengenfeld(Vogtl)</t>
  </si>
  <si>
    <t>50.573121</t>
  </si>
  <si>
    <t>12.373259</t>
  </si>
  <si>
    <t>Lengenwang</t>
  </si>
  <si>
    <t>47.697399</t>
  </si>
  <si>
    <t>10.601214</t>
  </si>
  <si>
    <t>Lengerich(Westf)</t>
  </si>
  <si>
    <t>52.175785</t>
  </si>
  <si>
    <t>7.878459</t>
  </si>
  <si>
    <t>Lenggries</t>
  </si>
  <si>
    <t>47.680395</t>
  </si>
  <si>
    <t>11.573539</t>
  </si>
  <si>
    <t>Lenglern</t>
  </si>
  <si>
    <t>51.588428</t>
  </si>
  <si>
    <t>9.871195</t>
  </si>
  <si>
    <t>Lennestadt-Altenhundem</t>
  </si>
  <si>
    <t>51.104118</t>
  </si>
  <si>
    <t>8.071475</t>
  </si>
  <si>
    <t>Lennestadt-Grevenbrück</t>
  </si>
  <si>
    <t>51.141781</t>
  </si>
  <si>
    <t>8.017977</t>
  </si>
  <si>
    <t>Lennestadt-Meggen</t>
  </si>
  <si>
    <t>51.122453</t>
  </si>
  <si>
    <t>8.065778</t>
  </si>
  <si>
    <t>Lensahn</t>
  </si>
  <si>
    <t>54.219310</t>
  </si>
  <si>
    <t>10.890451</t>
  </si>
  <si>
    <t>Lentföhrden</t>
  </si>
  <si>
    <t>53.876909</t>
  </si>
  <si>
    <t>9.889835</t>
  </si>
  <si>
    <t>Leonberg</t>
  </si>
  <si>
    <t>48.799646</t>
  </si>
  <si>
    <t>9.003853</t>
  </si>
  <si>
    <t>Leopoldshafen Leopoldstr.</t>
  </si>
  <si>
    <t>49.097193</t>
  </si>
  <si>
    <t>8.401099</t>
  </si>
  <si>
    <t>Leopoldstal</t>
  </si>
  <si>
    <t>51.844497</t>
  </si>
  <si>
    <t>8.971182</t>
  </si>
  <si>
    <t>Leschede</t>
  </si>
  <si>
    <t>52.397644</t>
  </si>
  <si>
    <t>7.305961</t>
  </si>
  <si>
    <t>Letmathe</t>
  </si>
  <si>
    <t>51.362838</t>
  </si>
  <si>
    <t>7.618397</t>
  </si>
  <si>
    <t>Letmathe Dechenhöhle</t>
  </si>
  <si>
    <t>51.365465</t>
  </si>
  <si>
    <t>7.644154</t>
  </si>
  <si>
    <t>Letschin</t>
  </si>
  <si>
    <t>52.632725</t>
  </si>
  <si>
    <t>14.347447</t>
  </si>
  <si>
    <t>Lette(Kr Coesfeld)</t>
  </si>
  <si>
    <t>51.892495</t>
  </si>
  <si>
    <t>7.186998</t>
  </si>
  <si>
    <t>Letter</t>
  </si>
  <si>
    <t>52.393898</t>
  </si>
  <si>
    <t>9.639480</t>
  </si>
  <si>
    <t>Leubingen</t>
  </si>
  <si>
    <t>51.205099</t>
  </si>
  <si>
    <t>11.153320</t>
  </si>
  <si>
    <t>Leubsdorf(Rhein)</t>
  </si>
  <si>
    <t>50.547039</t>
  </si>
  <si>
    <t>7.286350</t>
  </si>
  <si>
    <t>Leubsdorf(Sachs)</t>
  </si>
  <si>
    <t>50.801850</t>
  </si>
  <si>
    <t>13.141310</t>
  </si>
  <si>
    <t>Leun/Braunfels</t>
  </si>
  <si>
    <t>50.539915</t>
  </si>
  <si>
    <t>8.366902</t>
  </si>
  <si>
    <t>Leuna Werke Nord</t>
  </si>
  <si>
    <t>51.320666</t>
  </si>
  <si>
    <t>12.000927</t>
  </si>
  <si>
    <t>Leuna Werke Süd</t>
  </si>
  <si>
    <t>51.306599</t>
  </si>
  <si>
    <t>12.006637</t>
  </si>
  <si>
    <t>Leutenberg</t>
  </si>
  <si>
    <t>50.564819</t>
  </si>
  <si>
    <t>11.447858</t>
  </si>
  <si>
    <t>Leuterschach</t>
  </si>
  <si>
    <t>47.745641</t>
  </si>
  <si>
    <t>10.581221</t>
  </si>
  <si>
    <t>Leutershausen-Wiedersbach</t>
  </si>
  <si>
    <t>49.294900</t>
  </si>
  <si>
    <t>10.440100</t>
  </si>
  <si>
    <t>Leutesdorf(Rhein)</t>
  </si>
  <si>
    <t>50.447682</t>
  </si>
  <si>
    <t>7.392067</t>
  </si>
  <si>
    <t>Leuthen(Cottbus)</t>
  </si>
  <si>
    <t>51.695079</t>
  </si>
  <si>
    <t>14.256108</t>
  </si>
  <si>
    <t>Leutkirch</t>
  </si>
  <si>
    <t>47.826167</t>
  </si>
  <si>
    <t>10.015836</t>
  </si>
  <si>
    <t>Leverkusen Chempark</t>
  </si>
  <si>
    <t>51.011409</t>
  </si>
  <si>
    <t>6.996675</t>
  </si>
  <si>
    <t>Leverkusen Mitte</t>
  </si>
  <si>
    <t>51.031514</t>
  </si>
  <si>
    <t>6.991661</t>
  </si>
  <si>
    <t>Leverkusen-Küppersteg</t>
  </si>
  <si>
    <t>51.045822</t>
  </si>
  <si>
    <t>6.988119</t>
  </si>
  <si>
    <t>Leverkusen-Manfort</t>
  </si>
  <si>
    <t>51.031058</t>
  </si>
  <si>
    <t>7.015178</t>
  </si>
  <si>
    <t>Leverkusen-Rheindorf</t>
  </si>
  <si>
    <t>51.064265</t>
  </si>
  <si>
    <t>6.963464</t>
  </si>
  <si>
    <t>Lich(Oberhess)</t>
  </si>
  <si>
    <t>50.514578</t>
  </si>
  <si>
    <t>8.821959</t>
  </si>
  <si>
    <t>Lichtenberg(Erzgeb)</t>
  </si>
  <si>
    <t>50.840179</t>
  </si>
  <si>
    <t>13.403754</t>
  </si>
  <si>
    <t>Lichtenfels</t>
  </si>
  <si>
    <t>50.146452</t>
  </si>
  <si>
    <t>11.059472</t>
  </si>
  <si>
    <t>Lichtenhain(a d Bergbahn)</t>
  </si>
  <si>
    <t>50.592084</t>
  </si>
  <si>
    <t>11.132371</t>
  </si>
  <si>
    <t>Lichtenstein Ernst-Schneller-Siedlung</t>
  </si>
  <si>
    <t>50.764466</t>
  </si>
  <si>
    <t>12.625858</t>
  </si>
  <si>
    <t>Lichtenstein Gewerbegebiet</t>
  </si>
  <si>
    <t>50.775285</t>
  </si>
  <si>
    <t>12.632105</t>
  </si>
  <si>
    <t>Lichtenstein Hartensteiner Straße</t>
  </si>
  <si>
    <t>50.746070</t>
  </si>
  <si>
    <t>12.636190</t>
  </si>
  <si>
    <t>Lichtenstein(Sachs)</t>
  </si>
  <si>
    <t>50.757677</t>
  </si>
  <si>
    <t>12.626412</t>
  </si>
  <si>
    <t>Lichtentanne(Sachs)</t>
  </si>
  <si>
    <t>50.699350</t>
  </si>
  <si>
    <t>12.419664</t>
  </si>
  <si>
    <t>Lichtentanne(Thür)</t>
  </si>
  <si>
    <t>50.524377</t>
  </si>
  <si>
    <t>11.481606</t>
  </si>
  <si>
    <t>Lichtenthal</t>
  </si>
  <si>
    <t>49.008762</t>
  </si>
  <si>
    <t>13.246466</t>
  </si>
  <si>
    <t>Liebenau(Bz Kassel)</t>
  </si>
  <si>
    <t>51.491841</t>
  </si>
  <si>
    <t>9.273958</t>
  </si>
  <si>
    <t>Liebenthal(Prignitz)</t>
  </si>
  <si>
    <t>53.151207</t>
  </si>
  <si>
    <t>12.393287</t>
  </si>
  <si>
    <t>Lieblos</t>
  </si>
  <si>
    <t>50.206784</t>
  </si>
  <si>
    <t>9.145968</t>
  </si>
  <si>
    <t>Liederbach</t>
  </si>
  <si>
    <t>50.118634</t>
  </si>
  <si>
    <t>8.486363</t>
  </si>
  <si>
    <t>Liederbach-Süd</t>
  </si>
  <si>
    <t>50.115419</t>
  </si>
  <si>
    <t>8.501678</t>
  </si>
  <si>
    <t>Lienheim</t>
  </si>
  <si>
    <t>47.573049</t>
  </si>
  <si>
    <t>8.376098</t>
  </si>
  <si>
    <t>Liessow Breesener Chaussee</t>
  </si>
  <si>
    <t>53.890199</t>
  </si>
  <si>
    <t>12.343677</t>
  </si>
  <si>
    <t>Lietzow B96</t>
  </si>
  <si>
    <t>54.480791</t>
  </si>
  <si>
    <t>13.506093</t>
  </si>
  <si>
    <t>Lietzow(Nauen)</t>
  </si>
  <si>
    <t>52.614890</t>
  </si>
  <si>
    <t>12.830026</t>
  </si>
  <si>
    <t>Lietzow(Rügen)</t>
  </si>
  <si>
    <t>54.480965</t>
  </si>
  <si>
    <t>13.510002</t>
  </si>
  <si>
    <t>Limbach(b Homburg,Saar)</t>
  </si>
  <si>
    <t>49.312148</t>
  </si>
  <si>
    <t>7.279127</t>
  </si>
  <si>
    <t>Limbach(Vogtl)</t>
  </si>
  <si>
    <t>50.587071</t>
  </si>
  <si>
    <t>12.253150</t>
  </si>
  <si>
    <t>Limbach(Vogtl) Markt</t>
  </si>
  <si>
    <t>50.587110</t>
  </si>
  <si>
    <t>12.253300</t>
  </si>
  <si>
    <t>Limburg Süd</t>
  </si>
  <si>
    <t>50.382498</t>
  </si>
  <si>
    <t>8.096112</t>
  </si>
  <si>
    <t>Limburg(Lahn)</t>
  </si>
  <si>
    <t>50.384119</t>
  </si>
  <si>
    <t>8.062342</t>
  </si>
  <si>
    <t>Limburgerhof</t>
  </si>
  <si>
    <t>49.424273</t>
  </si>
  <si>
    <t>8.390747</t>
  </si>
  <si>
    <t>Limmritz(Sachs)</t>
  </si>
  <si>
    <t>51.117809</t>
  </si>
  <si>
    <t>13.049655</t>
  </si>
  <si>
    <t>Linda(Elster)</t>
  </si>
  <si>
    <t>51.853056</t>
  </si>
  <si>
    <t>13.085176</t>
  </si>
  <si>
    <t>Linda(Elster) Ort</t>
  </si>
  <si>
    <t>51.854132</t>
  </si>
  <si>
    <t>13.102363</t>
  </si>
  <si>
    <t>Lindach</t>
  </si>
  <si>
    <t>49.416918</t>
  </si>
  <si>
    <t>9.006460</t>
  </si>
  <si>
    <t>Lindau Hafen</t>
  </si>
  <si>
    <t>Lindau Insel (Bahnhofplatz)</t>
  </si>
  <si>
    <t>Lindau-Aeschach</t>
  </si>
  <si>
    <t>47.559620</t>
  </si>
  <si>
    <t>9.684660</t>
  </si>
  <si>
    <t>Lindau-Insel</t>
  </si>
  <si>
    <t>47.544341</t>
  </si>
  <si>
    <t>9.680469</t>
  </si>
  <si>
    <t>Lindau-Reutin</t>
  </si>
  <si>
    <t>47.552384</t>
  </si>
  <si>
    <t>9.703292</t>
  </si>
  <si>
    <t>Lindau-Reutin (Berliner Platz)</t>
  </si>
  <si>
    <t>Lindenberg(Mark)</t>
  </si>
  <si>
    <t>52.203625</t>
  </si>
  <si>
    <t>14.111705</t>
  </si>
  <si>
    <t>Lindenholzhausen</t>
  </si>
  <si>
    <t>50.377565</t>
  </si>
  <si>
    <t>8.133372</t>
  </si>
  <si>
    <t>Lindern</t>
  </si>
  <si>
    <t>50.996842</t>
  </si>
  <si>
    <t>6.207467</t>
  </si>
  <si>
    <t>Lindhorst(Schaumb-Lippe)</t>
  </si>
  <si>
    <t>52.354320</t>
  </si>
  <si>
    <t>9.288867</t>
  </si>
  <si>
    <t>Lindow(Mark)</t>
  </si>
  <si>
    <t>52.961586</t>
  </si>
  <si>
    <t>12.981417</t>
  </si>
  <si>
    <t>Lindwedel</t>
  </si>
  <si>
    <t>52.610943</t>
  </si>
  <si>
    <t>9.689022</t>
  </si>
  <si>
    <t>Lingen(Ems)</t>
  </si>
  <si>
    <t>52.519867</t>
  </si>
  <si>
    <t>7.321731</t>
  </si>
  <si>
    <t>Lingenfeld</t>
  </si>
  <si>
    <t>49.252584</t>
  </si>
  <si>
    <t>8.349523</t>
  </si>
  <si>
    <t>Linkenheim Rathaus</t>
  </si>
  <si>
    <t>49.123188</t>
  </si>
  <si>
    <t>8.408248</t>
  </si>
  <si>
    <t>Linnich Bhf</t>
  </si>
  <si>
    <t>50.982357</t>
  </si>
  <si>
    <t>6.276227</t>
  </si>
  <si>
    <t>Linnich-Tetz</t>
  </si>
  <si>
    <t>50.964215</t>
  </si>
  <si>
    <t>6.322882</t>
  </si>
  <si>
    <t>Linsburg</t>
  </si>
  <si>
    <t>52.600966</t>
  </si>
  <si>
    <t>9.325638</t>
  </si>
  <si>
    <t>Linsenhofen</t>
  </si>
  <si>
    <t>48.579867</t>
  </si>
  <si>
    <t>9.371531</t>
  </si>
  <si>
    <t>Linz(Rhein) KD</t>
  </si>
  <si>
    <t>Lippborg-Heintrop</t>
  </si>
  <si>
    <t>51.658402</t>
  </si>
  <si>
    <t>8.032115</t>
  </si>
  <si>
    <t>Lippendorf Kraftwerk/Wendestelle</t>
  </si>
  <si>
    <t>51.179817</t>
  </si>
  <si>
    <t>12.371373</t>
  </si>
  <si>
    <t>Lippstadt</t>
  </si>
  <si>
    <t>51.670687</t>
  </si>
  <si>
    <t>8.348785</t>
  </si>
  <si>
    <t>Lispenhausen</t>
  </si>
  <si>
    <t>50.990247</t>
  </si>
  <si>
    <t>9.766787</t>
  </si>
  <si>
    <t>Lispenhausen Zur Wasserburg</t>
  </si>
  <si>
    <t>50.993715</t>
  </si>
  <si>
    <t>9.766772</t>
  </si>
  <si>
    <t>Lissendorf</t>
  </si>
  <si>
    <t>50.318489</t>
  </si>
  <si>
    <t>6.615158</t>
  </si>
  <si>
    <t>Listerscheid</t>
  </si>
  <si>
    <t>51.108143</t>
  </si>
  <si>
    <t>7.849495</t>
  </si>
  <si>
    <t>Löbau(Sachs)</t>
  </si>
  <si>
    <t>51.099447</t>
  </si>
  <si>
    <t>14.671941</t>
  </si>
  <si>
    <t>Lobstädt</t>
  </si>
  <si>
    <t>51.135997</t>
  </si>
  <si>
    <t>12.448732</t>
  </si>
  <si>
    <t>Loburg</t>
  </si>
  <si>
    <t>52.115798</t>
  </si>
  <si>
    <t>12.087432</t>
  </si>
  <si>
    <t>Löcherberg</t>
  </si>
  <si>
    <t>48.434667</t>
  </si>
  <si>
    <t>8.172248</t>
  </si>
  <si>
    <t>Lochham</t>
  </si>
  <si>
    <t>48.128247</t>
  </si>
  <si>
    <t>11.430890</t>
  </si>
  <si>
    <t>Löcknitz</t>
  </si>
  <si>
    <t>53.456100</t>
  </si>
  <si>
    <t>14.215417</t>
  </si>
  <si>
    <t>Lödingsen</t>
  </si>
  <si>
    <t>51.589196</t>
  </si>
  <si>
    <t>9.791027</t>
  </si>
  <si>
    <t>Lödingsen Lindenallee</t>
  </si>
  <si>
    <t>51.594562</t>
  </si>
  <si>
    <t>9.782362</t>
  </si>
  <si>
    <t>Löf</t>
  </si>
  <si>
    <t>50.230569</t>
  </si>
  <si>
    <t>7.443512</t>
  </si>
  <si>
    <t>Löffingen</t>
  </si>
  <si>
    <t>47.883332</t>
  </si>
  <si>
    <t>8.342070</t>
  </si>
  <si>
    <t>Lohgarten-Roth</t>
  </si>
  <si>
    <t>49.243567</t>
  </si>
  <si>
    <t>11.095950</t>
  </si>
  <si>
    <t>Lohhof</t>
  </si>
  <si>
    <t>48.287937</t>
  </si>
  <si>
    <t>11.580813</t>
  </si>
  <si>
    <t>Lohmen</t>
  </si>
  <si>
    <t>50.989060</t>
  </si>
  <si>
    <t>13.987904</t>
  </si>
  <si>
    <t>Löhnberg</t>
  </si>
  <si>
    <t>50.509654</t>
  </si>
  <si>
    <t>8.274636</t>
  </si>
  <si>
    <t>Lohne(Oldb)</t>
  </si>
  <si>
    <t>52.665326</t>
  </si>
  <si>
    <t>8.229292</t>
  </si>
  <si>
    <t>Löhne(Westf)</t>
  </si>
  <si>
    <t>52.196653</t>
  </si>
  <si>
    <t>8.713500</t>
  </si>
  <si>
    <t>Lohnweiler</t>
  </si>
  <si>
    <t>49.635682</t>
  </si>
  <si>
    <t>7.599712</t>
  </si>
  <si>
    <t>Lohr Bahnhof</t>
  </si>
  <si>
    <t>50.004409</t>
  </si>
  <si>
    <t>9.580715</t>
  </si>
  <si>
    <t>Lohsa</t>
  </si>
  <si>
    <t>51.374168</t>
  </si>
  <si>
    <t>14.404144</t>
  </si>
  <si>
    <t>Lohsa Ziegelteich</t>
  </si>
  <si>
    <t>51.385161</t>
  </si>
  <si>
    <t>14.406601</t>
  </si>
  <si>
    <t>Loitsch-Hohenleuben</t>
  </si>
  <si>
    <t>50.734031</t>
  </si>
  <si>
    <t>12.048284</t>
  </si>
  <si>
    <t>Lollar</t>
  </si>
  <si>
    <t>50.647869</t>
  </si>
  <si>
    <t>8.701553</t>
  </si>
  <si>
    <t>Löningen EFH</t>
  </si>
  <si>
    <t>52.736444</t>
  </si>
  <si>
    <t>7.758898</t>
  </si>
  <si>
    <t>Lonsee</t>
  </si>
  <si>
    <t>48.544967</t>
  </si>
  <si>
    <t>9.917377</t>
  </si>
  <si>
    <t>Loppenhausen</t>
  </si>
  <si>
    <t>48.162511</t>
  </si>
  <si>
    <t>10.390907</t>
  </si>
  <si>
    <t>Lorch(Rhein)</t>
  </si>
  <si>
    <t>50.040300</t>
  </si>
  <si>
    <t>7.812843</t>
  </si>
  <si>
    <t>Lorch(Rhein) KD</t>
  </si>
  <si>
    <t>Lorchhausen</t>
  </si>
  <si>
    <t>50.054693</t>
  </si>
  <si>
    <t>7.780455</t>
  </si>
  <si>
    <t>Lörrach Dammstraße</t>
  </si>
  <si>
    <t>47.597713</t>
  </si>
  <si>
    <t>7.655224</t>
  </si>
  <si>
    <t>Lörrach Hbf</t>
  </si>
  <si>
    <t>47.613801</t>
  </si>
  <si>
    <t>7.665303</t>
  </si>
  <si>
    <t>Lörrach Museum/Burghof</t>
  </si>
  <si>
    <t>47.607745</t>
  </si>
  <si>
    <t>7.661175</t>
  </si>
  <si>
    <t>Lörrach Schwarzwaldstraße</t>
  </si>
  <si>
    <t>47.624425</t>
  </si>
  <si>
    <t>7.672486</t>
  </si>
  <si>
    <t>Lörrach-Brombach/Hauingen</t>
  </si>
  <si>
    <t>47.637611</t>
  </si>
  <si>
    <t>7.695207</t>
  </si>
  <si>
    <t>Lörrach-Haagen/Messe</t>
  </si>
  <si>
    <t>47.633233</t>
  </si>
  <si>
    <t>7.680893</t>
  </si>
  <si>
    <t>Lörrach-Stetten</t>
  </si>
  <si>
    <t>47.601418</t>
  </si>
  <si>
    <t>7.659032</t>
  </si>
  <si>
    <t>Lorsbach</t>
  </si>
  <si>
    <t>50.114890</t>
  </si>
  <si>
    <t>8.422853</t>
  </si>
  <si>
    <t>Lorsch</t>
  </si>
  <si>
    <t>49.659093</t>
  </si>
  <si>
    <t>8.566262</t>
  </si>
  <si>
    <t>Lörzenbach-Fahrenbach</t>
  </si>
  <si>
    <t>49.638851</t>
  </si>
  <si>
    <t>8.764628</t>
  </si>
  <si>
    <t>Losheim (Saar)</t>
  </si>
  <si>
    <t>49.506299</t>
  </si>
  <si>
    <t>6.745380</t>
  </si>
  <si>
    <t>Loßburg-Rodt</t>
  </si>
  <si>
    <t>48.418026</t>
  </si>
  <si>
    <t>8.453094</t>
  </si>
  <si>
    <t>Lößnitz Hospitalkirche</t>
  </si>
  <si>
    <t>50.620507</t>
  </si>
  <si>
    <t>12.734137</t>
  </si>
  <si>
    <t>Lößnitz ob Bf</t>
  </si>
  <si>
    <t>50.624873</t>
  </si>
  <si>
    <t>12.748769</t>
  </si>
  <si>
    <t>Lößnitz unt Bf</t>
  </si>
  <si>
    <t>50.611108</t>
  </si>
  <si>
    <t>12.724460</t>
  </si>
  <si>
    <t>Lößnitzgrund</t>
  </si>
  <si>
    <t>51.121277</t>
  </si>
  <si>
    <t>13.653908</t>
  </si>
  <si>
    <t>Lottschesee</t>
  </si>
  <si>
    <t>52.815398</t>
  </si>
  <si>
    <t>13.498501</t>
  </si>
  <si>
    <t>Lövenich</t>
  </si>
  <si>
    <t>50.942932</t>
  </si>
  <si>
    <t>6.834440</t>
  </si>
  <si>
    <t>Löwenberg Am Sonnenhügel</t>
  </si>
  <si>
    <t>52.899368</t>
  </si>
  <si>
    <t>13.159669</t>
  </si>
  <si>
    <t>Löwenberg Kirche</t>
  </si>
  <si>
    <t>52.898802</t>
  </si>
  <si>
    <t>13.152445</t>
  </si>
  <si>
    <t>Löwenberg(Mark)</t>
  </si>
  <si>
    <t>52.896801</t>
  </si>
  <si>
    <t>13.190055</t>
  </si>
  <si>
    <t>Löwental</t>
  </si>
  <si>
    <t>47.661430</t>
  </si>
  <si>
    <t>9.499387</t>
  </si>
  <si>
    <t>Loxstedt</t>
  </si>
  <si>
    <t>53.474653</t>
  </si>
  <si>
    <t>8.654301</t>
  </si>
  <si>
    <t>Lübbecke(Westf)</t>
  </si>
  <si>
    <t>52.306341</t>
  </si>
  <si>
    <t>8.605732</t>
  </si>
  <si>
    <t>Lübben(Spreewald)</t>
  </si>
  <si>
    <t>51.939737</t>
  </si>
  <si>
    <t>13.877182</t>
  </si>
  <si>
    <t>Lübbenau(Spreewald)</t>
  </si>
  <si>
    <t>51.862169</t>
  </si>
  <si>
    <t>13.960900</t>
  </si>
  <si>
    <t>Lübberstedt</t>
  </si>
  <si>
    <t>53.343358</t>
  </si>
  <si>
    <t>8.785104</t>
  </si>
  <si>
    <t>Lübeck Flughafen</t>
  </si>
  <si>
    <t>53.804465</t>
  </si>
  <si>
    <t>10.697352</t>
  </si>
  <si>
    <t>Lübeck Hbf</t>
  </si>
  <si>
    <t>53.867547</t>
  </si>
  <si>
    <t>10.669821</t>
  </si>
  <si>
    <t>Lübeck Hochschulstadtteil</t>
  </si>
  <si>
    <t>53.830770</t>
  </si>
  <si>
    <t>10.688946</t>
  </si>
  <si>
    <t>Lübeck St Jürgen</t>
  </si>
  <si>
    <t>53.842321</t>
  </si>
  <si>
    <t>10.702942</t>
  </si>
  <si>
    <t>Lübeck-Dänischburg Grenzweg</t>
  </si>
  <si>
    <t>53.913070</t>
  </si>
  <si>
    <t>10.740765</t>
  </si>
  <si>
    <t>Lübeck-Dänischburg IKEA</t>
  </si>
  <si>
    <t>53.911202</t>
  </si>
  <si>
    <t>10.735581</t>
  </si>
  <si>
    <t>Lübeck-Kücknitz</t>
  </si>
  <si>
    <t>53.924952</t>
  </si>
  <si>
    <t>10.818890</t>
  </si>
  <si>
    <t>Lübeck-Moisling</t>
  </si>
  <si>
    <t>53.836800</t>
  </si>
  <si>
    <t>10.629500</t>
  </si>
  <si>
    <t>Lübeck-Travem. Skandinavienkai</t>
  </si>
  <si>
    <t>53.950787</t>
  </si>
  <si>
    <t>10.854029</t>
  </si>
  <si>
    <t>Lübeck-Travemünde Hafen</t>
  </si>
  <si>
    <t>53.958759</t>
  </si>
  <si>
    <t>10.865587</t>
  </si>
  <si>
    <t>Lübeck-Travemünde Strand</t>
  </si>
  <si>
    <t>53.964795</t>
  </si>
  <si>
    <t>10.875604</t>
  </si>
  <si>
    <t>Lüblow(Meckl)</t>
  </si>
  <si>
    <t>53.418637</t>
  </si>
  <si>
    <t>11.460084</t>
  </si>
  <si>
    <t>Lubolz</t>
  </si>
  <si>
    <t>51.962416</t>
  </si>
  <si>
    <t>13.821351</t>
  </si>
  <si>
    <t>Lübs(Magdeburg)</t>
  </si>
  <si>
    <t>52.020211</t>
  </si>
  <si>
    <t>11.935170</t>
  </si>
  <si>
    <t>Lübstorf</t>
  </si>
  <si>
    <t>53.728881</t>
  </si>
  <si>
    <t>11.411316</t>
  </si>
  <si>
    <t>Lübstorf Schule</t>
  </si>
  <si>
    <t>53.729361</t>
  </si>
  <si>
    <t>11.407113</t>
  </si>
  <si>
    <t>Lübz</t>
  </si>
  <si>
    <t>53.466802</t>
  </si>
  <si>
    <t>12.025536</t>
  </si>
  <si>
    <t>Luckaitztal</t>
  </si>
  <si>
    <t>51.685047</t>
  </si>
  <si>
    <t>14.001704</t>
  </si>
  <si>
    <t>Luckaitztal Buchwäldchen Ortsmitte</t>
  </si>
  <si>
    <t>51.691919</t>
  </si>
  <si>
    <t>14.006515</t>
  </si>
  <si>
    <t>Luckaitztal Muckwar Gasthaus</t>
  </si>
  <si>
    <t>51.684631</t>
  </si>
  <si>
    <t>14.025364</t>
  </si>
  <si>
    <t>Luckau Krankenhaus</t>
  </si>
  <si>
    <t>51.854827</t>
  </si>
  <si>
    <t>13.704350</t>
  </si>
  <si>
    <t>Luckau-Uckro</t>
  </si>
  <si>
    <t>51.852121</t>
  </si>
  <si>
    <t>13.607840</t>
  </si>
  <si>
    <t>Luckenau</t>
  </si>
  <si>
    <t>51.093993</t>
  </si>
  <si>
    <t>12.077902</t>
  </si>
  <si>
    <t>Luckenwalde</t>
  </si>
  <si>
    <t>52.090590</t>
  </si>
  <si>
    <t>13.160409</t>
  </si>
  <si>
    <t>Luckenwalde Bahnhof (Berliner Platz)</t>
  </si>
  <si>
    <t>52.090510</t>
  </si>
  <si>
    <t>13.159400</t>
  </si>
  <si>
    <t>Lüdenscheid</t>
  </si>
  <si>
    <t>51.220352</t>
  </si>
  <si>
    <t>7.628717</t>
  </si>
  <si>
    <t>Lüdenscheid-Brügge</t>
  </si>
  <si>
    <t>51.207920</t>
  </si>
  <si>
    <t>7.571086</t>
  </si>
  <si>
    <t>Lüdersdorf(Meckl)</t>
  </si>
  <si>
    <t>53.832924</t>
  </si>
  <si>
    <t>10.815143</t>
  </si>
  <si>
    <t>Ludersheim</t>
  </si>
  <si>
    <t>49.392166</t>
  </si>
  <si>
    <t>11.323856</t>
  </si>
  <si>
    <t>Lüdinghausen</t>
  </si>
  <si>
    <t>51.762386</t>
  </si>
  <si>
    <t>7.431312</t>
  </si>
  <si>
    <t>Ludwigsau-Friedlos</t>
  </si>
  <si>
    <t>50.896879</t>
  </si>
  <si>
    <t>9.743325</t>
  </si>
  <si>
    <t>Ludwigsau-Friedlos Raiffeisenbank</t>
  </si>
  <si>
    <t>50.899060</t>
  </si>
  <si>
    <t>9.745690</t>
  </si>
  <si>
    <t>Ludwigsburg</t>
  </si>
  <si>
    <t>48.891862</t>
  </si>
  <si>
    <t>9.185420</t>
  </si>
  <si>
    <t>Ludwigschorgast</t>
  </si>
  <si>
    <t>50.121624</t>
  </si>
  <si>
    <t>11.557252</t>
  </si>
  <si>
    <t>Ludwigsfelde</t>
  </si>
  <si>
    <t>52.298098</t>
  </si>
  <si>
    <t>13.267319</t>
  </si>
  <si>
    <t>Ludwigsfelde-Struveshof</t>
  </si>
  <si>
    <t>52.317181</t>
  </si>
  <si>
    <t>13.232152</t>
  </si>
  <si>
    <t>Ludwigshafen BASF Süd (Tor 7/Tor 1)</t>
  </si>
  <si>
    <t>49.493140</t>
  </si>
  <si>
    <t>8.435993</t>
  </si>
  <si>
    <t>Ludwigshafen Rathaus</t>
  </si>
  <si>
    <t>49.484784</t>
  </si>
  <si>
    <t>8.443692</t>
  </si>
  <si>
    <t>Ludwigshafen(Bodensee)</t>
  </si>
  <si>
    <t>47.815614</t>
  </si>
  <si>
    <t>9.053050</t>
  </si>
  <si>
    <t>Ludwigshafen(Rh)Hbf</t>
  </si>
  <si>
    <t>49.476529</t>
  </si>
  <si>
    <t>8.433042</t>
  </si>
  <si>
    <t>Ludwigshafen(Rhein) BASF Mitte</t>
  </si>
  <si>
    <t>49.510012</t>
  </si>
  <si>
    <t>8.432052</t>
  </si>
  <si>
    <t>Ludwigshafen(Rhein) BASF Nord</t>
  </si>
  <si>
    <t>49.519954</t>
  </si>
  <si>
    <t>8.427878</t>
  </si>
  <si>
    <t>Ludwigshafen(Rhein) BASF Süd</t>
  </si>
  <si>
    <t>49.494006</t>
  </si>
  <si>
    <t>8.438885</t>
  </si>
  <si>
    <t>Ludwigshafen(Rhein) Mitte</t>
  </si>
  <si>
    <t>49.479005</t>
  </si>
  <si>
    <t>8.452152</t>
  </si>
  <si>
    <t>Ludwigshafen(Rhein) Oppau</t>
  </si>
  <si>
    <t>49.519378</t>
  </si>
  <si>
    <t>8.409691</t>
  </si>
  <si>
    <t>Ludwigshafen-Mundenheim</t>
  </si>
  <si>
    <t>49.461572</t>
  </si>
  <si>
    <t>8.421092</t>
  </si>
  <si>
    <t>Ludwigshafen-Oggersheim</t>
  </si>
  <si>
    <t>49.493188</t>
  </si>
  <si>
    <t>8.381523</t>
  </si>
  <si>
    <t>Ludwigshafen-Rheingönheim</t>
  </si>
  <si>
    <t>49.447471</t>
  </si>
  <si>
    <t>8.409493</t>
  </si>
  <si>
    <t>Ludwigshöhe</t>
  </si>
  <si>
    <t>49.499569</t>
  </si>
  <si>
    <t>11.248783</t>
  </si>
  <si>
    <t>Ludwigslust</t>
  </si>
  <si>
    <t>53.334671</t>
  </si>
  <si>
    <t>11.494491</t>
  </si>
  <si>
    <t>Ludwigslust Industriegelände</t>
  </si>
  <si>
    <t>53.310324</t>
  </si>
  <si>
    <t>11.509760</t>
  </si>
  <si>
    <t>Ludwigslust Sporthalle</t>
  </si>
  <si>
    <t>Ludwigsstadt</t>
  </si>
  <si>
    <t>50.486583</t>
  </si>
  <si>
    <t>11.382989</t>
  </si>
  <si>
    <t>Ludwigsthal</t>
  </si>
  <si>
    <t>49.059599</t>
  </si>
  <si>
    <t>13.237815</t>
  </si>
  <si>
    <t>Lügde</t>
  </si>
  <si>
    <t>51.959294</t>
  </si>
  <si>
    <t>9.250830</t>
  </si>
  <si>
    <t>Luhe</t>
  </si>
  <si>
    <t>49.579920</t>
  </si>
  <si>
    <t>12.139463</t>
  </si>
  <si>
    <t>Luhe-Wildenau</t>
  </si>
  <si>
    <t>49.598731</t>
  </si>
  <si>
    <t>12.126909</t>
  </si>
  <si>
    <t>Luisenthal(Saar)</t>
  </si>
  <si>
    <t>49.249595</t>
  </si>
  <si>
    <t>6.904214</t>
  </si>
  <si>
    <t>Lunden</t>
  </si>
  <si>
    <t>54.331231</t>
  </si>
  <si>
    <t>9.030746</t>
  </si>
  <si>
    <t>Lüneburg</t>
  </si>
  <si>
    <t>53.249656</t>
  </si>
  <si>
    <t>10.419890</t>
  </si>
  <si>
    <t>Lünen Hbf</t>
  </si>
  <si>
    <t>51.617129</t>
  </si>
  <si>
    <t>7.529485</t>
  </si>
  <si>
    <t>Lünen-Preußen</t>
  </si>
  <si>
    <t>51.588150</t>
  </si>
  <si>
    <t>7.539692</t>
  </si>
  <si>
    <t>Lünern</t>
  </si>
  <si>
    <t>51.543370</t>
  </si>
  <si>
    <t>7.760771</t>
  </si>
  <si>
    <t>Lunestedt</t>
  </si>
  <si>
    <t>53.439084</t>
  </si>
  <si>
    <t>8.735085</t>
  </si>
  <si>
    <t>Lüssow Ortsmitte</t>
  </si>
  <si>
    <t>53.838926</t>
  </si>
  <si>
    <t>12.142110</t>
  </si>
  <si>
    <t>Lüssow(Meckl)</t>
  </si>
  <si>
    <t>53.843724</t>
  </si>
  <si>
    <t>12.137860</t>
  </si>
  <si>
    <t>51.518314</t>
  </si>
  <si>
    <t>11.550880</t>
  </si>
  <si>
    <t>Lutherstadt Wittenberg Altstadt</t>
  </si>
  <si>
    <t>51.863767</t>
  </si>
  <si>
    <t>12.641431</t>
  </si>
  <si>
    <t>Lutherstadt Wittenberg Hbf</t>
  </si>
  <si>
    <t>51.867811</t>
  </si>
  <si>
    <t>12.662285</t>
  </si>
  <si>
    <t>Lutherstadt Wittenberg-Labetz</t>
  </si>
  <si>
    <t>51.871456</t>
  </si>
  <si>
    <t>12.694192</t>
  </si>
  <si>
    <t>Lutherstadt Wittenberg-Piesteritz</t>
  </si>
  <si>
    <t>51.871862</t>
  </si>
  <si>
    <t>12.596775</t>
  </si>
  <si>
    <t>Lütjenburg</t>
  </si>
  <si>
    <t>54.293025</t>
  </si>
  <si>
    <t>10.601060</t>
  </si>
  <si>
    <t>Lutten</t>
  </si>
  <si>
    <t>52.768181</t>
  </si>
  <si>
    <t>8.343977</t>
  </si>
  <si>
    <t>Lütter</t>
  </si>
  <si>
    <t>50.480867</t>
  </si>
  <si>
    <t>9.765486</t>
  </si>
  <si>
    <t>Lutum</t>
  </si>
  <si>
    <t>51.982349</t>
  </si>
  <si>
    <t>7.226440</t>
  </si>
  <si>
    <t>Lützel</t>
  </si>
  <si>
    <t>50.967045</t>
  </si>
  <si>
    <t>8.174364</t>
  </si>
  <si>
    <t>Lützow</t>
  </si>
  <si>
    <t>53.655968</t>
  </si>
  <si>
    <t>11.180430</t>
  </si>
  <si>
    <t>Lychen Apotheke</t>
  </si>
  <si>
    <t>53.211682</t>
  </si>
  <si>
    <t>13.303766</t>
  </si>
  <si>
    <t>Lychen Markt</t>
  </si>
  <si>
    <t>53.210423</t>
  </si>
  <si>
    <t>13.315589</t>
  </si>
  <si>
    <t>Lychen Retzower Weg</t>
  </si>
  <si>
    <t>53.213341</t>
  </si>
  <si>
    <t>13.297737</t>
  </si>
  <si>
    <t>Lychen Schlüßhof</t>
  </si>
  <si>
    <t>53.209705</t>
  </si>
  <si>
    <t>13.275789</t>
  </si>
  <si>
    <t>Maasbüll(b Niebüll)</t>
  </si>
  <si>
    <t>54.754450</t>
  </si>
  <si>
    <t>8.812742</t>
  </si>
  <si>
    <t>Machern(Sachs)</t>
  </si>
  <si>
    <t>51.357628</t>
  </si>
  <si>
    <t>12.627757</t>
  </si>
  <si>
    <t>Magdeburg Hasselbachplatz</t>
  </si>
  <si>
    <t>Magdeburg Hbf</t>
  </si>
  <si>
    <t>52.130511</t>
  </si>
  <si>
    <t>11.626963</t>
  </si>
  <si>
    <t>Magdeburg Herrenkrug</t>
  </si>
  <si>
    <t>52.145450</t>
  </si>
  <si>
    <t>11.676379</t>
  </si>
  <si>
    <t>Magdeburg SKET Industriepark</t>
  </si>
  <si>
    <t>52.097545</t>
  </si>
  <si>
    <t>11.638277</t>
  </si>
  <si>
    <t>Magdeburg Südost</t>
  </si>
  <si>
    <t>52.070190</t>
  </si>
  <si>
    <t>11.669977</t>
  </si>
  <si>
    <t>Magdeburg-Buckau</t>
  </si>
  <si>
    <t>52.109204</t>
  </si>
  <si>
    <t>11.630040</t>
  </si>
  <si>
    <t>Magdeburg-Eichenweiler</t>
  </si>
  <si>
    <t>52.166448</t>
  </si>
  <si>
    <t>11.657982</t>
  </si>
  <si>
    <t>Magdeburg-Neustadt</t>
  </si>
  <si>
    <t>52.148843</t>
  </si>
  <si>
    <t>11.641703</t>
  </si>
  <si>
    <t>Magdeburg-Rothensee</t>
  </si>
  <si>
    <t>52.186756</t>
  </si>
  <si>
    <t>11.647915</t>
  </si>
  <si>
    <t>Magdeburg-Salbke</t>
  </si>
  <si>
    <t>52.080745</t>
  </si>
  <si>
    <t>11.656447</t>
  </si>
  <si>
    <t>Magdeburg-Sudenburg</t>
  </si>
  <si>
    <t>52.120426</t>
  </si>
  <si>
    <t>11.597136</t>
  </si>
  <si>
    <t>Mägdesprung</t>
  </si>
  <si>
    <t>51.670375</t>
  </si>
  <si>
    <t>11.132653</t>
  </si>
  <si>
    <t>Mägerkingen</t>
  </si>
  <si>
    <t>48.287800</t>
  </si>
  <si>
    <t>9.222604</t>
  </si>
  <si>
    <t>Magstadt</t>
  </si>
  <si>
    <t>48.736138</t>
  </si>
  <si>
    <t>8.965308</t>
  </si>
  <si>
    <t>Mahlow</t>
  </si>
  <si>
    <t>52.360540</t>
  </si>
  <si>
    <t>13.407932</t>
  </si>
  <si>
    <t>Mahlwinkel</t>
  </si>
  <si>
    <t>52.393730</t>
  </si>
  <si>
    <t>11.788824</t>
  </si>
  <si>
    <t>Maichingen</t>
  </si>
  <si>
    <t>48.721950</t>
  </si>
  <si>
    <t>8.969779</t>
  </si>
  <si>
    <t>Maichingen Nord</t>
  </si>
  <si>
    <t>48.727379</t>
  </si>
  <si>
    <t>8.979411</t>
  </si>
  <si>
    <t>Maikammer-Kirrweiler</t>
  </si>
  <si>
    <t>49.305580</t>
  </si>
  <si>
    <t>8.147177</t>
  </si>
  <si>
    <t>Mainaschaff</t>
  </si>
  <si>
    <t>49.982405</t>
  </si>
  <si>
    <t>9.085739</t>
  </si>
  <si>
    <t>Mainau(Bodensee)</t>
  </si>
  <si>
    <t>47.705717</t>
  </si>
  <si>
    <t>9.201527</t>
  </si>
  <si>
    <t>Mainhausen Zellhausen</t>
  </si>
  <si>
    <t>50.015702</t>
  </si>
  <si>
    <t>8.969994</t>
  </si>
  <si>
    <t>Mainleus</t>
  </si>
  <si>
    <t>50.099812</t>
  </si>
  <si>
    <t>11.379525</t>
  </si>
  <si>
    <t>Mainroth</t>
  </si>
  <si>
    <t>50.120661</t>
  </si>
  <si>
    <t>11.319285</t>
  </si>
  <si>
    <t>Maintal Ost</t>
  </si>
  <si>
    <t>50.142340</t>
  </si>
  <si>
    <t>8.836714</t>
  </si>
  <si>
    <t>Maintal West</t>
  </si>
  <si>
    <t>50.140987</t>
  </si>
  <si>
    <t>8.805296</t>
  </si>
  <si>
    <t>Mainz Hbf</t>
  </si>
  <si>
    <t>50.001117</t>
  </si>
  <si>
    <t>8.258720</t>
  </si>
  <si>
    <t>Mainz KD</t>
  </si>
  <si>
    <t>Mainz Nord</t>
  </si>
  <si>
    <t>50.020066</t>
  </si>
  <si>
    <t>8.246852</t>
  </si>
  <si>
    <t>Mainz Römisches Theater</t>
  </si>
  <si>
    <t>49.993465</t>
  </si>
  <si>
    <t>8.277565</t>
  </si>
  <si>
    <t>Mainz Waggonfabrik</t>
  </si>
  <si>
    <t>50.014915</t>
  </si>
  <si>
    <t>8.235108</t>
  </si>
  <si>
    <t>Mainz-Bischofsheim</t>
  </si>
  <si>
    <t>49.993226</t>
  </si>
  <si>
    <t>8.357500</t>
  </si>
  <si>
    <t>Mainz-Gonsenheim</t>
  </si>
  <si>
    <t>49.997756</t>
  </si>
  <si>
    <t>8.214478</t>
  </si>
  <si>
    <t>Mainz-Gustavsburg</t>
  </si>
  <si>
    <t>49.994319</t>
  </si>
  <si>
    <t>8.314197</t>
  </si>
  <si>
    <t>Mainz-Kastel</t>
  </si>
  <si>
    <t>50.006580</t>
  </si>
  <si>
    <t>8.283174</t>
  </si>
  <si>
    <t>Mainz-Laubenheim</t>
  </si>
  <si>
    <t>49.961233</t>
  </si>
  <si>
    <t>8.314183</t>
  </si>
  <si>
    <t>Mainz-Marienborn</t>
  </si>
  <si>
    <t>49.960165</t>
  </si>
  <si>
    <t>8.222902</t>
  </si>
  <si>
    <t>Mainz-Mombach</t>
  </si>
  <si>
    <t>50.022775</t>
  </si>
  <si>
    <t>8.229370</t>
  </si>
  <si>
    <t>Maisach</t>
  </si>
  <si>
    <t>48.214147</t>
  </si>
  <si>
    <t>11.256393</t>
  </si>
  <si>
    <t>Malchin</t>
  </si>
  <si>
    <t>53.743417</t>
  </si>
  <si>
    <t>12.761041</t>
  </si>
  <si>
    <t>Malching(Oberbay)</t>
  </si>
  <si>
    <t>48.215450</t>
  </si>
  <si>
    <t>11.219064</t>
  </si>
  <si>
    <t>Malchow Krebssee</t>
  </si>
  <si>
    <t>53.490842</t>
  </si>
  <si>
    <t>12.388926</t>
  </si>
  <si>
    <t>Malk Göhren</t>
  </si>
  <si>
    <t>53.206911</t>
  </si>
  <si>
    <t>11.376504</t>
  </si>
  <si>
    <t>Mallersdorf</t>
  </si>
  <si>
    <t>48.768098</t>
  </si>
  <si>
    <t>12.256898</t>
  </si>
  <si>
    <t>Malliß</t>
  </si>
  <si>
    <t>53.212826</t>
  </si>
  <si>
    <t>11.326861</t>
  </si>
  <si>
    <t>Malmsheim</t>
  </si>
  <si>
    <t>48.771875</t>
  </si>
  <si>
    <t>8.905224</t>
  </si>
  <si>
    <t>Malsch</t>
  </si>
  <si>
    <t>48.889506</t>
  </si>
  <si>
    <t>8.323585</t>
  </si>
  <si>
    <t>Malsch Süd</t>
  </si>
  <si>
    <t>48.887535</t>
  </si>
  <si>
    <t>8.315875</t>
  </si>
  <si>
    <t>Malsfeld</t>
  </si>
  <si>
    <t>51.097605</t>
  </si>
  <si>
    <t>9.534833</t>
  </si>
  <si>
    <t>Malsfeld-Beiseförth</t>
  </si>
  <si>
    <t>51.083076</t>
  </si>
  <si>
    <t>9.553130</t>
  </si>
  <si>
    <t>Malsfeld-Beiseförth Mühlenplatz</t>
  </si>
  <si>
    <t>51.079760</t>
  </si>
  <si>
    <t>9.545660</t>
  </si>
  <si>
    <t>Malter</t>
  </si>
  <si>
    <t>50.923595</t>
  </si>
  <si>
    <t>13.654343</t>
  </si>
  <si>
    <t>Mammendorf</t>
  </si>
  <si>
    <t>48.216826</t>
  </si>
  <si>
    <t>11.174618</t>
  </si>
  <si>
    <t>Mandern</t>
  </si>
  <si>
    <t>51.125543</t>
  </si>
  <si>
    <t>9.206155</t>
  </si>
  <si>
    <t>Manebach</t>
  </si>
  <si>
    <t>50.680291</t>
  </si>
  <si>
    <t>10.862501</t>
  </si>
  <si>
    <t>Manndorf</t>
  </si>
  <si>
    <t>50.038395</t>
  </si>
  <si>
    <t>10.834224</t>
  </si>
  <si>
    <t>Mannheim ARENA/Maimarkt</t>
  </si>
  <si>
    <t>49.459966</t>
  </si>
  <si>
    <t>8.515928</t>
  </si>
  <si>
    <t>Mannheim Handelshafen/Jungbusch</t>
  </si>
  <si>
    <t>49.492623</t>
  </si>
  <si>
    <t>8.453917</t>
  </si>
  <si>
    <t>Mannheim Hbf</t>
  </si>
  <si>
    <t>49.479354</t>
  </si>
  <si>
    <t>8.468921</t>
  </si>
  <si>
    <t>Mannheim Hbf (Ersatzverkehr)</t>
  </si>
  <si>
    <t>Mannheim-Friedrichsfeld Süd</t>
  </si>
  <si>
    <t>49.438144</t>
  </si>
  <si>
    <t>8.572382</t>
  </si>
  <si>
    <t>Mannheim-Käfertal</t>
  </si>
  <si>
    <t>49.501558</t>
  </si>
  <si>
    <t>8.503772</t>
  </si>
  <si>
    <t>Mannheim-Luzenberg</t>
  </si>
  <si>
    <t>49.517201</t>
  </si>
  <si>
    <t>8.477775</t>
  </si>
  <si>
    <t>Mannheim-Neckarau</t>
  </si>
  <si>
    <t>49.455545</t>
  </si>
  <si>
    <t>8.494792</t>
  </si>
  <si>
    <t>Mannheim-Neckarstadt</t>
  </si>
  <si>
    <t>49.503633</t>
  </si>
  <si>
    <t>8.459566</t>
  </si>
  <si>
    <t>Mannheim-Rheinau</t>
  </si>
  <si>
    <t>49.424091</t>
  </si>
  <si>
    <t>8.534944</t>
  </si>
  <si>
    <t>Mannheim-Waldhof</t>
  </si>
  <si>
    <t>49.525661</t>
  </si>
  <si>
    <t>8.482603</t>
  </si>
  <si>
    <t>Mansfeld(Südharz)</t>
  </si>
  <si>
    <t>51.600325</t>
  </si>
  <si>
    <t>11.452086</t>
  </si>
  <si>
    <t>Marbach Ost (Villingen-Schwenningen)</t>
  </si>
  <si>
    <t>48.033721</t>
  </si>
  <si>
    <t>8.475990</t>
  </si>
  <si>
    <t>Marbach West(Villingen-Schwenningen)</t>
  </si>
  <si>
    <t>48.031286</t>
  </si>
  <si>
    <t>8.469154</t>
  </si>
  <si>
    <t>Marbach(b Münsingen)</t>
  </si>
  <si>
    <t>48.383716</t>
  </si>
  <si>
    <t>9.422304</t>
  </si>
  <si>
    <t>Marbach-Grafeneck</t>
  </si>
  <si>
    <t>48.395856</t>
  </si>
  <si>
    <t>9.431171</t>
  </si>
  <si>
    <t>Marbeck-Heiden</t>
  </si>
  <si>
    <t>51.809404</t>
  </si>
  <si>
    <t>6.906067</t>
  </si>
  <si>
    <t>Marburg Süd</t>
  </si>
  <si>
    <t>50.794467</t>
  </si>
  <si>
    <t>8.762431</t>
  </si>
  <si>
    <t>Marburg(Lahn)</t>
  </si>
  <si>
    <t>50.819272</t>
  </si>
  <si>
    <t>8.775014</t>
  </si>
  <si>
    <t>Margertshausen Bf</t>
  </si>
  <si>
    <t>48.314633</t>
  </si>
  <si>
    <t>10.710733</t>
  </si>
  <si>
    <t>Maria Rain</t>
  </si>
  <si>
    <t>47.632552</t>
  </si>
  <si>
    <t>10.480275</t>
  </si>
  <si>
    <t>Marienau</t>
  </si>
  <si>
    <t>52.104950</t>
  </si>
  <si>
    <t>9.572550</t>
  </si>
  <si>
    <t>Marienborn</t>
  </si>
  <si>
    <t>52.197904</t>
  </si>
  <si>
    <t>11.123269</t>
  </si>
  <si>
    <t>Marienfeld(Westf)</t>
  </si>
  <si>
    <t>51.950091</t>
  </si>
  <si>
    <t>8.278885</t>
  </si>
  <si>
    <t>Marienhafe</t>
  </si>
  <si>
    <t>53.519236</t>
  </si>
  <si>
    <t>7.274360</t>
  </si>
  <si>
    <t>Marienhafe Bahnhof</t>
  </si>
  <si>
    <t>53.520460</t>
  </si>
  <si>
    <t>7.272413</t>
  </si>
  <si>
    <t>Marienheide</t>
  </si>
  <si>
    <t>51.081123</t>
  </si>
  <si>
    <t>7.531982</t>
  </si>
  <si>
    <t>Markdorf(Baden)</t>
  </si>
  <si>
    <t>47.716657</t>
  </si>
  <si>
    <t>9.388770</t>
  </si>
  <si>
    <t>Marke</t>
  </si>
  <si>
    <t>51.740630</t>
  </si>
  <si>
    <t>12.257222</t>
  </si>
  <si>
    <t>Marke Ort</t>
  </si>
  <si>
    <t>51.725961</t>
  </si>
  <si>
    <t>12.249144</t>
  </si>
  <si>
    <t>Markelfingen</t>
  </si>
  <si>
    <t>47.739020</t>
  </si>
  <si>
    <t>9.003409</t>
  </si>
  <si>
    <t>Markelsheim</t>
  </si>
  <si>
    <t>49.478264</t>
  </si>
  <si>
    <t>9.835418</t>
  </si>
  <si>
    <t>Markersbach(Erzgeb)</t>
  </si>
  <si>
    <t>50.534556</t>
  </si>
  <si>
    <t>12.860290</t>
  </si>
  <si>
    <t>Markkleeberg</t>
  </si>
  <si>
    <t>51.279029</t>
  </si>
  <si>
    <t>12.372615</t>
  </si>
  <si>
    <t>Markkleeberg Mitte</t>
  </si>
  <si>
    <t>51.280182</t>
  </si>
  <si>
    <t>12.369742</t>
  </si>
  <si>
    <t>Markkleeberg Nord</t>
  </si>
  <si>
    <t>51.287998</t>
  </si>
  <si>
    <t>12.372204</t>
  </si>
  <si>
    <t>Markkleeberg-Gaschwitz</t>
  </si>
  <si>
    <t>51.249899</t>
  </si>
  <si>
    <t>12.379146</t>
  </si>
  <si>
    <t>Markkleeberg-Großstädteln</t>
  </si>
  <si>
    <t>51.262469</t>
  </si>
  <si>
    <t>12.376329</t>
  </si>
  <si>
    <t>Markranstädt</t>
  </si>
  <si>
    <t>51.307180</t>
  </si>
  <si>
    <t>12.224760</t>
  </si>
  <si>
    <t>Marksuhl</t>
  </si>
  <si>
    <t>50.908350</t>
  </si>
  <si>
    <t>10.224589</t>
  </si>
  <si>
    <t>Markt Bibart</t>
  </si>
  <si>
    <t>49.646089</t>
  </si>
  <si>
    <t>10.425466</t>
  </si>
  <si>
    <t>Markt Erlbach</t>
  </si>
  <si>
    <t>49.492675</t>
  </si>
  <si>
    <t>10.658449</t>
  </si>
  <si>
    <t>Markt Indersdorf</t>
  </si>
  <si>
    <t>48.352391</t>
  </si>
  <si>
    <t>11.378446</t>
  </si>
  <si>
    <t>Markt Schwaben</t>
  </si>
  <si>
    <t>48.193606</t>
  </si>
  <si>
    <t>11.862093</t>
  </si>
  <si>
    <t>Markt Wald Bf</t>
  </si>
  <si>
    <t>48.146733</t>
  </si>
  <si>
    <t>10.593985</t>
  </si>
  <si>
    <t>Marktbreit</t>
  </si>
  <si>
    <t>49.663804</t>
  </si>
  <si>
    <t>10.146092</t>
  </si>
  <si>
    <t>Marktl</t>
  </si>
  <si>
    <t>48.256695</t>
  </si>
  <si>
    <t>12.852478</t>
  </si>
  <si>
    <t>Marktleuthen</t>
  </si>
  <si>
    <t>50.130803</t>
  </si>
  <si>
    <t>12.013170</t>
  </si>
  <si>
    <t>Marktoberdorf</t>
  </si>
  <si>
    <t>47.779215</t>
  </si>
  <si>
    <t>10.614230</t>
  </si>
  <si>
    <t>Marktoberdorf Nord</t>
  </si>
  <si>
    <t>47.789652</t>
  </si>
  <si>
    <t>10.615529</t>
  </si>
  <si>
    <t>Marktoberdorf Schule</t>
  </si>
  <si>
    <t>47.774099</t>
  </si>
  <si>
    <t>10.609997</t>
  </si>
  <si>
    <t>Marktredwitz</t>
  </si>
  <si>
    <t>50.004596</t>
  </si>
  <si>
    <t>12.082583</t>
  </si>
  <si>
    <t>Marktschorgast</t>
  </si>
  <si>
    <t>50.090794</t>
  </si>
  <si>
    <t>11.653530</t>
  </si>
  <si>
    <t>Marl Mitte</t>
  </si>
  <si>
    <t>51.653837</t>
  </si>
  <si>
    <t>7.099575</t>
  </si>
  <si>
    <t>Marl-Hamm</t>
  </si>
  <si>
    <t>51.682972</t>
  </si>
  <si>
    <t>7.131422</t>
  </si>
  <si>
    <t>Marlishausen</t>
  </si>
  <si>
    <t>50.819504</t>
  </si>
  <si>
    <t>11.010056</t>
  </si>
  <si>
    <t>Marl-Sinsen</t>
  </si>
  <si>
    <t>51.667748</t>
  </si>
  <si>
    <t>7.173482</t>
  </si>
  <si>
    <t>Marnheim</t>
  </si>
  <si>
    <t>49.623021</t>
  </si>
  <si>
    <t>8.039141</t>
  </si>
  <si>
    <t>Marquardt</t>
  </si>
  <si>
    <t>52.458881</t>
  </si>
  <si>
    <t>12.971627</t>
  </si>
  <si>
    <t>Marquardt Schule</t>
  </si>
  <si>
    <t>52.461109</t>
  </si>
  <si>
    <t>12.963972</t>
  </si>
  <si>
    <t>Marsberg</t>
  </si>
  <si>
    <t>51.462889</t>
  </si>
  <si>
    <t>8.854904</t>
  </si>
  <si>
    <t>Marstetten-Aitrach</t>
  </si>
  <si>
    <t>47.943559</t>
  </si>
  <si>
    <t>10.080171</t>
  </si>
  <si>
    <t>Martensdorf</t>
  </si>
  <si>
    <t>54.300918</t>
  </si>
  <si>
    <t>12.930252</t>
  </si>
  <si>
    <t>Martensdorf B105</t>
  </si>
  <si>
    <t>54.300861</t>
  </si>
  <si>
    <t>12.929901</t>
  </si>
  <si>
    <t>Martinlamitz</t>
  </si>
  <si>
    <t>50.215527</t>
  </si>
  <si>
    <t>11.950515</t>
  </si>
  <si>
    <t>Martinroda</t>
  </si>
  <si>
    <t>50.733145</t>
  </si>
  <si>
    <t>10.880943</t>
  </si>
  <si>
    <t>Martinroda Ort</t>
  </si>
  <si>
    <t>50.725250</t>
  </si>
  <si>
    <t>10.887805</t>
  </si>
  <si>
    <t>Martinstein</t>
  </si>
  <si>
    <t>49.803978</t>
  </si>
  <si>
    <t>7.536625</t>
  </si>
  <si>
    <t>Martinszell(Allgäu)</t>
  </si>
  <si>
    <t>47.629407</t>
  </si>
  <si>
    <t>10.273885</t>
  </si>
  <si>
    <t>Marxgrün</t>
  </si>
  <si>
    <t>50.354978</t>
  </si>
  <si>
    <t>11.686568</t>
  </si>
  <si>
    <t>Marxzell</t>
  </si>
  <si>
    <t>48.863328</t>
  </si>
  <si>
    <t>8.447351</t>
  </si>
  <si>
    <t>Marzling</t>
  </si>
  <si>
    <t>48.410401</t>
  </si>
  <si>
    <t>11.800108</t>
  </si>
  <si>
    <t>Maselheim</t>
  </si>
  <si>
    <t>48.133249</t>
  </si>
  <si>
    <t>9.877614</t>
  </si>
  <si>
    <t>Massen</t>
  </si>
  <si>
    <t>51.541776</t>
  </si>
  <si>
    <t>7.643711</t>
  </si>
  <si>
    <t>Massing</t>
  </si>
  <si>
    <t>48.394006</t>
  </si>
  <si>
    <t>12.608166</t>
  </si>
  <si>
    <t>Matzenbach</t>
  </si>
  <si>
    <t>49.494378</t>
  </si>
  <si>
    <t>7.456080</t>
  </si>
  <si>
    <t>Matzing</t>
  </si>
  <si>
    <t>47.935527</t>
  </si>
  <si>
    <t>12.592390</t>
  </si>
  <si>
    <t>Maubach</t>
  </si>
  <si>
    <t>48.926218</t>
  </si>
  <si>
    <t>9.419540</t>
  </si>
  <si>
    <t>Mauer(b Heidelberg)</t>
  </si>
  <si>
    <t>49.335802</t>
  </si>
  <si>
    <t>8.795545</t>
  </si>
  <si>
    <t>48.996933</t>
  </si>
  <si>
    <t>8.803726</t>
  </si>
  <si>
    <t>Maulbronn West</t>
  </si>
  <si>
    <t>48.983671</t>
  </si>
  <si>
    <t>8.781788</t>
  </si>
  <si>
    <t>Maulburg</t>
  </si>
  <si>
    <t>47.644374</t>
  </si>
  <si>
    <t>7.780662</t>
  </si>
  <si>
    <t>Mausheim</t>
  </si>
  <si>
    <t>49.120147</t>
  </si>
  <si>
    <t>11.768138</t>
  </si>
  <si>
    <t>Mauthaus</t>
  </si>
  <si>
    <t>50.323404</t>
  </si>
  <si>
    <t>11.494502</t>
  </si>
  <si>
    <t>Maxau</t>
  </si>
  <si>
    <t>49.035966</t>
  </si>
  <si>
    <t>8.307736</t>
  </si>
  <si>
    <t>Maxhütte-Haidhof</t>
  </si>
  <si>
    <t>49.198019</t>
  </si>
  <si>
    <t>12.107818</t>
  </si>
  <si>
    <t>Maximilian Park</t>
  </si>
  <si>
    <t>51.683834</t>
  </si>
  <si>
    <t>7.885058</t>
  </si>
  <si>
    <t>Maximiliansau Eisenbahnstraße</t>
  </si>
  <si>
    <t>49.037212</t>
  </si>
  <si>
    <t>8.298350</t>
  </si>
  <si>
    <t>Maximiliansau West</t>
  </si>
  <si>
    <t>49.038934</t>
  </si>
  <si>
    <t>8.291797</t>
  </si>
  <si>
    <t>Maximiliansau-Im Rüsten</t>
  </si>
  <si>
    <t>49.034880</t>
  </si>
  <si>
    <t>8.279421</t>
  </si>
  <si>
    <t>Mayen Neutor</t>
  </si>
  <si>
    <t>50.327002</t>
  </si>
  <si>
    <t>7.224165</t>
  </si>
  <si>
    <t>Mayen Ost</t>
  </si>
  <si>
    <t>50.329594</t>
  </si>
  <si>
    <t>7.238939</t>
  </si>
  <si>
    <t>Mayen West</t>
  </si>
  <si>
    <t>50.328373</t>
  </si>
  <si>
    <t>7.213894</t>
  </si>
  <si>
    <t>Mayschoß</t>
  </si>
  <si>
    <t>50.517233</t>
  </si>
  <si>
    <t>7.020463</t>
  </si>
  <si>
    <t>Mechernich</t>
  </si>
  <si>
    <t>50.591367</t>
  </si>
  <si>
    <t>6.642296</t>
  </si>
  <si>
    <t>Mechterstädt</t>
  </si>
  <si>
    <t>50.943778</t>
  </si>
  <si>
    <t>10.521367</t>
  </si>
  <si>
    <t>Meckelfeld</t>
  </si>
  <si>
    <t>53.424380</t>
  </si>
  <si>
    <t>10.029711</t>
  </si>
  <si>
    <t>Meckenbeuren</t>
  </si>
  <si>
    <t>47.699760</t>
  </si>
  <si>
    <t>9.558393</t>
  </si>
  <si>
    <t>Meckenheim Industriepark</t>
  </si>
  <si>
    <t>50.643651</t>
  </si>
  <si>
    <t>7.027184</t>
  </si>
  <si>
    <t>Meckenheim Kottenforst</t>
  </si>
  <si>
    <t>50.662412</t>
  </si>
  <si>
    <t>7.022683</t>
  </si>
  <si>
    <t>Meckenheim(Bz Köln)</t>
  </si>
  <si>
    <t>50.627446</t>
  </si>
  <si>
    <t>7.014757</t>
  </si>
  <si>
    <t>Meckesheim</t>
  </si>
  <si>
    <t>49.320658</t>
  </si>
  <si>
    <t>8.812836</t>
  </si>
  <si>
    <t>Medewitz(Mark)</t>
  </si>
  <si>
    <t>52.060706</t>
  </si>
  <si>
    <t>12.391829</t>
  </si>
  <si>
    <t>Meeder</t>
  </si>
  <si>
    <t>50.315656</t>
  </si>
  <si>
    <t>10.906842</t>
  </si>
  <si>
    <t>50.850621</t>
  </si>
  <si>
    <t>12.457584</t>
  </si>
  <si>
    <t>Meerbusch-Osterath</t>
  </si>
  <si>
    <t>51.269017</t>
  </si>
  <si>
    <t>6.625981</t>
  </si>
  <si>
    <t>Meersburg(Bodensee)</t>
  </si>
  <si>
    <t>47.692162</t>
  </si>
  <si>
    <t>9.272623</t>
  </si>
  <si>
    <t>Meeschensee</t>
  </si>
  <si>
    <t>53.754222</t>
  </si>
  <si>
    <t>9.979630</t>
  </si>
  <si>
    <t>Mehltheuer</t>
  </si>
  <si>
    <t>50.544312</t>
  </si>
  <si>
    <t>12.037091</t>
  </si>
  <si>
    <t>Mehrhoog</t>
  </si>
  <si>
    <t>51.738965</t>
  </si>
  <si>
    <t>6.518250</t>
  </si>
  <si>
    <t>Meine</t>
  </si>
  <si>
    <t>52.381353</t>
  </si>
  <si>
    <t>10.535812</t>
  </si>
  <si>
    <t>Meinersdorf Rathaus</t>
  </si>
  <si>
    <t>50.719049</t>
  </si>
  <si>
    <t>12.883946</t>
  </si>
  <si>
    <t>Meinersdorf(Erzgeb)</t>
  </si>
  <si>
    <t>50.723006</t>
  </si>
  <si>
    <t>12.888175</t>
  </si>
  <si>
    <t>Meinersen</t>
  </si>
  <si>
    <t>52.449188</t>
  </si>
  <si>
    <t>10.321114</t>
  </si>
  <si>
    <t>Meinerzhagen</t>
  </si>
  <si>
    <t>51.108144</t>
  </si>
  <si>
    <t>7.634116</t>
  </si>
  <si>
    <t>Meinsdorf</t>
  </si>
  <si>
    <t>51.903191</t>
  </si>
  <si>
    <t>12.256369</t>
  </si>
  <si>
    <t>Meisdorf</t>
  </si>
  <si>
    <t>51.725714</t>
  </si>
  <si>
    <t>11.294529</t>
  </si>
  <si>
    <t>Meißen</t>
  </si>
  <si>
    <t>51.162957</t>
  </si>
  <si>
    <t>13.482522</t>
  </si>
  <si>
    <t>Meißen Altstadt</t>
  </si>
  <si>
    <t>51.159084</t>
  </si>
  <si>
    <t>13.473095</t>
  </si>
  <si>
    <t>Meißen Triebischtal</t>
  </si>
  <si>
    <t>51.152472</t>
  </si>
  <si>
    <t>13.462529</t>
  </si>
  <si>
    <t>Meitingen</t>
  </si>
  <si>
    <t>48.545997</t>
  </si>
  <si>
    <t>10.848050</t>
  </si>
  <si>
    <t>Meitzendorf</t>
  </si>
  <si>
    <t>52.209394</t>
  </si>
  <si>
    <t>11.558967</t>
  </si>
  <si>
    <t>Melbach</t>
  </si>
  <si>
    <t>50.378891</t>
  </si>
  <si>
    <t>8.811518</t>
  </si>
  <si>
    <t>Melbeck-Embsen</t>
  </si>
  <si>
    <t>53.181591</t>
  </si>
  <si>
    <t>10.371102</t>
  </si>
  <si>
    <t>Melchow</t>
  </si>
  <si>
    <t>52.774871</t>
  </si>
  <si>
    <t>13.694375</t>
  </si>
  <si>
    <t>Melchow Bahnübergang</t>
  </si>
  <si>
    <t>52.775240</t>
  </si>
  <si>
    <t>13.696002</t>
  </si>
  <si>
    <t>Meldorf</t>
  </si>
  <si>
    <t>54.087771</t>
  </si>
  <si>
    <t>9.080085</t>
  </si>
  <si>
    <t>Melle</t>
  </si>
  <si>
    <t>52.209257</t>
  </si>
  <si>
    <t>8.343221</t>
  </si>
  <si>
    <t>Mellenbach-Glasbach</t>
  </si>
  <si>
    <t>50.603250</t>
  </si>
  <si>
    <t>11.110281</t>
  </si>
  <si>
    <t>Mellendorf</t>
  </si>
  <si>
    <t>52.548199</t>
  </si>
  <si>
    <t>9.744501</t>
  </si>
  <si>
    <t>Mellingen(Thür)</t>
  </si>
  <si>
    <t>50.950094</t>
  </si>
  <si>
    <t>11.394318</t>
  </si>
  <si>
    <t>Mellrichstadt Bf</t>
  </si>
  <si>
    <t>50.424782</t>
  </si>
  <si>
    <t>10.307039</t>
  </si>
  <si>
    <t>Melsdorf</t>
  </si>
  <si>
    <t>54.312754</t>
  </si>
  <si>
    <t>10.030830</t>
  </si>
  <si>
    <t>Melsungen</t>
  </si>
  <si>
    <t>51.126002</t>
  </si>
  <si>
    <t>9.546079</t>
  </si>
  <si>
    <t>Melsungen Bartenwetzerbrücke</t>
  </si>
  <si>
    <t>51.132177</t>
  </si>
  <si>
    <t>9.548839</t>
  </si>
  <si>
    <t>Melsungen-Röhrenfurth</t>
  </si>
  <si>
    <t>51.154377</t>
  </si>
  <si>
    <t>9.548372</t>
  </si>
  <si>
    <t>Melsungen-Röhrenfurth Mitte</t>
  </si>
  <si>
    <t>51.155560</t>
  </si>
  <si>
    <t>9.547178</t>
  </si>
  <si>
    <t>Melsungen-Schwarzenberg</t>
  </si>
  <si>
    <t>51.146207</t>
  </si>
  <si>
    <t>9.561110</t>
  </si>
  <si>
    <t>Memmingen</t>
  </si>
  <si>
    <t>47.985581</t>
  </si>
  <si>
    <t>10.186853</t>
  </si>
  <si>
    <t>Menden(Rheinl)</t>
  </si>
  <si>
    <t>50.779917</t>
  </si>
  <si>
    <t>7.149549</t>
  </si>
  <si>
    <t>Menden(Sauerland)</t>
  </si>
  <si>
    <t>51.435271</t>
  </si>
  <si>
    <t>7.792084</t>
  </si>
  <si>
    <t>Menden(Sauerland)Süd</t>
  </si>
  <si>
    <t>51.428333</t>
  </si>
  <si>
    <t>7.807804</t>
  </si>
  <si>
    <t>Mendig</t>
  </si>
  <si>
    <t>50.369658</t>
  </si>
  <si>
    <t>7.291007</t>
  </si>
  <si>
    <t>Mendig von-Reth-Platz</t>
  </si>
  <si>
    <t>Mengen</t>
  </si>
  <si>
    <t>48.053515</t>
  </si>
  <si>
    <t>9.336619</t>
  </si>
  <si>
    <t>Mengeringhausen</t>
  </si>
  <si>
    <t>51.360204</t>
  </si>
  <si>
    <t>8.989763</t>
  </si>
  <si>
    <t>Mengersgereuth-Hämmern</t>
  </si>
  <si>
    <t>50.392892</t>
  </si>
  <si>
    <t>11.118299</t>
  </si>
  <si>
    <t>Mengersgereuth-Hämmern Ost</t>
  </si>
  <si>
    <t>50.389471</t>
  </si>
  <si>
    <t>11.127745</t>
  </si>
  <si>
    <t>Menningen-Leitishofen</t>
  </si>
  <si>
    <t>48.006730</t>
  </si>
  <si>
    <t>9.160945</t>
  </si>
  <si>
    <t>Menzingen(Baden)</t>
  </si>
  <si>
    <t>49.136233</t>
  </si>
  <si>
    <t>8.775067</t>
  </si>
  <si>
    <t>Meppen</t>
  </si>
  <si>
    <t>52.696021</t>
  </si>
  <si>
    <t>7.298015</t>
  </si>
  <si>
    <t>Merching</t>
  </si>
  <si>
    <t>48.245769</t>
  </si>
  <si>
    <t>10.979397</t>
  </si>
  <si>
    <t>Merchweiler</t>
  </si>
  <si>
    <t>49.356029</t>
  </si>
  <si>
    <t>7.065547</t>
  </si>
  <si>
    <t>Mering</t>
  </si>
  <si>
    <t>48.262698</t>
  </si>
  <si>
    <t>10.988291</t>
  </si>
  <si>
    <t>Mering-St Afra</t>
  </si>
  <si>
    <t>48.274282</t>
  </si>
  <si>
    <t>10.971202</t>
  </si>
  <si>
    <t>Merklingen - Schwäbische Alb</t>
  </si>
  <si>
    <t>48.521160</t>
  </si>
  <si>
    <t>9.740877</t>
  </si>
  <si>
    <t>Mersch(Westf)</t>
  </si>
  <si>
    <t>51.762112</t>
  </si>
  <si>
    <t>7.737412</t>
  </si>
  <si>
    <t>Merseburg Bergmannsring</t>
  </si>
  <si>
    <t>51.337371</t>
  </si>
  <si>
    <t>11.989651</t>
  </si>
  <si>
    <t>Merseburg Hbf</t>
  </si>
  <si>
    <t>51.356889</t>
  </si>
  <si>
    <t>11.990551</t>
  </si>
  <si>
    <t>Merten(Sieg)</t>
  </si>
  <si>
    <t>50.770480</t>
  </si>
  <si>
    <t>7.385657</t>
  </si>
  <si>
    <t>Mertesheim</t>
  </si>
  <si>
    <t>49.569195</t>
  </si>
  <si>
    <t>8.133923</t>
  </si>
  <si>
    <t>Mertingen Bahnhof</t>
  </si>
  <si>
    <t>48.660971</t>
  </si>
  <si>
    <t>10.824752</t>
  </si>
  <si>
    <t>Merzenich</t>
  </si>
  <si>
    <t>50.840032</t>
  </si>
  <si>
    <t>6.518051</t>
  </si>
  <si>
    <t>Merzig(Saar)</t>
  </si>
  <si>
    <t>49.436419</t>
  </si>
  <si>
    <t>6.634192</t>
  </si>
  <si>
    <t>Merzig(Saar) Ost</t>
  </si>
  <si>
    <t>49.445896</t>
  </si>
  <si>
    <t>6.651132</t>
  </si>
  <si>
    <t>Merzig(Saar) Stadtmitte</t>
  </si>
  <si>
    <t>49.443478</t>
  </si>
  <si>
    <t>6.635226</t>
  </si>
  <si>
    <t>Mesch Neue Mühle</t>
  </si>
  <si>
    <t>52.263840</t>
  </si>
  <si>
    <t>8.520849</t>
  </si>
  <si>
    <t>Meschede</t>
  </si>
  <si>
    <t>51.349603</t>
  </si>
  <si>
    <t>8.279053</t>
  </si>
  <si>
    <t>Meßdorf</t>
  </si>
  <si>
    <t>52.709899</t>
  </si>
  <si>
    <t>11.546771</t>
  </si>
  <si>
    <t>Messel</t>
  </si>
  <si>
    <t>49.921785</t>
  </si>
  <si>
    <t>8.746587</t>
  </si>
  <si>
    <t>Messinghausen</t>
  </si>
  <si>
    <t>51.393192</t>
  </si>
  <si>
    <t>8.679775</t>
  </si>
  <si>
    <t>Meßkirch</t>
  </si>
  <si>
    <t>47.995276</t>
  </si>
  <si>
    <t>9.116188</t>
  </si>
  <si>
    <t>Metelen Land</t>
  </si>
  <si>
    <t>52.162494</t>
  </si>
  <si>
    <t>7.254173</t>
  </si>
  <si>
    <t>Mettenheim</t>
  </si>
  <si>
    <t>49.739906</t>
  </si>
  <si>
    <t>8.334166</t>
  </si>
  <si>
    <t>Mettlach</t>
  </si>
  <si>
    <t>49.495476</t>
  </si>
  <si>
    <t>6.598315</t>
  </si>
  <si>
    <t>Mettmann Stadtwald</t>
  </si>
  <si>
    <t>51.251019</t>
  </si>
  <si>
    <t>6.986951</t>
  </si>
  <si>
    <t>Mettmann Zentrum</t>
  </si>
  <si>
    <t>51.248656</t>
  </si>
  <si>
    <t>6.979813</t>
  </si>
  <si>
    <t>Metzingen(Württ)</t>
  </si>
  <si>
    <t>48.539725</t>
  </si>
  <si>
    <t>9.290156</t>
  </si>
  <si>
    <t>Metzingen-Neuhausen</t>
  </si>
  <si>
    <t>48.532647</t>
  </si>
  <si>
    <t>9.307106</t>
  </si>
  <si>
    <t>Meuselbach-Schwarzmühle</t>
  </si>
  <si>
    <t>50.581412</t>
  </si>
  <si>
    <t>11.079214</t>
  </si>
  <si>
    <t>Meyenburg</t>
  </si>
  <si>
    <t>53.311096</t>
  </si>
  <si>
    <t>12.247161</t>
  </si>
  <si>
    <t>Michelau(Oberfr)</t>
  </si>
  <si>
    <t>50.154980</t>
  </si>
  <si>
    <t>11.116245</t>
  </si>
  <si>
    <t>Michelau(Württ)</t>
  </si>
  <si>
    <t>48.861708</t>
  </si>
  <si>
    <t>9.535570</t>
  </si>
  <si>
    <t>Michelaubrück</t>
  </si>
  <si>
    <t>50.116712</t>
  </si>
  <si>
    <t>9.767679</t>
  </si>
  <si>
    <t>Michelbach(Unterfr)</t>
  </si>
  <si>
    <t>50.099814</t>
  </si>
  <si>
    <t>9.104496</t>
  </si>
  <si>
    <t>Michelstadt</t>
  </si>
  <si>
    <t>49.684858</t>
  </si>
  <si>
    <t>9.001453</t>
  </si>
  <si>
    <t>Michendorf</t>
  </si>
  <si>
    <t>52.316344</t>
  </si>
  <si>
    <t>13.030688</t>
  </si>
  <si>
    <t>Miedelsbach-Steinenberg</t>
  </si>
  <si>
    <t>48.843620</t>
  </si>
  <si>
    <t>9.539130</t>
  </si>
  <si>
    <t>Miesbach</t>
  </si>
  <si>
    <t>47.790829</t>
  </si>
  <si>
    <t>11.830816</t>
  </si>
  <si>
    <t>Miesenbach</t>
  </si>
  <si>
    <t>49.456368</t>
  </si>
  <si>
    <t>7.548373</t>
  </si>
  <si>
    <t>Miesenheim</t>
  </si>
  <si>
    <t>50.404043</t>
  </si>
  <si>
    <t>7.407598</t>
  </si>
  <si>
    <t>Mieste</t>
  </si>
  <si>
    <t>52.483750</t>
  </si>
  <si>
    <t>11.204771</t>
  </si>
  <si>
    <t>Miesterhorst</t>
  </si>
  <si>
    <t>52.466251</t>
  </si>
  <si>
    <t>11.120178</t>
  </si>
  <si>
    <t>Millingen(b Rees)</t>
  </si>
  <si>
    <t>51.809457</t>
  </si>
  <si>
    <t>6.400012</t>
  </si>
  <si>
    <t>Millingen(b Rheinb)</t>
  </si>
  <si>
    <t>51.560154</t>
  </si>
  <si>
    <t>6.556373</t>
  </si>
  <si>
    <t>Milmersdorf</t>
  </si>
  <si>
    <t>53.099216</t>
  </si>
  <si>
    <t>13.637310</t>
  </si>
  <si>
    <t>Miltach</t>
  </si>
  <si>
    <t>49.163962</t>
  </si>
  <si>
    <t>12.768300</t>
  </si>
  <si>
    <t>Miltenberg</t>
  </si>
  <si>
    <t>49.706481</t>
  </si>
  <si>
    <t>9.248467</t>
  </si>
  <si>
    <t>Miltern</t>
  </si>
  <si>
    <t>52.563344</t>
  </si>
  <si>
    <t>11.936624</t>
  </si>
  <si>
    <t>Miltitz-Roitzschen</t>
  </si>
  <si>
    <t>51.106325</t>
  </si>
  <si>
    <t>13.417131</t>
  </si>
  <si>
    <t>Miltzow</t>
  </si>
  <si>
    <t>54.200949</t>
  </si>
  <si>
    <t>13.197458</t>
  </si>
  <si>
    <t>Mimberg</t>
  </si>
  <si>
    <t>49.352868</t>
  </si>
  <si>
    <t>11.274054</t>
  </si>
  <si>
    <t>Mindelaltheim</t>
  </si>
  <si>
    <t>48.455978</t>
  </si>
  <si>
    <t>10.407905</t>
  </si>
  <si>
    <t>Mindelheim</t>
  </si>
  <si>
    <t>48.044917</t>
  </si>
  <si>
    <t>10.501626</t>
  </si>
  <si>
    <t>Minden(Westf)</t>
  </si>
  <si>
    <t>52.290138</t>
  </si>
  <si>
    <t>8.934728</t>
  </si>
  <si>
    <t>Mirow</t>
  </si>
  <si>
    <t>53.270430</t>
  </si>
  <si>
    <t>12.820759</t>
  </si>
  <si>
    <t>Mistorf</t>
  </si>
  <si>
    <t>53.880497</t>
  </si>
  <si>
    <t>12.123044</t>
  </si>
  <si>
    <t>Mistorf Ort</t>
  </si>
  <si>
    <t>53.881667</t>
  </si>
  <si>
    <t>12.143525</t>
  </si>
  <si>
    <t>Mittel Gründau</t>
  </si>
  <si>
    <t>50.230798</t>
  </si>
  <si>
    <t>9.119818</t>
  </si>
  <si>
    <t>Mittelherwigsdorf</t>
  </si>
  <si>
    <t>50.922794</t>
  </si>
  <si>
    <t>14.741280</t>
  </si>
  <si>
    <t>Mittelherwigsdorf Gütchen</t>
  </si>
  <si>
    <t>50.916230</t>
  </si>
  <si>
    <t>14.759911</t>
  </si>
  <si>
    <t>Mittelneufnach Bf</t>
  </si>
  <si>
    <t>48.176411</t>
  </si>
  <si>
    <t>10.598127</t>
  </si>
  <si>
    <t>Mitteloelsnitz</t>
  </si>
  <si>
    <t>50.718034</t>
  </si>
  <si>
    <t>12.706730</t>
  </si>
  <si>
    <t>Mittelschmalkalden</t>
  </si>
  <si>
    <t>50.717714</t>
  </si>
  <si>
    <t>10.400055</t>
  </si>
  <si>
    <t>Mittelsinn</t>
  </si>
  <si>
    <t>50.191195</t>
  </si>
  <si>
    <t>9.623423</t>
  </si>
  <si>
    <t>Mittenwald</t>
  </si>
  <si>
    <t>47.440030</t>
  </si>
  <si>
    <t>11.265705</t>
  </si>
  <si>
    <t>Mittenwald Dekan-Karl-Platz</t>
  </si>
  <si>
    <t>47.438648</t>
  </si>
  <si>
    <t>11.260382</t>
  </si>
  <si>
    <t>Mittenwald(Gr)</t>
  </si>
  <si>
    <t>Mittergars</t>
  </si>
  <si>
    <t>48.150161</t>
  </si>
  <si>
    <t>12.332990</t>
  </si>
  <si>
    <t>Mittweida</t>
  </si>
  <si>
    <t>50.987545</t>
  </si>
  <si>
    <t>12.959863</t>
  </si>
  <si>
    <t>Mixdorf</t>
  </si>
  <si>
    <t>52.197780</t>
  </si>
  <si>
    <t>14.394802</t>
  </si>
  <si>
    <t>Mochenwangen</t>
  </si>
  <si>
    <t>47.872571</t>
  </si>
  <si>
    <t>9.637901</t>
  </si>
  <si>
    <t>Möckern(Magdeburg)</t>
  </si>
  <si>
    <t>52.142959</t>
  </si>
  <si>
    <t>11.951666</t>
  </si>
  <si>
    <t>Möckmühl</t>
  </si>
  <si>
    <t>49.321107</t>
  </si>
  <si>
    <t>9.357979</t>
  </si>
  <si>
    <t>Mockrehna</t>
  </si>
  <si>
    <t>51.505606</t>
  </si>
  <si>
    <t>12.819504</t>
  </si>
  <si>
    <t>Moers</t>
  </si>
  <si>
    <t>51.451147</t>
  </si>
  <si>
    <t>6.641535</t>
  </si>
  <si>
    <t>Mögelin</t>
  </si>
  <si>
    <t>52.560089</t>
  </si>
  <si>
    <t>12.329815</t>
  </si>
  <si>
    <t>Mögglingen(Gmünd)</t>
  </si>
  <si>
    <t>48.824645</t>
  </si>
  <si>
    <t>9.958017</t>
  </si>
  <si>
    <t>Möhringen Bahnhof</t>
  </si>
  <si>
    <t>47.958151</t>
  </si>
  <si>
    <t>8.770796</t>
  </si>
  <si>
    <t>Möhringen Rathaus</t>
  </si>
  <si>
    <t>47.957237</t>
  </si>
  <si>
    <t>8.763373</t>
  </si>
  <si>
    <t>Moidentin</t>
  </si>
  <si>
    <t>53.806071</t>
  </si>
  <si>
    <t>11.481918</t>
  </si>
  <si>
    <t>Moidentin Dorf</t>
  </si>
  <si>
    <t>53.821201</t>
  </si>
  <si>
    <t>11.485261</t>
  </si>
  <si>
    <t>Mölln(Lauenb)</t>
  </si>
  <si>
    <t>53.624414</t>
  </si>
  <si>
    <t>10.683209</t>
  </si>
  <si>
    <t>Mölln(Meckl)</t>
  </si>
  <si>
    <t>53.585939</t>
  </si>
  <si>
    <t>13.084507</t>
  </si>
  <si>
    <t>Mömbris-Mensengesäß</t>
  </si>
  <si>
    <t>50.070309</t>
  </si>
  <si>
    <t>9.166218</t>
  </si>
  <si>
    <t>Mömbris-Strötzbach</t>
  </si>
  <si>
    <t>50.079471</t>
  </si>
  <si>
    <t>9.156228</t>
  </si>
  <si>
    <t>Monbach-Neuhausen</t>
  </si>
  <si>
    <t>48.799166</t>
  </si>
  <si>
    <t>8.728328</t>
  </si>
  <si>
    <t>Mönchengladbach Hbf</t>
  </si>
  <si>
    <t>51.196583</t>
  </si>
  <si>
    <t>6.446111</t>
  </si>
  <si>
    <t>Mönchengladbach-Genhausen</t>
  </si>
  <si>
    <t>51.148081</t>
  </si>
  <si>
    <t>6.329040</t>
  </si>
  <si>
    <t>Mönchengladbach-Lürrip</t>
  </si>
  <si>
    <t>51.199625</t>
  </si>
  <si>
    <t>6.472428</t>
  </si>
  <si>
    <t>Mönchengladbach-Rheindahlen</t>
  </si>
  <si>
    <t>51.150712</t>
  </si>
  <si>
    <t>6.357894</t>
  </si>
  <si>
    <t>Mönchhagen</t>
  </si>
  <si>
    <t>54.143570</t>
  </si>
  <si>
    <t>12.225336</t>
  </si>
  <si>
    <t>Mönchhagen B105/Oberdorf/Unterdorf</t>
  </si>
  <si>
    <t>54.147996</t>
  </si>
  <si>
    <t>12.227199</t>
  </si>
  <si>
    <t>Mönchröden</t>
  </si>
  <si>
    <t>50.302227</t>
  </si>
  <si>
    <t>11.057613</t>
  </si>
  <si>
    <t>Monreal</t>
  </si>
  <si>
    <t>50.296357</t>
  </si>
  <si>
    <t>7.153055</t>
  </si>
  <si>
    <t>Monschau</t>
  </si>
  <si>
    <t>50.564863</t>
  </si>
  <si>
    <t>6.234234</t>
  </si>
  <si>
    <t>Monsheim</t>
  </si>
  <si>
    <t>49.633666</t>
  </si>
  <si>
    <t>8.208162</t>
  </si>
  <si>
    <t>Montabaur</t>
  </si>
  <si>
    <t>50.444834</t>
  </si>
  <si>
    <t>7.825333</t>
  </si>
  <si>
    <t>Monzingen</t>
  </si>
  <si>
    <t>49.793466</t>
  </si>
  <si>
    <t>7.588673</t>
  </si>
  <si>
    <t>Moorbekhalle</t>
  </si>
  <si>
    <t>53.717155</t>
  </si>
  <si>
    <t>9.991744</t>
  </si>
  <si>
    <t>Moosbachtal</t>
  </si>
  <si>
    <t>49.165954</t>
  </si>
  <si>
    <t>7.754959</t>
  </si>
  <si>
    <t>Moosburg</t>
  </si>
  <si>
    <t>48.470330</t>
  </si>
  <si>
    <t>11.930382</t>
  </si>
  <si>
    <t>Moosrain</t>
  </si>
  <si>
    <t>47.767574</t>
  </si>
  <si>
    <t>11.720550</t>
  </si>
  <si>
    <t>Möringen(Altm)</t>
  </si>
  <si>
    <t>52.581661</t>
  </si>
  <si>
    <t>11.748849</t>
  </si>
  <si>
    <t>Moritzburg</t>
  </si>
  <si>
    <t>51.155587</t>
  </si>
  <si>
    <t>13.683435</t>
  </si>
  <si>
    <t>Mörlenbach</t>
  </si>
  <si>
    <t>49.597299</t>
  </si>
  <si>
    <t>8.730987</t>
  </si>
  <si>
    <t>Morlesau</t>
  </si>
  <si>
    <t>50.117146</t>
  </si>
  <si>
    <t>9.799066</t>
  </si>
  <si>
    <t>Morsum</t>
  </si>
  <si>
    <t>54.872142</t>
  </si>
  <si>
    <t>8.432464</t>
  </si>
  <si>
    <t>Morsum Bahnhof, Sylt</t>
  </si>
  <si>
    <t>54.872021</t>
  </si>
  <si>
    <t>8.431976</t>
  </si>
  <si>
    <t>Mosbach West</t>
  </si>
  <si>
    <t>49.346770</t>
  </si>
  <si>
    <t>9.134042</t>
  </si>
  <si>
    <t>Mosbach(Baden)</t>
  </si>
  <si>
    <t>49.352560</t>
  </si>
  <si>
    <t>9.143655</t>
  </si>
  <si>
    <t>Mosbach-Neckarelz</t>
  </si>
  <si>
    <t>49.348484</t>
  </si>
  <si>
    <t>9.113093</t>
  </si>
  <si>
    <t>Mosel</t>
  </si>
  <si>
    <t>50.783598</t>
  </si>
  <si>
    <t>12.481399</t>
  </si>
  <si>
    <t>Moselkern</t>
  </si>
  <si>
    <t>50.195483</t>
  </si>
  <si>
    <t>7.371357</t>
  </si>
  <si>
    <t>Möser</t>
  </si>
  <si>
    <t>52.218981</t>
  </si>
  <si>
    <t>11.784620</t>
  </si>
  <si>
    <t>Mössingen</t>
  </si>
  <si>
    <t>48.404037</t>
  </si>
  <si>
    <t>9.046391</t>
  </si>
  <si>
    <t>Möttingen</t>
  </si>
  <si>
    <t>48.806806</t>
  </si>
  <si>
    <t>10.597832</t>
  </si>
  <si>
    <t>Mücheln(Geiseltal)</t>
  </si>
  <si>
    <t>51.307641</t>
  </si>
  <si>
    <t>11.804437</t>
  </si>
  <si>
    <t>Mücka</t>
  </si>
  <si>
    <t>51.319529</t>
  </si>
  <si>
    <t>14.708179</t>
  </si>
  <si>
    <t>Mücka Schule</t>
  </si>
  <si>
    <t>51.315091</t>
  </si>
  <si>
    <t>14.703529</t>
  </si>
  <si>
    <t>Müden(Mosel)</t>
  </si>
  <si>
    <t>50.184860</t>
  </si>
  <si>
    <t>7.339393</t>
  </si>
  <si>
    <t>Mudersbach</t>
  </si>
  <si>
    <t>50.827476</t>
  </si>
  <si>
    <t>7.951651</t>
  </si>
  <si>
    <t>Mügeln Bf</t>
  </si>
  <si>
    <t>51.236462</t>
  </si>
  <si>
    <t>13.059797</t>
  </si>
  <si>
    <t>Muggensturm</t>
  </si>
  <si>
    <t>48.876666</t>
  </si>
  <si>
    <t>8.273716</t>
  </si>
  <si>
    <t>Muggensturm Badesee</t>
  </si>
  <si>
    <t>48.879996</t>
  </si>
  <si>
    <t>8.286613</t>
  </si>
  <si>
    <t>Mühlacker</t>
  </si>
  <si>
    <t>48.953192</t>
  </si>
  <si>
    <t>8.846101</t>
  </si>
  <si>
    <t>Mühlacker Rößlesweg</t>
  </si>
  <si>
    <t>48.956340</t>
  </si>
  <si>
    <t>8.860143</t>
  </si>
  <si>
    <t>Mühlacker Steuler</t>
  </si>
  <si>
    <t>48.955129</t>
  </si>
  <si>
    <t>8.862346</t>
  </si>
  <si>
    <t>Mühlanger</t>
  </si>
  <si>
    <t>51.855712</t>
  </si>
  <si>
    <t>12.748212</t>
  </si>
  <si>
    <t>Mühlbach(Pirna)</t>
  </si>
  <si>
    <t>50.914118</t>
  </si>
  <si>
    <t>13.818784</t>
  </si>
  <si>
    <t>Mühlen(b Horb)</t>
  </si>
  <si>
    <t>48.449941</t>
  </si>
  <si>
    <t>8.726802</t>
  </si>
  <si>
    <t>Mühlen(Oldb)</t>
  </si>
  <si>
    <t>52.619692</t>
  </si>
  <si>
    <t>8.208512</t>
  </si>
  <si>
    <t>Mühlenbeck-Mönchmühle</t>
  </si>
  <si>
    <t>52.654605</t>
  </si>
  <si>
    <t>13.386844</t>
  </si>
  <si>
    <t>Mühlhausen(b Engen)</t>
  </si>
  <si>
    <t>47.813630</t>
  </si>
  <si>
    <t>8.804252</t>
  </si>
  <si>
    <t>Mühlhausen(Thür)</t>
  </si>
  <si>
    <t>51.209193</t>
  </si>
  <si>
    <t>10.474041</t>
  </si>
  <si>
    <t>Mühlheim(b Tuttlingen)</t>
  </si>
  <si>
    <t>48.029212</t>
  </si>
  <si>
    <t>8.885643</t>
  </si>
  <si>
    <t>Mühlheim(Main)-Dietesheim</t>
  </si>
  <si>
    <t>50.120422</t>
  </si>
  <si>
    <t>8.858175</t>
  </si>
  <si>
    <t>Mühlingen-Zoznegg</t>
  </si>
  <si>
    <t>47.903461</t>
  </si>
  <si>
    <t>9.027468</t>
  </si>
  <si>
    <t>Mühlstetten</t>
  </si>
  <si>
    <t>49.151491</t>
  </si>
  <si>
    <t>11.007960</t>
  </si>
  <si>
    <t>Mühltal</t>
  </si>
  <si>
    <t>49.832203</t>
  </si>
  <si>
    <t>8.703318</t>
  </si>
  <si>
    <t>Muhr am See</t>
  </si>
  <si>
    <t>49.154360</t>
  </si>
  <si>
    <t>10.720493</t>
  </si>
  <si>
    <t>Mühringen</t>
  </si>
  <si>
    <t>48.419884</t>
  </si>
  <si>
    <t>8.759939</t>
  </si>
  <si>
    <t>Mulda(Sachs)</t>
  </si>
  <si>
    <t>50.808999</t>
  </si>
  <si>
    <t>13.413153</t>
  </si>
  <si>
    <t>Muldenberg</t>
  </si>
  <si>
    <t>50.425194</t>
  </si>
  <si>
    <t>12.397350</t>
  </si>
  <si>
    <t>Muldenberg Floßplatz</t>
  </si>
  <si>
    <t>50.415690</t>
  </si>
  <si>
    <t>12.399034</t>
  </si>
  <si>
    <t>Muldenhütten</t>
  </si>
  <si>
    <t>50.905685</t>
  </si>
  <si>
    <t>13.388804</t>
  </si>
  <si>
    <t>Muldenstein</t>
  </si>
  <si>
    <t>51.667787</t>
  </si>
  <si>
    <t>12.354047</t>
  </si>
  <si>
    <t>Mülheim(Ruhr)Hbf</t>
  </si>
  <si>
    <t>51.431342</t>
  </si>
  <si>
    <t>6.886510</t>
  </si>
  <si>
    <t>Mülheim(Ruhr)Styrum</t>
  </si>
  <si>
    <t>51.449203</t>
  </si>
  <si>
    <t>6.852636</t>
  </si>
  <si>
    <t>Mülheim(Ruhr)West</t>
  </si>
  <si>
    <t>51.439654</t>
  </si>
  <si>
    <t>6.871404</t>
  </si>
  <si>
    <t>Mülheim-Kärlich</t>
  </si>
  <si>
    <t>50.402613</t>
  </si>
  <si>
    <t>7.508780</t>
  </si>
  <si>
    <t>Müllheim im Markgräflerland</t>
  </si>
  <si>
    <t>47.809743</t>
  </si>
  <si>
    <t>7.599332</t>
  </si>
  <si>
    <t>Müllrose</t>
  </si>
  <si>
    <t>52.242046</t>
  </si>
  <si>
    <t>14.434246</t>
  </si>
  <si>
    <t>Müllrose Markt</t>
  </si>
  <si>
    <t>52.245751</t>
  </si>
  <si>
    <t>14.414015</t>
  </si>
  <si>
    <t>Mulsum-Essel</t>
  </si>
  <si>
    <t>53.498745</t>
  </si>
  <si>
    <t>9.307073</t>
  </si>
  <si>
    <t>Münchberg</t>
  </si>
  <si>
    <t>50.189043</t>
  </si>
  <si>
    <t>11.790667</t>
  </si>
  <si>
    <t>Müncheberg(Mark)</t>
  </si>
  <si>
    <t>52.524727</t>
  </si>
  <si>
    <t>14.100332</t>
  </si>
  <si>
    <t>Münchehof(Harz)</t>
  </si>
  <si>
    <t>51.848306</t>
  </si>
  <si>
    <t>10.188654</t>
  </si>
  <si>
    <t>München Donnersbergerbrücke</t>
  </si>
  <si>
    <t>48.142623</t>
  </si>
  <si>
    <t>11.536537</t>
  </si>
  <si>
    <t>München Flughafen Besucherpark</t>
  </si>
  <si>
    <t>48.352095</t>
  </si>
  <si>
    <t>11.764185</t>
  </si>
  <si>
    <t>München Flughafen Terminal</t>
  </si>
  <si>
    <t>48.353728</t>
  </si>
  <si>
    <t>11.785970</t>
  </si>
  <si>
    <t>München Hackerbrücke</t>
  </si>
  <si>
    <t>48.141969</t>
  </si>
  <si>
    <t>11.548572</t>
  </si>
  <si>
    <t>München Harras</t>
  </si>
  <si>
    <t>48.117747</t>
  </si>
  <si>
    <t>11.536311</t>
  </si>
  <si>
    <t>München Hbf</t>
  </si>
  <si>
    <t>48.140232</t>
  </si>
  <si>
    <t>11.558335</t>
  </si>
  <si>
    <t>München Heimeranplatz</t>
  </si>
  <si>
    <t>48.132961</t>
  </si>
  <si>
    <t>11.531500</t>
  </si>
  <si>
    <t>München Hirschgarten</t>
  </si>
  <si>
    <t>48.143540</t>
  </si>
  <si>
    <t>11.519245</t>
  </si>
  <si>
    <t>München Isartor</t>
  </si>
  <si>
    <t>48.134202</t>
  </si>
  <si>
    <t>11.583234</t>
  </si>
  <si>
    <t>München Karlsplatz</t>
  </si>
  <si>
    <t>48.139452</t>
  </si>
  <si>
    <t>11.565619</t>
  </si>
  <si>
    <t>München Leienfelsstr.</t>
  </si>
  <si>
    <t>48.154538</t>
  </si>
  <si>
    <t>11.428524</t>
  </si>
  <si>
    <t>München Lenbachplatz</t>
  </si>
  <si>
    <t>München Leuchtenbergring</t>
  </si>
  <si>
    <t>48.134250</t>
  </si>
  <si>
    <t>11.615986</t>
  </si>
  <si>
    <t>München Marienplatz</t>
  </si>
  <si>
    <t>48.137048</t>
  </si>
  <si>
    <t>11.575386</t>
  </si>
  <si>
    <t>München Odeonsplatz</t>
  </si>
  <si>
    <t>48.142946</t>
  </si>
  <si>
    <t>11.577816</t>
  </si>
  <si>
    <t>München Ost</t>
  </si>
  <si>
    <t>48.127440</t>
  </si>
  <si>
    <t>11.604971</t>
  </si>
  <si>
    <t>München Rosenheimer Platz</t>
  </si>
  <si>
    <t>48.129168</t>
  </si>
  <si>
    <t>11.593049</t>
  </si>
  <si>
    <t>München Siemenswerke</t>
  </si>
  <si>
    <t>48.094503</t>
  </si>
  <si>
    <t>11.532799</t>
  </si>
  <si>
    <t>München St.Martin-Str.</t>
  </si>
  <si>
    <t>48.118543</t>
  </si>
  <si>
    <t>11.595785</t>
  </si>
  <si>
    <t>München(Bad Berka)</t>
  </si>
  <si>
    <t>50.870051</t>
  </si>
  <si>
    <t>11.254596</t>
  </si>
  <si>
    <t>München-Allach</t>
  </si>
  <si>
    <t>48.189932</t>
  </si>
  <si>
    <t>11.468036</t>
  </si>
  <si>
    <t>München-Aubing</t>
  </si>
  <si>
    <t>48.155968</t>
  </si>
  <si>
    <t>11.413309</t>
  </si>
  <si>
    <t>München-Berg am Laim</t>
  </si>
  <si>
    <t>48.134001</t>
  </si>
  <si>
    <t>11.633295</t>
  </si>
  <si>
    <t>München-Daglfing</t>
  </si>
  <si>
    <t>48.149622</t>
  </si>
  <si>
    <t>11.649330</t>
  </si>
  <si>
    <t>München-Englschalking</t>
  </si>
  <si>
    <t>48.156915</t>
  </si>
  <si>
    <t>11.648335</t>
  </si>
  <si>
    <t>München-Fasanerie</t>
  </si>
  <si>
    <t>48.197811</t>
  </si>
  <si>
    <t>11.525924</t>
  </si>
  <si>
    <t>München-Fasangarten</t>
  </si>
  <si>
    <t>48.092746</t>
  </si>
  <si>
    <t>11.606009</t>
  </si>
  <si>
    <t>München-Feldmoching</t>
  </si>
  <si>
    <t>48.213813</t>
  </si>
  <si>
    <t>11.541318</t>
  </si>
  <si>
    <t>München-Freiham</t>
  </si>
  <si>
    <t>48.140000</t>
  </si>
  <si>
    <t>11.410112</t>
  </si>
  <si>
    <t>München-Giesing</t>
  </si>
  <si>
    <t>48.110803</t>
  </si>
  <si>
    <t>11.596346</t>
  </si>
  <si>
    <t>München-Johanneskirchen</t>
  </si>
  <si>
    <t>48.167638</t>
  </si>
  <si>
    <t>11.646058</t>
  </si>
  <si>
    <t>München-Karlsfeld</t>
  </si>
  <si>
    <t>48.211179</t>
  </si>
  <si>
    <t>11.459568</t>
  </si>
  <si>
    <t>München-Laim</t>
  </si>
  <si>
    <t>48.144371</t>
  </si>
  <si>
    <t>11.503669</t>
  </si>
  <si>
    <t>München-Langwied</t>
  </si>
  <si>
    <t>48.163112</t>
  </si>
  <si>
    <t>11.432508</t>
  </si>
  <si>
    <t>München-Lochhausen</t>
  </si>
  <si>
    <t>48.176505</t>
  </si>
  <si>
    <t>11.407895</t>
  </si>
  <si>
    <t>München-Mittersendling</t>
  </si>
  <si>
    <t>48.107824</t>
  </si>
  <si>
    <t>11.536354</t>
  </si>
  <si>
    <t>München-Moosach</t>
  </si>
  <si>
    <t>48.180258</t>
  </si>
  <si>
    <t>11.506237</t>
  </si>
  <si>
    <t>München-Neuaubing</t>
  </si>
  <si>
    <t>48.141706</t>
  </si>
  <si>
    <t>11.422197</t>
  </si>
  <si>
    <t>München-Neuperlach Süd</t>
  </si>
  <si>
    <t>48.088685</t>
  </si>
  <si>
    <t>11.645175</t>
  </si>
  <si>
    <t>München-Obermenzing</t>
  </si>
  <si>
    <t>48.164223</t>
  </si>
  <si>
    <t>11.478117</t>
  </si>
  <si>
    <t>München-Pasing</t>
  </si>
  <si>
    <t>48.149852</t>
  </si>
  <si>
    <t>11.461872</t>
  </si>
  <si>
    <t>München-Perlach</t>
  </si>
  <si>
    <t>48.093426</t>
  </si>
  <si>
    <t>11.631208</t>
  </si>
  <si>
    <t>München-Riem</t>
  </si>
  <si>
    <t>48.143983</t>
  </si>
  <si>
    <t>11.678049</t>
  </si>
  <si>
    <t>München-Solln</t>
  </si>
  <si>
    <t>48.079921</t>
  </si>
  <si>
    <t>11.526954</t>
  </si>
  <si>
    <t>München-Trudering</t>
  </si>
  <si>
    <t>48.126066</t>
  </si>
  <si>
    <t>11.663375</t>
  </si>
  <si>
    <t>München-Untermenzing</t>
  </si>
  <si>
    <t>48.177673</t>
  </si>
  <si>
    <t>11.472792</t>
  </si>
  <si>
    <t>München-Westkreuz</t>
  </si>
  <si>
    <t>48.149026</t>
  </si>
  <si>
    <t>11.443940</t>
  </si>
  <si>
    <t>Münchhausen</t>
  </si>
  <si>
    <t>50.963623</t>
  </si>
  <si>
    <t>8.717247</t>
  </si>
  <si>
    <t>Münchingen</t>
  </si>
  <si>
    <t>48.855236</t>
  </si>
  <si>
    <t>9.096218</t>
  </si>
  <si>
    <t>Münchingen Rührberg</t>
  </si>
  <si>
    <t>48.849796</t>
  </si>
  <si>
    <t>9.095853</t>
  </si>
  <si>
    <t>Münchsmünster</t>
  </si>
  <si>
    <t>48.758693</t>
  </si>
  <si>
    <t>11.688439</t>
  </si>
  <si>
    <t>Münchweiler(Alsenz)</t>
  </si>
  <si>
    <t>49.550606</t>
  </si>
  <si>
    <t>7.887939</t>
  </si>
  <si>
    <t>Münchweiler(Rodalb)</t>
  </si>
  <si>
    <t>49.221355</t>
  </si>
  <si>
    <t>7.700417</t>
  </si>
  <si>
    <t>Munderkingen</t>
  </si>
  <si>
    <t>48.237872</t>
  </si>
  <si>
    <t>9.645671</t>
  </si>
  <si>
    <t>Münnerstadt</t>
  </si>
  <si>
    <t>50.250078</t>
  </si>
  <si>
    <t>10.188634</t>
  </si>
  <si>
    <t>Münsingen</t>
  </si>
  <si>
    <t>48.409213</t>
  </si>
  <si>
    <t>9.490144</t>
  </si>
  <si>
    <t>Münster(Hessen)</t>
  </si>
  <si>
    <t>49.923514</t>
  </si>
  <si>
    <t>8.853717</t>
  </si>
  <si>
    <t>Munster(Örtze)</t>
  </si>
  <si>
    <t>52.993312</t>
  </si>
  <si>
    <t>10.096487</t>
  </si>
  <si>
    <t>Münster(W)Zentrum Nord</t>
  </si>
  <si>
    <t>51.984320</t>
  </si>
  <si>
    <t>7.638470</t>
  </si>
  <si>
    <t>Münster(Westf)Hbf</t>
  </si>
  <si>
    <t>51.956566</t>
  </si>
  <si>
    <t>7.635715</t>
  </si>
  <si>
    <t>Münster-Albachten</t>
  </si>
  <si>
    <t>51.914576</t>
  </si>
  <si>
    <t>7.528197</t>
  </si>
  <si>
    <t>Münster-Amelsbüren</t>
  </si>
  <si>
    <t>51.883662</t>
  </si>
  <si>
    <t>7.598897</t>
  </si>
  <si>
    <t>Münster-Häger</t>
  </si>
  <si>
    <t>52.022062</t>
  </si>
  <si>
    <t>7.562341</t>
  </si>
  <si>
    <t>Münster-Hiltrup</t>
  </si>
  <si>
    <t>51.904755</t>
  </si>
  <si>
    <t>7.654281</t>
  </si>
  <si>
    <t>Münster-Mecklenbeck</t>
  </si>
  <si>
    <t>51.924006</t>
  </si>
  <si>
    <t>7.579568</t>
  </si>
  <si>
    <t>Münster-Roxel</t>
  </si>
  <si>
    <t>51.946411</t>
  </si>
  <si>
    <t>7.526126</t>
  </si>
  <si>
    <t>Münster-Sarmsheim</t>
  </si>
  <si>
    <t>49.947388</t>
  </si>
  <si>
    <t>7.898033</t>
  </si>
  <si>
    <t>Münster-Sprakel</t>
  </si>
  <si>
    <t>52.041513</t>
  </si>
  <si>
    <t>7.619982</t>
  </si>
  <si>
    <t>Münstertal(Schwarzwald)</t>
  </si>
  <si>
    <t>47.855074</t>
  </si>
  <si>
    <t>7.781217</t>
  </si>
  <si>
    <t>Münzesheim</t>
  </si>
  <si>
    <t>49.126080</t>
  </si>
  <si>
    <t>8.716007</t>
  </si>
  <si>
    <t>Münzesheim Ost</t>
  </si>
  <si>
    <t>49.121492</t>
  </si>
  <si>
    <t>8.726215</t>
  </si>
  <si>
    <t>Murg(Baden)</t>
  </si>
  <si>
    <t>47.553452</t>
  </si>
  <si>
    <t>8.018725</t>
  </si>
  <si>
    <t>Mürlenbach</t>
  </si>
  <si>
    <t>50.148782</t>
  </si>
  <si>
    <t>6.601548</t>
  </si>
  <si>
    <t>Murnau</t>
  </si>
  <si>
    <t>47.682266</t>
  </si>
  <si>
    <t>11.192628</t>
  </si>
  <si>
    <t>Murnau Ort</t>
  </si>
  <si>
    <t>47.678834</t>
  </si>
  <si>
    <t>11.195660</t>
  </si>
  <si>
    <t>Murrhardt</t>
  </si>
  <si>
    <t>48.982757</t>
  </si>
  <si>
    <t>9.577770</t>
  </si>
  <si>
    <t>Mußbach</t>
  </si>
  <si>
    <t>49.371960</t>
  </si>
  <si>
    <t>8.168529</t>
  </si>
  <si>
    <t>Müssen</t>
  </si>
  <si>
    <t>53.499464</t>
  </si>
  <si>
    <t>10.561128</t>
  </si>
  <si>
    <t>Nabburg</t>
  </si>
  <si>
    <t>49.447167</t>
  </si>
  <si>
    <t>12.180701</t>
  </si>
  <si>
    <t>Nachterstedt-Hoym</t>
  </si>
  <si>
    <t>51.802908</t>
  </si>
  <si>
    <t>11.333025</t>
  </si>
  <si>
    <t>Nackenheim</t>
  </si>
  <si>
    <t>49.919106</t>
  </si>
  <si>
    <t>8.341885</t>
  </si>
  <si>
    <t>Nagold</t>
  </si>
  <si>
    <t>48.555286</t>
  </si>
  <si>
    <t>8.727820</t>
  </si>
  <si>
    <t>Nagold Stadtmitte</t>
  </si>
  <si>
    <t>48.551275</t>
  </si>
  <si>
    <t>8.728502</t>
  </si>
  <si>
    <t>Nagold-Iselshausen</t>
  </si>
  <si>
    <t>48.531533</t>
  </si>
  <si>
    <t>8.725961</t>
  </si>
  <si>
    <t>Nagold-Steinberg</t>
  </si>
  <si>
    <t>48.541994</t>
  </si>
  <si>
    <t>8.732717</t>
  </si>
  <si>
    <t>Naila</t>
  </si>
  <si>
    <t>50.329636</t>
  </si>
  <si>
    <t>11.712200</t>
  </si>
  <si>
    <t>Namborn</t>
  </si>
  <si>
    <t>49.523922</t>
  </si>
  <si>
    <t>7.146277</t>
  </si>
  <si>
    <t>Namedy</t>
  </si>
  <si>
    <t>50.457146</t>
  </si>
  <si>
    <t>7.361768</t>
  </si>
  <si>
    <t>Nammen-Bad</t>
  </si>
  <si>
    <t>52.259681</t>
  </si>
  <si>
    <t>8.977854</t>
  </si>
  <si>
    <t>Narsdorf</t>
  </si>
  <si>
    <t>51.009141</t>
  </si>
  <si>
    <t>12.713023</t>
  </si>
  <si>
    <t>Nassau(Erzgeb)</t>
  </si>
  <si>
    <t>50.769601</t>
  </si>
  <si>
    <t>13.485766</t>
  </si>
  <si>
    <t>Nassau(Lahn)</t>
  </si>
  <si>
    <t>50.311480</t>
  </si>
  <si>
    <t>7.800691</t>
  </si>
  <si>
    <t>Nassenheide</t>
  </si>
  <si>
    <t>52.816919</t>
  </si>
  <si>
    <t>13.239198</t>
  </si>
  <si>
    <t>Nassenheide B96/Teerofener Weg</t>
  </si>
  <si>
    <t>52.811410</t>
  </si>
  <si>
    <t>13.223912</t>
  </si>
  <si>
    <t>Nassenheide Kirche</t>
  </si>
  <si>
    <t>52.815664</t>
  </si>
  <si>
    <t>13.215638</t>
  </si>
  <si>
    <t>Natrup-Hagen</t>
  </si>
  <si>
    <t>52.209849</t>
  </si>
  <si>
    <t>7.910752</t>
  </si>
  <si>
    <t>Nauen</t>
  </si>
  <si>
    <t>52.612696</t>
  </si>
  <si>
    <t>12.885559</t>
  </si>
  <si>
    <t>Nauen Fontaneweg</t>
  </si>
  <si>
    <t>52.608413</t>
  </si>
  <si>
    <t>12.865219</t>
  </si>
  <si>
    <t>Nauen Umspannwerk</t>
  </si>
  <si>
    <t>52.611878</t>
  </si>
  <si>
    <t>12.846756</t>
  </si>
  <si>
    <t>Nauen Zentrum</t>
  </si>
  <si>
    <t>52.605411</t>
  </si>
  <si>
    <t>12.879787</t>
  </si>
  <si>
    <t>Nauendorf(Saalkr)</t>
  </si>
  <si>
    <t>51.608833</t>
  </si>
  <si>
    <t>11.884262</t>
  </si>
  <si>
    <t>Naumburg(Saale)Hbf</t>
  </si>
  <si>
    <t>51.163071</t>
  </si>
  <si>
    <t>11.796984</t>
  </si>
  <si>
    <t>Naumburg(Saale)Ost</t>
  </si>
  <si>
    <t>51.155525</t>
  </si>
  <si>
    <t>11.823895</t>
  </si>
  <si>
    <t>Naumburg-Roßbach</t>
  </si>
  <si>
    <t>51.170649</t>
  </si>
  <si>
    <t>11.779530</t>
  </si>
  <si>
    <t>Naunhof</t>
  </si>
  <si>
    <t>51.277086</t>
  </si>
  <si>
    <t>12.594242</t>
  </si>
  <si>
    <t>Neanderthal</t>
  </si>
  <si>
    <t>51.227820</t>
  </si>
  <si>
    <t>6.953250</t>
  </si>
  <si>
    <t>Nebitzschen</t>
  </si>
  <si>
    <t>51.239187</t>
  </si>
  <si>
    <t>13.015741</t>
  </si>
  <si>
    <t>Nebra</t>
  </si>
  <si>
    <t>51.283440</t>
  </si>
  <si>
    <t>11.570126</t>
  </si>
  <si>
    <t>Nechlin</t>
  </si>
  <si>
    <t>53.440927</t>
  </si>
  <si>
    <t>13.902880</t>
  </si>
  <si>
    <t>Neckarbischofsheim Helmhof</t>
  </si>
  <si>
    <t>49.278376</t>
  </si>
  <si>
    <t>8.995621</t>
  </si>
  <si>
    <t>Neckarbischofsheim Stadt</t>
  </si>
  <si>
    <t>49.296035</t>
  </si>
  <si>
    <t>8.963686</t>
  </si>
  <si>
    <t>Neckarburken</t>
  </si>
  <si>
    <t>49.378205</t>
  </si>
  <si>
    <t>9.163236</t>
  </si>
  <si>
    <t>Neckargemünd</t>
  </si>
  <si>
    <t>49.393678</t>
  </si>
  <si>
    <t>8.788425</t>
  </si>
  <si>
    <t>Neckargemünd Altstadt</t>
  </si>
  <si>
    <t>49.392391</t>
  </si>
  <si>
    <t>8.802954</t>
  </si>
  <si>
    <t>Neckargemünd Schwimmbad/B37</t>
  </si>
  <si>
    <t>49.395189</t>
  </si>
  <si>
    <t>8.808570</t>
  </si>
  <si>
    <t>Neckargerach</t>
  </si>
  <si>
    <t>49.397906</t>
  </si>
  <si>
    <t>9.074704</t>
  </si>
  <si>
    <t>Neckarhausen bei Neckarsteinach</t>
  </si>
  <si>
    <t>49.416954</t>
  </si>
  <si>
    <t>8.879703</t>
  </si>
  <si>
    <t>Neckarsteinach</t>
  </si>
  <si>
    <t>49.404909</t>
  </si>
  <si>
    <t>8.841429</t>
  </si>
  <si>
    <t>Neckarsulm</t>
  </si>
  <si>
    <t>49.189000</t>
  </si>
  <si>
    <t>9.219788</t>
  </si>
  <si>
    <t>Neckarsulm Mitte</t>
  </si>
  <si>
    <t>49.193077</t>
  </si>
  <si>
    <t>9.222717</t>
  </si>
  <si>
    <t>Neckarsulm Nord</t>
  </si>
  <si>
    <t>49.202096</t>
  </si>
  <si>
    <t>9.228679</t>
  </si>
  <si>
    <t>Neckarsulm Süd</t>
  </si>
  <si>
    <t>49.180328</t>
  </si>
  <si>
    <t>9.220743</t>
  </si>
  <si>
    <t>Neckarzimmern</t>
  </si>
  <si>
    <t>49.316897</t>
  </si>
  <si>
    <t>9.137015</t>
  </si>
  <si>
    <t>Nedlitz</t>
  </si>
  <si>
    <t>52.072170</t>
  </si>
  <si>
    <t>12.224197</t>
  </si>
  <si>
    <t>Neef</t>
  </si>
  <si>
    <t>50.091053</t>
  </si>
  <si>
    <t>7.139418</t>
  </si>
  <si>
    <t>Neetze</t>
  </si>
  <si>
    <t>53.269789</t>
  </si>
  <si>
    <t>10.626113</t>
  </si>
  <si>
    <t>Neetzendorf</t>
  </si>
  <si>
    <t>53.163784</t>
  </si>
  <si>
    <t>10.760576</t>
  </si>
  <si>
    <t>Neetzka</t>
  </si>
  <si>
    <t>53.533518</t>
  </si>
  <si>
    <t>13.500838</t>
  </si>
  <si>
    <t>Neheim-Hüsten</t>
  </si>
  <si>
    <t>51.438003</t>
  </si>
  <si>
    <t>7.970066</t>
  </si>
  <si>
    <t>Nehren</t>
  </si>
  <si>
    <t>48.423954</t>
  </si>
  <si>
    <t>9.066880</t>
  </si>
  <si>
    <t>Neidenfels</t>
  </si>
  <si>
    <t>49.386201</t>
  </si>
  <si>
    <t>8.045236</t>
  </si>
  <si>
    <t>Neidenstein</t>
  </si>
  <si>
    <t>49.320237</t>
  </si>
  <si>
    <t>8.890152</t>
  </si>
  <si>
    <t>Neinstedt</t>
  </si>
  <si>
    <t>51.752368</t>
  </si>
  <si>
    <t>11.084893</t>
  </si>
  <si>
    <t>Neißemünde-Wellmitz Bahnhof</t>
  </si>
  <si>
    <t>52.066023</t>
  </si>
  <si>
    <t>14.713377</t>
  </si>
  <si>
    <t>Nellmersbach</t>
  </si>
  <si>
    <t>48.903368</t>
  </si>
  <si>
    <t>9.415401</t>
  </si>
  <si>
    <t>Nemmenich</t>
  </si>
  <si>
    <t>50.688051</t>
  </si>
  <si>
    <t>6.681466</t>
  </si>
  <si>
    <t>Nemsdorf-Göhrendorf</t>
  </si>
  <si>
    <t>51.357774</t>
  </si>
  <si>
    <t>11.660646</t>
  </si>
  <si>
    <t>Nemsdorf-Göhrendorf Verwaltung</t>
  </si>
  <si>
    <t>51.358233</t>
  </si>
  <si>
    <t>11.664690</t>
  </si>
  <si>
    <t>Nendingen(b Tuttlingen)</t>
  </si>
  <si>
    <t>48.009425</t>
  </si>
  <si>
    <t>8.853908</t>
  </si>
  <si>
    <t>Nennhausen</t>
  </si>
  <si>
    <t>52.599910</t>
  </si>
  <si>
    <t>12.502790</t>
  </si>
  <si>
    <t>Nennhausen Schule</t>
  </si>
  <si>
    <t>52.603551</t>
  </si>
  <si>
    <t>12.499468</t>
  </si>
  <si>
    <t>Nennig</t>
  </si>
  <si>
    <t>49.538738</t>
  </si>
  <si>
    <t>6.375851</t>
  </si>
  <si>
    <t>Nennigmühle</t>
  </si>
  <si>
    <t>50.691091</t>
  </si>
  <si>
    <t>13.253168</t>
  </si>
  <si>
    <t>Nenzingen</t>
  </si>
  <si>
    <t>47.841348</t>
  </si>
  <si>
    <t>8.964728</t>
  </si>
  <si>
    <t>Nersingen</t>
  </si>
  <si>
    <t>48.430141</t>
  </si>
  <si>
    <t>10.118003</t>
  </si>
  <si>
    <t>Neschwitz Dorfschänke</t>
  </si>
  <si>
    <t>51.269731</t>
  </si>
  <si>
    <t>14.329191</t>
  </si>
  <si>
    <t>Nesselwang</t>
  </si>
  <si>
    <t>47.623944</t>
  </si>
  <si>
    <t>10.504419</t>
  </si>
  <si>
    <t>Neßmersiel Hafen</t>
  </si>
  <si>
    <t>53.683346</t>
  </si>
  <si>
    <t>7.360353</t>
  </si>
  <si>
    <t>Nettersheim</t>
  </si>
  <si>
    <t>50.490648</t>
  </si>
  <si>
    <t>6.629541</t>
  </si>
  <si>
    <t>Netzeband</t>
  </si>
  <si>
    <t>52.995556</t>
  </si>
  <si>
    <t>12.628103</t>
  </si>
  <si>
    <t>Netzeband Kirche</t>
  </si>
  <si>
    <t>52.997097</t>
  </si>
  <si>
    <t>12.635169</t>
  </si>
  <si>
    <t>Netzkater</t>
  </si>
  <si>
    <t>51.602659</t>
  </si>
  <si>
    <t>10.790001</t>
  </si>
  <si>
    <t>Netzschkau</t>
  </si>
  <si>
    <t>50.611404</t>
  </si>
  <si>
    <t>12.244275</t>
  </si>
  <si>
    <t>Netzschkau Markt</t>
  </si>
  <si>
    <t>50.613202</t>
  </si>
  <si>
    <t>12.249044</t>
  </si>
  <si>
    <t>Neu Neetze</t>
  </si>
  <si>
    <t>53.286225</t>
  </si>
  <si>
    <t>10.663314</t>
  </si>
  <si>
    <t>Neu Pudagla</t>
  </si>
  <si>
    <t>54.000336</t>
  </si>
  <si>
    <t>14.065198</t>
  </si>
  <si>
    <t>Neu St Jürgen</t>
  </si>
  <si>
    <t>53.255475</t>
  </si>
  <si>
    <t>8.958919</t>
  </si>
  <si>
    <t>Neu Wokern</t>
  </si>
  <si>
    <t>53.760033</t>
  </si>
  <si>
    <t>12.500916</t>
  </si>
  <si>
    <t>Neu Wulmstorf</t>
  </si>
  <si>
    <t>53.473046</t>
  </si>
  <si>
    <t>9.788432</t>
  </si>
  <si>
    <t>Neu-Anspach</t>
  </si>
  <si>
    <t>50.300962</t>
  </si>
  <si>
    <t>8.514730</t>
  </si>
  <si>
    <t>Neubäu</t>
  </si>
  <si>
    <t>49.239861</t>
  </si>
  <si>
    <t>12.436474</t>
  </si>
  <si>
    <t>Neubiberg</t>
  </si>
  <si>
    <t>48.075847</t>
  </si>
  <si>
    <t>11.660222</t>
  </si>
  <si>
    <t>Neubrandenburg</t>
  </si>
  <si>
    <t>53.561831</t>
  </si>
  <si>
    <t>13.261465</t>
  </si>
  <si>
    <t>Neubrücke(Nahe)</t>
  </si>
  <si>
    <t>49.606066</t>
  </si>
  <si>
    <t>7.172701</t>
  </si>
  <si>
    <t>Neubukow</t>
  </si>
  <si>
    <t>54.030779</t>
  </si>
  <si>
    <t>11.677763</t>
  </si>
  <si>
    <t>Neuburg(Donau)</t>
  </si>
  <si>
    <t>48.727218</t>
  </si>
  <si>
    <t>11.178370</t>
  </si>
  <si>
    <t>Neuburg(Kammel)</t>
  </si>
  <si>
    <t>48.302854</t>
  </si>
  <si>
    <t>10.365641</t>
  </si>
  <si>
    <t>Neuburg(Rhein)</t>
  </si>
  <si>
    <t>48.992129</t>
  </si>
  <si>
    <t>8.238217</t>
  </si>
  <si>
    <t>Neudenau</t>
  </si>
  <si>
    <t>49.288558</t>
  </si>
  <si>
    <t>9.272064</t>
  </si>
  <si>
    <t>Neudietendorf</t>
  </si>
  <si>
    <t>50.913898</t>
  </si>
  <si>
    <t>10.909685</t>
  </si>
  <si>
    <t>Neudorf Gasthof Kaiserhof</t>
  </si>
  <si>
    <t>50.480211</t>
  </si>
  <si>
    <t>12.974252</t>
  </si>
  <si>
    <t>Neudorf Gasthof Quelle</t>
  </si>
  <si>
    <t>50.495260</t>
  </si>
  <si>
    <t>12.973839</t>
  </si>
  <si>
    <t>Neudorf(Erzgeb)</t>
  </si>
  <si>
    <t>50.478030</t>
  </si>
  <si>
    <t>12.974040</t>
  </si>
  <si>
    <t>Neue Schenke</t>
  </si>
  <si>
    <t>50.875388</t>
  </si>
  <si>
    <t>11.637630</t>
  </si>
  <si>
    <t>Neu-Edingen/Friedrichsfeld</t>
  </si>
  <si>
    <t>49.448670</t>
  </si>
  <si>
    <t>8.580125</t>
  </si>
  <si>
    <t>Neuenburg(Baden)</t>
  </si>
  <si>
    <t>47.811483</t>
  </si>
  <si>
    <t>7.562756</t>
  </si>
  <si>
    <t>Neuenburg(Baden)(Gr)</t>
  </si>
  <si>
    <t>Neuenbürg(Enz)</t>
  </si>
  <si>
    <t>48.849056</t>
  </si>
  <si>
    <t>8.600745</t>
  </si>
  <si>
    <t>Neuenbürg(Enz) Freibad</t>
  </si>
  <si>
    <t>48.836942</t>
  </si>
  <si>
    <t>8.590330</t>
  </si>
  <si>
    <t>Neuenbürg(Enz) Süd</t>
  </si>
  <si>
    <t>48.844572</t>
  </si>
  <si>
    <t>8.598864</t>
  </si>
  <si>
    <t>Neuenbürg(Enz)-Rotenbach Eyachbrücke</t>
  </si>
  <si>
    <t>48.817200</t>
  </si>
  <si>
    <t>8.577871</t>
  </si>
  <si>
    <t>Neuendettelsau</t>
  </si>
  <si>
    <t>49.282675</t>
  </si>
  <si>
    <t>10.782372</t>
  </si>
  <si>
    <t>Neuendorf(Hiddensee)</t>
  </si>
  <si>
    <t>54.524597</t>
  </si>
  <si>
    <t>13.092209</t>
  </si>
  <si>
    <t>Neuenhagen(b Berlin)</t>
  </si>
  <si>
    <t>52.520758</t>
  </si>
  <si>
    <t>13.700421</t>
  </si>
  <si>
    <t>Neuenhaus</t>
  </si>
  <si>
    <t>52.501900</t>
  </si>
  <si>
    <t>6.969980</t>
  </si>
  <si>
    <t>Neuenhaus Süd</t>
  </si>
  <si>
    <t>52.487100</t>
  </si>
  <si>
    <t>6.984050</t>
  </si>
  <si>
    <t>Neuenkirchen(Oldb)</t>
  </si>
  <si>
    <t>52.508434</t>
  </si>
  <si>
    <t>8.059574</t>
  </si>
  <si>
    <t>Neuenmarkt-Wirsberg</t>
  </si>
  <si>
    <t>50.093676</t>
  </si>
  <si>
    <t>11.581061</t>
  </si>
  <si>
    <t>Neuenrade</t>
  </si>
  <si>
    <t>51.284773</t>
  </si>
  <si>
    <t>7.794390</t>
  </si>
  <si>
    <t>Neuenstein</t>
  </si>
  <si>
    <t>49.206134</t>
  </si>
  <si>
    <t>9.583919</t>
  </si>
  <si>
    <t>Neufahrn(b Freising)</t>
  </si>
  <si>
    <t>48.321636</t>
  </si>
  <si>
    <t>11.661261</t>
  </si>
  <si>
    <t>Neufahrn(Niederbay)</t>
  </si>
  <si>
    <t>48.729884</t>
  </si>
  <si>
    <t>12.190460</t>
  </si>
  <si>
    <t>Neuffen</t>
  </si>
  <si>
    <t>48.558556</t>
  </si>
  <si>
    <t>9.374079</t>
  </si>
  <si>
    <t>Neufra(Hohenz)</t>
  </si>
  <si>
    <t>48.246147</t>
  </si>
  <si>
    <t>9.186292</t>
  </si>
  <si>
    <t>Neugersdorf</t>
  </si>
  <si>
    <t>50.986636</t>
  </si>
  <si>
    <t>14.611635</t>
  </si>
  <si>
    <t>Neugilching</t>
  </si>
  <si>
    <t>48.098966</t>
  </si>
  <si>
    <t>11.288666</t>
  </si>
  <si>
    <t>Neuharlingersiel</t>
  </si>
  <si>
    <t>53.700958</t>
  </si>
  <si>
    <t>7.702526</t>
  </si>
  <si>
    <t>Neuharlingersiel Anleger</t>
  </si>
  <si>
    <t>53.701819</t>
  </si>
  <si>
    <t>7.703348</t>
  </si>
  <si>
    <t>Neuhaus am Rennweg</t>
  </si>
  <si>
    <t>50.506543</t>
  </si>
  <si>
    <t>11.136691</t>
  </si>
  <si>
    <t>Neuhausen Bad Bf</t>
  </si>
  <si>
    <t>47.682615</t>
  </si>
  <si>
    <t>8.612186</t>
  </si>
  <si>
    <t>Neuhausen(Cottbus)</t>
  </si>
  <si>
    <t>51.687030</t>
  </si>
  <si>
    <t>14.412660</t>
  </si>
  <si>
    <t>Neuhaus-Igelshieb</t>
  </si>
  <si>
    <t>50.501051</t>
  </si>
  <si>
    <t>11.146107</t>
  </si>
  <si>
    <t>Neuhof(b Zossen)</t>
  </si>
  <si>
    <t>52.139674</t>
  </si>
  <si>
    <t>13.479582</t>
  </si>
  <si>
    <t>Neuhof(Kr Fulda)</t>
  </si>
  <si>
    <t>50.454341</t>
  </si>
  <si>
    <t>9.620322</t>
  </si>
  <si>
    <t>Neu-Isenburg</t>
  </si>
  <si>
    <t>50.053052</t>
  </si>
  <si>
    <t>8.665609</t>
  </si>
  <si>
    <t>Neukieritzsch</t>
  </si>
  <si>
    <t>51.150774</t>
  </si>
  <si>
    <t>12.412836</t>
  </si>
  <si>
    <t>Neukirch(Lausitz)Ost</t>
  </si>
  <si>
    <t>51.090750</t>
  </si>
  <si>
    <t>14.322047</t>
  </si>
  <si>
    <t>Neukirch(Lausitz)West</t>
  </si>
  <si>
    <t>51.084298</t>
  </si>
  <si>
    <t>14.270656</t>
  </si>
  <si>
    <t>Neukirchen(b Sulzb)</t>
  </si>
  <si>
    <t>49.524326</t>
  </si>
  <si>
    <t>11.619540</t>
  </si>
  <si>
    <t>Neukirchen(Inn)</t>
  </si>
  <si>
    <t>48.517679</t>
  </si>
  <si>
    <t>13.370103</t>
  </si>
  <si>
    <t>Neukirchen-Klaffenbach</t>
  </si>
  <si>
    <t>50.771031</t>
  </si>
  <si>
    <t>12.893604</t>
  </si>
  <si>
    <t>Neukirchen-Wyhra</t>
  </si>
  <si>
    <t>51.087846</t>
  </si>
  <si>
    <t>12.533536</t>
  </si>
  <si>
    <t>Neukirchen-Wyhra An der Schanze</t>
  </si>
  <si>
    <t>51.083656</t>
  </si>
  <si>
    <t>12.528164</t>
  </si>
  <si>
    <t>Neukloster(Kr Stade)</t>
  </si>
  <si>
    <t>53.481257</t>
  </si>
  <si>
    <t>9.639721</t>
  </si>
  <si>
    <t>Neulußheim</t>
  </si>
  <si>
    <t>49.292199</t>
  </si>
  <si>
    <t>8.530075</t>
  </si>
  <si>
    <t>Neumark(Sachs)</t>
  </si>
  <si>
    <t>50.660171</t>
  </si>
  <si>
    <t>12.352828</t>
  </si>
  <si>
    <t>Neumarkt(Oberpf)</t>
  </si>
  <si>
    <t>49.273221</t>
  </si>
  <si>
    <t>11.456987</t>
  </si>
  <si>
    <t>Neumarkt-St Veit</t>
  </si>
  <si>
    <t>48.361318</t>
  </si>
  <si>
    <t>12.503075</t>
  </si>
  <si>
    <t>Neumühle(Elster)</t>
  </si>
  <si>
    <t>50.702132</t>
  </si>
  <si>
    <t>12.169837</t>
  </si>
  <si>
    <t>Neumühle(Elster) Knottengrund</t>
  </si>
  <si>
    <t>50.703983</t>
  </si>
  <si>
    <t>12.175519</t>
  </si>
  <si>
    <t>Neumünster</t>
  </si>
  <si>
    <t>54.075752</t>
  </si>
  <si>
    <t>9.979816</t>
  </si>
  <si>
    <t>Neumünster Parkplatz Post</t>
  </si>
  <si>
    <t>54.075604</t>
  </si>
  <si>
    <t>9.978219</t>
  </si>
  <si>
    <t>Neumünster Stadtwald</t>
  </si>
  <si>
    <t>54.083430</t>
  </si>
  <si>
    <t>9.962863</t>
  </si>
  <si>
    <t>Neumünster Süd AKN</t>
  </si>
  <si>
    <t>54.059815</t>
  </si>
  <si>
    <t>9.983042</t>
  </si>
  <si>
    <t>Neundorf(Anh)</t>
  </si>
  <si>
    <t>51.824698</t>
  </si>
  <si>
    <t>11.593760</t>
  </si>
  <si>
    <t>Neunhofen</t>
  </si>
  <si>
    <t>50.724345</t>
  </si>
  <si>
    <t>11.714440</t>
  </si>
  <si>
    <t>Neunkirch</t>
  </si>
  <si>
    <t>47.689151</t>
  </si>
  <si>
    <t>8.495384</t>
  </si>
  <si>
    <t>Neunkirchen a Sand</t>
  </si>
  <si>
    <t>49.520405</t>
  </si>
  <si>
    <t>11.322050</t>
  </si>
  <si>
    <t>Neunkirchen(Kr Siegen)</t>
  </si>
  <si>
    <t>50.784701</t>
  </si>
  <si>
    <t>8.006101</t>
  </si>
  <si>
    <t>Neunkirchen(Saar)Hbf</t>
  </si>
  <si>
    <t>49.353291</t>
  </si>
  <si>
    <t>7.176655</t>
  </si>
  <si>
    <t>Neunkirchen(Saar)-Wellesweiler</t>
  </si>
  <si>
    <t>49.349560</t>
  </si>
  <si>
    <t>7.226787</t>
  </si>
  <si>
    <t>Neuoelsnitz</t>
  </si>
  <si>
    <t>50.719514</t>
  </si>
  <si>
    <t>12.723437</t>
  </si>
  <si>
    <t>Neuötting</t>
  </si>
  <si>
    <t>48.261158</t>
  </si>
  <si>
    <t>12.690432</t>
  </si>
  <si>
    <t>Neupetershain</t>
  </si>
  <si>
    <t>51.606324</t>
  </si>
  <si>
    <t>14.161703</t>
  </si>
  <si>
    <t>Neuruppin Pfarrkirche</t>
  </si>
  <si>
    <t>52.926480</t>
  </si>
  <si>
    <t>12.807469</t>
  </si>
  <si>
    <t>Neuruppin Rheinsberger Tor</t>
  </si>
  <si>
    <t>52.929570</t>
  </si>
  <si>
    <t>12.810799</t>
  </si>
  <si>
    <t>Neuruppin West</t>
  </si>
  <si>
    <t>52.926244</t>
  </si>
  <si>
    <t>12.793888</t>
  </si>
  <si>
    <t>Neusalza-Spremberg</t>
  </si>
  <si>
    <t>51.034251</t>
  </si>
  <si>
    <t>14.526247</t>
  </si>
  <si>
    <t>Neusäß</t>
  </si>
  <si>
    <t>48.394392</t>
  </si>
  <si>
    <t>10.833520</t>
  </si>
  <si>
    <t>Neuses(b Kronach)</t>
  </si>
  <si>
    <t>50.217153</t>
  </si>
  <si>
    <t>11.306843</t>
  </si>
  <si>
    <t>Neusorg</t>
  </si>
  <si>
    <t>49.933844</t>
  </si>
  <si>
    <t>11.971987</t>
  </si>
  <si>
    <t>Neusörnewitz</t>
  </si>
  <si>
    <t>51.147553</t>
  </si>
  <si>
    <t>13.552767</t>
  </si>
  <si>
    <t>Neuss Allerheiligen</t>
  </si>
  <si>
    <t>51.142466</t>
  </si>
  <si>
    <t>6.756793</t>
  </si>
  <si>
    <t>Neuss Am Kaiser</t>
  </si>
  <si>
    <t>6.697529</t>
  </si>
  <si>
    <t>Neuss Hbf</t>
  </si>
  <si>
    <t>51.204351</t>
  </si>
  <si>
    <t>6.684527</t>
  </si>
  <si>
    <t>Neuss Hbf Theodor-Heuss-Platz Taxistände</t>
  </si>
  <si>
    <t>51.204033</t>
  </si>
  <si>
    <t>6.685366</t>
  </si>
  <si>
    <t>Neuss Rheinparkcenter</t>
  </si>
  <si>
    <t>51.206175</t>
  </si>
  <si>
    <t>6.717153</t>
  </si>
  <si>
    <t>Neuss Süd</t>
  </si>
  <si>
    <t>51.185784</t>
  </si>
  <si>
    <t>6.690290</t>
  </si>
  <si>
    <t>Neustadt am Rübenberge</t>
  </si>
  <si>
    <t>52.503325</t>
  </si>
  <si>
    <t>9.455277</t>
  </si>
  <si>
    <t>Neustadt(Aisch)Bahnhof</t>
  </si>
  <si>
    <t>49.576876</t>
  </si>
  <si>
    <t>10.588032</t>
  </si>
  <si>
    <t>Neustadt(Aisch)Mitte</t>
  </si>
  <si>
    <t>49.574202</t>
  </si>
  <si>
    <t>10.609306</t>
  </si>
  <si>
    <t>Neustadt(b Coburg)</t>
  </si>
  <si>
    <t>50.332813</t>
  </si>
  <si>
    <t>11.121391</t>
  </si>
  <si>
    <t>Neustadt(Donau)</t>
  </si>
  <si>
    <t>48.800185</t>
  </si>
  <si>
    <t>11.763297</t>
  </si>
  <si>
    <t>Neustadt(Dosse)</t>
  </si>
  <si>
    <t>52.852677</t>
  </si>
  <si>
    <t>12.450667</t>
  </si>
  <si>
    <t>Neustadt(Holst)</t>
  </si>
  <si>
    <t>54.104002</t>
  </si>
  <si>
    <t>10.808490</t>
  </si>
  <si>
    <t>Neustadt(Kr Marburg)</t>
  </si>
  <si>
    <t>50.850447</t>
  </si>
  <si>
    <t>9.120643</t>
  </si>
  <si>
    <t>Neustadt(Orla)</t>
  </si>
  <si>
    <t>50.734790</t>
  </si>
  <si>
    <t>11.757621</t>
  </si>
  <si>
    <t>Neustadt(Sachs)</t>
  </si>
  <si>
    <t>51.021385</t>
  </si>
  <si>
    <t>14.213246</t>
  </si>
  <si>
    <t>Neustadt(Schwarzw)</t>
  </si>
  <si>
    <t>47.910543</t>
  </si>
  <si>
    <t>8.210558</t>
  </si>
  <si>
    <t>Neustadt(Waldnaab)</t>
  </si>
  <si>
    <t>49.725918</t>
  </si>
  <si>
    <t>12.168337</t>
  </si>
  <si>
    <t>Neustadt(Weinstr) Süd</t>
  </si>
  <si>
    <t>49.341553</t>
  </si>
  <si>
    <t>8.157061</t>
  </si>
  <si>
    <t>Neustadt(Weinstr)Hbf</t>
  </si>
  <si>
    <t>49.349553</t>
  </si>
  <si>
    <t>8.140757</t>
  </si>
  <si>
    <t>Neustadt-Böbig</t>
  </si>
  <si>
    <t>49.354245</t>
  </si>
  <si>
    <t>8.158313</t>
  </si>
  <si>
    <t>Neustadt-Glewe</t>
  </si>
  <si>
    <t>53.377640</t>
  </si>
  <si>
    <t>11.593779</t>
  </si>
  <si>
    <t>Neustadt-Hohenacker</t>
  </si>
  <si>
    <t>48.859312</t>
  </si>
  <si>
    <t>9.324715</t>
  </si>
  <si>
    <t>Neustift(b Passau)</t>
  </si>
  <si>
    <t>48.566815</t>
  </si>
  <si>
    <t>13.394415</t>
  </si>
  <si>
    <t>Neustrelitz Hbf</t>
  </si>
  <si>
    <t>53.359255</t>
  </si>
  <si>
    <t>13.074603</t>
  </si>
  <si>
    <t>Neutrebbin</t>
  </si>
  <si>
    <t>52.676327</t>
  </si>
  <si>
    <t>14.237036</t>
  </si>
  <si>
    <t>Neutrebbin Denkmal</t>
  </si>
  <si>
    <t>52.664024</t>
  </si>
  <si>
    <t>14.225841</t>
  </si>
  <si>
    <t>Neu-Ulm</t>
  </si>
  <si>
    <t>48.393493</t>
  </si>
  <si>
    <t>10.005766</t>
  </si>
  <si>
    <t>Neuwied</t>
  </si>
  <si>
    <t>50.431466</t>
  </si>
  <si>
    <t>7.473132</t>
  </si>
  <si>
    <t>Neuwirtshaus(Porscheplatz)</t>
  </si>
  <si>
    <t>48.833847</t>
  </si>
  <si>
    <t>9.151960</t>
  </si>
  <si>
    <t>Neuzelle</t>
  </si>
  <si>
    <t>52.098797</t>
  </si>
  <si>
    <t>14.648866</t>
  </si>
  <si>
    <t>Nidderau</t>
  </si>
  <si>
    <t>50.230826</t>
  </si>
  <si>
    <t>8.880233</t>
  </si>
  <si>
    <t>Nidderau-Eichen</t>
  </si>
  <si>
    <t>50.255947</t>
  </si>
  <si>
    <t>8.917491</t>
  </si>
  <si>
    <t>Nidderau-Windecken</t>
  </si>
  <si>
    <t>50.225003</t>
  </si>
  <si>
    <t>8.875676</t>
  </si>
  <si>
    <t>Nideggen-Brück</t>
  </si>
  <si>
    <t>50.689754</t>
  </si>
  <si>
    <t>6.465780</t>
  </si>
  <si>
    <t>Niebüll</t>
  </si>
  <si>
    <t>54.789605</t>
  </si>
  <si>
    <t>8.834572</t>
  </si>
  <si>
    <t>Niebüll Autoverladung</t>
  </si>
  <si>
    <t>54.784560</t>
  </si>
  <si>
    <t>8.835786</t>
  </si>
  <si>
    <t>Niebüll neg</t>
  </si>
  <si>
    <t>54.789550</t>
  </si>
  <si>
    <t>8.832959</t>
  </si>
  <si>
    <t>Niedaltdorf</t>
  </si>
  <si>
    <t>49.343539</t>
  </si>
  <si>
    <t>6.594053</t>
  </si>
  <si>
    <t>Nieder Flörsheim-Dalsheim</t>
  </si>
  <si>
    <t>49.656901</t>
  </si>
  <si>
    <t>8.204274</t>
  </si>
  <si>
    <t>Nieder Olm</t>
  </si>
  <si>
    <t>49.905529</t>
  </si>
  <si>
    <t>8.204960</t>
  </si>
  <si>
    <t>Nieder Wöllstadt</t>
  </si>
  <si>
    <t>50.280297</t>
  </si>
  <si>
    <t>8.767573</t>
  </si>
  <si>
    <t>Niederarnbach</t>
  </si>
  <si>
    <t>48.651066</t>
  </si>
  <si>
    <t>11.331516</t>
  </si>
  <si>
    <t>Niederau</t>
  </si>
  <si>
    <t>51.176094</t>
  </si>
  <si>
    <t>13.560417</t>
  </si>
  <si>
    <t>Niederau-Tuchmühle</t>
  </si>
  <si>
    <t>50.764071</t>
  </si>
  <si>
    <t>6.488009</t>
  </si>
  <si>
    <t>Niederbiegen</t>
  </si>
  <si>
    <t>47.830626</t>
  </si>
  <si>
    <t>9.620958</t>
  </si>
  <si>
    <t>Niederbobritzsch</t>
  </si>
  <si>
    <t>50.901389</t>
  </si>
  <si>
    <t>13.440637</t>
  </si>
  <si>
    <t>Niederbobritzsch Goldener Löwe</t>
  </si>
  <si>
    <t>50.898567</t>
  </si>
  <si>
    <t>13.434029</t>
  </si>
  <si>
    <t>Niederbrechen</t>
  </si>
  <si>
    <t>50.359598</t>
  </si>
  <si>
    <t>8.159856</t>
  </si>
  <si>
    <t>Niederdollendorf</t>
  </si>
  <si>
    <t>50.695078</t>
  </si>
  <si>
    <t>7.180977</t>
  </si>
  <si>
    <t>Niederdorf(Erzgeb)</t>
  </si>
  <si>
    <t>50.728308</t>
  </si>
  <si>
    <t>12.782341</t>
  </si>
  <si>
    <t>Niederdorfelden</t>
  </si>
  <si>
    <t>50.193166</t>
  </si>
  <si>
    <t>8.809034</t>
  </si>
  <si>
    <t>Niederdreisbach</t>
  </si>
  <si>
    <t>50.755516</t>
  </si>
  <si>
    <t>7.922511</t>
  </si>
  <si>
    <t>Niederdresselndorf</t>
  </si>
  <si>
    <t>50.721212</t>
  </si>
  <si>
    <t>8.136394</t>
  </si>
  <si>
    <t>Niedererbach</t>
  </si>
  <si>
    <t>50.425075</t>
  </si>
  <si>
    <t>7.976870</t>
  </si>
  <si>
    <t>Niederfinow</t>
  </si>
  <si>
    <t>52.830668</t>
  </si>
  <si>
    <t>13.928948</t>
  </si>
  <si>
    <t>Niedergörsdorf</t>
  </si>
  <si>
    <t>51.967930</t>
  </si>
  <si>
    <t>12.978931</t>
  </si>
  <si>
    <t>Niederhadamar</t>
  </si>
  <si>
    <t>50.432760</t>
  </si>
  <si>
    <t>8.037069</t>
  </si>
  <si>
    <t>Niederhadamar Süd</t>
  </si>
  <si>
    <t>50.432978</t>
  </si>
  <si>
    <t>8.033855</t>
  </si>
  <si>
    <t>Niederheimbach</t>
  </si>
  <si>
    <t>50.036013</t>
  </si>
  <si>
    <t>7.805505</t>
  </si>
  <si>
    <t>Niederhöchstadt</t>
  </si>
  <si>
    <t>50.154198</t>
  </si>
  <si>
    <t>8.547237</t>
  </si>
  <si>
    <t>Niederhövels</t>
  </si>
  <si>
    <t>50.786291</t>
  </si>
  <si>
    <t>7.788525</t>
  </si>
  <si>
    <t>Niederjosbach</t>
  </si>
  <si>
    <t>50.149807</t>
  </si>
  <si>
    <t>8.351017</t>
  </si>
  <si>
    <t>Niederkaufungen Bahnhof, Kaufungen</t>
  </si>
  <si>
    <t>51.283220</t>
  </si>
  <si>
    <t>9.607791</t>
  </si>
  <si>
    <t>Niederkaufungen Mitte, Kaufungen</t>
  </si>
  <si>
    <t>51.284211</t>
  </si>
  <si>
    <t>9.601731</t>
  </si>
  <si>
    <t>Niederkaufungen Rieckswiesen, Kaufungen</t>
  </si>
  <si>
    <t>51.284563</t>
  </si>
  <si>
    <t>9.614061</t>
  </si>
  <si>
    <t>Niederlahnstein</t>
  </si>
  <si>
    <t>50.316390</t>
  </si>
  <si>
    <t>7.599503</t>
  </si>
  <si>
    <t>Niederlehme</t>
  </si>
  <si>
    <t>52.301976</t>
  </si>
  <si>
    <t>13.652526</t>
  </si>
  <si>
    <t>Niederlindhart</t>
  </si>
  <si>
    <t>48.762512</t>
  </si>
  <si>
    <t>12.237846</t>
  </si>
  <si>
    <t>Niederlinxweiler</t>
  </si>
  <si>
    <t>49.432201</t>
  </si>
  <si>
    <t>7.160695</t>
  </si>
  <si>
    <t>Niederlosheim</t>
  </si>
  <si>
    <t>49.504128</t>
  </si>
  <si>
    <t>6.780069</t>
  </si>
  <si>
    <t>Niedermarschacht</t>
  </si>
  <si>
    <t>53.413968</t>
  </si>
  <si>
    <t>10.366294</t>
  </si>
  <si>
    <t>Niedermittlau</t>
  </si>
  <si>
    <t>50.178609</t>
  </si>
  <si>
    <t>9.109264</t>
  </si>
  <si>
    <t>Niedermohr</t>
  </si>
  <si>
    <t>49.458429</t>
  </si>
  <si>
    <t>7.471588</t>
  </si>
  <si>
    <t>Niederndodeleben</t>
  </si>
  <si>
    <t>52.129976</t>
  </si>
  <si>
    <t>11.502663</t>
  </si>
  <si>
    <t>Niedernhausen(Taunus)</t>
  </si>
  <si>
    <t>50.159697</t>
  </si>
  <si>
    <t>8.312879</t>
  </si>
  <si>
    <t>Niederoderwitz</t>
  </si>
  <si>
    <t>50.952300</t>
  </si>
  <si>
    <t>14.724414</t>
  </si>
  <si>
    <t>Niederoderwitz Kretscham</t>
  </si>
  <si>
    <t>50.952292</t>
  </si>
  <si>
    <t>14.727155</t>
  </si>
  <si>
    <t>Nieder-Ohmen</t>
  </si>
  <si>
    <t>50.644967</t>
  </si>
  <si>
    <t>9.034133</t>
  </si>
  <si>
    <t>Niederpöllnitz</t>
  </si>
  <si>
    <t>50.766360</t>
  </si>
  <si>
    <t>11.957080</t>
  </si>
  <si>
    <t>Niederraunau</t>
  </si>
  <si>
    <t>48.221344</t>
  </si>
  <si>
    <t>10.374503</t>
  </si>
  <si>
    <t>Niederroth</t>
  </si>
  <si>
    <t>48.320935</t>
  </si>
  <si>
    <t>11.390041</t>
  </si>
  <si>
    <t>Niedersachswerfen</t>
  </si>
  <si>
    <t>51.545067</t>
  </si>
  <si>
    <t>10.763890</t>
  </si>
  <si>
    <t>Niedersachswerfen Herkulesmarkt</t>
  </si>
  <si>
    <t>51.542165</t>
  </si>
  <si>
    <t>10.768553</t>
  </si>
  <si>
    <t>Niedersachswerfen Ilfelder Straße</t>
  </si>
  <si>
    <t>51.560674</t>
  </si>
  <si>
    <t>10.769898</t>
  </si>
  <si>
    <t>Niedersachswerfen Ost</t>
  </si>
  <si>
    <t>51.549439</t>
  </si>
  <si>
    <t>10.768731</t>
  </si>
  <si>
    <t>Niederscheld(Dillkr)Süd</t>
  </si>
  <si>
    <t>50.717731</t>
  </si>
  <si>
    <t>8.303300</t>
  </si>
  <si>
    <t>Niederschelden</t>
  </si>
  <si>
    <t>50.839248</t>
  </si>
  <si>
    <t>7.965509</t>
  </si>
  <si>
    <t>Niederschelden Nord</t>
  </si>
  <si>
    <t>50.844187</t>
  </si>
  <si>
    <t>7.970657</t>
  </si>
  <si>
    <t>Niederschlag</t>
  </si>
  <si>
    <t>50.463964</t>
  </si>
  <si>
    <t>13.014418</t>
  </si>
  <si>
    <t>Niederschlottwitz</t>
  </si>
  <si>
    <t>50.889578</t>
  </si>
  <si>
    <t>13.810979</t>
  </si>
  <si>
    <t>Niederschmalkalden</t>
  </si>
  <si>
    <t>50.716724</t>
  </si>
  <si>
    <t>10.375907</t>
  </si>
  <si>
    <t>Niederselters</t>
  </si>
  <si>
    <t>50.332544</t>
  </si>
  <si>
    <t>8.229980</t>
  </si>
  <si>
    <t>Niederspier</t>
  </si>
  <si>
    <t>51.290103</t>
  </si>
  <si>
    <t>10.848231</t>
  </si>
  <si>
    <t>Niederspier Ort</t>
  </si>
  <si>
    <t>51.288507</t>
  </si>
  <si>
    <t>10.845115</t>
  </si>
  <si>
    <t>Niederstetten</t>
  </si>
  <si>
    <t>49.403573</t>
  </si>
  <si>
    <t>9.915079</t>
  </si>
  <si>
    <t>Niederstotzingen</t>
  </si>
  <si>
    <t>48.532604</t>
  </si>
  <si>
    <t>10.236460</t>
  </si>
  <si>
    <t>Niederstriegis</t>
  </si>
  <si>
    <t>51.083407</t>
  </si>
  <si>
    <t>13.150575</t>
  </si>
  <si>
    <t>Niedertrebra</t>
  </si>
  <si>
    <t>51.064343</t>
  </si>
  <si>
    <t>11.579246</t>
  </si>
  <si>
    <t>Niederwalgern</t>
  </si>
  <si>
    <t>50.736598</t>
  </si>
  <si>
    <t>8.708379</t>
  </si>
  <si>
    <t>Niederwalluf</t>
  </si>
  <si>
    <t>50.036901</t>
  </si>
  <si>
    <t>8.159312</t>
  </si>
  <si>
    <t>Niederwartha</t>
  </si>
  <si>
    <t>51.094632</t>
  </si>
  <si>
    <t>13.605922</t>
  </si>
  <si>
    <t>Niederweimar</t>
  </si>
  <si>
    <t>50.756743</t>
  </si>
  <si>
    <t>8.733820</t>
  </si>
  <si>
    <t>Niederwiesa</t>
  </si>
  <si>
    <t>50.862616</t>
  </si>
  <si>
    <t>13.022852</t>
  </si>
  <si>
    <t>Niederwillingen</t>
  </si>
  <si>
    <t>50.775457</t>
  </si>
  <si>
    <t>11.038709</t>
  </si>
  <si>
    <t>Niederwinden</t>
  </si>
  <si>
    <t>48.139706</t>
  </si>
  <si>
    <t>8.023083</t>
  </si>
  <si>
    <t>Niederwürschnitz</t>
  </si>
  <si>
    <t>50.718224</t>
  </si>
  <si>
    <t>12.754106</t>
  </si>
  <si>
    <t>Niederzeuzheim</t>
  </si>
  <si>
    <t>50.468225</t>
  </si>
  <si>
    <t>8.039687</t>
  </si>
  <si>
    <t>Niederzeuzheim Ortsmitte</t>
  </si>
  <si>
    <t>50.469717</t>
  </si>
  <si>
    <t>8.037488</t>
  </si>
  <si>
    <t>Niederzissen</t>
  </si>
  <si>
    <t>50.461225</t>
  </si>
  <si>
    <t>7.223197</t>
  </si>
  <si>
    <t>Niederzwönitz</t>
  </si>
  <si>
    <t>50.646191</t>
  </si>
  <si>
    <t>12.822130</t>
  </si>
  <si>
    <t>Niefern</t>
  </si>
  <si>
    <t>48.920159</t>
  </si>
  <si>
    <t>8.769520</t>
  </si>
  <si>
    <t>Niemberg</t>
  </si>
  <si>
    <t>51.552062</t>
  </si>
  <si>
    <t>12.099869</t>
  </si>
  <si>
    <t>Niemberg Alte Gärtnerei</t>
  </si>
  <si>
    <t>51.550838</t>
  </si>
  <si>
    <t>12.095043</t>
  </si>
  <si>
    <t>Nienburg(Saale)</t>
  </si>
  <si>
    <t>51.837951</t>
  </si>
  <si>
    <t>11.761533</t>
  </si>
  <si>
    <t>Nienburg(Weser)</t>
  </si>
  <si>
    <t>52.645566</t>
  </si>
  <si>
    <t>9.217753</t>
  </si>
  <si>
    <t>Nienhagen(Halberst)</t>
  </si>
  <si>
    <t>51.951204</t>
  </si>
  <si>
    <t>11.170056</t>
  </si>
  <si>
    <t>49.872002</t>
  </si>
  <si>
    <t>8.342810</t>
  </si>
  <si>
    <t>Niesky</t>
  </si>
  <si>
    <t>51.298736</t>
  </si>
  <si>
    <t>14.831897</t>
  </si>
  <si>
    <t>Nieukerk</t>
  </si>
  <si>
    <t>51.458081</t>
  </si>
  <si>
    <t>6.375586</t>
  </si>
  <si>
    <t>Nievenheim</t>
  </si>
  <si>
    <t>51.123717</t>
  </si>
  <si>
    <t>6.782117</t>
  </si>
  <si>
    <t>Nievern</t>
  </si>
  <si>
    <t>50.337385</t>
  </si>
  <si>
    <t>7.681876</t>
  </si>
  <si>
    <t>Niklashausen</t>
  </si>
  <si>
    <t>49.701699</t>
  </si>
  <si>
    <t>9.613916</t>
  </si>
  <si>
    <t>Nimburg(Baden)</t>
  </si>
  <si>
    <t>48.105715</t>
  </si>
  <si>
    <t>7.760140</t>
  </si>
  <si>
    <t>Nistertal-Bad Marienberg</t>
  </si>
  <si>
    <t>50.632114</t>
  </si>
  <si>
    <t>7.900580</t>
  </si>
  <si>
    <t>Nittel</t>
  </si>
  <si>
    <t>49.654264</t>
  </si>
  <si>
    <t>6.440942</t>
  </si>
  <si>
    <t>Nöbdenitz</t>
  </si>
  <si>
    <t>50.878906</t>
  </si>
  <si>
    <t>12.280657</t>
  </si>
  <si>
    <t>Nohen</t>
  </si>
  <si>
    <t>49.639648</t>
  </si>
  <si>
    <t>7.242085</t>
  </si>
  <si>
    <t>Nohfelden</t>
  </si>
  <si>
    <t>49.585688</t>
  </si>
  <si>
    <t>7.139443</t>
  </si>
  <si>
    <t>Nohra(Weimar)</t>
  </si>
  <si>
    <t>50.969222</t>
  </si>
  <si>
    <t>11.267304</t>
  </si>
  <si>
    <t>Nohra(Wipper)</t>
  </si>
  <si>
    <t>51.443037</t>
  </si>
  <si>
    <t>10.698478</t>
  </si>
  <si>
    <t>Nonnenhorn</t>
  </si>
  <si>
    <t>47.575118</t>
  </si>
  <si>
    <t>9.612676</t>
  </si>
  <si>
    <t>Nonnenhorn Hafen</t>
  </si>
  <si>
    <t>47.574608</t>
  </si>
  <si>
    <t>9.605870</t>
  </si>
  <si>
    <t>Norddeich</t>
  </si>
  <si>
    <t>53.621579</t>
  </si>
  <si>
    <t>7.160824</t>
  </si>
  <si>
    <t>Norddeich Mole</t>
  </si>
  <si>
    <t>53.624315</t>
  </si>
  <si>
    <t>7.158806</t>
  </si>
  <si>
    <t>Norden</t>
  </si>
  <si>
    <t>53.588196</t>
  </si>
  <si>
    <t>7.218913</t>
  </si>
  <si>
    <t>Nordendorf</t>
  </si>
  <si>
    <t>48.593434</t>
  </si>
  <si>
    <t>10.837306</t>
  </si>
  <si>
    <t>Nordenham</t>
  </si>
  <si>
    <t>53.483811</t>
  </si>
  <si>
    <t>8.487392</t>
  </si>
  <si>
    <t>Norderney</t>
  </si>
  <si>
    <t>53.697776</t>
  </si>
  <si>
    <t>7.164203</t>
  </si>
  <si>
    <t>Norderstedt Mitte</t>
  </si>
  <si>
    <t>53.707687</t>
  </si>
  <si>
    <t>9.992378</t>
  </si>
  <si>
    <t>Nordhalben Bf</t>
  </si>
  <si>
    <t>50.368359</t>
  </si>
  <si>
    <t>11.517838</t>
  </si>
  <si>
    <t>Nordhastedt</t>
  </si>
  <si>
    <t>54.168970</t>
  </si>
  <si>
    <t>9.180298</t>
  </si>
  <si>
    <t>Nordhausen Bahnhofsplatz</t>
  </si>
  <si>
    <t>Nordhausen Hesseröder Straße</t>
  </si>
  <si>
    <t>51.502839</t>
  </si>
  <si>
    <t>10.777132</t>
  </si>
  <si>
    <t>Nordhausen Nord</t>
  </si>
  <si>
    <t>51.493979</t>
  </si>
  <si>
    <t>10.787882</t>
  </si>
  <si>
    <t>Nordhausen Ricarda-Huch-Straße</t>
  </si>
  <si>
    <t>51.514545</t>
  </si>
  <si>
    <t>10.780935</t>
  </si>
  <si>
    <t>Nordhausen Schurzfell</t>
  </si>
  <si>
    <t>51.522650</t>
  </si>
  <si>
    <t>10.775989</t>
  </si>
  <si>
    <t>Nordhausen-Altentor</t>
  </si>
  <si>
    <t>51.508043</t>
  </si>
  <si>
    <t>10.778952</t>
  </si>
  <si>
    <t>Nordhausen-Krimderode</t>
  </si>
  <si>
    <t>51.528531</t>
  </si>
  <si>
    <t>10.773972</t>
  </si>
  <si>
    <t>Nordhausen-Salza</t>
  </si>
  <si>
    <t>51.515111</t>
  </si>
  <si>
    <t>10.773140</t>
  </si>
  <si>
    <t>Nordheim v. d. Rhön</t>
  </si>
  <si>
    <t>50.477217</t>
  </si>
  <si>
    <t>10.180723</t>
  </si>
  <si>
    <t>Nordheim(Württ)</t>
  </si>
  <si>
    <t>49.109384</t>
  </si>
  <si>
    <t>9.148811</t>
  </si>
  <si>
    <t>Nordholz</t>
  </si>
  <si>
    <t>53.778743</t>
  </si>
  <si>
    <t>8.621370</t>
  </si>
  <si>
    <t>Nordhorn</t>
  </si>
  <si>
    <t>52.429883</t>
  </si>
  <si>
    <t>7.064799</t>
  </si>
  <si>
    <t>Nordhorn-Blanke</t>
  </si>
  <si>
    <t>52.417000</t>
  </si>
  <si>
    <t>7.074770</t>
  </si>
  <si>
    <t>Nördlingen</t>
  </si>
  <si>
    <t>48.850841</t>
  </si>
  <si>
    <t>10.497863</t>
  </si>
  <si>
    <t>Nordstemmen</t>
  </si>
  <si>
    <t>52.167549</t>
  </si>
  <si>
    <t>9.790943</t>
  </si>
  <si>
    <t>Nordstrand(b Husum)</t>
  </si>
  <si>
    <t>54.497341</t>
  </si>
  <si>
    <t>8.807477</t>
  </si>
  <si>
    <t>Nordwalde</t>
  </si>
  <si>
    <t>52.077392</t>
  </si>
  <si>
    <t>7.461641</t>
  </si>
  <si>
    <t>Norf</t>
  </si>
  <si>
    <t>51.160412</t>
  </si>
  <si>
    <t>6.731645</t>
  </si>
  <si>
    <t>Norheim</t>
  </si>
  <si>
    <t>49.808807</t>
  </si>
  <si>
    <t>7.812291</t>
  </si>
  <si>
    <t>Norsingen</t>
  </si>
  <si>
    <t>47.939061</t>
  </si>
  <si>
    <t>7.726066</t>
  </si>
  <si>
    <t>Nörten-Hardenberg</t>
  </si>
  <si>
    <t>51.628184</t>
  </si>
  <si>
    <t>9.933096</t>
  </si>
  <si>
    <t>Northeim(Han)</t>
  </si>
  <si>
    <t>51.703139</t>
  </si>
  <si>
    <t>9.986618</t>
  </si>
  <si>
    <t>Nortorf</t>
  </si>
  <si>
    <t>54.167327</t>
  </si>
  <si>
    <t>9.851689</t>
  </si>
  <si>
    <t>Nörvenich-Binsfeld</t>
  </si>
  <si>
    <t>50.794970</t>
  </si>
  <si>
    <t>6.533342</t>
  </si>
  <si>
    <t>Nörvenich-Rommelsheim</t>
  </si>
  <si>
    <t>50.782607</t>
  </si>
  <si>
    <t>6.547316</t>
  </si>
  <si>
    <t>Nossen</t>
  </si>
  <si>
    <t>51.060916</t>
  </si>
  <si>
    <t>13.293259</t>
  </si>
  <si>
    <t>Nossentin</t>
  </si>
  <si>
    <t>53.521594</t>
  </si>
  <si>
    <t>12.452177</t>
  </si>
  <si>
    <t>Nottuln-Appelhülsen</t>
  </si>
  <si>
    <t>51.892139</t>
  </si>
  <si>
    <t>7.426334</t>
  </si>
  <si>
    <t>Nufringen</t>
  </si>
  <si>
    <t>48.620132</t>
  </si>
  <si>
    <t>8.889825</t>
  </si>
  <si>
    <t>Nünchritz</t>
  </si>
  <si>
    <t>51.302649</t>
  </si>
  <si>
    <t>13.391970</t>
  </si>
  <si>
    <t>Nürnberg Flughafen</t>
  </si>
  <si>
    <t>49.493986</t>
  </si>
  <si>
    <t>11.078240</t>
  </si>
  <si>
    <t>Nürnberg Frankenstadion</t>
  </si>
  <si>
    <t>49.430795</t>
  </si>
  <si>
    <t>11.130044</t>
  </si>
  <si>
    <t>Nürnberg Frankenstadion Sonderbahnsteig</t>
  </si>
  <si>
    <t>Nürnberg Hauptbahnhof</t>
  </si>
  <si>
    <t>Nürnberg Herrnhütte</t>
  </si>
  <si>
    <t>49.478521</t>
  </si>
  <si>
    <t>11.109923</t>
  </si>
  <si>
    <t>Nürnberg Hohe Marter</t>
  </si>
  <si>
    <t>49.429206</t>
  </si>
  <si>
    <t>11.044095</t>
  </si>
  <si>
    <t>Nürnberg Nordost</t>
  </si>
  <si>
    <t>49.473975</t>
  </si>
  <si>
    <t>11.106115</t>
  </si>
  <si>
    <t>Nürnberg Nordostbahnhof</t>
  </si>
  <si>
    <t>49.472451</t>
  </si>
  <si>
    <t>11.104542</t>
  </si>
  <si>
    <t>Nürnberg Ost</t>
  </si>
  <si>
    <t>49.463811</t>
  </si>
  <si>
    <t>11.120885</t>
  </si>
  <si>
    <t>Nürnberg Ostring</t>
  </si>
  <si>
    <t>49.454129</t>
  </si>
  <si>
    <t>11.119935</t>
  </si>
  <si>
    <t>Nürnberg Plärrer</t>
  </si>
  <si>
    <t>Nürnberg Rathenauplatz</t>
  </si>
  <si>
    <t>49.457003</t>
  </si>
  <si>
    <t>11.089469</t>
  </si>
  <si>
    <t>Nürnberg Rennweg</t>
  </si>
  <si>
    <t>49.460927</t>
  </si>
  <si>
    <t>11.093134</t>
  </si>
  <si>
    <t>Nürnberg Röthenbach</t>
  </si>
  <si>
    <t>49.420915</t>
  </si>
  <si>
    <t>11.031923</t>
  </si>
  <si>
    <t>49.444710</t>
  </si>
  <si>
    <t>11.055431</t>
  </si>
  <si>
    <t>Nürnberg Schoppershof</t>
  </si>
  <si>
    <t>49.464745</t>
  </si>
  <si>
    <t>11.100491</t>
  </si>
  <si>
    <t>49.434201</t>
  </si>
  <si>
    <t>11.048245</t>
  </si>
  <si>
    <t>Nürnberg St. Leonhard</t>
  </si>
  <si>
    <t>49.439009</t>
  </si>
  <si>
    <t>11.049988</t>
  </si>
  <si>
    <t>Nürnberg Wöhrder Wiese</t>
  </si>
  <si>
    <t>Nürnberg Ziegelstein</t>
  </si>
  <si>
    <t>49.484959</t>
  </si>
  <si>
    <t>11.105216</t>
  </si>
  <si>
    <t>Nürnberg-Dürrenhof</t>
  </si>
  <si>
    <t>49.448039</t>
  </si>
  <si>
    <t>11.097530</t>
  </si>
  <si>
    <t>Nürnberg-Eibach</t>
  </si>
  <si>
    <t>49.409605</t>
  </si>
  <si>
    <t>11.047751</t>
  </si>
  <si>
    <t>Nürnberg-Erlenstegen</t>
  </si>
  <si>
    <t>49.472061</t>
  </si>
  <si>
    <t>11.137293</t>
  </si>
  <si>
    <t>Nürnberg-Gleißhammer</t>
  </si>
  <si>
    <t>49.444458</t>
  </si>
  <si>
    <t>11.111354</t>
  </si>
  <si>
    <t>Nürnberg-Laufamholz</t>
  </si>
  <si>
    <t>49.462948</t>
  </si>
  <si>
    <t>11.168477</t>
  </si>
  <si>
    <t>Nürnberg-Mögeldorf</t>
  </si>
  <si>
    <t>49.459213</t>
  </si>
  <si>
    <t>11.133866</t>
  </si>
  <si>
    <t>Nürnberg-Rehhof</t>
  </si>
  <si>
    <t>49.462625</t>
  </si>
  <si>
    <t>11.154754</t>
  </si>
  <si>
    <t>Nürnberg-Sandreuth</t>
  </si>
  <si>
    <t>49.429585</t>
  </si>
  <si>
    <t>11.054650</t>
  </si>
  <si>
    <t>Nürnberg-Stein</t>
  </si>
  <si>
    <t>49.425552</t>
  </si>
  <si>
    <t>11.018171</t>
  </si>
  <si>
    <t>Nürtingen</t>
  </si>
  <si>
    <t>48.628066</t>
  </si>
  <si>
    <t>9.342802</t>
  </si>
  <si>
    <t>Nürtingen-Roßdorf</t>
  </si>
  <si>
    <t>48.608573</t>
  </si>
  <si>
    <t>9.345713</t>
  </si>
  <si>
    <t>Nürtingen-Vorstadt</t>
  </si>
  <si>
    <t>48.620334</t>
  </si>
  <si>
    <t>9.340072</t>
  </si>
  <si>
    <t>Nützen</t>
  </si>
  <si>
    <t>53.863663</t>
  </si>
  <si>
    <t>9.916749</t>
  </si>
  <si>
    <t>Ober Ramstadt</t>
  </si>
  <si>
    <t>49.832049</t>
  </si>
  <si>
    <t>8.743744</t>
  </si>
  <si>
    <t>Oberachern</t>
  </si>
  <si>
    <t>48.614099</t>
  </si>
  <si>
    <t>8.079251</t>
  </si>
  <si>
    <t>Oberachern Bindfadenfabrik</t>
  </si>
  <si>
    <t>48.603464</t>
  </si>
  <si>
    <t>8.093268</t>
  </si>
  <si>
    <t>Oberaichen</t>
  </si>
  <si>
    <t>48.705193</t>
  </si>
  <si>
    <t>9.127335</t>
  </si>
  <si>
    <t>Oberammergau</t>
  </si>
  <si>
    <t>47.599545</t>
  </si>
  <si>
    <t>11.057078</t>
  </si>
  <si>
    <t>Oberasbach</t>
  </si>
  <si>
    <t>49.416210</t>
  </si>
  <si>
    <t>10.963200</t>
  </si>
  <si>
    <t>Oberau</t>
  </si>
  <si>
    <t>47.559273</t>
  </si>
  <si>
    <t>11.139272</t>
  </si>
  <si>
    <t>Oberaudorf</t>
  </si>
  <si>
    <t>47.652790</t>
  </si>
  <si>
    <t>12.175262</t>
  </si>
  <si>
    <t>Oberbettingen-Hillesheim</t>
  </si>
  <si>
    <t>50.282929</t>
  </si>
  <si>
    <t>6.638337</t>
  </si>
  <si>
    <t>Oberbimbach</t>
  </si>
  <si>
    <t>50.577011</t>
  </si>
  <si>
    <t>9.564232</t>
  </si>
  <si>
    <t>Oberboihingen</t>
  </si>
  <si>
    <t>48.648158</t>
  </si>
  <si>
    <t>9.364337</t>
  </si>
  <si>
    <t>Oberbrechen</t>
  </si>
  <si>
    <t>50.354498</t>
  </si>
  <si>
    <t>8.187801</t>
  </si>
  <si>
    <t>Obercarsdorf</t>
  </si>
  <si>
    <t>50.860248</t>
  </si>
  <si>
    <t>13.665174</t>
  </si>
  <si>
    <t>Oberdachstetten</t>
  </si>
  <si>
    <t>49.418079</t>
  </si>
  <si>
    <t>10.423118</t>
  </si>
  <si>
    <t>Oberderdingen-Flehingen</t>
  </si>
  <si>
    <t>49.083968</t>
  </si>
  <si>
    <t>8.775007</t>
  </si>
  <si>
    <t>Oberelchingen</t>
  </si>
  <si>
    <t>48.447573</t>
  </si>
  <si>
    <t>10.083024</t>
  </si>
  <si>
    <t>Oberelsungen</t>
  </si>
  <si>
    <t>51.376323</t>
  </si>
  <si>
    <t>9.250929</t>
  </si>
  <si>
    <t>Obererbach</t>
  </si>
  <si>
    <t>50.719911</t>
  </si>
  <si>
    <t>7.659393</t>
  </si>
  <si>
    <t>Oberesslingen</t>
  </si>
  <si>
    <t>48.729876</t>
  </si>
  <si>
    <t>9.327267</t>
  </si>
  <si>
    <t>Oberferrieden</t>
  </si>
  <si>
    <t>49.331477</t>
  </si>
  <si>
    <t>11.333429</t>
  </si>
  <si>
    <t>Obergimpern</t>
  </si>
  <si>
    <t>49.255404</t>
  </si>
  <si>
    <t>9.044019</t>
  </si>
  <si>
    <t>Obergries</t>
  </si>
  <si>
    <t>47.707537</t>
  </si>
  <si>
    <t>11.563533</t>
  </si>
  <si>
    <t>Obergriesbach</t>
  </si>
  <si>
    <t>48.421926</t>
  </si>
  <si>
    <t>11.079760</t>
  </si>
  <si>
    <t>Obergrunstedt</t>
  </si>
  <si>
    <t>50.955595</t>
  </si>
  <si>
    <t>11.270746</t>
  </si>
  <si>
    <t>Oberhaid</t>
  </si>
  <si>
    <t>49.929468</t>
  </si>
  <si>
    <t>10.817637</t>
  </si>
  <si>
    <t>Oberharmersbach Dorf</t>
  </si>
  <si>
    <t>48.373308</t>
  </si>
  <si>
    <t>8.124407</t>
  </si>
  <si>
    <t>Oberharmersbach-Riersbach</t>
  </si>
  <si>
    <t>48.380789</t>
  </si>
  <si>
    <t>8.140512</t>
  </si>
  <si>
    <t>Oberhausen-Holten</t>
  </si>
  <si>
    <t>51.534574</t>
  </si>
  <si>
    <t>6.810455</t>
  </si>
  <si>
    <t>Oberhausen-Sterkrade</t>
  </si>
  <si>
    <t>51.512086</t>
  </si>
  <si>
    <t>6.843543</t>
  </si>
  <si>
    <t>Oberhof(Thür) Stadt</t>
  </si>
  <si>
    <t>50.706613</t>
  </si>
  <si>
    <t>10.724571</t>
  </si>
  <si>
    <t>Oberholz</t>
  </si>
  <si>
    <t>51.257796</t>
  </si>
  <si>
    <t>12.506422</t>
  </si>
  <si>
    <t>Oberjoch Grenzwiesbahn</t>
  </si>
  <si>
    <t>47.519971</t>
  </si>
  <si>
    <t>10.425364</t>
  </si>
  <si>
    <t>Oberkaufungen Bahnhof, Kaufungen</t>
  </si>
  <si>
    <t>51.287046</t>
  </si>
  <si>
    <t>9.636522</t>
  </si>
  <si>
    <t>Oberkaufungen DRK-Klinik, Kaufungen</t>
  </si>
  <si>
    <t>51.283596</t>
  </si>
  <si>
    <t>9.639238</t>
  </si>
  <si>
    <t>Oberkaufungen Gesamtschule, Kaufungen</t>
  </si>
  <si>
    <t>51.282487</t>
  </si>
  <si>
    <t>9.619792</t>
  </si>
  <si>
    <t>Oberkaufungen Mitte, Kaufungen</t>
  </si>
  <si>
    <t>51.285191</t>
  </si>
  <si>
    <t>9.629731</t>
  </si>
  <si>
    <t>Oberkirch</t>
  </si>
  <si>
    <t>48.529031</t>
  </si>
  <si>
    <t>8.076890</t>
  </si>
  <si>
    <t>Oberkirch-Köhlersiedlung</t>
  </si>
  <si>
    <t>48.524845</t>
  </si>
  <si>
    <t>8.089437</t>
  </si>
  <si>
    <t>Oberkochen</t>
  </si>
  <si>
    <t>48.782359</t>
  </si>
  <si>
    <t>10.107654</t>
  </si>
  <si>
    <t>Oberkrozingen</t>
  </si>
  <si>
    <t>47.910557</t>
  </si>
  <si>
    <t>7.715884</t>
  </si>
  <si>
    <t>Oberlahnstein</t>
  </si>
  <si>
    <t>50.299926</t>
  </si>
  <si>
    <t>7.603964</t>
  </si>
  <si>
    <t>Oberlahnstein KD</t>
  </si>
  <si>
    <t>Oberlauscha</t>
  </si>
  <si>
    <t>50.484953</t>
  </si>
  <si>
    <t>11.156265</t>
  </si>
  <si>
    <t>Oberlenningen</t>
  </si>
  <si>
    <t>48.554385</t>
  </si>
  <si>
    <t>9.470774</t>
  </si>
  <si>
    <t>Oberlichtenau</t>
  </si>
  <si>
    <t>50.907914</t>
  </si>
  <si>
    <t>12.959276</t>
  </si>
  <si>
    <t>Oberlindhart</t>
  </si>
  <si>
    <t>48.755409</t>
  </si>
  <si>
    <t>12.217908</t>
  </si>
  <si>
    <t>Oberlinxweiler</t>
  </si>
  <si>
    <t>49.450707</t>
  </si>
  <si>
    <t>7.151116</t>
  </si>
  <si>
    <t>Obermaubach</t>
  </si>
  <si>
    <t>50.713986</t>
  </si>
  <si>
    <t>6.446967</t>
  </si>
  <si>
    <t>Obermohr</t>
  </si>
  <si>
    <t>49.456253</t>
  </si>
  <si>
    <t>7.501412</t>
  </si>
  <si>
    <t>Obernau</t>
  </si>
  <si>
    <t>49.934537</t>
  </si>
  <si>
    <t>9.136088</t>
  </si>
  <si>
    <t>Obernburg-Elsenfeld</t>
  </si>
  <si>
    <t>49.840738</t>
  </si>
  <si>
    <t>9.154222</t>
  </si>
  <si>
    <t>Oberndorf(Neckar)</t>
  </si>
  <si>
    <t>48.295669</t>
  </si>
  <si>
    <t>8.575514</t>
  </si>
  <si>
    <t>Oberndorf(Wittgenstein)</t>
  </si>
  <si>
    <t>50.952239</t>
  </si>
  <si>
    <t>8.300167</t>
  </si>
  <si>
    <t>Oberneuschönberg</t>
  </si>
  <si>
    <t>50.646285</t>
  </si>
  <si>
    <t>13.394752</t>
  </si>
  <si>
    <t>Obernhof(Lahn)</t>
  </si>
  <si>
    <t>50.315944</t>
  </si>
  <si>
    <t>7.853004</t>
  </si>
  <si>
    <t>Oberoderwitz</t>
  </si>
  <si>
    <t>50.966427</t>
  </si>
  <si>
    <t>14.708464</t>
  </si>
  <si>
    <t>Oberoderwitz Oberdorf</t>
  </si>
  <si>
    <t>50.973831</t>
  </si>
  <si>
    <t>14.678718</t>
  </si>
  <si>
    <t>Oberottmarshausen</t>
  </si>
  <si>
    <t>48.235868</t>
  </si>
  <si>
    <t>10.851834</t>
  </si>
  <si>
    <t>Oberöwisheim</t>
  </si>
  <si>
    <t>49.140060</t>
  </si>
  <si>
    <t>8.686232</t>
  </si>
  <si>
    <t>Oberröblingen</t>
  </si>
  <si>
    <t>51.441136</t>
  </si>
  <si>
    <t>11.297069</t>
  </si>
  <si>
    <t>Oberrohn</t>
  </si>
  <si>
    <t>50.849861</t>
  </si>
  <si>
    <t>10.214108</t>
  </si>
  <si>
    <t>Oberrothenbach</t>
  </si>
  <si>
    <t>50.763883</t>
  </si>
  <si>
    <t>12.475776</t>
  </si>
  <si>
    <t>Oberrotweil</t>
  </si>
  <si>
    <t>48.089842</t>
  </si>
  <si>
    <t>7.620899</t>
  </si>
  <si>
    <t>Oberschefflenz</t>
  </si>
  <si>
    <t>49.416925</t>
  </si>
  <si>
    <t>9.278850</t>
  </si>
  <si>
    <t>Oberschleißheim</t>
  </si>
  <si>
    <t>48.257226</t>
  </si>
  <si>
    <t>11.557830</t>
  </si>
  <si>
    <t>Oberschlottwitz</t>
  </si>
  <si>
    <t>50.870550</t>
  </si>
  <si>
    <t>13.814493</t>
  </si>
  <si>
    <t>Obersdorf</t>
  </si>
  <si>
    <t>52.536966</t>
  </si>
  <si>
    <t>14.167862</t>
  </si>
  <si>
    <t>Obersinn</t>
  </si>
  <si>
    <t>50.209019</t>
  </si>
  <si>
    <t>9.617798</t>
  </si>
  <si>
    <t>Oberspier B4</t>
  </si>
  <si>
    <t>51.312911</t>
  </si>
  <si>
    <t>10.855513</t>
  </si>
  <si>
    <t>Oberstaufen</t>
  </si>
  <si>
    <t>47.554206</t>
  </si>
  <si>
    <t>10.025285</t>
  </si>
  <si>
    <t>Oberstdorf</t>
  </si>
  <si>
    <t>47.411032</t>
  </si>
  <si>
    <t>10.278097</t>
  </si>
  <si>
    <t>Obertraubling</t>
  </si>
  <si>
    <t>48.967537</t>
  </si>
  <si>
    <t>12.169996</t>
  </si>
  <si>
    <t>Obertshausen(Kr Of)</t>
  </si>
  <si>
    <t>50.072226</t>
  </si>
  <si>
    <t>8.853417</t>
  </si>
  <si>
    <t>Obertsrot</t>
  </si>
  <si>
    <t>48.745806</t>
  </si>
  <si>
    <t>8.347530</t>
  </si>
  <si>
    <t>Oberursel(Taunus)</t>
  </si>
  <si>
    <t>50.199423</t>
  </si>
  <si>
    <t>8.589409</t>
  </si>
  <si>
    <t>Oberursel-Stierstadt</t>
  </si>
  <si>
    <t>50.185688</t>
  </si>
  <si>
    <t>8.584694</t>
  </si>
  <si>
    <t>Oberursel-Weißkirchen/Steinbach</t>
  </si>
  <si>
    <t>50.173246</t>
  </si>
  <si>
    <t>8.586918</t>
  </si>
  <si>
    <t>Oberweimar</t>
  </si>
  <si>
    <t>50.965934</t>
  </si>
  <si>
    <t>11.354874</t>
  </si>
  <si>
    <t>Oberweißbach-Deesbach</t>
  </si>
  <si>
    <t>50.579239</t>
  </si>
  <si>
    <t>11.135521</t>
  </si>
  <si>
    <t>Oberwerrn</t>
  </si>
  <si>
    <t>50.070342</t>
  </si>
  <si>
    <t>10.153804</t>
  </si>
  <si>
    <t>Oberwesel</t>
  </si>
  <si>
    <t>50.104460</t>
  </si>
  <si>
    <t>7.731542</t>
  </si>
  <si>
    <t>Oberwesel KD</t>
  </si>
  <si>
    <t>Ober-Widdersheim</t>
  </si>
  <si>
    <t>50.429557</t>
  </si>
  <si>
    <t>8.933878</t>
  </si>
  <si>
    <t>Oberwinden</t>
  </si>
  <si>
    <t>48.152529</t>
  </si>
  <si>
    <t>8.044583</t>
  </si>
  <si>
    <t>Oberwinter</t>
  </si>
  <si>
    <t>50.611196</t>
  </si>
  <si>
    <t>7.207796</t>
  </si>
  <si>
    <t>Oberzell</t>
  </si>
  <si>
    <t>47.751727</t>
  </si>
  <si>
    <t>9.574475</t>
  </si>
  <si>
    <t>Oberzissen</t>
  </si>
  <si>
    <t>50.455137</t>
  </si>
  <si>
    <t>7.200310</t>
  </si>
  <si>
    <t>Obing</t>
  </si>
  <si>
    <t>47.998779</t>
  </si>
  <si>
    <t>12.403156</t>
  </si>
  <si>
    <t>Obstfelderschmiede</t>
  </si>
  <si>
    <t>50.603622</t>
  </si>
  <si>
    <t>11.133784</t>
  </si>
  <si>
    <t>Ochenbruck</t>
  </si>
  <si>
    <t>49.362839</t>
  </si>
  <si>
    <t>11.253831</t>
  </si>
  <si>
    <t>Ochsenfurt</t>
  </si>
  <si>
    <t>49.663043</t>
  </si>
  <si>
    <t>10.071776</t>
  </si>
  <si>
    <t>Ochsenhausen</t>
  </si>
  <si>
    <t>48.071069</t>
  </si>
  <si>
    <t>9.947367</t>
  </si>
  <si>
    <t>Ochtmersleben</t>
  </si>
  <si>
    <t>52.144442</t>
  </si>
  <si>
    <t>11.381105</t>
  </si>
  <si>
    <t>Ochtrup</t>
  </si>
  <si>
    <t>52.201616</t>
  </si>
  <si>
    <t>7.184036</t>
  </si>
  <si>
    <t>Ockenheim</t>
  </si>
  <si>
    <t>49.950552</t>
  </si>
  <si>
    <t>7.965441</t>
  </si>
  <si>
    <t>Odenheim Bf</t>
  </si>
  <si>
    <t>49.179020</t>
  </si>
  <si>
    <t>8.746388</t>
  </si>
  <si>
    <t>Odenheim West</t>
  </si>
  <si>
    <t>49.182272</t>
  </si>
  <si>
    <t>8.736492</t>
  </si>
  <si>
    <t>Oderin</t>
  </si>
  <si>
    <t>52.074916</t>
  </si>
  <si>
    <t>13.726923</t>
  </si>
  <si>
    <t>Oebisfelde</t>
  </si>
  <si>
    <t>52.439275</t>
  </si>
  <si>
    <t>10.983852</t>
  </si>
  <si>
    <t>Oederan</t>
  </si>
  <si>
    <t>50.857222</t>
  </si>
  <si>
    <t>13.174791</t>
  </si>
  <si>
    <t>Oegeln</t>
  </si>
  <si>
    <t>52.172728</t>
  </si>
  <si>
    <t>14.270870</t>
  </si>
  <si>
    <t>Oehna</t>
  </si>
  <si>
    <t>51.933050</t>
  </si>
  <si>
    <t>13.048201</t>
  </si>
  <si>
    <t>Oelde</t>
  </si>
  <si>
    <t>51.829112</t>
  </si>
  <si>
    <t>8.142599</t>
  </si>
  <si>
    <t>Oelsnitz Bahnhofstraße</t>
  </si>
  <si>
    <t>Oelsnitz(Erzgeb)</t>
  </si>
  <si>
    <t>50.734178</t>
  </si>
  <si>
    <t>12.693933</t>
  </si>
  <si>
    <t>Oelsnitz(Vogtl)</t>
  </si>
  <si>
    <t>50.413230</t>
  </si>
  <si>
    <t>12.159000</t>
  </si>
  <si>
    <t>Oerel</t>
  </si>
  <si>
    <t>53.494156</t>
  </si>
  <si>
    <t>9.032470</t>
  </si>
  <si>
    <t>Oerlenbach</t>
  </si>
  <si>
    <t>50.143278</t>
  </si>
  <si>
    <t>10.130921</t>
  </si>
  <si>
    <t>Oerlinghausen</t>
  </si>
  <si>
    <t>51.978774</t>
  </si>
  <si>
    <t>8.666016</t>
  </si>
  <si>
    <t>Oertzenhof</t>
  </si>
  <si>
    <t>53.518083</t>
  </si>
  <si>
    <t>13.573119</t>
  </si>
  <si>
    <t>Oesede</t>
  </si>
  <si>
    <t>52.208729</t>
  </si>
  <si>
    <t>8.064317</t>
  </si>
  <si>
    <t>Oestrich-Winkel</t>
  </si>
  <si>
    <t>50.002659</t>
  </si>
  <si>
    <t>8.018900</t>
  </si>
  <si>
    <t>Oettingen(Bay)</t>
  </si>
  <si>
    <t>48.945050</t>
  </si>
  <si>
    <t>10.600122</t>
  </si>
  <si>
    <t>Oeventrop</t>
  </si>
  <si>
    <t>51.392020</t>
  </si>
  <si>
    <t>8.132081</t>
  </si>
  <si>
    <t>Offenau</t>
  </si>
  <si>
    <t>49.246414</t>
  </si>
  <si>
    <t>9.165293</t>
  </si>
  <si>
    <t>Offenbach(Main) Kaiserlei</t>
  </si>
  <si>
    <t>50.105246</t>
  </si>
  <si>
    <t>8.738471</t>
  </si>
  <si>
    <t>Offenbach(Main) Ledermuseum</t>
  </si>
  <si>
    <t>50.105989</t>
  </si>
  <si>
    <t>8.750485</t>
  </si>
  <si>
    <t>Offenbach(Main) Marktplatz</t>
  </si>
  <si>
    <t>50.105855</t>
  </si>
  <si>
    <t>8.763633</t>
  </si>
  <si>
    <t>Offenbach(Main)Hbf</t>
  </si>
  <si>
    <t>50.099264</t>
  </si>
  <si>
    <t>8.760743</t>
  </si>
  <si>
    <t>Offenbach(Main)Ost</t>
  </si>
  <si>
    <t>50.102711</t>
  </si>
  <si>
    <t>8.784424</t>
  </si>
  <si>
    <t>Offenbach-Bieber</t>
  </si>
  <si>
    <t>50.090421</t>
  </si>
  <si>
    <t>8.808589</t>
  </si>
  <si>
    <t>Offenbach-Waldhof</t>
  </si>
  <si>
    <t>50.081691</t>
  </si>
  <si>
    <t>8.828938</t>
  </si>
  <si>
    <t>Offenburg</t>
  </si>
  <si>
    <t>48.476475</t>
  </si>
  <si>
    <t>7.946723</t>
  </si>
  <si>
    <t>Offenburg Kreisschulzentrum</t>
  </si>
  <si>
    <t>48.459784</t>
  </si>
  <si>
    <t>7.955192</t>
  </si>
  <si>
    <t>Offenhausen</t>
  </si>
  <si>
    <t>48.399628</t>
  </si>
  <si>
    <t>9.370292</t>
  </si>
  <si>
    <t>Offensen(Kr North)</t>
  </si>
  <si>
    <t>51.588886</t>
  </si>
  <si>
    <t>9.679817</t>
  </si>
  <si>
    <t>Offingen</t>
  </si>
  <si>
    <t>48.481846</t>
  </si>
  <si>
    <t>10.376003</t>
  </si>
  <si>
    <t>Oftersheim</t>
  </si>
  <si>
    <t>49.373505</t>
  </si>
  <si>
    <t>8.579013</t>
  </si>
  <si>
    <t>Ohlstadt</t>
  </si>
  <si>
    <t>47.634091</t>
  </si>
  <si>
    <t>11.218066</t>
  </si>
  <si>
    <t>Öhningen</t>
  </si>
  <si>
    <t>47.652098</t>
  </si>
  <si>
    <t>8.894311</t>
  </si>
  <si>
    <t>Öhringen Hbf</t>
  </si>
  <si>
    <t>49.203214</t>
  </si>
  <si>
    <t>9.502705</t>
  </si>
  <si>
    <t>Öhringen West</t>
  </si>
  <si>
    <t>49.200140</t>
  </si>
  <si>
    <t>9.485804</t>
  </si>
  <si>
    <t>Öhringen-Cappel</t>
  </si>
  <si>
    <t>49.201961</t>
  </si>
  <si>
    <t>9.526919</t>
  </si>
  <si>
    <t>Okarben</t>
  </si>
  <si>
    <t>50.252664</t>
  </si>
  <si>
    <t>8.753350</t>
  </si>
  <si>
    <t>Oker</t>
  </si>
  <si>
    <t>51.904879</t>
  </si>
  <si>
    <t>10.478146</t>
  </si>
  <si>
    <t>Olbernhau</t>
  </si>
  <si>
    <t>50.656255</t>
  </si>
  <si>
    <t>13.336774</t>
  </si>
  <si>
    <t>Olbernhau West</t>
  </si>
  <si>
    <t>50.660248</t>
  </si>
  <si>
    <t>13.320757</t>
  </si>
  <si>
    <t>Olbernhau-Grünthal</t>
  </si>
  <si>
    <t>50.649844</t>
  </si>
  <si>
    <t>13.364854</t>
  </si>
  <si>
    <t>Olbersdorf Niederdorf</t>
  </si>
  <si>
    <t>50.881175</t>
  </si>
  <si>
    <t>14.781219</t>
  </si>
  <si>
    <t>Olbersdorf Oberdorf</t>
  </si>
  <si>
    <t>50.871548</t>
  </si>
  <si>
    <t>14.767724</t>
  </si>
  <si>
    <t>Olbersleben-Ellersleben</t>
  </si>
  <si>
    <t>51.143969</t>
  </si>
  <si>
    <t>11.333224</t>
  </si>
  <si>
    <t>Ölbronn Hindenburgstr.</t>
  </si>
  <si>
    <t>48.981817</t>
  </si>
  <si>
    <t>8.750633</t>
  </si>
  <si>
    <t>Ölbronn-Dürrn</t>
  </si>
  <si>
    <t>48.985810</t>
  </si>
  <si>
    <t>8.753677</t>
  </si>
  <si>
    <t>Olching</t>
  </si>
  <si>
    <t>48.209995</t>
  </si>
  <si>
    <t>11.335602</t>
  </si>
  <si>
    <t>Oldenburg(Holst)</t>
  </si>
  <si>
    <t>54.283824</t>
  </si>
  <si>
    <t>10.882838</t>
  </si>
  <si>
    <t>Oldenburg(Oldb)Hbf</t>
  </si>
  <si>
    <t>53.144323</t>
  </si>
  <si>
    <t>8.222713</t>
  </si>
  <si>
    <t>Oldenburg-Wechloy</t>
  </si>
  <si>
    <t>53.151804</t>
  </si>
  <si>
    <t>8.178156</t>
  </si>
  <si>
    <t>Oldenbüttel</t>
  </si>
  <si>
    <t>53.283432</t>
  </si>
  <si>
    <t>8.810466</t>
  </si>
  <si>
    <t>Oldentrup</t>
  </si>
  <si>
    <t>52.010279</t>
  </si>
  <si>
    <t>8.590814</t>
  </si>
  <si>
    <t>Olpe</t>
  </si>
  <si>
    <t>51.027738</t>
  </si>
  <si>
    <t>7.841447</t>
  </si>
  <si>
    <t>Olsberg</t>
  </si>
  <si>
    <t>51.360495</t>
  </si>
  <si>
    <t>8.484206</t>
  </si>
  <si>
    <t>Olsbrücken</t>
  </si>
  <si>
    <t>49.538071</t>
  </si>
  <si>
    <t>7.652759</t>
  </si>
  <si>
    <t>Opladen</t>
  </si>
  <si>
    <t>51.066175</t>
  </si>
  <si>
    <t>7.008775</t>
  </si>
  <si>
    <t>Oppenau</t>
  </si>
  <si>
    <t>48.471999</t>
  </si>
  <si>
    <t>8.159761</t>
  </si>
  <si>
    <t>Oppenheim</t>
  </si>
  <si>
    <t>49.857560</t>
  </si>
  <si>
    <t>8.358078</t>
  </si>
  <si>
    <t>Oppenweiler(Württ)</t>
  </si>
  <si>
    <t>48.981518</t>
  </si>
  <si>
    <t>9.462785</t>
  </si>
  <si>
    <t>Oppurg</t>
  </si>
  <si>
    <t>50.706107</t>
  </si>
  <si>
    <t>11.651138</t>
  </si>
  <si>
    <t>Oranienbaum(Anh)</t>
  </si>
  <si>
    <t>51.800919</t>
  </si>
  <si>
    <t>12.390405</t>
  </si>
  <si>
    <t>Oranienburg</t>
  </si>
  <si>
    <t>52.753653</t>
  </si>
  <si>
    <t>13.249613</t>
  </si>
  <si>
    <t>Oranienburg (S)</t>
  </si>
  <si>
    <t>52.753711</t>
  </si>
  <si>
    <t>13.249072</t>
  </si>
  <si>
    <t>Orlamünde</t>
  </si>
  <si>
    <t>50.775661</t>
  </si>
  <si>
    <t>11.544899</t>
  </si>
  <si>
    <t>Orschweier</t>
  </si>
  <si>
    <t>48.274192</t>
  </si>
  <si>
    <t>7.790281</t>
  </si>
  <si>
    <t>Orthopädische Klinik, Hessisch Lichtenau</t>
  </si>
  <si>
    <t>51.209915</t>
  </si>
  <si>
    <t>9.709415</t>
  </si>
  <si>
    <t>Ortrand</t>
  </si>
  <si>
    <t>51.373633</t>
  </si>
  <si>
    <t>13.764948</t>
  </si>
  <si>
    <t>51.311740</t>
  </si>
  <si>
    <t>13.104056</t>
  </si>
  <si>
    <t>Oschersleben(Bode)</t>
  </si>
  <si>
    <t>52.030726</t>
  </si>
  <si>
    <t>11.226840</t>
  </si>
  <si>
    <t>Osnabrück Altstadt</t>
  </si>
  <si>
    <t>52.280935</t>
  </si>
  <si>
    <t>8.045902</t>
  </si>
  <si>
    <t>Osnabrück Halle Gartlage (EV)</t>
  </si>
  <si>
    <t>52.283255</t>
  </si>
  <si>
    <t>8.067158</t>
  </si>
  <si>
    <t>Osnabrück-Sutthausen</t>
  </si>
  <si>
    <t>52.231807</t>
  </si>
  <si>
    <t>8.021413</t>
  </si>
  <si>
    <t>Oßmannstedt</t>
  </si>
  <si>
    <t>51.019087</t>
  </si>
  <si>
    <t>11.425298</t>
  </si>
  <si>
    <t>Ostbevern</t>
  </si>
  <si>
    <t>52.070117</t>
  </si>
  <si>
    <t>7.809287</t>
  </si>
  <si>
    <t>Osterburg</t>
  </si>
  <si>
    <t>52.787668</t>
  </si>
  <si>
    <t>11.760386</t>
  </si>
  <si>
    <t>Osterburken</t>
  </si>
  <si>
    <t>49.429657</t>
  </si>
  <si>
    <t>9.422692</t>
  </si>
  <si>
    <t>Osterhof</t>
  </si>
  <si>
    <t>54.159331</t>
  </si>
  <si>
    <t>8.894218</t>
  </si>
  <si>
    <t>Osterhofen(Nby)</t>
  </si>
  <si>
    <t>48.695474</t>
  </si>
  <si>
    <t>13.018705</t>
  </si>
  <si>
    <t>Osterhofen(Oberbay)</t>
  </si>
  <si>
    <t>47.687655</t>
  </si>
  <si>
    <t>11.986881</t>
  </si>
  <si>
    <t>Osterholz-Scharmbeck</t>
  </si>
  <si>
    <t>53.222776</t>
  </si>
  <si>
    <t>8.797434</t>
  </si>
  <si>
    <t>Ostermünchen</t>
  </si>
  <si>
    <t>47.942148</t>
  </si>
  <si>
    <t>12.041588</t>
  </si>
  <si>
    <t>Osterode am Harz Leege</t>
  </si>
  <si>
    <t>51.717059</t>
  </si>
  <si>
    <t>10.273027</t>
  </si>
  <si>
    <t>Osterode am Harz Mitte</t>
  </si>
  <si>
    <t>51.726038</t>
  </si>
  <si>
    <t>10.245443</t>
  </si>
  <si>
    <t>Ostersode</t>
  </si>
  <si>
    <t>53.314658</t>
  </si>
  <si>
    <t>8.975377</t>
  </si>
  <si>
    <t>Osterspai</t>
  </si>
  <si>
    <t>50.245071</t>
  </si>
  <si>
    <t>7.615074</t>
  </si>
  <si>
    <t>Osterstedt</t>
  </si>
  <si>
    <t>54.102219</t>
  </si>
  <si>
    <t>9.575455</t>
  </si>
  <si>
    <t>Osterteich</t>
  </si>
  <si>
    <t>51.720614</t>
  </si>
  <si>
    <t>11.160691</t>
  </si>
  <si>
    <t>Osterwald</t>
  </si>
  <si>
    <t>52.097344</t>
  </si>
  <si>
    <t>9.636544</t>
  </si>
  <si>
    <t>Osterweddingen</t>
  </si>
  <si>
    <t>52.049135</t>
  </si>
  <si>
    <t>11.575921</t>
  </si>
  <si>
    <t>Ostheim v Rhön</t>
  </si>
  <si>
    <t>50.455926</t>
  </si>
  <si>
    <t>10.231621</t>
  </si>
  <si>
    <t>Ostheim(b Butzbach)</t>
  </si>
  <si>
    <t>50.406466</t>
  </si>
  <si>
    <t>8.675299</t>
  </si>
  <si>
    <t>Ostheim(Kr Hanau)</t>
  </si>
  <si>
    <t>50.219100</t>
  </si>
  <si>
    <t>8.903381</t>
  </si>
  <si>
    <t>Osthofen</t>
  </si>
  <si>
    <t>49.705423</t>
  </si>
  <si>
    <t>8.325988</t>
  </si>
  <si>
    <t>Ostrach Bahnhof</t>
  </si>
  <si>
    <t>47.946586</t>
  </si>
  <si>
    <t>9.379116</t>
  </si>
  <si>
    <t>Ostrau</t>
  </si>
  <si>
    <t>51.200294</t>
  </si>
  <si>
    <t>13.166405</t>
  </si>
  <si>
    <t>Ostrau Post</t>
  </si>
  <si>
    <t>51.200850</t>
  </si>
  <si>
    <t>13.162100</t>
  </si>
  <si>
    <t>Ostritz Bahnhof</t>
  </si>
  <si>
    <t>51.016038</t>
  </si>
  <si>
    <t>14.937912</t>
  </si>
  <si>
    <t>Ostritz Stadt Dresden</t>
  </si>
  <si>
    <t>51.018032</t>
  </si>
  <si>
    <t>14.930407</t>
  </si>
  <si>
    <t>Ostseebad Ahrenshoop Mitte</t>
  </si>
  <si>
    <t>54.378635</t>
  </si>
  <si>
    <t>12.417680</t>
  </si>
  <si>
    <t>Ostseebad Binz</t>
  </si>
  <si>
    <t>54.404819</t>
  </si>
  <si>
    <t>13.600507</t>
  </si>
  <si>
    <t>Ostseebad Binz Bahnhof (Dollahner Str)</t>
  </si>
  <si>
    <t>Ostseebad Dierhagen(Darß)</t>
  </si>
  <si>
    <t>54.290418</t>
  </si>
  <si>
    <t>12.353103</t>
  </si>
  <si>
    <t>Ostseebad Kühlungsborn Friedhof</t>
  </si>
  <si>
    <t>54.142046</t>
  </si>
  <si>
    <t>11.771849</t>
  </si>
  <si>
    <t>Ostseebad Kühlungsborn Mitte</t>
  </si>
  <si>
    <t>54.141615</t>
  </si>
  <si>
    <t>11.753440</t>
  </si>
  <si>
    <t>Ostseebad Kühlungsborn Neue Reihe</t>
  </si>
  <si>
    <t>54.142971</t>
  </si>
  <si>
    <t>11.742683</t>
  </si>
  <si>
    <t>Ostseebad Kühlungsborn Ost</t>
  </si>
  <si>
    <t>54.147563</t>
  </si>
  <si>
    <t>11.759827</t>
  </si>
  <si>
    <t>Ostseebad Kühlungsborn West</t>
  </si>
  <si>
    <t>54.146496</t>
  </si>
  <si>
    <t>11.727167</t>
  </si>
  <si>
    <t>Ostseebad Zingst Zentrum</t>
  </si>
  <si>
    <t>54.433700</t>
  </si>
  <si>
    <t>12.686200</t>
  </si>
  <si>
    <t>Ötigheim</t>
  </si>
  <si>
    <t>48.888526</t>
  </si>
  <si>
    <t>8.240582</t>
  </si>
  <si>
    <t>Ötisheim</t>
  </si>
  <si>
    <t>48.966571</t>
  </si>
  <si>
    <t>8.813508</t>
  </si>
  <si>
    <t>Ottenau</t>
  </si>
  <si>
    <t>48.792877</t>
  </si>
  <si>
    <t>8.338314</t>
  </si>
  <si>
    <t>Ottendorf(Mittweida)</t>
  </si>
  <si>
    <t>50.935117</t>
  </si>
  <si>
    <t>12.952856</t>
  </si>
  <si>
    <t>Ottendorf-Okrilla Hp</t>
  </si>
  <si>
    <t>51.186677</t>
  </si>
  <si>
    <t>13.835955</t>
  </si>
  <si>
    <t>Ottendorf-Okrilla Nord</t>
  </si>
  <si>
    <t>51.197069</t>
  </si>
  <si>
    <t>13.835113</t>
  </si>
  <si>
    <t>Ottendorf-Okrilla Süd</t>
  </si>
  <si>
    <t>51.177968</t>
  </si>
  <si>
    <t>13.824915</t>
  </si>
  <si>
    <t>Ottenhöfen</t>
  </si>
  <si>
    <t>48.566867</t>
  </si>
  <si>
    <t>8.151041</t>
  </si>
  <si>
    <t>Ottenhöfen West</t>
  </si>
  <si>
    <t>48.567873</t>
  </si>
  <si>
    <t>8.142636</t>
  </si>
  <si>
    <t>Ottenhofen(Oberbay)</t>
  </si>
  <si>
    <t>48.218134</t>
  </si>
  <si>
    <t>11.879385</t>
  </si>
  <si>
    <t>Ottenhofen-Bergel</t>
  </si>
  <si>
    <t>49.455790</t>
  </si>
  <si>
    <t>10.355976</t>
  </si>
  <si>
    <t>Ottensoos</t>
  </si>
  <si>
    <t>49.507750</t>
  </si>
  <si>
    <t>11.339683</t>
  </si>
  <si>
    <t>Otterfing</t>
  </si>
  <si>
    <t>47.911387</t>
  </si>
  <si>
    <t>11.682121</t>
  </si>
  <si>
    <t>Otterndorf</t>
  </si>
  <si>
    <t>53.805984</t>
  </si>
  <si>
    <t>8.893989</t>
  </si>
  <si>
    <t>Ottersberg(Han)</t>
  </si>
  <si>
    <t>53.096853</t>
  </si>
  <si>
    <t>9.133150</t>
  </si>
  <si>
    <t>Otterwisch</t>
  </si>
  <si>
    <t>51.200328</t>
  </si>
  <si>
    <t>12.601793</t>
  </si>
  <si>
    <t>Otting</t>
  </si>
  <si>
    <t>47.928710</t>
  </si>
  <si>
    <t>12.703593</t>
  </si>
  <si>
    <t>Otting-Weilheim</t>
  </si>
  <si>
    <t>48.880872</t>
  </si>
  <si>
    <t>10.818935</t>
  </si>
  <si>
    <t>Ottobeuren</t>
  </si>
  <si>
    <t>47.944168</t>
  </si>
  <si>
    <t>10.307136</t>
  </si>
  <si>
    <t>Ottobrunn</t>
  </si>
  <si>
    <t>48.063692</t>
  </si>
  <si>
    <t>11.677795</t>
  </si>
  <si>
    <t>Ottweiler(Saar)</t>
  </si>
  <si>
    <t>49.402337</t>
  </si>
  <si>
    <t>7.166133</t>
  </si>
  <si>
    <t>Otzberg Lengfeld</t>
  </si>
  <si>
    <t>49.839453</t>
  </si>
  <si>
    <t>8.902737</t>
  </si>
  <si>
    <t>Otze</t>
  </si>
  <si>
    <t>52.487617</t>
  </si>
  <si>
    <t>10.017114</t>
  </si>
  <si>
    <t>Otzing</t>
  </si>
  <si>
    <t>48.763815</t>
  </si>
  <si>
    <t>12.806368</t>
  </si>
  <si>
    <t>Ovelgünne</t>
  </si>
  <si>
    <t>52.141807</t>
  </si>
  <si>
    <t>11.269430</t>
  </si>
  <si>
    <t>Overath</t>
  </si>
  <si>
    <t>50.932730</t>
  </si>
  <si>
    <t>7.288817</t>
  </si>
  <si>
    <t>Owen(Teck)</t>
  </si>
  <si>
    <t>48.586996</t>
  </si>
  <si>
    <t>9.447760</t>
  </si>
  <si>
    <t>Owschlag</t>
  </si>
  <si>
    <t>54.392595</t>
  </si>
  <si>
    <t>9.590516</t>
  </si>
  <si>
    <t>Oy-Mittelberg</t>
  </si>
  <si>
    <t>47.646152</t>
  </si>
  <si>
    <t>10.458131</t>
  </si>
  <si>
    <t>Paderborn Hbf</t>
  </si>
  <si>
    <t>51.712979</t>
  </si>
  <si>
    <t>8.740505</t>
  </si>
  <si>
    <t>Paderborn Kasseler Tor</t>
  </si>
  <si>
    <t>51.716161</t>
  </si>
  <si>
    <t>8.761260</t>
  </si>
  <si>
    <t>Paderborn Nord</t>
  </si>
  <si>
    <t>51.728070</t>
  </si>
  <si>
    <t>8.758954</t>
  </si>
  <si>
    <t>Paderborn-Schloss Neuhaus</t>
  </si>
  <si>
    <t>51.749379</t>
  </si>
  <si>
    <t>8.720845</t>
  </si>
  <si>
    <t>Paderborn-Sennelager</t>
  </si>
  <si>
    <t>51.770240</t>
  </si>
  <si>
    <t>8.713704</t>
  </si>
  <si>
    <t>Paffendorf</t>
  </si>
  <si>
    <t>50.961691</t>
  </si>
  <si>
    <t>6.606998</t>
  </si>
  <si>
    <t>Paindorf</t>
  </si>
  <si>
    <t>48.442680</t>
  </si>
  <si>
    <t>11.487263</t>
  </si>
  <si>
    <t>Palzem</t>
  </si>
  <si>
    <t>49.565064</t>
  </si>
  <si>
    <t>6.371926</t>
  </si>
  <si>
    <t>Pankofen</t>
  </si>
  <si>
    <t>48.799641</t>
  </si>
  <si>
    <t>12.899425</t>
  </si>
  <si>
    <t>Pansdorf</t>
  </si>
  <si>
    <t>53.981034</t>
  </si>
  <si>
    <t>10.703056</t>
  </si>
  <si>
    <t>Papenburg(Ems)</t>
  </si>
  <si>
    <t>53.089706</t>
  </si>
  <si>
    <t>7.386708</t>
  </si>
  <si>
    <t>Papendorf</t>
  </si>
  <si>
    <t>54.036604</t>
  </si>
  <si>
    <t>12.137318</t>
  </si>
  <si>
    <t>Papendorf Schule</t>
  </si>
  <si>
    <t>54.035076</t>
  </si>
  <si>
    <t>12.133380</t>
  </si>
  <si>
    <t>Papierfabrik Industriestraße, Kaufungen</t>
  </si>
  <si>
    <t>51.289181</t>
  </si>
  <si>
    <t>9.571278</t>
  </si>
  <si>
    <t>Papierfabrik, Kaufungen</t>
  </si>
  <si>
    <t>51.290762</t>
  </si>
  <si>
    <t>9.563238</t>
  </si>
  <si>
    <t>Papiermühle(Stadtr)</t>
  </si>
  <si>
    <t>50.885314</t>
  </si>
  <si>
    <t>11.790181</t>
  </si>
  <si>
    <t>Pappenheim</t>
  </si>
  <si>
    <t>48.926405</t>
  </si>
  <si>
    <t>10.964028</t>
  </si>
  <si>
    <t>Parchim</t>
  </si>
  <si>
    <t>53.430320</t>
  </si>
  <si>
    <t>11.831265</t>
  </si>
  <si>
    <t>Parkentin</t>
  </si>
  <si>
    <t>54.081256</t>
  </si>
  <si>
    <t>11.978983</t>
  </si>
  <si>
    <t>Parkentin Stegekamp</t>
  </si>
  <si>
    <t>54.081977</t>
  </si>
  <si>
    <t>11.977840</t>
  </si>
  <si>
    <t>Parsberg</t>
  </si>
  <si>
    <t>49.164355</t>
  </si>
  <si>
    <t>11.723355</t>
  </si>
  <si>
    <t>Partenstein</t>
  </si>
  <si>
    <t>50.038379</t>
  </si>
  <si>
    <t>9.523990</t>
  </si>
  <si>
    <t>Pasewalk</t>
  </si>
  <si>
    <t>53.515353</t>
  </si>
  <si>
    <t>13.988875</t>
  </si>
  <si>
    <t>Pasewalk Ost</t>
  </si>
  <si>
    <t>53.509570</t>
  </si>
  <si>
    <t>14.009312</t>
  </si>
  <si>
    <t>Passau Hbf</t>
  </si>
  <si>
    <t>48.573632</t>
  </si>
  <si>
    <t>13.450776</t>
  </si>
  <si>
    <t>Passow(Meckl)</t>
  </si>
  <si>
    <t>53.508018</t>
  </si>
  <si>
    <t>12.053749</t>
  </si>
  <si>
    <t>Passow(Uckermark)</t>
  </si>
  <si>
    <t>53.148702</t>
  </si>
  <si>
    <t>14.101370</t>
  </si>
  <si>
    <t>Patersdorf</t>
  </si>
  <si>
    <t>49.013394</t>
  </si>
  <si>
    <t>12.993409</t>
  </si>
  <si>
    <t>Paulinenaue</t>
  </si>
  <si>
    <t>52.675892</t>
  </si>
  <si>
    <t>12.713270</t>
  </si>
  <si>
    <t>Paulinzella</t>
  </si>
  <si>
    <t>50.701106</t>
  </si>
  <si>
    <t>11.105960</t>
  </si>
  <si>
    <t>Peenemünde</t>
  </si>
  <si>
    <t>54.138762</t>
  </si>
  <si>
    <t>13.773084</t>
  </si>
  <si>
    <t>Pegau</t>
  </si>
  <si>
    <t>51.165966</t>
  </si>
  <si>
    <t>12.241046</t>
  </si>
  <si>
    <t>Pegnitz</t>
  </si>
  <si>
    <t>49.758708</t>
  </si>
  <si>
    <t>11.547597</t>
  </si>
  <si>
    <t>Peine</t>
  </si>
  <si>
    <t>52.318942</t>
  </si>
  <si>
    <t>10.232145</t>
  </si>
  <si>
    <t>Peiß</t>
  </si>
  <si>
    <t>47.960102</t>
  </si>
  <si>
    <t>11.776595</t>
  </si>
  <si>
    <t>Peißen</t>
  </si>
  <si>
    <t>51.500814</t>
  </si>
  <si>
    <t>12.059642</t>
  </si>
  <si>
    <t>Peißenberg</t>
  </si>
  <si>
    <t>47.797496</t>
  </si>
  <si>
    <t>11.060279</t>
  </si>
  <si>
    <t>Peißenberg Nord</t>
  </si>
  <si>
    <t>47.815680</t>
  </si>
  <si>
    <t>11.077304</t>
  </si>
  <si>
    <t>Peiting Nord</t>
  </si>
  <si>
    <t>47.801565</t>
  </si>
  <si>
    <t>10.926670</t>
  </si>
  <si>
    <t>Peiting Ost</t>
  </si>
  <si>
    <t>47.792955</t>
  </si>
  <si>
    <t>10.936692</t>
  </si>
  <si>
    <t>Peitz Ost</t>
  </si>
  <si>
    <t>51.843979</t>
  </si>
  <si>
    <t>14.449422</t>
  </si>
  <si>
    <t>Pellworm</t>
  </si>
  <si>
    <t>54.501691</t>
  </si>
  <si>
    <t>8.700497</t>
  </si>
  <si>
    <t>Penig</t>
  </si>
  <si>
    <t>50.934071</t>
  </si>
  <si>
    <t>12.695617</t>
  </si>
  <si>
    <t>Penzberg</t>
  </si>
  <si>
    <t>47.749249</t>
  </si>
  <si>
    <t>11.371875</t>
  </si>
  <si>
    <t>Perkam</t>
  </si>
  <si>
    <t>48.857554</t>
  </si>
  <si>
    <t>12.437388</t>
  </si>
  <si>
    <t>Perl</t>
  </si>
  <si>
    <t>49.473163</t>
  </si>
  <si>
    <t>6.369321</t>
  </si>
  <si>
    <t>Perleberg</t>
  </si>
  <si>
    <t>53.071255</t>
  </si>
  <si>
    <t>11.852322</t>
  </si>
  <si>
    <t>Pessin</t>
  </si>
  <si>
    <t>52.642523</t>
  </si>
  <si>
    <t>12.667242</t>
  </si>
  <si>
    <t>Petergrube</t>
  </si>
  <si>
    <t>51.098402</t>
  </si>
  <si>
    <t>12.503348</t>
  </si>
  <si>
    <t>Petersaurach</t>
  </si>
  <si>
    <t>49.303656</t>
  </si>
  <si>
    <t>10.745433</t>
  </si>
  <si>
    <t>Petersaurach Nord</t>
  </si>
  <si>
    <t>49.318401</t>
  </si>
  <si>
    <t>10.739097</t>
  </si>
  <si>
    <t>Petershagen Nord</t>
  </si>
  <si>
    <t>52.528904</t>
  </si>
  <si>
    <t>13.789381</t>
  </si>
  <si>
    <t>Petershagen(Uckermark) Dorf</t>
  </si>
  <si>
    <t>53.244288</t>
  </si>
  <si>
    <t>14.250908</t>
  </si>
  <si>
    <t>Petershagen-Lahde</t>
  </si>
  <si>
    <t>52.368032</t>
  </si>
  <si>
    <t>9.009813</t>
  </si>
  <si>
    <t>Petershain</t>
  </si>
  <si>
    <t>51.316536</t>
  </si>
  <si>
    <t>14.751237</t>
  </si>
  <si>
    <t>Petershausen(Obb)</t>
  </si>
  <si>
    <t>48.413450</t>
  </si>
  <si>
    <t>11.469881</t>
  </si>
  <si>
    <t>Petersroda</t>
  </si>
  <si>
    <t>51.569958</t>
  </si>
  <si>
    <t>12.285349</t>
  </si>
  <si>
    <t>Pfaffenhain</t>
  </si>
  <si>
    <t>50.750047</t>
  </si>
  <si>
    <t>12.822874</t>
  </si>
  <si>
    <t>Pfaffenhausen</t>
  </si>
  <si>
    <t>48.117794</t>
  </si>
  <si>
    <t>10.451825</t>
  </si>
  <si>
    <t>Pfaffenhofen(Ilm)</t>
  </si>
  <si>
    <t>48.522433</t>
  </si>
  <si>
    <t>11.511884</t>
  </si>
  <si>
    <t>Pfäffingen</t>
  </si>
  <si>
    <t>48.532167</t>
  </si>
  <si>
    <t>8.964701</t>
  </si>
  <si>
    <t>Pfalzel</t>
  </si>
  <si>
    <t>49.780319</t>
  </si>
  <si>
    <t>6.683020</t>
  </si>
  <si>
    <t>Pfarrkirchen</t>
  </si>
  <si>
    <t>48.429195</t>
  </si>
  <si>
    <t>12.938169</t>
  </si>
  <si>
    <t>Pflaumloch</t>
  </si>
  <si>
    <t>48.849030</t>
  </si>
  <si>
    <t>10.436925</t>
  </si>
  <si>
    <t>Pforzheim Hbf</t>
  </si>
  <si>
    <t>48.894152</t>
  </si>
  <si>
    <t>8.703099</t>
  </si>
  <si>
    <t>Pforzheim Maihälden</t>
  </si>
  <si>
    <t>48.893391</t>
  </si>
  <si>
    <t>8.678158</t>
  </si>
  <si>
    <t>Pforzheim-Weißenstein</t>
  </si>
  <si>
    <t>48.865147</t>
  </si>
  <si>
    <t>8.676449</t>
  </si>
  <si>
    <t>Pfraundorf(Inn)</t>
  </si>
  <si>
    <t>47.804161</t>
  </si>
  <si>
    <t>12.118643</t>
  </si>
  <si>
    <t>Pfreimd</t>
  </si>
  <si>
    <t>49.485791</t>
  </si>
  <si>
    <t>12.167453</t>
  </si>
  <si>
    <t>Pfronten-Ried</t>
  </si>
  <si>
    <t>47.583591</t>
  </si>
  <si>
    <t>10.561026</t>
  </si>
  <si>
    <t>Pfronten-Steinach</t>
  </si>
  <si>
    <t>47.566111</t>
  </si>
  <si>
    <t>10.574572</t>
  </si>
  <si>
    <t>Pfronten-Weißbach</t>
  </si>
  <si>
    <t>47.595701</t>
  </si>
  <si>
    <t>10.557736</t>
  </si>
  <si>
    <t>Pfullendorf</t>
  </si>
  <si>
    <t>47.922880</t>
  </si>
  <si>
    <t>9.255728</t>
  </si>
  <si>
    <t>Philippsburg Alter Messplatz</t>
  </si>
  <si>
    <t>49.239192</t>
  </si>
  <si>
    <t>8.461067</t>
  </si>
  <si>
    <t>Philippsburg Marktplatz</t>
  </si>
  <si>
    <t>49.236794</t>
  </si>
  <si>
    <t>8.454129</t>
  </si>
  <si>
    <t>Philippsburg Schulzentrum</t>
  </si>
  <si>
    <t>49.235300</t>
  </si>
  <si>
    <t>8.461481</t>
  </si>
  <si>
    <t>Philippsburg(Baden)</t>
  </si>
  <si>
    <t>49.231621</t>
  </si>
  <si>
    <t>8.454023</t>
  </si>
  <si>
    <t>Philippshagen</t>
  </si>
  <si>
    <t>54.347662</t>
  </si>
  <si>
    <t>13.707042</t>
  </si>
  <si>
    <t>Philippsheim</t>
  </si>
  <si>
    <t>49.953435</t>
  </si>
  <si>
    <t>6.625693</t>
  </si>
  <si>
    <t>Piding</t>
  </si>
  <si>
    <t>47.759543</t>
  </si>
  <si>
    <t>12.911530</t>
  </si>
  <si>
    <t>Pillgram</t>
  </si>
  <si>
    <t>52.336898</t>
  </si>
  <si>
    <t>14.398532</t>
  </si>
  <si>
    <t>Pinneberg</t>
  </si>
  <si>
    <t>53.655179</t>
  </si>
  <si>
    <t>9.797608</t>
  </si>
  <si>
    <t>Pinnow(Uckermark)</t>
  </si>
  <si>
    <t>53.065342</t>
  </si>
  <si>
    <t>14.088742</t>
  </si>
  <si>
    <t>Pinzberg</t>
  </si>
  <si>
    <t>49.698809</t>
  </si>
  <si>
    <t>11.097096</t>
  </si>
  <si>
    <t>Pirk</t>
  </si>
  <si>
    <t>50.427529</t>
  </si>
  <si>
    <t>12.076281</t>
  </si>
  <si>
    <t>Pirmasens Hbf</t>
  </si>
  <si>
    <t>49.205645</t>
  </si>
  <si>
    <t>7.598432</t>
  </si>
  <si>
    <t>Pirmasens Nord</t>
  </si>
  <si>
    <t>49.259218</t>
  </si>
  <si>
    <t>7.604401</t>
  </si>
  <si>
    <t>Pirna</t>
  </si>
  <si>
    <t>50.962623</t>
  </si>
  <si>
    <t>13.928881</t>
  </si>
  <si>
    <t>Pirna-Copitz</t>
  </si>
  <si>
    <t>50.968110</t>
  </si>
  <si>
    <t>13.933872</t>
  </si>
  <si>
    <t>Pirna-Copitz Nord</t>
  </si>
  <si>
    <t>50.977611</t>
  </si>
  <si>
    <t>13.935361</t>
  </si>
  <si>
    <t>Pirna-Copitz Nord Heinrich-Heine-Str.</t>
  </si>
  <si>
    <t>50.974167</t>
  </si>
  <si>
    <t>13.940080</t>
  </si>
  <si>
    <t>Pirna-Copitz Schulstraße</t>
  </si>
  <si>
    <t>50.968564</t>
  </si>
  <si>
    <t>13.934648</t>
  </si>
  <si>
    <t>Pittenhart</t>
  </si>
  <si>
    <t>47.986762</t>
  </si>
  <si>
    <t>12.376341</t>
  </si>
  <si>
    <t>Plaaz</t>
  </si>
  <si>
    <t>53.840457</t>
  </si>
  <si>
    <t>12.337716</t>
  </si>
  <si>
    <t>Placht Weiler</t>
  </si>
  <si>
    <t>53.144626</t>
  </si>
  <si>
    <t>13.463550</t>
  </si>
  <si>
    <t>Plaidt</t>
  </si>
  <si>
    <t>50.395204</t>
  </si>
  <si>
    <t>7.393638</t>
  </si>
  <si>
    <t>Planegg</t>
  </si>
  <si>
    <t>48.105303</t>
  </si>
  <si>
    <t>11.413556</t>
  </si>
  <si>
    <t>Plate(Meckl)</t>
  </si>
  <si>
    <t>53.553205</t>
  </si>
  <si>
    <t>11.507024</t>
  </si>
  <si>
    <t>Plattling</t>
  </si>
  <si>
    <t>48.779619</t>
  </si>
  <si>
    <t>12.863940</t>
  </si>
  <si>
    <t>Plau am See Bahnhof</t>
  </si>
  <si>
    <t>53.460456</t>
  </si>
  <si>
    <t>12.255952</t>
  </si>
  <si>
    <t>Plaue(Thür)</t>
  </si>
  <si>
    <t>50.778393</t>
  </si>
  <si>
    <t>10.908698</t>
  </si>
  <si>
    <t>Plauen(Vogtl) Mitte</t>
  </si>
  <si>
    <t>50.492914</t>
  </si>
  <si>
    <t>12.147660</t>
  </si>
  <si>
    <t>Plauen(Vogtl) ob Bf</t>
  </si>
  <si>
    <t>50.506163</t>
  </si>
  <si>
    <t>12.129419</t>
  </si>
  <si>
    <t>Plauen(Vogtl)-Straßberg</t>
  </si>
  <si>
    <t>50.480212</t>
  </si>
  <si>
    <t>12.092312</t>
  </si>
  <si>
    <t>Plauen(Vogtl)West</t>
  </si>
  <si>
    <t>50.494412</t>
  </si>
  <si>
    <t>12.113439</t>
  </si>
  <si>
    <t>Pleinfeld</t>
  </si>
  <si>
    <t>49.106108</t>
  </si>
  <si>
    <t>10.977166</t>
  </si>
  <si>
    <t>Plessa</t>
  </si>
  <si>
    <t>51.470851</t>
  </si>
  <si>
    <t>13.616847</t>
  </si>
  <si>
    <t>Plettenberg</t>
  </si>
  <si>
    <t>51.231930</t>
  </si>
  <si>
    <t>7.868913</t>
  </si>
  <si>
    <t>Plochingen</t>
  </si>
  <si>
    <t>48.713080</t>
  </si>
  <si>
    <t>9.410810</t>
  </si>
  <si>
    <t>Plön</t>
  </si>
  <si>
    <t>54.159479</t>
  </si>
  <si>
    <t>10.422562</t>
  </si>
  <si>
    <t>Plüderhausen</t>
  </si>
  <si>
    <t>48.796684</t>
  </si>
  <si>
    <t>9.595853</t>
  </si>
  <si>
    <t>Plüschow</t>
  </si>
  <si>
    <t>53.837064</t>
  </si>
  <si>
    <t>11.285845</t>
  </si>
  <si>
    <t>Pockau-Lengefeld</t>
  </si>
  <si>
    <t>50.707174</t>
  </si>
  <si>
    <t>13.226793</t>
  </si>
  <si>
    <t>Pocking</t>
  </si>
  <si>
    <t>48.406222</t>
  </si>
  <si>
    <t>13.313164</t>
  </si>
  <si>
    <t>Pogeez</t>
  </si>
  <si>
    <t>53.753887</t>
  </si>
  <si>
    <t>10.728643</t>
  </si>
  <si>
    <t>Poggenhagen</t>
  </si>
  <si>
    <t>52.467307</t>
  </si>
  <si>
    <t>9.453972</t>
  </si>
  <si>
    <t>Poikam</t>
  </si>
  <si>
    <t>48.931508</t>
  </si>
  <si>
    <t>12.013836</t>
  </si>
  <si>
    <t>Poing</t>
  </si>
  <si>
    <t>48.171329</t>
  </si>
  <si>
    <t>11.809438</t>
  </si>
  <si>
    <t>Pölchow</t>
  </si>
  <si>
    <t>54.011031</t>
  </si>
  <si>
    <t>12.121127</t>
  </si>
  <si>
    <t>Pölchow Ort</t>
  </si>
  <si>
    <t>54.009208</t>
  </si>
  <si>
    <t>12.097809</t>
  </si>
  <si>
    <t>Pölling</t>
  </si>
  <si>
    <t>49.288282</t>
  </si>
  <si>
    <t>11.413685</t>
  </si>
  <si>
    <t>Pöllwitz</t>
  </si>
  <si>
    <t>50.628021</t>
  </si>
  <si>
    <t>12.024164</t>
  </si>
  <si>
    <t>Pommelsbrunn</t>
  </si>
  <si>
    <t>49.501463</t>
  </si>
  <si>
    <t>11.513615</t>
  </si>
  <si>
    <t>Pommern(Mosel)</t>
  </si>
  <si>
    <t>50.169298</t>
  </si>
  <si>
    <t>7.269607</t>
  </si>
  <si>
    <t>Pommritz</t>
  </si>
  <si>
    <t>51.159015</t>
  </si>
  <si>
    <t>14.574700</t>
  </si>
  <si>
    <t>Ponitz</t>
  </si>
  <si>
    <t>50.857778</t>
  </si>
  <si>
    <t>12.416664</t>
  </si>
  <si>
    <t>Ponitz Schlosshof</t>
  </si>
  <si>
    <t>50.856886</t>
  </si>
  <si>
    <t>12.423177</t>
  </si>
  <si>
    <t>Pönitz(Holst)</t>
  </si>
  <si>
    <t>54.045654</t>
  </si>
  <si>
    <t>10.671157</t>
  </si>
  <si>
    <t>Pönitz(Leipzig)</t>
  </si>
  <si>
    <t>51.408536</t>
  </si>
  <si>
    <t>12.514432</t>
  </si>
  <si>
    <t>Poppenhausen</t>
  </si>
  <si>
    <t>50.100477</t>
  </si>
  <si>
    <t>10.138786</t>
  </si>
  <si>
    <t>Porschdorf(Pirna)</t>
  </si>
  <si>
    <t>50.943184</t>
  </si>
  <si>
    <t>14.138576</t>
  </si>
  <si>
    <t>Porstendorf</t>
  </si>
  <si>
    <t>50.976993</t>
  </si>
  <si>
    <t>11.645489</t>
  </si>
  <si>
    <t>Porta Westfalica</t>
  </si>
  <si>
    <t>52.243423</t>
  </si>
  <si>
    <t>8.920253</t>
  </si>
  <si>
    <t>Porz(Rhein)</t>
  </si>
  <si>
    <t>50.882907</t>
  </si>
  <si>
    <t>7.064724</t>
  </si>
  <si>
    <t>Porz(Rhein) KD</t>
  </si>
  <si>
    <t>Porz-Wahn</t>
  </si>
  <si>
    <t>50.858133</t>
  </si>
  <si>
    <t>7.079266</t>
  </si>
  <si>
    <t>Posewald</t>
  </si>
  <si>
    <t>54.368107</t>
  </si>
  <si>
    <t>13.528412</t>
  </si>
  <si>
    <t>Pösing</t>
  </si>
  <si>
    <t>49.229146</t>
  </si>
  <si>
    <t>12.542900</t>
  </si>
  <si>
    <t>Possenhofen</t>
  </si>
  <si>
    <t>47.961960</t>
  </si>
  <si>
    <t>11.306475</t>
  </si>
  <si>
    <t>Pößneck ob Bf</t>
  </si>
  <si>
    <t>50.690293</t>
  </si>
  <si>
    <t>11.588338</t>
  </si>
  <si>
    <t>Pößneck unt Bf</t>
  </si>
  <si>
    <t>50.700536</t>
  </si>
  <si>
    <t>11.606872</t>
  </si>
  <si>
    <t>Postbauer-Heng</t>
  </si>
  <si>
    <t>49.308921</t>
  </si>
  <si>
    <t>11.358849</t>
  </si>
  <si>
    <t>Potsdam Charlottenhof</t>
  </si>
  <si>
    <t>52.392800</t>
  </si>
  <si>
    <t>13.036496</t>
  </si>
  <si>
    <t>Potsdam Griebnitzsee</t>
  </si>
  <si>
    <t>52.394432</t>
  </si>
  <si>
    <t>13.128727</t>
  </si>
  <si>
    <t>Potsdam Griebnitzsee (S)</t>
  </si>
  <si>
    <t>52.394472</t>
  </si>
  <si>
    <t>13.128941</t>
  </si>
  <si>
    <t>Potsdam Hbf</t>
  </si>
  <si>
    <t>52.391509</t>
  </si>
  <si>
    <t>13.066703</t>
  </si>
  <si>
    <t>Potsdam Hbf (S)</t>
  </si>
  <si>
    <t>52.391859</t>
  </si>
  <si>
    <t>13.066714</t>
  </si>
  <si>
    <t>Potsdam Medienstadt Babelsberg</t>
  </si>
  <si>
    <t>52.382659</t>
  </si>
  <si>
    <t>13.122284</t>
  </si>
  <si>
    <t>Potsdam Park Sanssouci</t>
  </si>
  <si>
    <t>52.394108</t>
  </si>
  <si>
    <t>13.014512</t>
  </si>
  <si>
    <t>Potsdam Pirschheide</t>
  </si>
  <si>
    <t>52.372667</t>
  </si>
  <si>
    <t>13.011243</t>
  </si>
  <si>
    <t>52.391391</t>
  </si>
  <si>
    <t>13.092871</t>
  </si>
  <si>
    <t>Potsdam-Rehbrücke</t>
  </si>
  <si>
    <t>52.358298</t>
  </si>
  <si>
    <t>13.098232</t>
  </si>
  <si>
    <t>Pracht-Niederhausen Brunnenplatz</t>
  </si>
  <si>
    <t>50.768500</t>
  </si>
  <si>
    <t>7.644820</t>
  </si>
  <si>
    <t>Praest</t>
  </si>
  <si>
    <t>51.821862</t>
  </si>
  <si>
    <t>6.345534</t>
  </si>
  <si>
    <t>Pratau</t>
  </si>
  <si>
    <t>51.843256</t>
  </si>
  <si>
    <t>12.635964</t>
  </si>
  <si>
    <t>Preetz</t>
  </si>
  <si>
    <t>54.233941</t>
  </si>
  <si>
    <t>10.275752</t>
  </si>
  <si>
    <t>Premnitz Bergstr</t>
  </si>
  <si>
    <t>52.533812</t>
  </si>
  <si>
    <t>12.330428</t>
  </si>
  <si>
    <t>Premnitz Nord</t>
  </si>
  <si>
    <t>52.535968</t>
  </si>
  <si>
    <t>12.333494</t>
  </si>
  <si>
    <t>Premnitz Zentrum</t>
  </si>
  <si>
    <t>52.529136</t>
  </si>
  <si>
    <t>12.343138</t>
  </si>
  <si>
    <t>Prenzlau</t>
  </si>
  <si>
    <t>53.321608</t>
  </si>
  <si>
    <t>13.866532</t>
  </si>
  <si>
    <t>Pressath</t>
  </si>
  <si>
    <t>49.764070</t>
  </si>
  <si>
    <t>11.939142</t>
  </si>
  <si>
    <t>Pressig-Rothenkirchen</t>
  </si>
  <si>
    <t>50.348838</t>
  </si>
  <si>
    <t>11.310824</t>
  </si>
  <si>
    <t>Pretzfeld</t>
  </si>
  <si>
    <t>49.757306</t>
  </si>
  <si>
    <t>11.170051</t>
  </si>
  <si>
    <t>Pretzfeld Am Backofen</t>
  </si>
  <si>
    <t>49.755262</t>
  </si>
  <si>
    <t>11.173445</t>
  </si>
  <si>
    <t>Pretzier(Altm)</t>
  </si>
  <si>
    <t>52.836436</t>
  </si>
  <si>
    <t>11.264540</t>
  </si>
  <si>
    <t>Pretzsch</t>
  </si>
  <si>
    <t>51.718010</t>
  </si>
  <si>
    <t>12.787814</t>
  </si>
  <si>
    <t>Priemerburg</t>
  </si>
  <si>
    <t>53.795979</t>
  </si>
  <si>
    <t>12.223022</t>
  </si>
  <si>
    <t>Priestewitz</t>
  </si>
  <si>
    <t>51.250602</t>
  </si>
  <si>
    <t>13.509120</t>
  </si>
  <si>
    <t>Priort</t>
  </si>
  <si>
    <t>52.516367</t>
  </si>
  <si>
    <t>12.971374</t>
  </si>
  <si>
    <t>Priort Am Obstgarten</t>
  </si>
  <si>
    <t>52.519516</t>
  </si>
  <si>
    <t>12.979967</t>
  </si>
  <si>
    <t>Prisdorf</t>
  </si>
  <si>
    <t>53.675291</t>
  </si>
  <si>
    <t>9.760216</t>
  </si>
  <si>
    <t>Prittitz</t>
  </si>
  <si>
    <t>51.158410</t>
  </si>
  <si>
    <t>11.937331</t>
  </si>
  <si>
    <t>Pritzerbe</t>
  </si>
  <si>
    <t>52.499581</t>
  </si>
  <si>
    <t>12.458652</t>
  </si>
  <si>
    <t>Pritzier</t>
  </si>
  <si>
    <t>53.364971</t>
  </si>
  <si>
    <t>11.083560</t>
  </si>
  <si>
    <t>Pritzwalk</t>
  </si>
  <si>
    <t>53.145759</t>
  </si>
  <si>
    <t>12.184518</t>
  </si>
  <si>
    <t>Pritzwalk Hainholz</t>
  </si>
  <si>
    <t>53.170082</t>
  </si>
  <si>
    <t>12.205920</t>
  </si>
  <si>
    <t>Pritzwalk West</t>
  </si>
  <si>
    <t>53.144610</t>
  </si>
  <si>
    <t>12.164263</t>
  </si>
  <si>
    <t>Probstzella</t>
  </si>
  <si>
    <t>50.528231</t>
  </si>
  <si>
    <t>11.383568</t>
  </si>
  <si>
    <t>Prödel</t>
  </si>
  <si>
    <t>52.037640</t>
  </si>
  <si>
    <t>11.913342</t>
  </si>
  <si>
    <t>Profen</t>
  </si>
  <si>
    <t>51.130458</t>
  </si>
  <si>
    <t>12.210933</t>
  </si>
  <si>
    <t>Prora</t>
  </si>
  <si>
    <t>54.444986</t>
  </si>
  <si>
    <t>13.564057</t>
  </si>
  <si>
    <t>Prora Fundgrube/L29</t>
  </si>
  <si>
    <t>54.441483</t>
  </si>
  <si>
    <t>13.565578</t>
  </si>
  <si>
    <t>Prora Nord</t>
  </si>
  <si>
    <t>54.442130</t>
  </si>
  <si>
    <t>13.566612</t>
  </si>
  <si>
    <t>Prora Ost</t>
  </si>
  <si>
    <t>54.430060</t>
  </si>
  <si>
    <t>13.574515</t>
  </si>
  <si>
    <t>Prösen</t>
  </si>
  <si>
    <t>51.435058</t>
  </si>
  <si>
    <t>13.488394</t>
  </si>
  <si>
    <t>Prösen Markt</t>
  </si>
  <si>
    <t>51.429765</t>
  </si>
  <si>
    <t>13.493501</t>
  </si>
  <si>
    <t>Prösen Ost</t>
  </si>
  <si>
    <t>51.425299</t>
  </si>
  <si>
    <t>13.500532</t>
  </si>
  <si>
    <t>Prösen Schleusenhaus</t>
  </si>
  <si>
    <t>51.421962</t>
  </si>
  <si>
    <t>13.471628</t>
  </si>
  <si>
    <t>Prösen West</t>
  </si>
  <si>
    <t>51.424671</t>
  </si>
  <si>
    <t>13.469716</t>
  </si>
  <si>
    <t>Prosselsheim</t>
  </si>
  <si>
    <t>49.864518</t>
  </si>
  <si>
    <t>10.123567</t>
  </si>
  <si>
    <t>Puchheim</t>
  </si>
  <si>
    <t>48.172179</t>
  </si>
  <si>
    <t>11.353061</t>
  </si>
  <si>
    <t>Pulheim</t>
  </si>
  <si>
    <t>50.998043</t>
  </si>
  <si>
    <t>6.797051</t>
  </si>
  <si>
    <t>Pullach</t>
  </si>
  <si>
    <t>48.058980</t>
  </si>
  <si>
    <t>11.521848</t>
  </si>
  <si>
    <t>Pulling(b Freising)</t>
  </si>
  <si>
    <t>48.363390</t>
  </si>
  <si>
    <t>11.707084</t>
  </si>
  <si>
    <t>Pulsnitz</t>
  </si>
  <si>
    <t>51.188162</t>
  </si>
  <si>
    <t>14.013795</t>
  </si>
  <si>
    <t>Pulsnitz Süd</t>
  </si>
  <si>
    <t>51.179733</t>
  </si>
  <si>
    <t>14.007719</t>
  </si>
  <si>
    <t>Puschendorf</t>
  </si>
  <si>
    <t>49.520762</t>
  </si>
  <si>
    <t>10.828177</t>
  </si>
  <si>
    <t>Putbus</t>
  </si>
  <si>
    <t>54.356764</t>
  </si>
  <si>
    <t>13.480970</t>
  </si>
  <si>
    <t>Putlitz</t>
  </si>
  <si>
    <t>53.243971</t>
  </si>
  <si>
    <t>12.047527</t>
  </si>
  <si>
    <t>Puttgarden</t>
  </si>
  <si>
    <t>54.500370</t>
  </si>
  <si>
    <t>11.226721</t>
  </si>
  <si>
    <t>Putzkau</t>
  </si>
  <si>
    <t>51.103124</t>
  </si>
  <si>
    <t>14.235770</t>
  </si>
  <si>
    <t>50.937777</t>
  </si>
  <si>
    <t>6.686533</t>
  </si>
  <si>
    <t>Quakenbrück</t>
  </si>
  <si>
    <t>52.673943</t>
  </si>
  <si>
    <t>7.947819</t>
  </si>
  <si>
    <t>Quedlinburg</t>
  </si>
  <si>
    <t>51.785268</t>
  </si>
  <si>
    <t>11.153001</t>
  </si>
  <si>
    <t>Quedlinburg-Quarmbeck</t>
  </si>
  <si>
    <t>51.753029</t>
  </si>
  <si>
    <t>11.126402</t>
  </si>
  <si>
    <t>Quelle</t>
  </si>
  <si>
    <t>52.000487</t>
  </si>
  <si>
    <t>8.460768</t>
  </si>
  <si>
    <t>Quelle-Kupferheide</t>
  </si>
  <si>
    <t>51.994101</t>
  </si>
  <si>
    <t>8.476397</t>
  </si>
  <si>
    <t>Quendorf</t>
  </si>
  <si>
    <t>52.338473</t>
  </si>
  <si>
    <t>7.172055</t>
  </si>
  <si>
    <t>Querfurt</t>
  </si>
  <si>
    <t>51.386919</t>
  </si>
  <si>
    <t>11.603697</t>
  </si>
  <si>
    <t>Querfurt West</t>
  </si>
  <si>
    <t>51.379814</t>
  </si>
  <si>
    <t>11.587538</t>
  </si>
  <si>
    <t>Quickborn</t>
  </si>
  <si>
    <t>53.731130</t>
  </si>
  <si>
    <t>9.904759</t>
  </si>
  <si>
    <t>Quickborner Straße</t>
  </si>
  <si>
    <t>53.734426</t>
  </si>
  <si>
    <t>9.989818</t>
  </si>
  <si>
    <t>Quierschied</t>
  </si>
  <si>
    <t>49.324855</t>
  </si>
  <si>
    <t>7.059386</t>
  </si>
  <si>
    <t>Quint</t>
  </si>
  <si>
    <t>49.825988</t>
  </si>
  <si>
    <t>6.704697</t>
  </si>
  <si>
    <t>Rabber</t>
  </si>
  <si>
    <t>52.310298</t>
  </si>
  <si>
    <t>8.404207</t>
  </si>
  <si>
    <t>Rabenau</t>
  </si>
  <si>
    <t>50.963227</t>
  </si>
  <si>
    <t>13.634875</t>
  </si>
  <si>
    <t>Rackith(Elbe)</t>
  </si>
  <si>
    <t>51.802679</t>
  </si>
  <si>
    <t>12.680739</t>
  </si>
  <si>
    <t>Rackwitz(Leipzig)</t>
  </si>
  <si>
    <t>51.440318</t>
  </si>
  <si>
    <t>12.375130</t>
  </si>
  <si>
    <t>Radbruch</t>
  </si>
  <si>
    <t>53.317873</t>
  </si>
  <si>
    <t>10.289618</t>
  </si>
  <si>
    <t>Raddusch</t>
  </si>
  <si>
    <t>51.815858</t>
  </si>
  <si>
    <t>14.032354</t>
  </si>
  <si>
    <t>Raddusch Abzweig L49</t>
  </si>
  <si>
    <t>51.813978</t>
  </si>
  <si>
    <t>14.025226</t>
  </si>
  <si>
    <t>Raddusch Ortsmitte</t>
  </si>
  <si>
    <t>51.818239</t>
  </si>
  <si>
    <t>14.038927</t>
  </si>
  <si>
    <t>Radeberg</t>
  </si>
  <si>
    <t>51.111752</t>
  </si>
  <si>
    <t>13.912539</t>
  </si>
  <si>
    <t>Radebeul Ost</t>
  </si>
  <si>
    <t>51.098294</t>
  </si>
  <si>
    <t>13.680163</t>
  </si>
  <si>
    <t>Radebeul-Kötzschenbroda</t>
  </si>
  <si>
    <t>51.107615</t>
  </si>
  <si>
    <t>13.628693</t>
  </si>
  <si>
    <t>Radebeul-Naundorf</t>
  </si>
  <si>
    <t>51.110336</t>
  </si>
  <si>
    <t>13.599101</t>
  </si>
  <si>
    <t>Radebeul-Weintraube</t>
  </si>
  <si>
    <t>51.103125</t>
  </si>
  <si>
    <t>13.655748</t>
  </si>
  <si>
    <t>Radebeul-Zitzschewig</t>
  </si>
  <si>
    <t>51.114512</t>
  </si>
  <si>
    <t>13.606680</t>
  </si>
  <si>
    <t>Radeburg</t>
  </si>
  <si>
    <t>51.209880</t>
  </si>
  <si>
    <t>13.727718</t>
  </si>
  <si>
    <t>Radersdorf</t>
  </si>
  <si>
    <t>48.514419</t>
  </si>
  <si>
    <t>11.162269</t>
  </si>
  <si>
    <t>Radis</t>
  </si>
  <si>
    <t>51.754704</t>
  </si>
  <si>
    <t>12.504183</t>
  </si>
  <si>
    <t>Radldorf(Niederbay)</t>
  </si>
  <si>
    <t>48.874666</t>
  </si>
  <si>
    <t>12.443070</t>
  </si>
  <si>
    <t>Radolfzell</t>
  </si>
  <si>
    <t>47.735873</t>
  </si>
  <si>
    <t>8.968984</t>
  </si>
  <si>
    <t>Radolfzell Fähre</t>
  </si>
  <si>
    <t>47.735100</t>
  </si>
  <si>
    <t>8.969331</t>
  </si>
  <si>
    <t>Raguhn</t>
  </si>
  <si>
    <t>51.708391</t>
  </si>
  <si>
    <t>12.270894</t>
  </si>
  <si>
    <t>Rahden</t>
  </si>
  <si>
    <t>52.432902</t>
  </si>
  <si>
    <t>8.623836</t>
  </si>
  <si>
    <t>Raindorf</t>
  </si>
  <si>
    <t>49.504262</t>
  </si>
  <si>
    <t>10.845990</t>
  </si>
  <si>
    <t>Raisdorf</t>
  </si>
  <si>
    <t>54.280937</t>
  </si>
  <si>
    <t>10.243694</t>
  </si>
  <si>
    <t>Raisting</t>
  </si>
  <si>
    <t>47.912076</t>
  </si>
  <si>
    <t>11.114165</t>
  </si>
  <si>
    <t>Raitersaich</t>
  </si>
  <si>
    <t>49.374898</t>
  </si>
  <si>
    <t>10.843549</t>
  </si>
  <si>
    <t>Rakow</t>
  </si>
  <si>
    <t>54.048156</t>
  </si>
  <si>
    <t>13.045942</t>
  </si>
  <si>
    <t>Rakow Alte Schule</t>
  </si>
  <si>
    <t>54.047630</t>
  </si>
  <si>
    <t>13.048397</t>
  </si>
  <si>
    <t>Rambin(Rügen)</t>
  </si>
  <si>
    <t>54.353429</t>
  </si>
  <si>
    <t>13.207813</t>
  </si>
  <si>
    <t>Ramerberg</t>
  </si>
  <si>
    <t>48.019640</t>
  </si>
  <si>
    <t>12.146704</t>
  </si>
  <si>
    <t>Ramerberg Ortsmitte</t>
  </si>
  <si>
    <t>48.017634</t>
  </si>
  <si>
    <t>12.143101</t>
  </si>
  <si>
    <t>Rammelsbach</t>
  </si>
  <si>
    <t>49.542131</t>
  </si>
  <si>
    <t>7.444075</t>
  </si>
  <si>
    <t>Rammingen(Bay)</t>
  </si>
  <si>
    <t>48.052438</t>
  </si>
  <si>
    <t>10.589788</t>
  </si>
  <si>
    <t>Rammingen(Württ)</t>
  </si>
  <si>
    <t>48.512386</t>
  </si>
  <si>
    <t>10.190860</t>
  </si>
  <si>
    <t>Ramsau b.Berchtesgaden Abzw Auzinger</t>
  </si>
  <si>
    <t>47.601752</t>
  </si>
  <si>
    <t>12.846890</t>
  </si>
  <si>
    <t>Ramsau b.Berchtesgaden Hängebrücke</t>
  </si>
  <si>
    <t>47.580250</t>
  </si>
  <si>
    <t>12.811523</t>
  </si>
  <si>
    <t>Ramsau b.Berchtesgaden Ragertalm</t>
  </si>
  <si>
    <t>47.583932</t>
  </si>
  <si>
    <t>12.822830</t>
  </si>
  <si>
    <t>Ramsbach Birkhof</t>
  </si>
  <si>
    <t>48.488339</t>
  </si>
  <si>
    <t>8.145670</t>
  </si>
  <si>
    <t>Ramsbach Höfle</t>
  </si>
  <si>
    <t>48.494864</t>
  </si>
  <si>
    <t>8.139361</t>
  </si>
  <si>
    <t>Ramsberg</t>
  </si>
  <si>
    <t>49.111841</t>
  </si>
  <si>
    <t>10.925378</t>
  </si>
  <si>
    <t>Ramsen</t>
  </si>
  <si>
    <t>49.535187</t>
  </si>
  <si>
    <t>8.022562</t>
  </si>
  <si>
    <t>Ramsenthal</t>
  </si>
  <si>
    <t>50.007928</t>
  </si>
  <si>
    <t>11.593334</t>
  </si>
  <si>
    <t>Ramstein</t>
  </si>
  <si>
    <t>49.448755</t>
  </si>
  <si>
    <t>7.556715</t>
  </si>
  <si>
    <t>Rangendingen</t>
  </si>
  <si>
    <t>48.381115</t>
  </si>
  <si>
    <t>8.893859</t>
  </si>
  <si>
    <t>Rangsdorf</t>
  </si>
  <si>
    <t>52.293948</t>
  </si>
  <si>
    <t>13.430890</t>
  </si>
  <si>
    <t>Ranstadt</t>
  </si>
  <si>
    <t>50.356730</t>
  </si>
  <si>
    <t>8.983134</t>
  </si>
  <si>
    <t>Raschau(Schwarzenb)</t>
  </si>
  <si>
    <t>50.533955</t>
  </si>
  <si>
    <t>12.841740</t>
  </si>
  <si>
    <t>Rastatt</t>
  </si>
  <si>
    <t>48.860483</t>
  </si>
  <si>
    <t>8.215623</t>
  </si>
  <si>
    <t>Rastatt Beinle</t>
  </si>
  <si>
    <t>48.852148</t>
  </si>
  <si>
    <t>8.225065</t>
  </si>
  <si>
    <t>Rastede</t>
  </si>
  <si>
    <t>53.244600</t>
  </si>
  <si>
    <t>8.191011</t>
  </si>
  <si>
    <t>Rastow</t>
  </si>
  <si>
    <t>53.458156</t>
  </si>
  <si>
    <t>11.430859</t>
  </si>
  <si>
    <t>Rathenow</t>
  </si>
  <si>
    <t>52.599640</t>
  </si>
  <si>
    <t>12.354840</t>
  </si>
  <si>
    <t>Rathenow Bammer Lstr</t>
  </si>
  <si>
    <t>52.603243</t>
  </si>
  <si>
    <t>12.361832</t>
  </si>
  <si>
    <t>Rathenow Waldschloss</t>
  </si>
  <si>
    <t>52.603740</t>
  </si>
  <si>
    <t>12.351673</t>
  </si>
  <si>
    <t>Rathenow Weinberg</t>
  </si>
  <si>
    <t>52.602739</t>
  </si>
  <si>
    <t>12.336720</t>
  </si>
  <si>
    <t>Rathmannsdorf(Kr Pirna)</t>
  </si>
  <si>
    <t>50.927042</t>
  </si>
  <si>
    <t>14.130838</t>
  </si>
  <si>
    <t>Ratingen Ost</t>
  </si>
  <si>
    <t>51.295185</t>
  </si>
  <si>
    <t>6.863562</t>
  </si>
  <si>
    <t>Ratzeburg</t>
  </si>
  <si>
    <t>53.698215</t>
  </si>
  <si>
    <t>10.740633</t>
  </si>
  <si>
    <t>Rätzlingen</t>
  </si>
  <si>
    <t>52.409035</t>
  </si>
  <si>
    <t>11.123409</t>
  </si>
  <si>
    <t>Raubling</t>
  </si>
  <si>
    <t>47.788506</t>
  </si>
  <si>
    <t>12.110149</t>
  </si>
  <si>
    <t>Rauenstein(Thür)</t>
  </si>
  <si>
    <t>50.412253</t>
  </si>
  <si>
    <t>11.047486</t>
  </si>
  <si>
    <t>Raumland-Markhausen</t>
  </si>
  <si>
    <t>51.033954</t>
  </si>
  <si>
    <t>8.368242</t>
  </si>
  <si>
    <t>Raumünzach</t>
  </si>
  <si>
    <t>48.644846</t>
  </si>
  <si>
    <t>8.351408</t>
  </si>
  <si>
    <t>Raun</t>
  </si>
  <si>
    <t>50.259879</t>
  </si>
  <si>
    <t>12.293245</t>
  </si>
  <si>
    <t>Raunheim</t>
  </si>
  <si>
    <t>50.009715</t>
  </si>
  <si>
    <t>8.454604</t>
  </si>
  <si>
    <t>Ravensburg</t>
  </si>
  <si>
    <t>47.784481</t>
  </si>
  <si>
    <t>9.606100</t>
  </si>
  <si>
    <t>Rebdorf-Hofmühle</t>
  </si>
  <si>
    <t>48.892226</t>
  </si>
  <si>
    <t>11.169512</t>
  </si>
  <si>
    <t>Rechenberg</t>
  </si>
  <si>
    <t>50.733931</t>
  </si>
  <si>
    <t>13.559902</t>
  </si>
  <si>
    <t>Rechenberg Schule</t>
  </si>
  <si>
    <t>50.737100</t>
  </si>
  <si>
    <t>13.543867</t>
  </si>
  <si>
    <t>Rechtenstein</t>
  </si>
  <si>
    <t>48.240009</t>
  </si>
  <si>
    <t>9.551309</t>
  </si>
  <si>
    <t>Rechterfeld</t>
  </si>
  <si>
    <t>52.838685</t>
  </si>
  <si>
    <t>8.391291</t>
  </si>
  <si>
    <t>Reckendorf</t>
  </si>
  <si>
    <t>50.019394</t>
  </si>
  <si>
    <t>10.834038</t>
  </si>
  <si>
    <t>Reckendorf Ortsmitte</t>
  </si>
  <si>
    <t>50.019601</t>
  </si>
  <si>
    <t>10.826879</t>
  </si>
  <si>
    <t>Reckendorf-Laimbach</t>
  </si>
  <si>
    <t>50.033926</t>
  </si>
  <si>
    <t>10.825531</t>
  </si>
  <si>
    <t>Reckenfeld</t>
  </si>
  <si>
    <t>52.133696</t>
  </si>
  <si>
    <t>7.564753</t>
  </si>
  <si>
    <t>Recklinghausen Hbf</t>
  </si>
  <si>
    <t>51.616359</t>
  </si>
  <si>
    <t>7.203490</t>
  </si>
  <si>
    <t>Recklinghausen Süd</t>
  </si>
  <si>
    <t>51.562965</t>
  </si>
  <si>
    <t>7.195754</t>
  </si>
  <si>
    <t>Reckweilerhof</t>
  </si>
  <si>
    <t>49.606914</t>
  </si>
  <si>
    <t>7.609127</t>
  </si>
  <si>
    <t>Reddelich</t>
  </si>
  <si>
    <t>54.085241</t>
  </si>
  <si>
    <t>11.849531</t>
  </si>
  <si>
    <t>Reddelich Gaststätte</t>
  </si>
  <si>
    <t>54.086375</t>
  </si>
  <si>
    <t>11.849756</t>
  </si>
  <si>
    <t>Rednitzhembach</t>
  </si>
  <si>
    <t>49.303895</t>
  </si>
  <si>
    <t>11.063742</t>
  </si>
  <si>
    <t>Redwitz(Rodach)</t>
  </si>
  <si>
    <t>50.168831</t>
  </si>
  <si>
    <t>11.207288</t>
  </si>
  <si>
    <t>49.011672</t>
  </si>
  <si>
    <t>12.099617</t>
  </si>
  <si>
    <t>Regensburg-Burgweinting</t>
  </si>
  <si>
    <t>48.990725</t>
  </si>
  <si>
    <t>12.146486</t>
  </si>
  <si>
    <t>Regensburg-Prüfening</t>
  </si>
  <si>
    <t>49.012057</t>
  </si>
  <si>
    <t>12.049297</t>
  </si>
  <si>
    <t>Regenstauf</t>
  </si>
  <si>
    <t>49.122157</t>
  </si>
  <si>
    <t>12.125142</t>
  </si>
  <si>
    <t>Rehfeld(Falkenberg)</t>
  </si>
  <si>
    <t>51.579726</t>
  </si>
  <si>
    <t>13.153331</t>
  </si>
  <si>
    <t>Rehfelde</t>
  </si>
  <si>
    <t>52.528418</t>
  </si>
  <si>
    <t>13.922803</t>
  </si>
  <si>
    <t>Rehna</t>
  </si>
  <si>
    <t>53.774263</t>
  </si>
  <si>
    <t>11.049747</t>
  </si>
  <si>
    <t>Rehweiler</t>
  </si>
  <si>
    <t>49.485160</t>
  </si>
  <si>
    <t>7.440581</t>
  </si>
  <si>
    <t>Reichelsdorfer Keller</t>
  </si>
  <si>
    <t>49.368136</t>
  </si>
  <si>
    <t>11.040214</t>
  </si>
  <si>
    <t>Reichelsheim(Wett)</t>
  </si>
  <si>
    <t>50.360054</t>
  </si>
  <si>
    <t>8.874641</t>
  </si>
  <si>
    <t>Reichenau(Baden)</t>
  </si>
  <si>
    <t>47.689346</t>
  </si>
  <si>
    <t>9.125961</t>
  </si>
  <si>
    <t>Reichenbach(b. Ettlingen)</t>
  </si>
  <si>
    <t>48.920482</t>
  </si>
  <si>
    <t>8.479553</t>
  </si>
  <si>
    <t>Reichenbach(Fils)</t>
  </si>
  <si>
    <t>48.707971</t>
  </si>
  <si>
    <t>9.463733</t>
  </si>
  <si>
    <t>Reichenbach(Oberlausitz)</t>
  </si>
  <si>
    <t>51.135568</t>
  </si>
  <si>
    <t>14.796387</t>
  </si>
  <si>
    <t>Reichenbach(Vogtl) ob Bf</t>
  </si>
  <si>
    <t>50.627777</t>
  </si>
  <si>
    <t>12.293120</t>
  </si>
  <si>
    <t>Reichenberg(Unterfr)</t>
  </si>
  <si>
    <t>49.731129</t>
  </si>
  <si>
    <t>9.912890</t>
  </si>
  <si>
    <t>Reichenschwand</t>
  </si>
  <si>
    <t>49.514970</t>
  </si>
  <si>
    <t>11.373441</t>
  </si>
  <si>
    <t>Reichersbeuern</t>
  </si>
  <si>
    <t>47.774638</t>
  </si>
  <si>
    <t>11.635984</t>
  </si>
  <si>
    <t>Reichertshausen(Ilm)</t>
  </si>
  <si>
    <t>48.471197</t>
  </si>
  <si>
    <t>11.510203</t>
  </si>
  <si>
    <t>Reichertshofen(Schwab) Bf</t>
  </si>
  <si>
    <t>48.198513</t>
  </si>
  <si>
    <t>10.598236</t>
  </si>
  <si>
    <t>Reicholzheim</t>
  </si>
  <si>
    <t>49.728514</t>
  </si>
  <si>
    <t>9.527543</t>
  </si>
  <si>
    <t>Reifland-Wünschendorf</t>
  </si>
  <si>
    <t>50.739925</t>
  </si>
  <si>
    <t>13.194704</t>
  </si>
  <si>
    <t>Reihen</t>
  </si>
  <si>
    <t>49.216431</t>
  </si>
  <si>
    <t>8.920591</t>
  </si>
  <si>
    <t>Reil</t>
  </si>
  <si>
    <t>50.025169</t>
  </si>
  <si>
    <t>7.112949</t>
  </si>
  <si>
    <t>Reilsheim</t>
  </si>
  <si>
    <t>49.353966</t>
  </si>
  <si>
    <t>8.778836</t>
  </si>
  <si>
    <t>Reinbek</t>
  </si>
  <si>
    <t>53.508395</t>
  </si>
  <si>
    <t>10.253335</t>
  </si>
  <si>
    <t>Reinfeld(Holst)</t>
  </si>
  <si>
    <t>53.830430</t>
  </si>
  <si>
    <t>10.494537</t>
  </si>
  <si>
    <t>Reinhardsbrunn-Friedrichroda</t>
  </si>
  <si>
    <t>50.863498</t>
  </si>
  <si>
    <t>10.562728</t>
  </si>
  <si>
    <t>Reinheim(Odenw)</t>
  </si>
  <si>
    <t>49.829806</t>
  </si>
  <si>
    <t>8.835689</t>
  </si>
  <si>
    <t>Reinsbüttel</t>
  </si>
  <si>
    <t>54.181206</t>
  </si>
  <si>
    <t>8.906647</t>
  </si>
  <si>
    <t>Reinsdorf(Artern)</t>
  </si>
  <si>
    <t>51.342270</t>
  </si>
  <si>
    <t>11.286051</t>
  </si>
  <si>
    <t>Reinsdorf(bei Nebra)</t>
  </si>
  <si>
    <t>51.297997</t>
  </si>
  <si>
    <t>11.601464</t>
  </si>
  <si>
    <t>Reinstetten</t>
  </si>
  <si>
    <t>48.109047</t>
  </si>
  <si>
    <t>9.939810</t>
  </si>
  <si>
    <t>Reisen(Hess)</t>
  </si>
  <si>
    <t>49.577970</t>
  </si>
  <si>
    <t>8.720015</t>
  </si>
  <si>
    <t>Reiskirchen(Kr Gi)</t>
  </si>
  <si>
    <t>50.597997</t>
  </si>
  <si>
    <t>8.830701</t>
  </si>
  <si>
    <t>Reit im Winkl Moarhaus</t>
  </si>
  <si>
    <t>47.672774</t>
  </si>
  <si>
    <t>12.458593</t>
  </si>
  <si>
    <t>Reit im Winkl Rathaus</t>
  </si>
  <si>
    <t>47.677375</t>
  </si>
  <si>
    <t>12.469875</t>
  </si>
  <si>
    <t>Reken</t>
  </si>
  <si>
    <t>51.801846</t>
  </si>
  <si>
    <t>7.049956</t>
  </si>
  <si>
    <t>Reken-Klein Reken</t>
  </si>
  <si>
    <t>51.787037</t>
  </si>
  <si>
    <t>7.035198</t>
  </si>
  <si>
    <t>Reken-Maria Veen</t>
  </si>
  <si>
    <t>51.839266</t>
  </si>
  <si>
    <t>7.098167</t>
  </si>
  <si>
    <t>Remagen</t>
  </si>
  <si>
    <t>50.577003</t>
  </si>
  <si>
    <t>7.230270</t>
  </si>
  <si>
    <t>Remagen KD</t>
  </si>
  <si>
    <t>Remscheid Hbf</t>
  </si>
  <si>
    <t>51.177235</t>
  </si>
  <si>
    <t>7.199983</t>
  </si>
  <si>
    <t>Remscheid-Güldenwerth</t>
  </si>
  <si>
    <t>51.169198</t>
  </si>
  <si>
    <t>7.163030</t>
  </si>
  <si>
    <t>Remscheid-Lennep</t>
  </si>
  <si>
    <t>51.190724</t>
  </si>
  <si>
    <t>7.252833</t>
  </si>
  <si>
    <t>Remscheid-Lüttringhausen</t>
  </si>
  <si>
    <t>51.215323</t>
  </si>
  <si>
    <t>7.242728</t>
  </si>
  <si>
    <t>Renchen</t>
  </si>
  <si>
    <t>48.592660</t>
  </si>
  <si>
    <t>8.007138</t>
  </si>
  <si>
    <t>Rendsburg</t>
  </si>
  <si>
    <t>54.302262</t>
  </si>
  <si>
    <t>9.671134</t>
  </si>
  <si>
    <t>Renningen</t>
  </si>
  <si>
    <t>48.775121</t>
  </si>
  <si>
    <t>8.932350</t>
  </si>
  <si>
    <t>Renningen Süd</t>
  </si>
  <si>
    <t>48.762674</t>
  </si>
  <si>
    <t>8.932027</t>
  </si>
  <si>
    <t>Rentrisch</t>
  </si>
  <si>
    <t>49.259770</t>
  </si>
  <si>
    <t>7.079065</t>
  </si>
  <si>
    <t>Rentweinsdorf</t>
  </si>
  <si>
    <t>50.060094</t>
  </si>
  <si>
    <t>10.814205</t>
  </si>
  <si>
    <t>Rentweinsdorf Ortsmitte</t>
  </si>
  <si>
    <t>50.063498</t>
  </si>
  <si>
    <t>10.800175</t>
  </si>
  <si>
    <t>Rentwertshausen</t>
  </si>
  <si>
    <t>50.455159</t>
  </si>
  <si>
    <t>10.432284</t>
  </si>
  <si>
    <t>Rentzschmühle</t>
  </si>
  <si>
    <t>50.575007</t>
  </si>
  <si>
    <t>12.157813</t>
  </si>
  <si>
    <t>Rerik(Meckl)</t>
  </si>
  <si>
    <t>54.106286</t>
  </si>
  <si>
    <t>11.619765</t>
  </si>
  <si>
    <t>Rethen(Leine)</t>
  </si>
  <si>
    <t>52.285807</t>
  </si>
  <si>
    <t>9.819496</t>
  </si>
  <si>
    <t>Retzbach-Zellingen</t>
  </si>
  <si>
    <t>49.905152</t>
  </si>
  <si>
    <t>9.814214</t>
  </si>
  <si>
    <t>Retzow Feuerwehr</t>
  </si>
  <si>
    <t>52.624529</t>
  </si>
  <si>
    <t>12.684697</t>
  </si>
  <si>
    <t>Retzow Pessiner Weg</t>
  </si>
  <si>
    <t>52.627542</t>
  </si>
  <si>
    <t>12.684455</t>
  </si>
  <si>
    <t>Reurieth</t>
  </si>
  <si>
    <t>50.459791</t>
  </si>
  <si>
    <t>10.653519</t>
  </si>
  <si>
    <t>Reußen</t>
  </si>
  <si>
    <t>51.503201</t>
  </si>
  <si>
    <t>12.134346</t>
  </si>
  <si>
    <t>Reuterstadt Stavenhagen</t>
  </si>
  <si>
    <t>53.706919</t>
  </si>
  <si>
    <t>12.914200</t>
  </si>
  <si>
    <t>Reuth(b Erbendorf)</t>
  </si>
  <si>
    <t>49.840039</t>
  </si>
  <si>
    <t>12.118438</t>
  </si>
  <si>
    <t>Reuth(b Plauen,Vogtl)</t>
  </si>
  <si>
    <t>50.475859</t>
  </si>
  <si>
    <t>11.954337</t>
  </si>
  <si>
    <t>Reutlingen Hbf</t>
  </si>
  <si>
    <t>48.496079</t>
  </si>
  <si>
    <t>9.209116</t>
  </si>
  <si>
    <t>Reutlingen West</t>
  </si>
  <si>
    <t>48.492613</t>
  </si>
  <si>
    <t>9.201850</t>
  </si>
  <si>
    <t>Reutlingen-Betzingen</t>
  </si>
  <si>
    <t>48.496210</t>
  </si>
  <si>
    <t>9.175442</t>
  </si>
  <si>
    <t>Reutlingen-Sondelfingen</t>
  </si>
  <si>
    <t>48.515132</t>
  </si>
  <si>
    <t>9.236915</t>
  </si>
  <si>
    <t>Rhade</t>
  </si>
  <si>
    <t>51.751270</t>
  </si>
  <si>
    <t>6.948091</t>
  </si>
  <si>
    <t>Rheda-Wiedenbrück</t>
  </si>
  <si>
    <t>51.857023</t>
  </si>
  <si>
    <t>8.286650</t>
  </si>
  <si>
    <t>Rheinbach</t>
  </si>
  <si>
    <t>50.629213</t>
  </si>
  <si>
    <t>6.947513</t>
  </si>
  <si>
    <t>Rheinbach Römerkanal</t>
  </si>
  <si>
    <t>50.628284</t>
  </si>
  <si>
    <t>6.967911</t>
  </si>
  <si>
    <t>Rheinberg(Rheinl)</t>
  </si>
  <si>
    <t>51.542382</t>
  </si>
  <si>
    <t>6.591944</t>
  </si>
  <si>
    <t>Rheine</t>
  </si>
  <si>
    <t>52.276299</t>
  </si>
  <si>
    <t>7.434255</t>
  </si>
  <si>
    <t>Rheine-Mesum</t>
  </si>
  <si>
    <t>52.223134</t>
  </si>
  <si>
    <t>7.485613</t>
  </si>
  <si>
    <t>Rheinfelden(Baden)</t>
  </si>
  <si>
    <t>47.556923</t>
  </si>
  <si>
    <t>7.784209</t>
  </si>
  <si>
    <t>Rheinhausen</t>
  </si>
  <si>
    <t>51.393507</t>
  </si>
  <si>
    <t>6.706484</t>
  </si>
  <si>
    <t>Rheinhausen Ost</t>
  </si>
  <si>
    <t>51.401873</t>
  </si>
  <si>
    <t>6.724108</t>
  </si>
  <si>
    <t>Rheinsberg(Mark)</t>
  </si>
  <si>
    <t>53.092858</t>
  </si>
  <si>
    <t>12.899993</t>
  </si>
  <si>
    <t>Rheinsheim</t>
  </si>
  <si>
    <t>49.229061</t>
  </si>
  <si>
    <t>8.415648</t>
  </si>
  <si>
    <t>Rheinsheim Schule</t>
  </si>
  <si>
    <t>49.232649</t>
  </si>
  <si>
    <t>8.409661</t>
  </si>
  <si>
    <t>Rheinweiler</t>
  </si>
  <si>
    <t>47.709532</t>
  </si>
  <si>
    <t>7.531643</t>
  </si>
  <si>
    <t>Rheinzabern Alte Römerstraße</t>
  </si>
  <si>
    <t>49.109366</t>
  </si>
  <si>
    <t>8.273057</t>
  </si>
  <si>
    <t>Rheinzabern Bf</t>
  </si>
  <si>
    <t>49.119537</t>
  </si>
  <si>
    <t>8.274166</t>
  </si>
  <si>
    <t>Rheinzabern Rappengasse</t>
  </si>
  <si>
    <t>49.114836</t>
  </si>
  <si>
    <t>8.273291</t>
  </si>
  <si>
    <t>Rhens</t>
  </si>
  <si>
    <t>50.281519</t>
  </si>
  <si>
    <t>7.620484</t>
  </si>
  <si>
    <t>Rheydt Hbf</t>
  </si>
  <si>
    <t>51.163027</t>
  </si>
  <si>
    <t>6.439564</t>
  </si>
  <si>
    <t>Rheydt-Odenkirchen</t>
  </si>
  <si>
    <t>51.137847</t>
  </si>
  <si>
    <t>6.446169</t>
  </si>
  <si>
    <t>Rhinsmühlen</t>
  </si>
  <si>
    <t>52.659467</t>
  </si>
  <si>
    <t>12.499082</t>
  </si>
  <si>
    <t>Rhöndorf</t>
  </si>
  <si>
    <t>50.657876</t>
  </si>
  <si>
    <t>7.210214</t>
  </si>
  <si>
    <t>Rhöndorf Bahnhof</t>
  </si>
  <si>
    <t>50.657447</t>
  </si>
  <si>
    <t>7.209805</t>
  </si>
  <si>
    <t>Ribbeck</t>
  </si>
  <si>
    <t>52.624435</t>
  </si>
  <si>
    <t>12.751611</t>
  </si>
  <si>
    <t>Ribnitz-Damgarten Ost</t>
  </si>
  <si>
    <t>54.251016</t>
  </si>
  <si>
    <t>12.487015</t>
  </si>
  <si>
    <t>Ribnitz-Damgarten Ost Friedhof</t>
  </si>
  <si>
    <t>54.251036</t>
  </si>
  <si>
    <t>12.482395</t>
  </si>
  <si>
    <t>Ribnitz-Damgarten West</t>
  </si>
  <si>
    <t>54.239176</t>
  </si>
  <si>
    <t>12.436965</t>
  </si>
  <si>
    <t>Richen(b Eppingen)</t>
  </si>
  <si>
    <t>49.167846</t>
  </si>
  <si>
    <t>8.936554</t>
  </si>
  <si>
    <t>Rickling</t>
  </si>
  <si>
    <t>53.999058</t>
  </si>
  <si>
    <t>10.168318</t>
  </si>
  <si>
    <t>Ried</t>
  </si>
  <si>
    <t>50.459238</t>
  </si>
  <si>
    <t>9.769765</t>
  </si>
  <si>
    <t>Riederau</t>
  </si>
  <si>
    <t>47.982581</t>
  </si>
  <si>
    <t>11.097153</t>
  </si>
  <si>
    <t>Riedlingen</t>
  </si>
  <si>
    <t>48.149576</t>
  </si>
  <si>
    <t>9.484980</t>
  </si>
  <si>
    <t>Riedrode</t>
  </si>
  <si>
    <t>49.647488</t>
  </si>
  <si>
    <t>8.495950</t>
  </si>
  <si>
    <t>Riedstadt-Goddelau</t>
  </si>
  <si>
    <t>49.833230</t>
  </si>
  <si>
    <t>8.489187</t>
  </si>
  <si>
    <t>Riedstadt-Wolfskehlen</t>
  </si>
  <si>
    <t>49.853937</t>
  </si>
  <si>
    <t>8.493098</t>
  </si>
  <si>
    <t>Riedstadt-Wolfskehlen Friedhof</t>
  </si>
  <si>
    <t>49.854353</t>
  </si>
  <si>
    <t>8.497321</t>
  </si>
  <si>
    <t>Riegel am Kaiserstuhl Ort</t>
  </si>
  <si>
    <t>48.154146</t>
  </si>
  <si>
    <t>7.749704</t>
  </si>
  <si>
    <t>Riegel-Malterdingen</t>
  </si>
  <si>
    <t>48.151969</t>
  </si>
  <si>
    <t>7.770850</t>
  </si>
  <si>
    <t>Riegel-Malterdingen (SWEG)</t>
  </si>
  <si>
    <t>48.152039</t>
  </si>
  <si>
    <t>7.770145</t>
  </si>
  <si>
    <t>Riehen</t>
  </si>
  <si>
    <t>47.583157</t>
  </si>
  <si>
    <t>7.652014</t>
  </si>
  <si>
    <t>Riehen Niederholz</t>
  </si>
  <si>
    <t>47.569463</t>
  </si>
  <si>
    <t>7.633470</t>
  </si>
  <si>
    <t>Rieneck</t>
  </si>
  <si>
    <t>50.091664</t>
  </si>
  <si>
    <t>9.664138</t>
  </si>
  <si>
    <t>Riesa</t>
  </si>
  <si>
    <t>51.309654</t>
  </si>
  <si>
    <t>13.287734</t>
  </si>
  <si>
    <t>Rieschweiler</t>
  </si>
  <si>
    <t>49.244994</t>
  </si>
  <si>
    <t>7.507610</t>
  </si>
  <si>
    <t>Rieseby</t>
  </si>
  <si>
    <t>54.541358</t>
  </si>
  <si>
    <t>9.820489</t>
  </si>
  <si>
    <t>Rieseby Schleibrücke Süd</t>
  </si>
  <si>
    <t>54.582386</t>
  </si>
  <si>
    <t>9.821100</t>
  </si>
  <si>
    <t>Rieste</t>
  </si>
  <si>
    <t>52.484720</t>
  </si>
  <si>
    <t>8.010613</t>
  </si>
  <si>
    <t>Riestedt</t>
  </si>
  <si>
    <t>51.484021</t>
  </si>
  <si>
    <t>11.379856</t>
  </si>
  <si>
    <t>Rietheim(Württ)</t>
  </si>
  <si>
    <t>48.039008</t>
  </si>
  <si>
    <t>8.782636</t>
  </si>
  <si>
    <t>Rietschen</t>
  </si>
  <si>
    <t>51.398838</t>
  </si>
  <si>
    <t>14.783843</t>
  </si>
  <si>
    <t>Rimbach</t>
  </si>
  <si>
    <t>49.627348</t>
  </si>
  <si>
    <t>8.757296</t>
  </si>
  <si>
    <t>Rimbach Schulzentrum</t>
  </si>
  <si>
    <t>49.622300</t>
  </si>
  <si>
    <t>8.753640</t>
  </si>
  <si>
    <t>Ringleben-Gebesee</t>
  </si>
  <si>
    <t>51.104096</t>
  </si>
  <si>
    <t>10.957993</t>
  </si>
  <si>
    <t>Ringsheim/Europa-Park</t>
  </si>
  <si>
    <t>48.248726</t>
  </si>
  <si>
    <t>7.773037</t>
  </si>
  <si>
    <t>Rinkerode</t>
  </si>
  <si>
    <t>51.844383</t>
  </si>
  <si>
    <t>7.689387</t>
  </si>
  <si>
    <t>Rinklingen</t>
  </si>
  <si>
    <t>49.036667</t>
  </si>
  <si>
    <t>8.673646</t>
  </si>
  <si>
    <t>Rinnthal</t>
  </si>
  <si>
    <t>49.217075</t>
  </si>
  <si>
    <t>7.927918</t>
  </si>
  <si>
    <t>Rinteln</t>
  </si>
  <si>
    <t>52.198936</t>
  </si>
  <si>
    <t>9.077815</t>
  </si>
  <si>
    <t>Rippberg</t>
  </si>
  <si>
    <t>49.624722</t>
  </si>
  <si>
    <t>9.291189</t>
  </si>
  <si>
    <t>Ritschenhausen</t>
  </si>
  <si>
    <t>50.512863</t>
  </si>
  <si>
    <t>10.429506</t>
  </si>
  <si>
    <t>Ritterhude</t>
  </si>
  <si>
    <t>53.183633</t>
  </si>
  <si>
    <t>8.753889</t>
  </si>
  <si>
    <t>Röblingen am See</t>
  </si>
  <si>
    <t>51.462603</t>
  </si>
  <si>
    <t>11.668535</t>
  </si>
  <si>
    <t>Rochlitz(Sachs)</t>
  </si>
  <si>
    <t>51.055704</t>
  </si>
  <si>
    <t>12.793422</t>
  </si>
  <si>
    <t>Rockenhausen</t>
  </si>
  <si>
    <t>49.628385</t>
  </si>
  <si>
    <t>7.817270</t>
  </si>
  <si>
    <t>Rodalben</t>
  </si>
  <si>
    <t>49.238949</t>
  </si>
  <si>
    <t>7.632768</t>
  </si>
  <si>
    <t>Rodenbach(b Hanau)</t>
  </si>
  <si>
    <t>50.147071</t>
  </si>
  <si>
    <t>9.012153</t>
  </si>
  <si>
    <t>Rodenbach(Dillkr)</t>
  </si>
  <si>
    <t>50.773991</t>
  </si>
  <si>
    <t>8.205263</t>
  </si>
  <si>
    <t>Rodenkirchen(Oldb)</t>
  </si>
  <si>
    <t>53.399841</t>
  </si>
  <si>
    <t>8.454794</t>
  </si>
  <si>
    <t>Rödental</t>
  </si>
  <si>
    <t>50.288366</t>
  </si>
  <si>
    <t>11.031308</t>
  </si>
  <si>
    <t>Rödental Mitte</t>
  </si>
  <si>
    <t>50.295736</t>
  </si>
  <si>
    <t>11.050672</t>
  </si>
  <si>
    <t>Rödermark-Urberach</t>
  </si>
  <si>
    <t>49.975137</t>
  </si>
  <si>
    <t>8.798159</t>
  </si>
  <si>
    <t>Rodewisch</t>
  </si>
  <si>
    <t>50.528653</t>
  </si>
  <si>
    <t>12.395337</t>
  </si>
  <si>
    <t>Rodgau-Dudenhofen</t>
  </si>
  <si>
    <t>50.010661</t>
  </si>
  <si>
    <t>8.884482</t>
  </si>
  <si>
    <t>Rodgau-Hainhausen</t>
  </si>
  <si>
    <t>50.039137</t>
  </si>
  <si>
    <t>8.875816</t>
  </si>
  <si>
    <t>Rodgau-Jügesheim</t>
  </si>
  <si>
    <t>50.025956</t>
  </si>
  <si>
    <t>8.878919</t>
  </si>
  <si>
    <t>Rodgau-Nieder Roden</t>
  </si>
  <si>
    <t>49.996974</t>
  </si>
  <si>
    <t>8.870071</t>
  </si>
  <si>
    <t>Rodgau-Weiskirchen</t>
  </si>
  <si>
    <t>50.052573</t>
  </si>
  <si>
    <t>8.877828</t>
  </si>
  <si>
    <t>Rodheim v d Höhe</t>
  </si>
  <si>
    <t>50.267604</t>
  </si>
  <si>
    <t>8.695803</t>
  </si>
  <si>
    <t>Roding</t>
  </si>
  <si>
    <t>49.214480</t>
  </si>
  <si>
    <t>12.515740</t>
  </si>
  <si>
    <t>Rodleben</t>
  </si>
  <si>
    <t>51.897486</t>
  </si>
  <si>
    <t>12.217290</t>
  </si>
  <si>
    <t>Rödlitz-Hohndorf</t>
  </si>
  <si>
    <t>50.742252</t>
  </si>
  <si>
    <t>12.654033</t>
  </si>
  <si>
    <t>Roetgen</t>
  </si>
  <si>
    <t>50.648144</t>
  </si>
  <si>
    <t>6.184321</t>
  </si>
  <si>
    <t>Roggentin</t>
  </si>
  <si>
    <t>54.073494</t>
  </si>
  <si>
    <t>12.213086</t>
  </si>
  <si>
    <t>Rohr(Thür)</t>
  </si>
  <si>
    <t>50.571588</t>
  </si>
  <si>
    <t>10.515839</t>
  </si>
  <si>
    <t>Rohrbach(Ilm)</t>
  </si>
  <si>
    <t>48.606579</t>
  </si>
  <si>
    <t>11.573333</t>
  </si>
  <si>
    <t>Rohrbach(Oberbay)</t>
  </si>
  <si>
    <t>48.298159</t>
  </si>
  <si>
    <t>12.551407</t>
  </si>
  <si>
    <t>Rohrbach(Oberbay) Schoßbach</t>
  </si>
  <si>
    <t>48.284194</t>
  </si>
  <si>
    <t>12.556278</t>
  </si>
  <si>
    <t>Rohrbach(Pfalz)</t>
  </si>
  <si>
    <t>49.138017</t>
  </si>
  <si>
    <t>8.141520</t>
  </si>
  <si>
    <t>Rohrbach(Saar)</t>
  </si>
  <si>
    <t>49.276737</t>
  </si>
  <si>
    <t>7.157395</t>
  </si>
  <si>
    <t>Rohrdorf(Oberbay)</t>
  </si>
  <si>
    <t>47.798095</t>
  </si>
  <si>
    <t>12.173701</t>
  </si>
  <si>
    <t>Rohrenfeld</t>
  </si>
  <si>
    <t>48.721311</t>
  </si>
  <si>
    <t>11.258674</t>
  </si>
  <si>
    <t>Röhrmoos</t>
  </si>
  <si>
    <t>48.333318</t>
  </si>
  <si>
    <t>11.444770</t>
  </si>
  <si>
    <t>Röhrnbach</t>
  </si>
  <si>
    <t>48.737053</t>
  </si>
  <si>
    <t>13.526134</t>
  </si>
  <si>
    <t>Roigheim</t>
  </si>
  <si>
    <t>49.360833</t>
  </si>
  <si>
    <t>9.341831</t>
  </si>
  <si>
    <t>Roisdorf</t>
  </si>
  <si>
    <t>50.753181</t>
  </si>
  <si>
    <t>7.016140</t>
  </si>
  <si>
    <t>Roitzsch(Bitterf)</t>
  </si>
  <si>
    <t>51.570655</t>
  </si>
  <si>
    <t>12.263188</t>
  </si>
  <si>
    <t>Rolandseck</t>
  </si>
  <si>
    <t>50.631426</t>
  </si>
  <si>
    <t>7.206881</t>
  </si>
  <si>
    <t>Rolandseck Bahnhof/Fähre</t>
  </si>
  <si>
    <t>50.630630</t>
  </si>
  <si>
    <t>7.208430</t>
  </si>
  <si>
    <t>Rommelshausen</t>
  </si>
  <si>
    <t>48.815540</t>
  </si>
  <si>
    <t>9.319344</t>
  </si>
  <si>
    <t>Rommerskirchen</t>
  </si>
  <si>
    <t>51.039933</t>
  </si>
  <si>
    <t>6.699590</t>
  </si>
  <si>
    <t>Romrod Kirche</t>
  </si>
  <si>
    <t>50.713850</t>
  </si>
  <si>
    <t>9.219002</t>
  </si>
  <si>
    <t>50.859555</t>
  </si>
  <si>
    <t>12.181720</t>
  </si>
  <si>
    <t>Ronnenberg</t>
  </si>
  <si>
    <t>52.323073</t>
  </si>
  <si>
    <t>9.651786</t>
  </si>
  <si>
    <t>Ronnenberg Bauernwiesenweg</t>
  </si>
  <si>
    <t>52.321879</t>
  </si>
  <si>
    <t>9.651471</t>
  </si>
  <si>
    <t>Ronshausen</t>
  </si>
  <si>
    <t>50.946016</t>
  </si>
  <si>
    <t>9.854425</t>
  </si>
  <si>
    <t>Rönshausen</t>
  </si>
  <si>
    <t>50.478461</t>
  </si>
  <si>
    <t>9.743398</t>
  </si>
  <si>
    <t>Röntgental</t>
  </si>
  <si>
    <t>52.648798</t>
  </si>
  <si>
    <t>13.513799</t>
  </si>
  <si>
    <t>Rosbach v d Höhe</t>
  </si>
  <si>
    <t>50.298339</t>
  </si>
  <si>
    <t>8.700984</t>
  </si>
  <si>
    <t>Rosbach(Sieg)</t>
  </si>
  <si>
    <t>50.796768</t>
  </si>
  <si>
    <t>7.608767</t>
  </si>
  <si>
    <t>Rosenau(b Grafenau)</t>
  </si>
  <si>
    <t>48.874132</t>
  </si>
  <si>
    <t>13.408466</t>
  </si>
  <si>
    <t>Rosenberg(Baden)</t>
  </si>
  <si>
    <t>49.457583</t>
  </si>
  <si>
    <t>9.471425</t>
  </si>
  <si>
    <t>Rosendahl-Holtwick</t>
  </si>
  <si>
    <t>51.998391</t>
  </si>
  <si>
    <t>7.122568</t>
  </si>
  <si>
    <t>Rosenheim</t>
  </si>
  <si>
    <t>47.850018</t>
  </si>
  <si>
    <t>12.119202</t>
  </si>
  <si>
    <t>Rosenheim Aicherpark</t>
  </si>
  <si>
    <t>47.851651</t>
  </si>
  <si>
    <t>12.089467</t>
  </si>
  <si>
    <t>Rosenheim Hochschule</t>
  </si>
  <si>
    <t>47.866304</t>
  </si>
  <si>
    <t>12.104178</t>
  </si>
  <si>
    <t>Rosenheim Hochschule/FOS</t>
  </si>
  <si>
    <t>47.867314</t>
  </si>
  <si>
    <t>12.106712</t>
  </si>
  <si>
    <t>Rosenwinkel</t>
  </si>
  <si>
    <t>53.038194</t>
  </si>
  <si>
    <t>12.343197</t>
  </si>
  <si>
    <t>Röslau</t>
  </si>
  <si>
    <t>50.075097</t>
  </si>
  <si>
    <t>11.994091</t>
  </si>
  <si>
    <t>Rösrath</t>
  </si>
  <si>
    <t>50.901549</t>
  </si>
  <si>
    <t>7.182662</t>
  </si>
  <si>
    <t>Rösrath-Stümpen</t>
  </si>
  <si>
    <t>50.898665</t>
  </si>
  <si>
    <t>7.159270</t>
  </si>
  <si>
    <t>Roßbach(Pfalz)</t>
  </si>
  <si>
    <t>49.572112</t>
  </si>
  <si>
    <t>7.623254</t>
  </si>
  <si>
    <t>Roßla</t>
  </si>
  <si>
    <t>51.462881</t>
  </si>
  <si>
    <t>11.065487</t>
  </si>
  <si>
    <t>Roßlau(Elbe)</t>
  </si>
  <si>
    <t>51.884612</t>
  </si>
  <si>
    <t>12.237262</t>
  </si>
  <si>
    <t>Roßleben</t>
  </si>
  <si>
    <t>51.297859</t>
  </si>
  <si>
    <t>11.436302</t>
  </si>
  <si>
    <t>Roßtal</t>
  </si>
  <si>
    <t>49.400694</t>
  </si>
  <si>
    <t>10.898632</t>
  </si>
  <si>
    <t>Roßtal Wegbrücke</t>
  </si>
  <si>
    <t>49.395018</t>
  </si>
  <si>
    <t>10.885598</t>
  </si>
  <si>
    <t>Roßwein</t>
  </si>
  <si>
    <t>51.060596</t>
  </si>
  <si>
    <t>13.185125</t>
  </si>
  <si>
    <t>Rostock Hbf</t>
  </si>
  <si>
    <t>54.078246</t>
  </si>
  <si>
    <t>12.131079</t>
  </si>
  <si>
    <t>Rostock Hbf Süd (Albrecht-Kossel-Platz)</t>
  </si>
  <si>
    <t>54.077234</t>
  </si>
  <si>
    <t>12.129637</t>
  </si>
  <si>
    <t>Rostock Holbeinplatz</t>
  </si>
  <si>
    <t>54.093300</t>
  </si>
  <si>
    <t>12.099466</t>
  </si>
  <si>
    <t>Rostock Parkstraße</t>
  </si>
  <si>
    <t>54.085243</t>
  </si>
  <si>
    <t>12.107890</t>
  </si>
  <si>
    <t>Rostock Seehafen Nord</t>
  </si>
  <si>
    <t>54.142054</t>
  </si>
  <si>
    <t>12.111999</t>
  </si>
  <si>
    <t>Rostock Thierfelder Campus Südstadt</t>
  </si>
  <si>
    <t>54.074483</t>
  </si>
  <si>
    <t>12.103705</t>
  </si>
  <si>
    <t>Rostock Thierfelder Str.</t>
  </si>
  <si>
    <t>54.077877</t>
  </si>
  <si>
    <t>12.099910</t>
  </si>
  <si>
    <t>Rostock-Bramow</t>
  </si>
  <si>
    <t>54.101746</t>
  </si>
  <si>
    <t>12.090548</t>
  </si>
  <si>
    <t>Rostock-Evershagen</t>
  </si>
  <si>
    <t>54.123552</t>
  </si>
  <si>
    <t>12.068507</t>
  </si>
  <si>
    <t>Rostock-Kassebohm</t>
  </si>
  <si>
    <t>54.079425</t>
  </si>
  <si>
    <t>12.163316</t>
  </si>
  <si>
    <t>Rostock-Kassebohm Weißes Kreuz</t>
  </si>
  <si>
    <t>54.081328</t>
  </si>
  <si>
    <t>12.159967</t>
  </si>
  <si>
    <t>Rostock-Lichtenhagen</t>
  </si>
  <si>
    <t>54.152403</t>
  </si>
  <si>
    <t>12.070866</t>
  </si>
  <si>
    <t>Rostock-Lichtenhagen An der Stadtautobahn</t>
  </si>
  <si>
    <t>54.152422</t>
  </si>
  <si>
    <t>12.068881</t>
  </si>
  <si>
    <t>Rostock-Lütten Klein</t>
  </si>
  <si>
    <t>54.138222</t>
  </si>
  <si>
    <t>12.064985</t>
  </si>
  <si>
    <t>Rostock-Marienehe</t>
  </si>
  <si>
    <t>54.111774</t>
  </si>
  <si>
    <t>12.080072</t>
  </si>
  <si>
    <t>Rostock-Marienehe An der Jägerbäk</t>
  </si>
  <si>
    <t>54.110589</t>
  </si>
  <si>
    <t>12.080325</t>
  </si>
  <si>
    <t>Rostock-Torfbrücke</t>
  </si>
  <si>
    <t>54.241758</t>
  </si>
  <si>
    <t>12.227735</t>
  </si>
  <si>
    <t>Röt</t>
  </si>
  <si>
    <t>48.555465</t>
  </si>
  <si>
    <t>8.397356</t>
  </si>
  <si>
    <t>Rot am See</t>
  </si>
  <si>
    <t>49.249393</t>
  </si>
  <si>
    <t>10.030336</t>
  </si>
  <si>
    <t>Rötenbach(Baden)</t>
  </si>
  <si>
    <t>47.892830</t>
  </si>
  <si>
    <t>8.290057</t>
  </si>
  <si>
    <t>Rotenbach(Enz)</t>
  </si>
  <si>
    <t>48.830163</t>
  </si>
  <si>
    <t>8.578903</t>
  </si>
  <si>
    <t>Rotenburg a.d. Fulda</t>
  </si>
  <si>
    <t>50.997855</t>
  </si>
  <si>
    <t>9.733344</t>
  </si>
  <si>
    <t>Rotenburg(Wümme)</t>
  </si>
  <si>
    <t>53.112349</t>
  </si>
  <si>
    <t>9.390098</t>
  </si>
  <si>
    <t>Rotenhain</t>
  </si>
  <si>
    <t>50.601621</t>
  </si>
  <si>
    <t>7.893375</t>
  </si>
  <si>
    <t>Rötgesbüttel</t>
  </si>
  <si>
    <t>52.413526</t>
  </si>
  <si>
    <t>10.523315</t>
  </si>
  <si>
    <t>Roth</t>
  </si>
  <si>
    <t>49.241287</t>
  </si>
  <si>
    <t>11.082508</t>
  </si>
  <si>
    <t>Röthenbach(Allgäu)</t>
  </si>
  <si>
    <t>47.620618</t>
  </si>
  <si>
    <t>9.953543</t>
  </si>
  <si>
    <t>Röthenbach(Oberpf)</t>
  </si>
  <si>
    <t>49.623543</t>
  </si>
  <si>
    <t>11.995583</t>
  </si>
  <si>
    <t>Röthenbach(Pegnitz)</t>
  </si>
  <si>
    <t>49.479400</t>
  </si>
  <si>
    <t>11.231104</t>
  </si>
  <si>
    <t>Röthenbach-Seespitze</t>
  </si>
  <si>
    <t>49.491524</t>
  </si>
  <si>
    <t>11.261490</t>
  </si>
  <si>
    <t>Röthenbach-Steinberg</t>
  </si>
  <si>
    <t>49.483365</t>
  </si>
  <si>
    <t>11.246167</t>
  </si>
  <si>
    <t>Rothenbürg</t>
  </si>
  <si>
    <t>50.310565</t>
  </si>
  <si>
    <t>11.773125</t>
  </si>
  <si>
    <t>Rothenstein(Saale)</t>
  </si>
  <si>
    <t>50.851148</t>
  </si>
  <si>
    <t>11.609223</t>
  </si>
  <si>
    <t>Rot-Malsch</t>
  </si>
  <si>
    <t>49.243385</t>
  </si>
  <si>
    <t>8.652210</t>
  </si>
  <si>
    <t>Rott(Inn)</t>
  </si>
  <si>
    <t>47.986116</t>
  </si>
  <si>
    <t>12.135751</t>
  </si>
  <si>
    <t>Rottenacker</t>
  </si>
  <si>
    <t>48.234844</t>
  </si>
  <si>
    <t>9.694364</t>
  </si>
  <si>
    <t>Rottenbach</t>
  </si>
  <si>
    <t>50.689454</t>
  </si>
  <si>
    <t>11.169939</t>
  </si>
  <si>
    <t>Rottenburg(Neckar)</t>
  </si>
  <si>
    <t>48.472430</t>
  </si>
  <si>
    <t>8.935548</t>
  </si>
  <si>
    <t>Rottendorf</t>
  </si>
  <si>
    <t>49.792188</t>
  </si>
  <si>
    <t>10.029080</t>
  </si>
  <si>
    <t>Rottershausen</t>
  </si>
  <si>
    <t>50.166441</t>
  </si>
  <si>
    <t>10.166333</t>
  </si>
  <si>
    <t>Rottweil</t>
  </si>
  <si>
    <t>48.165304</t>
  </si>
  <si>
    <t>8.639295</t>
  </si>
  <si>
    <t>Rottweil Göllsdorf</t>
  </si>
  <si>
    <t>48.160010</t>
  </si>
  <si>
    <t>8.651078</t>
  </si>
  <si>
    <t>Rottweil Im Kapellenösch</t>
  </si>
  <si>
    <t>48.149460</t>
  </si>
  <si>
    <t>8.644289</t>
  </si>
  <si>
    <t>Rottweil Neufra</t>
  </si>
  <si>
    <t>48.126824</t>
  </si>
  <si>
    <t>8.670420</t>
  </si>
  <si>
    <t>Rottweil Saline</t>
  </si>
  <si>
    <t>48.148710</t>
  </si>
  <si>
    <t>8.645609</t>
  </si>
  <si>
    <t>Rövershagen</t>
  </si>
  <si>
    <t>54.175568</t>
  </si>
  <si>
    <t>12.247446</t>
  </si>
  <si>
    <t>Rövershagen Karls Erlebnisdorf</t>
  </si>
  <si>
    <t>54.160000</t>
  </si>
  <si>
    <t>12.238300</t>
  </si>
  <si>
    <t>Rückersbacher Schlucht</t>
  </si>
  <si>
    <t>50.019628</t>
  </si>
  <si>
    <t>9.057186</t>
  </si>
  <si>
    <t>Rückersdorf</t>
  </si>
  <si>
    <t>51.567358</t>
  </si>
  <si>
    <t>13.574281</t>
  </si>
  <si>
    <t>Rückersdorf(Mfr)</t>
  </si>
  <si>
    <t>49.491075</t>
  </si>
  <si>
    <t>11.231203</t>
  </si>
  <si>
    <t>Rudersberg</t>
  </si>
  <si>
    <t>48.881864</t>
  </si>
  <si>
    <t>9.530716</t>
  </si>
  <si>
    <t>Rudersberg Nord</t>
  </si>
  <si>
    <t>48.887613</t>
  </si>
  <si>
    <t>9.534161</t>
  </si>
  <si>
    <t>Rüdesheim(Rhein)</t>
  </si>
  <si>
    <t>49.976906</t>
  </si>
  <si>
    <t>7.914574</t>
  </si>
  <si>
    <t>Rüdesheim(Rhein) KD</t>
  </si>
  <si>
    <t>Rüdnitz</t>
  </si>
  <si>
    <t>52.717704</t>
  </si>
  <si>
    <t>13.636340</t>
  </si>
  <si>
    <t>Rüdnitz Bahnhofstr.</t>
  </si>
  <si>
    <t>52.722805</t>
  </si>
  <si>
    <t>13.627213</t>
  </si>
  <si>
    <t>Rüdnitz Dorf</t>
  </si>
  <si>
    <t>52.720239</t>
  </si>
  <si>
    <t>13.623983</t>
  </si>
  <si>
    <t>Rüdnitz Siedlung</t>
  </si>
  <si>
    <t>52.726213</t>
  </si>
  <si>
    <t>13.635394</t>
  </si>
  <si>
    <t>Rudolstadt(Thür)</t>
  </si>
  <si>
    <t>50.717931</t>
  </si>
  <si>
    <t>11.338899</t>
  </si>
  <si>
    <t>Rudolstadt-Schwarza</t>
  </si>
  <si>
    <t>50.691119</t>
  </si>
  <si>
    <t>11.328199</t>
  </si>
  <si>
    <t>Ruhland</t>
  </si>
  <si>
    <t>51.455319</t>
  </si>
  <si>
    <t>13.870004</t>
  </si>
  <si>
    <t>Ruhlsdorf-Zerpenschleuse</t>
  </si>
  <si>
    <t>52.843215</t>
  </si>
  <si>
    <t>13.541511</t>
  </si>
  <si>
    <t>Ruhmannsfelden</t>
  </si>
  <si>
    <t>48.989413</t>
  </si>
  <si>
    <t>12.991510</t>
  </si>
  <si>
    <t>Ruhpolding</t>
  </si>
  <si>
    <t>47.762251</t>
  </si>
  <si>
    <t>12.649033</t>
  </si>
  <si>
    <t>Ruhstorf</t>
  </si>
  <si>
    <t>48.433647</t>
  </si>
  <si>
    <t>13.334949</t>
  </si>
  <si>
    <t>Rullstorf</t>
  </si>
  <si>
    <t>53.288968</t>
  </si>
  <si>
    <t>10.528565</t>
  </si>
  <si>
    <t>Rülzheim Bf</t>
  </si>
  <si>
    <t>49.160871</t>
  </si>
  <si>
    <t>8.290446</t>
  </si>
  <si>
    <t>Rülzheim Freizeitzentrum</t>
  </si>
  <si>
    <t>49.151590</t>
  </si>
  <si>
    <t>8.279365</t>
  </si>
  <si>
    <t>Rumeln</t>
  </si>
  <si>
    <t>51.398113</t>
  </si>
  <si>
    <t>6.675979</t>
  </si>
  <si>
    <t>Rummenohl</t>
  </si>
  <si>
    <t>51.277809</t>
  </si>
  <si>
    <t>7.528306</t>
  </si>
  <si>
    <t>Rümmingen</t>
  </si>
  <si>
    <t>47.642926</t>
  </si>
  <si>
    <t>7.640709</t>
  </si>
  <si>
    <t>Rümmingen Altes Rathaus</t>
  </si>
  <si>
    <t>47.641948</t>
  </si>
  <si>
    <t>7.642305</t>
  </si>
  <si>
    <t>Ründeroth</t>
  </si>
  <si>
    <t>50.995077</t>
  </si>
  <si>
    <t>7.465132</t>
  </si>
  <si>
    <t>Runding</t>
  </si>
  <si>
    <t>49.217620</t>
  </si>
  <si>
    <t>12.727558</t>
  </si>
  <si>
    <t>Runkel</t>
  </si>
  <si>
    <t>50.405299</t>
  </si>
  <si>
    <t>8.159441</t>
  </si>
  <si>
    <t>Runkel Neue Brücke</t>
  </si>
  <si>
    <t>50.405265</t>
  </si>
  <si>
    <t>8.152364</t>
  </si>
  <si>
    <t>Runkel Sparkasse</t>
  </si>
  <si>
    <t>50.405793</t>
  </si>
  <si>
    <t>8.153608</t>
  </si>
  <si>
    <t>Ruppertsgrün</t>
  </si>
  <si>
    <t>50.575023</t>
  </si>
  <si>
    <t>12.176392</t>
  </si>
  <si>
    <t>Rupprechtstegen</t>
  </si>
  <si>
    <t>49.597437</t>
  </si>
  <si>
    <t>11.480483</t>
  </si>
  <si>
    <t>Ruschberg</t>
  </si>
  <si>
    <t>49.622843</t>
  </si>
  <si>
    <t>7.287455</t>
  </si>
  <si>
    <t>Ruschwedel</t>
  </si>
  <si>
    <t>53.446216</t>
  </si>
  <si>
    <t>9.560046</t>
  </si>
  <si>
    <t>Rüsselsheim Opelwerk</t>
  </si>
  <si>
    <t>49.988000</t>
  </si>
  <si>
    <t>8.400373</t>
  </si>
  <si>
    <t>Rutesheim</t>
  </si>
  <si>
    <t>48.790017</t>
  </si>
  <si>
    <t>8.959550</t>
  </si>
  <si>
    <t>Ruthenbeck</t>
  </si>
  <si>
    <t>53.545245</t>
  </si>
  <si>
    <t>11.711168</t>
  </si>
  <si>
    <t>Saal(Donau)</t>
  </si>
  <si>
    <t>48.902420</t>
  </si>
  <si>
    <t>11.933195</t>
  </si>
  <si>
    <t>Saalburg(Taunus)</t>
  </si>
  <si>
    <t>50.283609</t>
  </si>
  <si>
    <t>8.586492</t>
  </si>
  <si>
    <t>Saalfeld(Saale)</t>
  </si>
  <si>
    <t>50.650273</t>
  </si>
  <si>
    <t>11.374583</t>
  </si>
  <si>
    <t>Saarbrücken Ost</t>
  </si>
  <si>
    <t>49.230425</t>
  </si>
  <si>
    <t>7.018788</t>
  </si>
  <si>
    <t>Saarbrücken-Burbach</t>
  </si>
  <si>
    <t>49.242003</t>
  </si>
  <si>
    <t>6.956526</t>
  </si>
  <si>
    <t>Saarburg(Bz Trier)</t>
  </si>
  <si>
    <t>49.606455</t>
  </si>
  <si>
    <t>6.557034</t>
  </si>
  <si>
    <t>Saarhölzbach</t>
  </si>
  <si>
    <t>49.516441</t>
  </si>
  <si>
    <t>6.607500</t>
  </si>
  <si>
    <t>Saarlouis Hbf</t>
  </si>
  <si>
    <t>49.327830</t>
  </si>
  <si>
    <t>6.750169</t>
  </si>
  <si>
    <t>Saarmund</t>
  </si>
  <si>
    <t>52.323460</t>
  </si>
  <si>
    <t>13.139635</t>
  </si>
  <si>
    <t>Saarmund Abzweig zum Bahnhof</t>
  </si>
  <si>
    <t>Saasen</t>
  </si>
  <si>
    <t>50.594080</t>
  </si>
  <si>
    <t>8.881774</t>
  </si>
  <si>
    <t>Saatel</t>
  </si>
  <si>
    <t>54.300371</t>
  </si>
  <si>
    <t>12.772680</t>
  </si>
  <si>
    <t>Sachsen(b Ansbach)</t>
  </si>
  <si>
    <t>49.292990</t>
  </si>
  <si>
    <t>10.661498</t>
  </si>
  <si>
    <t>Sachsendorf(Calbe)</t>
  </si>
  <si>
    <t>51.870054</t>
  </si>
  <si>
    <t>11.865517</t>
  </si>
  <si>
    <t>Sachsenhausen(Nordb)</t>
  </si>
  <si>
    <t>52.772269</t>
  </si>
  <si>
    <t>13.251867</t>
  </si>
  <si>
    <t>Sachsenheim</t>
  </si>
  <si>
    <t>48.961292</t>
  </si>
  <si>
    <t>9.063158</t>
  </si>
  <si>
    <t>Sagard</t>
  </si>
  <si>
    <t>54.524379</t>
  </si>
  <si>
    <t>13.564956</t>
  </si>
  <si>
    <t>Sagehorn</t>
  </si>
  <si>
    <t>53.082532</t>
  </si>
  <si>
    <t>9.010018</t>
  </si>
  <si>
    <t>Salach</t>
  </si>
  <si>
    <t>48.689398</t>
  </si>
  <si>
    <t>9.737183</t>
  </si>
  <si>
    <t>Salem</t>
  </si>
  <si>
    <t>47.757795</t>
  </si>
  <si>
    <t>9.297266</t>
  </si>
  <si>
    <t>Sallach</t>
  </si>
  <si>
    <t>48.811270</t>
  </si>
  <si>
    <t>12.360541</t>
  </si>
  <si>
    <t>Salmtal</t>
  </si>
  <si>
    <t>49.921684</t>
  </si>
  <si>
    <t>6.839254</t>
  </si>
  <si>
    <t>Salzbergen</t>
  </si>
  <si>
    <t>52.323250</t>
  </si>
  <si>
    <t>7.350526</t>
  </si>
  <si>
    <t>Salzgitter-Bad</t>
  </si>
  <si>
    <t>52.049824</t>
  </si>
  <si>
    <t>10.372335</t>
  </si>
  <si>
    <t>Salzgitter-Immendorf</t>
  </si>
  <si>
    <t>52.150101</t>
  </si>
  <si>
    <t>10.441891</t>
  </si>
  <si>
    <t>Salzgitter-Lebenstedt</t>
  </si>
  <si>
    <t>52.151155</t>
  </si>
  <si>
    <t>10.332490</t>
  </si>
  <si>
    <t>Salzgitter-Ringelheim</t>
  </si>
  <si>
    <t>52.038158</t>
  </si>
  <si>
    <t>10.314830</t>
  </si>
  <si>
    <t>Salzgitter-Thiede</t>
  </si>
  <si>
    <t>52.180553</t>
  </si>
  <si>
    <t>10.493609</t>
  </si>
  <si>
    <t>Salzgitter-Watenstedt</t>
  </si>
  <si>
    <t>52.150168</t>
  </si>
  <si>
    <t>10.407398</t>
  </si>
  <si>
    <t>Salzhausen(Lüneb)</t>
  </si>
  <si>
    <t>53.227065</t>
  </si>
  <si>
    <t>10.163183</t>
  </si>
  <si>
    <t>Salzhemmendorf DBG</t>
  </si>
  <si>
    <t>52.066825</t>
  </si>
  <si>
    <t>9.584755</t>
  </si>
  <si>
    <t>Salzkotten</t>
  </si>
  <si>
    <t>51.672875</t>
  </si>
  <si>
    <t>8.600489</t>
  </si>
  <si>
    <t>Salzwedel</t>
  </si>
  <si>
    <t>52.858113</t>
  </si>
  <si>
    <t>11.162035</t>
  </si>
  <si>
    <t>Samtens</t>
  </si>
  <si>
    <t>54.354116</t>
  </si>
  <si>
    <t>13.290177</t>
  </si>
  <si>
    <t>Sand(Niederbay)</t>
  </si>
  <si>
    <t>48.897143</t>
  </si>
  <si>
    <t>12.672642</t>
  </si>
  <si>
    <t>Sande</t>
  </si>
  <si>
    <t>53.489796</t>
  </si>
  <si>
    <t>8.031519</t>
  </si>
  <si>
    <t>Sandersdorf(Bitterf)</t>
  </si>
  <si>
    <t>51.628239</t>
  </si>
  <si>
    <t>12.260400</t>
  </si>
  <si>
    <t>Sandersleben(Anh)</t>
  </si>
  <si>
    <t>51.679063</t>
  </si>
  <si>
    <t>11.560020</t>
  </si>
  <si>
    <t>Sandförde</t>
  </si>
  <si>
    <t>53.563981</t>
  </si>
  <si>
    <t>13.971273</t>
  </si>
  <si>
    <t>Sandförde Ort</t>
  </si>
  <si>
    <t>53.562543</t>
  </si>
  <si>
    <t>13.964062</t>
  </si>
  <si>
    <t>Sandhagen(b Bad Dob)</t>
  </si>
  <si>
    <t>54.052785</t>
  </si>
  <si>
    <t>11.740909</t>
  </si>
  <si>
    <t>Sandkrug</t>
  </si>
  <si>
    <t>53.054427</t>
  </si>
  <si>
    <t>8.254993</t>
  </si>
  <si>
    <t>Sandwehle</t>
  </si>
  <si>
    <t>54.325749</t>
  </si>
  <si>
    <t>8.758482</t>
  </si>
  <si>
    <t>Sangerhausen</t>
  </si>
  <si>
    <t>51.479891</t>
  </si>
  <si>
    <t>11.294515</t>
  </si>
  <si>
    <t>Sanitz(b Rostock)</t>
  </si>
  <si>
    <t>54.075060</t>
  </si>
  <si>
    <t>12.376588</t>
  </si>
  <si>
    <t>Sankt Augustin Zentrum</t>
  </si>
  <si>
    <t>50.776655</t>
  </si>
  <si>
    <t>7.187893</t>
  </si>
  <si>
    <t>Sanssouci</t>
  </si>
  <si>
    <t>51.353665</t>
  </si>
  <si>
    <t>7.878844</t>
  </si>
  <si>
    <t>Sarnow</t>
  </si>
  <si>
    <t>53.117280</t>
  </si>
  <si>
    <t>12.229871</t>
  </si>
  <si>
    <t>Sarstedt</t>
  </si>
  <si>
    <t>52.232600</t>
  </si>
  <si>
    <t>9.842592</t>
  </si>
  <si>
    <t>Sasbach am Kaiserstuhl</t>
  </si>
  <si>
    <t>48.138749</t>
  </si>
  <si>
    <t>7.620345</t>
  </si>
  <si>
    <t>Sassenroth</t>
  </si>
  <si>
    <t>50.771569</t>
  </si>
  <si>
    <t>7.915248</t>
  </si>
  <si>
    <t>Sassnitz</t>
  </si>
  <si>
    <t>54.516284</t>
  </si>
  <si>
    <t>13.637909</t>
  </si>
  <si>
    <t>Sassnitz Fährhafen</t>
  </si>
  <si>
    <t>54.484138</t>
  </si>
  <si>
    <t>13.584901</t>
  </si>
  <si>
    <t>Satteldorf</t>
  </si>
  <si>
    <t>49.178443</t>
  </si>
  <si>
    <t>10.078155</t>
  </si>
  <si>
    <t>Sättelstädt</t>
  </si>
  <si>
    <t>50.945914</t>
  </si>
  <si>
    <t>10.480338</t>
  </si>
  <si>
    <t>Satzvey</t>
  </si>
  <si>
    <t>50.622789</t>
  </si>
  <si>
    <t>6.712660</t>
  </si>
  <si>
    <t>Sauerlach</t>
  </si>
  <si>
    <t>47.974061</t>
  </si>
  <si>
    <t>11.654774</t>
  </si>
  <si>
    <t>Sauldorf</t>
  </si>
  <si>
    <t>47.944410</t>
  </si>
  <si>
    <t>9.094539</t>
  </si>
  <si>
    <t>Saulgrub</t>
  </si>
  <si>
    <t>47.666090</t>
  </si>
  <si>
    <t>11.025397</t>
  </si>
  <si>
    <t>Saulheim</t>
  </si>
  <si>
    <t>49.873807</t>
  </si>
  <si>
    <t>8.154249</t>
  </si>
  <si>
    <t>Schafbrücke</t>
  </si>
  <si>
    <t>49.227940</t>
  </si>
  <si>
    <t>7.049237</t>
  </si>
  <si>
    <t>Schaftlach</t>
  </si>
  <si>
    <t>47.795471</t>
  </si>
  <si>
    <t>11.684123</t>
  </si>
  <si>
    <t>Schaidt(Pfalz)</t>
  </si>
  <si>
    <t>49.061238</t>
  </si>
  <si>
    <t>8.079776</t>
  </si>
  <si>
    <t>Schalchen</t>
  </si>
  <si>
    <t>48.059071</t>
  </si>
  <si>
    <t>12.570982</t>
  </si>
  <si>
    <t>Schalkau</t>
  </si>
  <si>
    <t>50.400554</t>
  </si>
  <si>
    <t>11.001731</t>
  </si>
  <si>
    <t>Schalkau Mitte</t>
  </si>
  <si>
    <t>50.396618</t>
  </si>
  <si>
    <t>11.008687</t>
  </si>
  <si>
    <t>Schalksmühle</t>
  </si>
  <si>
    <t>51.240588</t>
  </si>
  <si>
    <t>7.532751</t>
  </si>
  <si>
    <t>Schalkstetten</t>
  </si>
  <si>
    <t>48.611798</t>
  </si>
  <si>
    <t>9.911330</t>
  </si>
  <si>
    <t>Schallstadt</t>
  </si>
  <si>
    <t>47.955947</t>
  </si>
  <si>
    <t>7.753888</t>
  </si>
  <si>
    <t>Schameder</t>
  </si>
  <si>
    <t>50.997584</t>
  </si>
  <si>
    <t>8.293102</t>
  </si>
  <si>
    <t>Schandelah</t>
  </si>
  <si>
    <t>52.267226</t>
  </si>
  <si>
    <t>10.685403</t>
  </si>
  <si>
    <t>Schaprode</t>
  </si>
  <si>
    <t>54.512973</t>
  </si>
  <si>
    <t>13.165283</t>
  </si>
  <si>
    <t>Scharbeutz</t>
  </si>
  <si>
    <t>54.018743</t>
  </si>
  <si>
    <t>10.745762</t>
  </si>
  <si>
    <t>Scharfenstein</t>
  </si>
  <si>
    <t>50.702827</t>
  </si>
  <si>
    <t>13.056007</t>
  </si>
  <si>
    <t>Scharmede</t>
  </si>
  <si>
    <t>51.711790</t>
  </si>
  <si>
    <t>8.645240</t>
  </si>
  <si>
    <t>Scharnebeck</t>
  </si>
  <si>
    <t>53.286625</t>
  </si>
  <si>
    <t>10.504538</t>
  </si>
  <si>
    <t>Scharstorf</t>
  </si>
  <si>
    <t>53.970079</t>
  </si>
  <si>
    <t>12.245847</t>
  </si>
  <si>
    <t>Schechen</t>
  </si>
  <si>
    <t>47.927051</t>
  </si>
  <si>
    <t>12.126724</t>
  </si>
  <si>
    <t>Schechen Gasthaus Egger</t>
  </si>
  <si>
    <t>47.929250</t>
  </si>
  <si>
    <t>12.123583</t>
  </si>
  <si>
    <t>Scheeßel</t>
  </si>
  <si>
    <t>53.165825</t>
  </si>
  <si>
    <t>9.496963</t>
  </si>
  <si>
    <t>Scheibenberg</t>
  </si>
  <si>
    <t>50.547641</t>
  </si>
  <si>
    <t>12.910989</t>
  </si>
  <si>
    <t>Scheidt(Saar)</t>
  </si>
  <si>
    <t>49.244018</t>
  </si>
  <si>
    <t>7.057083</t>
  </si>
  <si>
    <t>Schelklingen</t>
  </si>
  <si>
    <t>48.371699</t>
  </si>
  <si>
    <t>9.735267</t>
  </si>
  <si>
    <t>Schemmerberg</t>
  </si>
  <si>
    <t>48.189232</t>
  </si>
  <si>
    <t>9.829031</t>
  </si>
  <si>
    <t>Schenkenzell</t>
  </si>
  <si>
    <t>48.308425</t>
  </si>
  <si>
    <t>8.371887</t>
  </si>
  <si>
    <t>Scheppach</t>
  </si>
  <si>
    <t>49.161644</t>
  </si>
  <si>
    <t>9.434249</t>
  </si>
  <si>
    <t>Scherfede</t>
  </si>
  <si>
    <t>51.524738</t>
  </si>
  <si>
    <t>9.047940</t>
  </si>
  <si>
    <t>Scheuerfeld(Sieg)</t>
  </si>
  <si>
    <t>50.791939</t>
  </si>
  <si>
    <t>7.837031</t>
  </si>
  <si>
    <t>Scheven</t>
  </si>
  <si>
    <t>50.559662</t>
  </si>
  <si>
    <t>6.592270</t>
  </si>
  <si>
    <t>Schieder</t>
  </si>
  <si>
    <t>51.922400</t>
  </si>
  <si>
    <t>9.152475</t>
  </si>
  <si>
    <t>Schierbrok</t>
  </si>
  <si>
    <t>53.084709</t>
  </si>
  <si>
    <t>8.579004</t>
  </si>
  <si>
    <t>Schierke</t>
  </si>
  <si>
    <t>51.765073</t>
  </si>
  <si>
    <t>10.678004</t>
  </si>
  <si>
    <t>Schierstedt</t>
  </si>
  <si>
    <t>51.751526</t>
  </si>
  <si>
    <t>11.521195</t>
  </si>
  <si>
    <t>Schierwaldenrath</t>
  </si>
  <si>
    <t>51.013787</t>
  </si>
  <si>
    <t>6.037447</t>
  </si>
  <si>
    <t>Schifferstadt</t>
  </si>
  <si>
    <t>49.392910</t>
  </si>
  <si>
    <t>8.364945</t>
  </si>
  <si>
    <t>Schifferstadt Süd</t>
  </si>
  <si>
    <t>49.374480</t>
  </si>
  <si>
    <t>8.376973</t>
  </si>
  <si>
    <t>Schiffweiler</t>
  </si>
  <si>
    <t>49.363371</t>
  </si>
  <si>
    <t>7.129340</t>
  </si>
  <si>
    <t>Schiltach</t>
  </si>
  <si>
    <t>48.291174</t>
  </si>
  <si>
    <t>8.335155</t>
  </si>
  <si>
    <t>Schiltach Mitte</t>
  </si>
  <si>
    <t>48.291284</t>
  </si>
  <si>
    <t>8.344766</t>
  </si>
  <si>
    <t>Schimborn</t>
  </si>
  <si>
    <t>50.057764</t>
  </si>
  <si>
    <t>9.186811</t>
  </si>
  <si>
    <t>Schirgiswalde Post</t>
  </si>
  <si>
    <t>51.080679</t>
  </si>
  <si>
    <t>14.429314</t>
  </si>
  <si>
    <t>Schirgiswalde-Kirschau</t>
  </si>
  <si>
    <t>51.079566</t>
  </si>
  <si>
    <t>14.426765</t>
  </si>
  <si>
    <t>Schirnding</t>
  </si>
  <si>
    <t>50.077300</t>
  </si>
  <si>
    <t>12.228749</t>
  </si>
  <si>
    <t>Schkeuditz</t>
  </si>
  <si>
    <t>51.402390</t>
  </si>
  <si>
    <t>12.222169</t>
  </si>
  <si>
    <t>Schkeuditz West</t>
  </si>
  <si>
    <t>51.402910</t>
  </si>
  <si>
    <t>12.195667</t>
  </si>
  <si>
    <t>Schkopau</t>
  </si>
  <si>
    <t>51.388993</t>
  </si>
  <si>
    <t>11.992098</t>
  </si>
  <si>
    <t>Schkopau Am Schloss</t>
  </si>
  <si>
    <t>51.392088</t>
  </si>
  <si>
    <t>11.983833</t>
  </si>
  <si>
    <t>Schladen(Harz)</t>
  </si>
  <si>
    <t>52.022364</t>
  </si>
  <si>
    <t>10.550134</t>
  </si>
  <si>
    <t>Schladern(Sieg)</t>
  </si>
  <si>
    <t>50.807006</t>
  </si>
  <si>
    <t>7.592264</t>
  </si>
  <si>
    <t>Schlatt(Hohenz)</t>
  </si>
  <si>
    <t>48.343544</t>
  </si>
  <si>
    <t>9.025203</t>
  </si>
  <si>
    <t>Schleife</t>
  </si>
  <si>
    <t>51.535432</t>
  </si>
  <si>
    <t>14.532101</t>
  </si>
  <si>
    <t>Schleswig</t>
  </si>
  <si>
    <t>54.499457</t>
  </si>
  <si>
    <t>9.538140</t>
  </si>
  <si>
    <t>Schlettau(Erzgeb)</t>
  </si>
  <si>
    <t>50.555008</t>
  </si>
  <si>
    <t>12.953235</t>
  </si>
  <si>
    <t>Schliengen</t>
  </si>
  <si>
    <t>47.761598</t>
  </si>
  <si>
    <t>7.568937</t>
  </si>
  <si>
    <t>Schlierbach(Schwalm-Eder-Kr.)</t>
  </si>
  <si>
    <t>50.968783</t>
  </si>
  <si>
    <t>9.201445</t>
  </si>
  <si>
    <t>Schloß Holte</t>
  </si>
  <si>
    <t>51.907968</t>
  </si>
  <si>
    <t>8.611189</t>
  </si>
  <si>
    <t>Schlüchtern</t>
  </si>
  <si>
    <t>50.341177</t>
  </si>
  <si>
    <t>9.510039</t>
  </si>
  <si>
    <t>Schlüttsiel</t>
  </si>
  <si>
    <t>54.682008</t>
  </si>
  <si>
    <t>8.754857</t>
  </si>
  <si>
    <t>Schmachtenhagen</t>
  </si>
  <si>
    <t>52.775309</t>
  </si>
  <si>
    <t>13.336799</t>
  </si>
  <si>
    <t>Schmalkalden</t>
  </si>
  <si>
    <t>50.720181</t>
  </si>
  <si>
    <t>10.440504</t>
  </si>
  <si>
    <t>Schmalnau</t>
  </si>
  <si>
    <t>50.456013</t>
  </si>
  <si>
    <t>9.787847</t>
  </si>
  <si>
    <t>Schmalzgrube</t>
  </si>
  <si>
    <t>50.531945</t>
  </si>
  <si>
    <t>13.131101</t>
  </si>
  <si>
    <t>Schmalzgrube Forellenhof</t>
  </si>
  <si>
    <t>50.535852</t>
  </si>
  <si>
    <t>13.129168</t>
  </si>
  <si>
    <t>Schmidtheim</t>
  </si>
  <si>
    <t>50.413239</t>
  </si>
  <si>
    <t>6.552086</t>
  </si>
  <si>
    <t>Schmiechen</t>
  </si>
  <si>
    <t>48.362720</t>
  </si>
  <si>
    <t>9.720760</t>
  </si>
  <si>
    <t>Schmiechen Albbahn</t>
  </si>
  <si>
    <t>48.364897</t>
  </si>
  <si>
    <t>9.715289</t>
  </si>
  <si>
    <t>Schmiechen(Schwab)</t>
  </si>
  <si>
    <t>48.213046</t>
  </si>
  <si>
    <t>10.978087</t>
  </si>
  <si>
    <t>Schmiedeberg (Dresden)</t>
  </si>
  <si>
    <t>50.833847</t>
  </si>
  <si>
    <t>13.677506</t>
  </si>
  <si>
    <t>Schmiedeberg-Naundorf</t>
  </si>
  <si>
    <t>50.843793</t>
  </si>
  <si>
    <t>13.668065</t>
  </si>
  <si>
    <t>Schmilka Grenzübergang</t>
  </si>
  <si>
    <t>50.892016</t>
  </si>
  <si>
    <t>14.229880</t>
  </si>
  <si>
    <t>Schmilka Hirschgrund</t>
  </si>
  <si>
    <t>50.888877</t>
  </si>
  <si>
    <t>14.208302</t>
  </si>
  <si>
    <t>Schmollensee</t>
  </si>
  <si>
    <t>53.982272</t>
  </si>
  <si>
    <t>14.077246</t>
  </si>
  <si>
    <t>Schmölln(Ol)</t>
  </si>
  <si>
    <t>51.119755</t>
  </si>
  <si>
    <t>14.227957</t>
  </si>
  <si>
    <t>Schmölln(Thür)</t>
  </si>
  <si>
    <t>50.898319</t>
  </si>
  <si>
    <t>12.354899</t>
  </si>
  <si>
    <t>Schnabelwaid</t>
  </si>
  <si>
    <t>49.810453</t>
  </si>
  <si>
    <t>11.595660</t>
  </si>
  <si>
    <t>Schnaittach Markt</t>
  </si>
  <si>
    <t>49.556978</t>
  </si>
  <si>
    <t>11.344440</t>
  </si>
  <si>
    <t>Schneeberg im Odenwald</t>
  </si>
  <si>
    <t>49.641099</t>
  </si>
  <si>
    <t>9.250801</t>
  </si>
  <si>
    <t>Schneeberg(Mark)</t>
  </si>
  <si>
    <t>52.164558</t>
  </si>
  <si>
    <t>14.329917</t>
  </si>
  <si>
    <t>Schnega</t>
  </si>
  <si>
    <t>52.869058</t>
  </si>
  <si>
    <t>10.890386</t>
  </si>
  <si>
    <t>Schneidhain</t>
  </si>
  <si>
    <t>50.172667</t>
  </si>
  <si>
    <t>8.451934</t>
  </si>
  <si>
    <t>Schnelldorf</t>
  </si>
  <si>
    <t>49.194325</t>
  </si>
  <si>
    <t>10.178483</t>
  </si>
  <si>
    <t>Schneverdingen</t>
  </si>
  <si>
    <t>53.110570</t>
  </si>
  <si>
    <t>9.798868</t>
  </si>
  <si>
    <t>Schney</t>
  </si>
  <si>
    <t>50.166202</t>
  </si>
  <si>
    <t>11.073623</t>
  </si>
  <si>
    <t>Schnitzmühle</t>
  </si>
  <si>
    <t>49.070409</t>
  </si>
  <si>
    <t>12.915158</t>
  </si>
  <si>
    <t>Schoden-Ockfen</t>
  </si>
  <si>
    <t>49.636377</t>
  </si>
  <si>
    <t>6.580970</t>
  </si>
  <si>
    <t>Schömberg Stausee</t>
  </si>
  <si>
    <t>48.211328</t>
  </si>
  <si>
    <t>8.771352</t>
  </si>
  <si>
    <t>Schömberg(b Balingen)</t>
  </si>
  <si>
    <t>48.206379</t>
  </si>
  <si>
    <t>8.758925</t>
  </si>
  <si>
    <t>Schöna</t>
  </si>
  <si>
    <t>50.875903</t>
  </si>
  <si>
    <t>14.234719</t>
  </si>
  <si>
    <t>Schöna Dorfplatz</t>
  </si>
  <si>
    <t>50.883758</t>
  </si>
  <si>
    <t>14.214517</t>
  </si>
  <si>
    <t>Schöna(Gr)</t>
  </si>
  <si>
    <t>Schönau(Hörsel)</t>
  </si>
  <si>
    <t>50.945220</t>
  </si>
  <si>
    <t>10.429779</t>
  </si>
  <si>
    <t>Schönberg(Gaildorf)</t>
  </si>
  <si>
    <t>48.974507</t>
  </si>
  <si>
    <t>9.789685</t>
  </si>
  <si>
    <t>Schönberg(Holstein)</t>
  </si>
  <si>
    <t>54.387049</t>
  </si>
  <si>
    <t>10.375192</t>
  </si>
  <si>
    <t>Schönberg(Meckl)</t>
  </si>
  <si>
    <t>53.853380</t>
  </si>
  <si>
    <t>10.927870</t>
  </si>
  <si>
    <t>Schönberg(Vogtl)</t>
  </si>
  <si>
    <t>50.528427</t>
  </si>
  <si>
    <t>11.961259</t>
  </si>
  <si>
    <t>Schönberger Strand</t>
  </si>
  <si>
    <t>54.410736</t>
  </si>
  <si>
    <t>10.412798</t>
  </si>
  <si>
    <t>Schönborn(Doberl)</t>
  </si>
  <si>
    <t>51.602008</t>
  </si>
  <si>
    <t>13.468048</t>
  </si>
  <si>
    <t>Schondorf(Bay)</t>
  </si>
  <si>
    <t>48.052848</t>
  </si>
  <si>
    <t>11.089847</t>
  </si>
  <si>
    <t>Schönebeck Süd</t>
  </si>
  <si>
    <t>52.006752</t>
  </si>
  <si>
    <t>11.737305</t>
  </si>
  <si>
    <t>Schönebeck(Elbe)</t>
  </si>
  <si>
    <t>52.018794</t>
  </si>
  <si>
    <t>11.733157</t>
  </si>
  <si>
    <t>Schönebeck-Bad Salzelmen</t>
  </si>
  <si>
    <t>51.998364</t>
  </si>
  <si>
    <t>11.723627</t>
  </si>
  <si>
    <t>Schönebeck-Felgeleben</t>
  </si>
  <si>
    <t>52.000747</t>
  </si>
  <si>
    <t>11.757148</t>
  </si>
  <si>
    <t>Schönebeck-Frohse</t>
  </si>
  <si>
    <t>52.033917</t>
  </si>
  <si>
    <t>11.707384</t>
  </si>
  <si>
    <t>Schöneck(Vogtl)</t>
  </si>
  <si>
    <t>50.395988</t>
  </si>
  <si>
    <t>12.343357</t>
  </si>
  <si>
    <t>Schöneck(Vogtl) Ferienpark</t>
  </si>
  <si>
    <t>50.389570</t>
  </si>
  <si>
    <t>12.347044</t>
  </si>
  <si>
    <t>Schöneck-Büdesheim</t>
  </si>
  <si>
    <t>50.214951</t>
  </si>
  <si>
    <t>8.843600</t>
  </si>
  <si>
    <t>Schöneck-Kilianstädten</t>
  </si>
  <si>
    <t>50.201751</t>
  </si>
  <si>
    <t>8.840486</t>
  </si>
  <si>
    <t>Schöneck-Oberdorfelden</t>
  </si>
  <si>
    <t>50.196149</t>
  </si>
  <si>
    <t>8.823385</t>
  </si>
  <si>
    <t>Schönefeld(bei Berlin)</t>
  </si>
  <si>
    <t>52.391062</t>
  </si>
  <si>
    <t>13.512710</t>
  </si>
  <si>
    <t>Schönefeld(bei Berlin) Bahnhof</t>
  </si>
  <si>
    <t>52.390393</t>
  </si>
  <si>
    <t>13.513838</t>
  </si>
  <si>
    <t>Schönerlinde</t>
  </si>
  <si>
    <t>52.652182</t>
  </si>
  <si>
    <t>13.428633</t>
  </si>
  <si>
    <t>Schönerlinde Kirche</t>
  </si>
  <si>
    <t>52.653843</t>
  </si>
  <si>
    <t>13.446938</t>
  </si>
  <si>
    <t>Schönewörde</t>
  </si>
  <si>
    <t>52.628178</t>
  </si>
  <si>
    <t>10.634899</t>
  </si>
  <si>
    <t>Schönfließ(b Oranienburg)</t>
  </si>
  <si>
    <t>52.665075</t>
  </si>
  <si>
    <t>13.339419</t>
  </si>
  <si>
    <t>Schönfließ(Mark) Dorf</t>
  </si>
  <si>
    <t>52.437028</t>
  </si>
  <si>
    <t>14.472814</t>
  </si>
  <si>
    <t>Schongau</t>
  </si>
  <si>
    <t>47.812327</t>
  </si>
  <si>
    <t>10.902459</t>
  </si>
  <si>
    <t>Schöngeising</t>
  </si>
  <si>
    <t>48.147370</t>
  </si>
  <si>
    <t>11.192051</t>
  </si>
  <si>
    <t>Schönhausen(Elbe)</t>
  </si>
  <si>
    <t>52.590936</t>
  </si>
  <si>
    <t>12.040013</t>
  </si>
  <si>
    <t>Schönkirchen Landgraben</t>
  </si>
  <si>
    <t>54.343371</t>
  </si>
  <si>
    <t>10.242050</t>
  </si>
  <si>
    <t>Schönmünzach</t>
  </si>
  <si>
    <t>48.605345</t>
  </si>
  <si>
    <t>8.369354</t>
  </si>
  <si>
    <t>Schönow(Uckermark)</t>
  </si>
  <si>
    <t>53.184946</t>
  </si>
  <si>
    <t>14.153814</t>
  </si>
  <si>
    <t>Schönstedt</t>
  </si>
  <si>
    <t>51.120752</t>
  </si>
  <si>
    <t>10.585823</t>
  </si>
  <si>
    <t>Schönstedt Schule</t>
  </si>
  <si>
    <t>51.119483</t>
  </si>
  <si>
    <t>10.579162</t>
  </si>
  <si>
    <t>Schonungen</t>
  </si>
  <si>
    <t>50.049204</t>
  </si>
  <si>
    <t>10.304913</t>
  </si>
  <si>
    <t>Schönwald(Oberfr)</t>
  </si>
  <si>
    <t>50.199055</t>
  </si>
  <si>
    <t>12.096647</t>
  </si>
  <si>
    <t>Schönwalde(Barnim)</t>
  </si>
  <si>
    <t>52.679793</t>
  </si>
  <si>
    <t>13.432371</t>
  </si>
  <si>
    <t>Schönwalde(Barnim) Kreuzung</t>
  </si>
  <si>
    <t>52.679026</t>
  </si>
  <si>
    <t>13.439898</t>
  </si>
  <si>
    <t>Schönwalde(Barnim) Mühle</t>
  </si>
  <si>
    <t>52.673175</t>
  </si>
  <si>
    <t>13.438746</t>
  </si>
  <si>
    <t>Schönwalde(Spreewald)</t>
  </si>
  <si>
    <t>51.990797</t>
  </si>
  <si>
    <t>13.777723</t>
  </si>
  <si>
    <t>Schopfheim</t>
  </si>
  <si>
    <t>47.647970</t>
  </si>
  <si>
    <t>7.822674</t>
  </si>
  <si>
    <t>Schopfheim West</t>
  </si>
  <si>
    <t>47.645541</t>
  </si>
  <si>
    <t>7.801715</t>
  </si>
  <si>
    <t>Schopfheim-Schlattholz</t>
  </si>
  <si>
    <t>47.653900</t>
  </si>
  <si>
    <t>7.833300</t>
  </si>
  <si>
    <t>Schopfloch(b Freudenstadt)</t>
  </si>
  <si>
    <t>48.453711</t>
  </si>
  <si>
    <t>8.547754</t>
  </si>
  <si>
    <t>Schopp</t>
  </si>
  <si>
    <t>49.358867</t>
  </si>
  <si>
    <t>7.687317</t>
  </si>
  <si>
    <t>Schöppenstedt</t>
  </si>
  <si>
    <t>52.140692</t>
  </si>
  <si>
    <t>10.772047</t>
  </si>
  <si>
    <t>Schorndorf</t>
  </si>
  <si>
    <t>48.807150</t>
  </si>
  <si>
    <t>9.526310</t>
  </si>
  <si>
    <t>Schorndorf-Hammerschlag</t>
  </si>
  <si>
    <t>48.807605</t>
  </si>
  <si>
    <t>9.534566</t>
  </si>
  <si>
    <t>Schortens-Heidmühle</t>
  </si>
  <si>
    <t>53.542158</t>
  </si>
  <si>
    <t>7.946367</t>
  </si>
  <si>
    <t>Schötmar</t>
  </si>
  <si>
    <t>52.069935</t>
  </si>
  <si>
    <t>8.754951</t>
  </si>
  <si>
    <t>Schrezheim</t>
  </si>
  <si>
    <t>48.951125</t>
  </si>
  <si>
    <t>10.117880</t>
  </si>
  <si>
    <t>Schrobenhausen</t>
  </si>
  <si>
    <t>48.565335</t>
  </si>
  <si>
    <t>11.259318</t>
  </si>
  <si>
    <t>Schrozberg</t>
  </si>
  <si>
    <t>49.346916</t>
  </si>
  <si>
    <t>9.974904</t>
  </si>
  <si>
    <t>Schulau SF</t>
  </si>
  <si>
    <t>53.568012</t>
  </si>
  <si>
    <t>9.702433</t>
  </si>
  <si>
    <t>Schülldorf</t>
  </si>
  <si>
    <t>54.298863</t>
  </si>
  <si>
    <t>9.747804</t>
  </si>
  <si>
    <t>Schüptitz</t>
  </si>
  <si>
    <t>50.722761</t>
  </si>
  <si>
    <t>12.029868</t>
  </si>
  <si>
    <t>Schüttorf</t>
  </si>
  <si>
    <t>52.316840</t>
  </si>
  <si>
    <t>7.220610</t>
  </si>
  <si>
    <t>Schutzbach</t>
  </si>
  <si>
    <t>50.758491</t>
  </si>
  <si>
    <t>7.903878</t>
  </si>
  <si>
    <t>Schwaan</t>
  </si>
  <si>
    <t>53.939188</t>
  </si>
  <si>
    <t>12.117894</t>
  </si>
  <si>
    <t>Schwabach</t>
  </si>
  <si>
    <t>49.326195</t>
  </si>
  <si>
    <t>11.035351</t>
  </si>
  <si>
    <t>Schwabach-Limbach</t>
  </si>
  <si>
    <t>49.338214</t>
  </si>
  <si>
    <t>11.044580</t>
  </si>
  <si>
    <t>Schwabhausen(b Dachau)</t>
  </si>
  <si>
    <t>48.300517</t>
  </si>
  <si>
    <t>11.364758</t>
  </si>
  <si>
    <t>Schwäbisch Gmünd</t>
  </si>
  <si>
    <t>48.801011</t>
  </si>
  <si>
    <t>9.787795</t>
  </si>
  <si>
    <t>Schwäbisch Hall</t>
  </si>
  <si>
    <t>49.108210</t>
  </si>
  <si>
    <t>9.733359</t>
  </si>
  <si>
    <t>Schwäbisch Hall-Hessental</t>
  </si>
  <si>
    <t>49.096732</t>
  </si>
  <si>
    <t>9.767373</t>
  </si>
  <si>
    <t>Schwabmünchen</t>
  </si>
  <si>
    <t>48.178688</t>
  </si>
  <si>
    <t>10.768291</t>
  </si>
  <si>
    <t>Schwabsberg</t>
  </si>
  <si>
    <t>48.925190</t>
  </si>
  <si>
    <t>10.138893</t>
  </si>
  <si>
    <t>49.471494</t>
  </si>
  <si>
    <t>11.200442</t>
  </si>
  <si>
    <t>Schwaigern Ost</t>
  </si>
  <si>
    <t>49.140544</t>
  </si>
  <si>
    <t>9.069164</t>
  </si>
  <si>
    <t>Schwaigern(Württ)</t>
  </si>
  <si>
    <t>49.138366</t>
  </si>
  <si>
    <t>9.056440</t>
  </si>
  <si>
    <t>Schwaigern(Württ) West</t>
  </si>
  <si>
    <t>49.138813</t>
  </si>
  <si>
    <t>9.042472</t>
  </si>
  <si>
    <t>Schwaikheim</t>
  </si>
  <si>
    <t>48.868340</t>
  </si>
  <si>
    <t>9.354943</t>
  </si>
  <si>
    <t>Schwalbach(Taunus)Limes</t>
  </si>
  <si>
    <t>50.154354</t>
  </si>
  <si>
    <t>8.527970</t>
  </si>
  <si>
    <t>Schwalbach(Taunus)Nord</t>
  </si>
  <si>
    <t>50.159860</t>
  </si>
  <si>
    <t>8.534777</t>
  </si>
  <si>
    <t>Schwallungen</t>
  </si>
  <si>
    <t>50.689385</t>
  </si>
  <si>
    <t>10.346514</t>
  </si>
  <si>
    <t>Schwalmstadt-Wiera</t>
  </si>
  <si>
    <t>50.881937</t>
  </si>
  <si>
    <t>9.136421</t>
  </si>
  <si>
    <t>Schwandorf</t>
  </si>
  <si>
    <t>49.326380</t>
  </si>
  <si>
    <t>12.103802</t>
  </si>
  <si>
    <t>Schwanheide</t>
  </si>
  <si>
    <t>53.428156</t>
  </si>
  <si>
    <t>10.689993</t>
  </si>
  <si>
    <t>Schwante</t>
  </si>
  <si>
    <t>52.734683</t>
  </si>
  <si>
    <t>13.091733</t>
  </si>
  <si>
    <t>Schwante An der Kirche</t>
  </si>
  <si>
    <t>52.734177</t>
  </si>
  <si>
    <t>13.088306</t>
  </si>
  <si>
    <t>Schwarmstedt</t>
  </si>
  <si>
    <t>52.678880</t>
  </si>
  <si>
    <t>9.624754</t>
  </si>
  <si>
    <t>Schwarzenbach(b Pressath)</t>
  </si>
  <si>
    <t>49.724702</t>
  </si>
  <si>
    <t>11.992901</t>
  </si>
  <si>
    <t>Schwarzenbach(Saale)</t>
  </si>
  <si>
    <t>50.220374</t>
  </si>
  <si>
    <t>11.935887</t>
  </si>
  <si>
    <t>Schwarzenbek</t>
  </si>
  <si>
    <t>53.503832</t>
  </si>
  <si>
    <t>10.484782</t>
  </si>
  <si>
    <t>Schwarzenberg</t>
  </si>
  <si>
    <t>48.598672</t>
  </si>
  <si>
    <t>8.383851</t>
  </si>
  <si>
    <t>Schwarzenberg Hp</t>
  </si>
  <si>
    <t>50.532368</t>
  </si>
  <si>
    <t>12.786451</t>
  </si>
  <si>
    <t>Schwarzenberg(Erzg)</t>
  </si>
  <si>
    <t>50.545119</t>
  </si>
  <si>
    <t>12.786824</t>
  </si>
  <si>
    <t>Schwarzenberg-Neuwelt</t>
  </si>
  <si>
    <t>50.554379</t>
  </si>
  <si>
    <t>12.765726</t>
  </si>
  <si>
    <t>Schwarzenfeld(Opf)</t>
  </si>
  <si>
    <t>49.392751</t>
  </si>
  <si>
    <t>12.130636</t>
  </si>
  <si>
    <t>Schwarzheide Ost</t>
  </si>
  <si>
    <t>51.473649</t>
  </si>
  <si>
    <t>13.890799</t>
  </si>
  <si>
    <t>Schwarzkollm</t>
  </si>
  <si>
    <t>51.443187</t>
  </si>
  <si>
    <t>14.133566</t>
  </si>
  <si>
    <t>Schwedt(Oder)</t>
  </si>
  <si>
    <t>53.063069</t>
  </si>
  <si>
    <t>14.290507</t>
  </si>
  <si>
    <t>Schwedt(Oder)Mitte</t>
  </si>
  <si>
    <t>53.068323</t>
  </si>
  <si>
    <t>14.271588</t>
  </si>
  <si>
    <t>Schweich(DB)</t>
  </si>
  <si>
    <t>49.831062</t>
  </si>
  <si>
    <t>Schweighof</t>
  </si>
  <si>
    <t>50.330473</t>
  </si>
  <si>
    <t>10.801505</t>
  </si>
  <si>
    <t>49.032686</t>
  </si>
  <si>
    <t>7.999224</t>
  </si>
  <si>
    <t>Schweikershain</t>
  </si>
  <si>
    <t>51.037792</t>
  </si>
  <si>
    <t>12.955713</t>
  </si>
  <si>
    <t>Schweinfurt Hbf</t>
  </si>
  <si>
    <t>50.035313</t>
  </si>
  <si>
    <t>10.212919</t>
  </si>
  <si>
    <t>Schweinfurt Mitte</t>
  </si>
  <si>
    <t>50.040173</t>
  </si>
  <si>
    <t>10.228786</t>
  </si>
  <si>
    <t>Schweinfurt Stadt</t>
  </si>
  <si>
    <t>50.046808</t>
  </si>
  <si>
    <t>10.244297</t>
  </si>
  <si>
    <t>Schweinsburg-Culten</t>
  </si>
  <si>
    <t>50.787140</t>
  </si>
  <si>
    <t>12.369588</t>
  </si>
  <si>
    <t>Schweinsdorf</t>
  </si>
  <si>
    <t>49.400599</t>
  </si>
  <si>
    <t>10.226984</t>
  </si>
  <si>
    <t>Schwelm</t>
  </si>
  <si>
    <t>51.290526</t>
  </si>
  <si>
    <t>7.289681</t>
  </si>
  <si>
    <t>Schwelm West</t>
  </si>
  <si>
    <t>51.285646</t>
  </si>
  <si>
    <t>7.269619</t>
  </si>
  <si>
    <t>Schwenningen(Bay)</t>
  </si>
  <si>
    <t>48.656460</t>
  </si>
  <si>
    <t>10.642895</t>
  </si>
  <si>
    <t>Schwenningen(Neckar)</t>
  </si>
  <si>
    <t>48.059770</t>
  </si>
  <si>
    <t>8.535862</t>
  </si>
  <si>
    <t>Schwenzin</t>
  </si>
  <si>
    <t>53.536187</t>
  </si>
  <si>
    <t>12.612018</t>
  </si>
  <si>
    <t>Schweppenburg-Heilbrunnen</t>
  </si>
  <si>
    <t>50.466037</t>
  </si>
  <si>
    <t>7.309218</t>
  </si>
  <si>
    <t>Schwerin Hbf</t>
  </si>
  <si>
    <t>53.634739</t>
  </si>
  <si>
    <t>11.407455</t>
  </si>
  <si>
    <t>Schwerin Industriepark</t>
  </si>
  <si>
    <t>53.575264</t>
  </si>
  <si>
    <t>11.431516</t>
  </si>
  <si>
    <t>Schwerin Mitte</t>
  </si>
  <si>
    <t>53.626911</t>
  </si>
  <si>
    <t>11.405334</t>
  </si>
  <si>
    <t>Schwerin Süd</t>
  </si>
  <si>
    <t>53.574787</t>
  </si>
  <si>
    <t>11.377005</t>
  </si>
  <si>
    <t>Schwerin-Görries</t>
  </si>
  <si>
    <t>53.609373</t>
  </si>
  <si>
    <t>11.384935</t>
  </si>
  <si>
    <t>Schwerin-Lankow</t>
  </si>
  <si>
    <t>53.656656</t>
  </si>
  <si>
    <t>11.369536</t>
  </si>
  <si>
    <t>Schwerin-Margaretenhof</t>
  </si>
  <si>
    <t>53.658552</t>
  </si>
  <si>
    <t>11.360973</t>
  </si>
  <si>
    <t>Schwerin-Warnitz</t>
  </si>
  <si>
    <t>53.661700</t>
  </si>
  <si>
    <t>11.345565</t>
  </si>
  <si>
    <t>Schwerin-Wüstmark</t>
  </si>
  <si>
    <t>53.584045</t>
  </si>
  <si>
    <t>11.399627</t>
  </si>
  <si>
    <t>Schwerte(Ruhr)</t>
  </si>
  <si>
    <t>51.442281</t>
  </si>
  <si>
    <t>7.558960</t>
  </si>
  <si>
    <t>Schwerte-Ergste</t>
  </si>
  <si>
    <t>51.424705</t>
  </si>
  <si>
    <t>7.577534</t>
  </si>
  <si>
    <t>Schweta Bf</t>
  </si>
  <si>
    <t>51.240770</t>
  </si>
  <si>
    <t>13.078225</t>
  </si>
  <si>
    <t>Schwetzingen</t>
  </si>
  <si>
    <t>49.383434</t>
  </si>
  <si>
    <t>8.578679</t>
  </si>
  <si>
    <t>Schwetzingen Nordstadt</t>
  </si>
  <si>
    <t>49.393600</t>
  </si>
  <si>
    <t>8.572670</t>
  </si>
  <si>
    <t>Schwetzingen-Hirschacker</t>
  </si>
  <si>
    <t>49.406800</t>
  </si>
  <si>
    <t>8.556340</t>
  </si>
  <si>
    <t>Schwieberdingen</t>
  </si>
  <si>
    <t>48.870579</t>
  </si>
  <si>
    <t>9.071396</t>
  </si>
  <si>
    <t>Schwindebeck</t>
  </si>
  <si>
    <t>53.122716</t>
  </si>
  <si>
    <t>10.117192</t>
  </si>
  <si>
    <t>Schwindegg</t>
  </si>
  <si>
    <t>48.273193</t>
  </si>
  <si>
    <t>12.249699</t>
  </si>
  <si>
    <t>Schwörstadt</t>
  </si>
  <si>
    <t>47.591019</t>
  </si>
  <si>
    <t>7.870328</t>
  </si>
  <si>
    <t>Sebnitz(Gr)</t>
  </si>
  <si>
    <t>Sebnitz(Sachs)</t>
  </si>
  <si>
    <t>50.975835</t>
  </si>
  <si>
    <t>14.272168</t>
  </si>
  <si>
    <t>Sechshelden</t>
  </si>
  <si>
    <t>50.748969</t>
  </si>
  <si>
    <t>8.252763</t>
  </si>
  <si>
    <t>Sechtem</t>
  </si>
  <si>
    <t>50.795711</t>
  </si>
  <si>
    <t>6.957454</t>
  </si>
  <si>
    <t>Seckach</t>
  </si>
  <si>
    <t>49.441157</t>
  </si>
  <si>
    <t>9.338469</t>
  </si>
  <si>
    <t>Seddin</t>
  </si>
  <si>
    <t>52.291840</t>
  </si>
  <si>
    <t>12.985452</t>
  </si>
  <si>
    <t>Sedlitz Ost</t>
  </si>
  <si>
    <t>51.553101</t>
  </si>
  <si>
    <t>14.055252</t>
  </si>
  <si>
    <t>Seebach(b Mühlhausen) Ort</t>
  </si>
  <si>
    <t>51.164409</t>
  </si>
  <si>
    <t>10.514281</t>
  </si>
  <si>
    <t>Seebach(Mühlhausen)</t>
  </si>
  <si>
    <t>51.170012</t>
  </si>
  <si>
    <t>10.521193</t>
  </si>
  <si>
    <t>Seebad Ahlbeck</t>
  </si>
  <si>
    <t>53.935478</t>
  </si>
  <si>
    <t>14.187859</t>
  </si>
  <si>
    <t>Seebad Heringsdorf</t>
  </si>
  <si>
    <t>53.949836</t>
  </si>
  <si>
    <t>14.169586</t>
  </si>
  <si>
    <t>Seebad Lubmin</t>
  </si>
  <si>
    <t>54.133315</t>
  </si>
  <si>
    <t>13.614807</t>
  </si>
  <si>
    <t>Seebergen</t>
  </si>
  <si>
    <t>50.929270</t>
  </si>
  <si>
    <t>10.792702</t>
  </si>
  <si>
    <t>47.803516</t>
  </si>
  <si>
    <t>8.191115</t>
  </si>
  <si>
    <t>Seefeld(Mark)</t>
  </si>
  <si>
    <t>52.618294</t>
  </si>
  <si>
    <t>13.675987</t>
  </si>
  <si>
    <t>Seefeld(Mark) Dorf</t>
  </si>
  <si>
    <t>52.622300</t>
  </si>
  <si>
    <t>13.676951</t>
  </si>
  <si>
    <t>Seefeld-Hechendorf</t>
  </si>
  <si>
    <t>48.041370</t>
  </si>
  <si>
    <t>11.198730</t>
  </si>
  <si>
    <t>Seeg</t>
  </si>
  <si>
    <t>47.655267</t>
  </si>
  <si>
    <t>10.613981</t>
  </si>
  <si>
    <t>Seegefeld</t>
  </si>
  <si>
    <t>52.552480</t>
  </si>
  <si>
    <t>13.116810</t>
  </si>
  <si>
    <t>Seehausen(Altm)</t>
  </si>
  <si>
    <t>52.885643</t>
  </si>
  <si>
    <t>11.743576</t>
  </si>
  <si>
    <t>Seehausen(Uckermark)</t>
  </si>
  <si>
    <t>53.221367</t>
  </si>
  <si>
    <t>13.884201</t>
  </si>
  <si>
    <t>Seeleiten-Berggeist</t>
  </si>
  <si>
    <t>47.670984</t>
  </si>
  <si>
    <t>11.165830</t>
  </si>
  <si>
    <t>Seelow(Mark)</t>
  </si>
  <si>
    <t>52.538198</t>
  </si>
  <si>
    <t>14.394413</t>
  </si>
  <si>
    <t>Seelow-Gusow</t>
  </si>
  <si>
    <t>52.559303</t>
  </si>
  <si>
    <t>14.351462</t>
  </si>
  <si>
    <t>Seelvitz</t>
  </si>
  <si>
    <t>54.367611</t>
  </si>
  <si>
    <t>13.561281</t>
  </si>
  <si>
    <t>Seelze</t>
  </si>
  <si>
    <t>52.391675</t>
  </si>
  <si>
    <t>9.594314</t>
  </si>
  <si>
    <t>Seerhausen</t>
  </si>
  <si>
    <t>51.270271</t>
  </si>
  <si>
    <t>13.240079</t>
  </si>
  <si>
    <t>Seesen</t>
  </si>
  <si>
    <t>51.887074</t>
  </si>
  <si>
    <t>10.173571</t>
  </si>
  <si>
    <t>Seeshaupt</t>
  </si>
  <si>
    <t>47.822783</t>
  </si>
  <si>
    <t>11.287030</t>
  </si>
  <si>
    <t>Sehlem(Kr Wittlich)</t>
  </si>
  <si>
    <t>49.906959</t>
  </si>
  <si>
    <t>6.823421</t>
  </si>
  <si>
    <t>Sehma</t>
  </si>
  <si>
    <t>50.535453</t>
  </si>
  <si>
    <t>12.993805</t>
  </si>
  <si>
    <t>Sehnde</t>
  </si>
  <si>
    <t>52.318075</t>
  </si>
  <si>
    <t>9.962528</t>
  </si>
  <si>
    <t>Seiboldsdorf</t>
  </si>
  <si>
    <t>47.857159</t>
  </si>
  <si>
    <t>12.636777</t>
  </si>
  <si>
    <t>Seifersdorf</t>
  </si>
  <si>
    <t>50.939967</t>
  </si>
  <si>
    <t>13.647601</t>
  </si>
  <si>
    <t>Seifhennersdorf</t>
  </si>
  <si>
    <t>50.935798</t>
  </si>
  <si>
    <t>14.613706</t>
  </si>
  <si>
    <t>Seitschen</t>
  </si>
  <si>
    <t>51.153767</t>
  </si>
  <si>
    <t>14.325332</t>
  </si>
  <si>
    <t>Selb Nord</t>
  </si>
  <si>
    <t>50.178915</t>
  </si>
  <si>
    <t>12.134605</t>
  </si>
  <si>
    <t>Selb Stadt</t>
  </si>
  <si>
    <t>50.174216</t>
  </si>
  <si>
    <t>12.126305</t>
  </si>
  <si>
    <t>Selbelang</t>
  </si>
  <si>
    <t>52.633050</t>
  </si>
  <si>
    <t>12.714262</t>
  </si>
  <si>
    <t>Selbitz</t>
  </si>
  <si>
    <t>50.316476</t>
  </si>
  <si>
    <t>11.748405</t>
  </si>
  <si>
    <t>Selb-Plößberg</t>
  </si>
  <si>
    <t>50.188948</t>
  </si>
  <si>
    <t>12.119884</t>
  </si>
  <si>
    <t>Selb-Plößberg(Gr)</t>
  </si>
  <si>
    <t>Selhausen</t>
  </si>
  <si>
    <t>50.865695</t>
  </si>
  <si>
    <t>6.439356</t>
  </si>
  <si>
    <t>Seligenstadt Mainschleifenbahn</t>
  </si>
  <si>
    <t>49.857008</t>
  </si>
  <si>
    <t>10.102030</t>
  </si>
  <si>
    <t>Seligenstadt(Hess)</t>
  </si>
  <si>
    <t>50.041460</t>
  </si>
  <si>
    <t>8.967472</t>
  </si>
  <si>
    <t>Sellin(Rügen) Ost</t>
  </si>
  <si>
    <t>54.371344</t>
  </si>
  <si>
    <t>13.697662</t>
  </si>
  <si>
    <t>Sellin(Rügen) West</t>
  </si>
  <si>
    <t>54.375892</t>
  </si>
  <si>
    <t>13.680913</t>
  </si>
  <si>
    <t>Sellstedt</t>
  </si>
  <si>
    <t>53.515529</t>
  </si>
  <si>
    <t>8.723057</t>
  </si>
  <si>
    <t>Selm</t>
  </si>
  <si>
    <t>51.706644</t>
  </si>
  <si>
    <t>7.453406</t>
  </si>
  <si>
    <t>Selm-Beifang</t>
  </si>
  <si>
    <t>51.693672</t>
  </si>
  <si>
    <t>7.454609</t>
  </si>
  <si>
    <t>Seltendorf</t>
  </si>
  <si>
    <t>50.386897</t>
  </si>
  <si>
    <t>11.064095</t>
  </si>
  <si>
    <t>Senden</t>
  </si>
  <si>
    <t>48.324016</t>
  </si>
  <si>
    <t>10.050502</t>
  </si>
  <si>
    <t>Senden-Bösensell</t>
  </si>
  <si>
    <t>51.907030</t>
  </si>
  <si>
    <t>7.487687</t>
  </si>
  <si>
    <t>Senftenberg</t>
  </si>
  <si>
    <t>51.527349</t>
  </si>
  <si>
    <t>14.004216</t>
  </si>
  <si>
    <t>Sennfeld</t>
  </si>
  <si>
    <t>49.378762</t>
  </si>
  <si>
    <t>9.380518</t>
  </si>
  <si>
    <t>Serams</t>
  </si>
  <si>
    <t>54.377976</t>
  </si>
  <si>
    <t>13.582128</t>
  </si>
  <si>
    <t>Serrig</t>
  </si>
  <si>
    <t>49.577132</t>
  </si>
  <si>
    <t>6.569981</t>
  </si>
  <si>
    <t>Sersheim</t>
  </si>
  <si>
    <t>48.958916</t>
  </si>
  <si>
    <t>9.018508</t>
  </si>
  <si>
    <t>Seubersdorf</t>
  </si>
  <si>
    <t>49.167648</t>
  </si>
  <si>
    <t>11.628123</t>
  </si>
  <si>
    <t>Seulberg</t>
  </si>
  <si>
    <t>50.241906</t>
  </si>
  <si>
    <t>8.646005</t>
  </si>
  <si>
    <t>Seulbitz</t>
  </si>
  <si>
    <t>50.209820</t>
  </si>
  <si>
    <t>11.868771</t>
  </si>
  <si>
    <t>Seybothenreuth</t>
  </si>
  <si>
    <t>49.894417</t>
  </si>
  <si>
    <t>11.705542</t>
  </si>
  <si>
    <t>Siebeldingen-Birkweiler</t>
  </si>
  <si>
    <t>49.209270</t>
  </si>
  <si>
    <t>8.042565</t>
  </si>
  <si>
    <t>Siedenlangenbeck</t>
  </si>
  <si>
    <t>52.754280</t>
  </si>
  <si>
    <t>11.080807</t>
  </si>
  <si>
    <t>Siedlinghausen</t>
  </si>
  <si>
    <t>51.257761</t>
  </si>
  <si>
    <t>8.473835</t>
  </si>
  <si>
    <t>Siegburg Bahnhof</t>
  </si>
  <si>
    <t>Siegburg/Bonn</t>
  </si>
  <si>
    <t>50.793915</t>
  </si>
  <si>
    <t>7.203026</t>
  </si>
  <si>
    <t>Siegelsbach</t>
  </si>
  <si>
    <t>49.271227</t>
  </si>
  <si>
    <t>9.087386</t>
  </si>
  <si>
    <t>Siegelsdorf</t>
  </si>
  <si>
    <t>49.506350</t>
  </si>
  <si>
    <t>10.875519</t>
  </si>
  <si>
    <t>Siegen Hbf</t>
  </si>
  <si>
    <t>50.875939</t>
  </si>
  <si>
    <t>8.016508</t>
  </si>
  <si>
    <t>Siegen-Geisweid</t>
  </si>
  <si>
    <t>50.915581</t>
  </si>
  <si>
    <t>8.014352</t>
  </si>
  <si>
    <t>Siegen-Weidenau</t>
  </si>
  <si>
    <t>50.895966</t>
  </si>
  <si>
    <t>8.029842</t>
  </si>
  <si>
    <t>Siegsdorf</t>
  </si>
  <si>
    <t>47.821827</t>
  </si>
  <si>
    <t>12.646006</t>
  </si>
  <si>
    <t>Sierksdorf</t>
  </si>
  <si>
    <t>54.068523</t>
  </si>
  <si>
    <t>10.769108</t>
  </si>
  <si>
    <t>Siersburg</t>
  </si>
  <si>
    <t>49.361696</t>
  </si>
  <si>
    <t>6.665362</t>
  </si>
  <si>
    <t>Siershahn</t>
  </si>
  <si>
    <t>50.485938</t>
  </si>
  <si>
    <t>7.771312</t>
  </si>
  <si>
    <t>Sieversdorf(Neust/D)</t>
  </si>
  <si>
    <t>52.818929</t>
  </si>
  <si>
    <t>12.397722</t>
  </si>
  <si>
    <t>Siglingen</t>
  </si>
  <si>
    <t>49.297435</t>
  </si>
  <si>
    <t>9.305336</t>
  </si>
  <si>
    <t>Sigmaringen</t>
  </si>
  <si>
    <t>48.086984</t>
  </si>
  <si>
    <t>9.221851</t>
  </si>
  <si>
    <t>Sigmaringendorf</t>
  </si>
  <si>
    <t>48.068899</t>
  </si>
  <si>
    <t>9.260724</t>
  </si>
  <si>
    <t>Silbach</t>
  </si>
  <si>
    <t>51.223670</t>
  </si>
  <si>
    <t>8.481124</t>
  </si>
  <si>
    <t>Silberhausen</t>
  </si>
  <si>
    <t>51.319425</t>
  </si>
  <si>
    <t>10.342410</t>
  </si>
  <si>
    <t>Silberhütte NE</t>
  </si>
  <si>
    <t>51.629092</t>
  </si>
  <si>
    <t>11.091686</t>
  </si>
  <si>
    <t>Silberstraße</t>
  </si>
  <si>
    <t>50.661632</t>
  </si>
  <si>
    <t>12.549053</t>
  </si>
  <si>
    <t>Simbach(Inn)</t>
  </si>
  <si>
    <t>48.262726</t>
  </si>
  <si>
    <t>13.023012</t>
  </si>
  <si>
    <t>49.598459</t>
  </si>
  <si>
    <t>11.341671</t>
  </si>
  <si>
    <t>Simmern(Hunsrück)</t>
  </si>
  <si>
    <t>49.981764</t>
  </si>
  <si>
    <t>7.526400</t>
  </si>
  <si>
    <t>Simtshausen</t>
  </si>
  <si>
    <t>50.941728</t>
  </si>
  <si>
    <t>8.704144</t>
  </si>
  <si>
    <t>Sindelfingen</t>
  </si>
  <si>
    <t>48.703891</t>
  </si>
  <si>
    <t>8.999075</t>
  </si>
  <si>
    <t>Sindorf</t>
  </si>
  <si>
    <t>50.903707</t>
  </si>
  <si>
    <t>6.681106</t>
  </si>
  <si>
    <t>Singen Industriegebiet</t>
  </si>
  <si>
    <t>47.759450</t>
  </si>
  <si>
    <t>8.872131</t>
  </si>
  <si>
    <t>Singen Landesgartenschau</t>
  </si>
  <si>
    <t>47.760941</t>
  </si>
  <si>
    <t>8.827112</t>
  </si>
  <si>
    <t>Singen(Hohentwiel)</t>
  </si>
  <si>
    <t>47.758880</t>
  </si>
  <si>
    <t>8.841269</t>
  </si>
  <si>
    <t>Singen(Thür)</t>
  </si>
  <si>
    <t>50.727804</t>
  </si>
  <si>
    <t>11.067263</t>
  </si>
  <si>
    <t>Singlis</t>
  </si>
  <si>
    <t>51.058605</t>
  </si>
  <si>
    <t>9.323773</t>
  </si>
  <si>
    <t>Sinn</t>
  </si>
  <si>
    <t>50.649772</t>
  </si>
  <si>
    <t>8.325126</t>
  </si>
  <si>
    <t>Sinsheim Museum/Arena</t>
  </si>
  <si>
    <t>49.241373</t>
  </si>
  <si>
    <t>8.899843</t>
  </si>
  <si>
    <t>Sinsheim(Elsenz) Hbf</t>
  </si>
  <si>
    <t>49.250353</t>
  </si>
  <si>
    <t>8.875100</t>
  </si>
  <si>
    <t>Sinzheim</t>
  </si>
  <si>
    <t>48.759880</t>
  </si>
  <si>
    <t>8.158429</t>
  </si>
  <si>
    <t>Sinzheim Nord</t>
  </si>
  <si>
    <t>48.770819</t>
  </si>
  <si>
    <t>8.169792</t>
  </si>
  <si>
    <t>Sinzig(Rhein)</t>
  </si>
  <si>
    <t>50.546846</t>
  </si>
  <si>
    <t>7.258224</t>
  </si>
  <si>
    <t>Sinzing</t>
  </si>
  <si>
    <t>48.990796</t>
  </si>
  <si>
    <t>12.037653</t>
  </si>
  <si>
    <t>Sipplingen</t>
  </si>
  <si>
    <t>47.795587</t>
  </si>
  <si>
    <t>9.095524</t>
  </si>
  <si>
    <t>Sitzendorf-Unterweißbach</t>
  </si>
  <si>
    <t>50.627313</t>
  </si>
  <si>
    <t>11.155399</t>
  </si>
  <si>
    <t>Soest</t>
  </si>
  <si>
    <t>51.578419</t>
  </si>
  <si>
    <t>8.104589</t>
  </si>
  <si>
    <t>Sohl</t>
  </si>
  <si>
    <t>50.275655</t>
  </si>
  <si>
    <t>12.282436</t>
  </si>
  <si>
    <t>Sohland</t>
  </si>
  <si>
    <t>51.053738</t>
  </si>
  <si>
    <t>14.431926</t>
  </si>
  <si>
    <t>Solingen Grünewald</t>
  </si>
  <si>
    <t>51.163899</t>
  </si>
  <si>
    <t>7.079004</t>
  </si>
  <si>
    <t>Solingen Hbf</t>
  </si>
  <si>
    <t>51.160766</t>
  </si>
  <si>
    <t>7.004187</t>
  </si>
  <si>
    <t>Solingen Mitte</t>
  </si>
  <si>
    <t>51.165740</t>
  </si>
  <si>
    <t>7.088716</t>
  </si>
  <si>
    <t>Solingen Schule Krahenhöhe</t>
  </si>
  <si>
    <t>51.161821</t>
  </si>
  <si>
    <t>7.109051</t>
  </si>
  <si>
    <t>Solingen Vogelpark</t>
  </si>
  <si>
    <t>51.166711</t>
  </si>
  <si>
    <t>6.992398</t>
  </si>
  <si>
    <t>Söllingen Kapellenstraße</t>
  </si>
  <si>
    <t>48.983956</t>
  </si>
  <si>
    <t>8.549618</t>
  </si>
  <si>
    <t>Söllingen Reetzstr.</t>
  </si>
  <si>
    <t>48.991053</t>
  </si>
  <si>
    <t>8.540793</t>
  </si>
  <si>
    <t>Söllingen(b Karlsr)</t>
  </si>
  <si>
    <t>48.987754</t>
  </si>
  <si>
    <t>8.543543</t>
  </si>
  <si>
    <t>Sollstedt</t>
  </si>
  <si>
    <t>51.413673</t>
  </si>
  <si>
    <t>10.529848</t>
  </si>
  <si>
    <t>Solms</t>
  </si>
  <si>
    <t>50.545682</t>
  </si>
  <si>
    <t>8.406585</t>
  </si>
  <si>
    <t>Solnhofen</t>
  </si>
  <si>
    <t>48.891987</t>
  </si>
  <si>
    <t>10.993983</t>
  </si>
  <si>
    <t>Solpke</t>
  </si>
  <si>
    <t>52.500416</t>
  </si>
  <si>
    <t>11.294178</t>
  </si>
  <si>
    <t>Soltau Nord</t>
  </si>
  <si>
    <t>53.001364</t>
  </si>
  <si>
    <t>9.861013</t>
  </si>
  <si>
    <t>Soltau(Han)</t>
  </si>
  <si>
    <t>52.983017</t>
  </si>
  <si>
    <t>9.831109</t>
  </si>
  <si>
    <t>Soltendieck</t>
  </si>
  <si>
    <t>52.874209</t>
  </si>
  <si>
    <t>10.761416</t>
  </si>
  <si>
    <t>Soltendieck Siedlung</t>
  </si>
  <si>
    <t>52.874907</t>
  </si>
  <si>
    <t>10.753876</t>
  </si>
  <si>
    <t>Sömmerda</t>
  </si>
  <si>
    <t>51.164954</t>
  </si>
  <si>
    <t>11.127584</t>
  </si>
  <si>
    <t>Sondern</t>
  </si>
  <si>
    <t>51.073085</t>
  </si>
  <si>
    <t>7.842578</t>
  </si>
  <si>
    <t>Sondernach</t>
  </si>
  <si>
    <t>48.367640</t>
  </si>
  <si>
    <t>9.620440</t>
  </si>
  <si>
    <t>Sondernheim</t>
  </si>
  <si>
    <t>49.194981</t>
  </si>
  <si>
    <t>8.360272</t>
  </si>
  <si>
    <t>Sondershausen</t>
  </si>
  <si>
    <t>51.370054</t>
  </si>
  <si>
    <t>10.849193</t>
  </si>
  <si>
    <t>Sondershausen-Jecha</t>
  </si>
  <si>
    <t>51.362163</t>
  </si>
  <si>
    <t>10.895364</t>
  </si>
  <si>
    <t>50.355078</t>
  </si>
  <si>
    <t>11.168848</t>
  </si>
  <si>
    <t>Sonneberg(Thür)Nord</t>
  </si>
  <si>
    <t>50.365478</t>
  </si>
  <si>
    <t>11.207550</t>
  </si>
  <si>
    <t>Sonneberg(Thür)Ost</t>
  </si>
  <si>
    <t>50.352252</t>
  </si>
  <si>
    <t>11.201293</t>
  </si>
  <si>
    <t>Sonneberg(Thür)West</t>
  </si>
  <si>
    <t>50.368031</t>
  </si>
  <si>
    <t>11.159071</t>
  </si>
  <si>
    <t>Sontheim(Schwab)</t>
  </si>
  <si>
    <t>48.011810</t>
  </si>
  <si>
    <t>10.346939</t>
  </si>
  <si>
    <t>Sontheim-Brenz</t>
  </si>
  <si>
    <t>48.559324</t>
  </si>
  <si>
    <t>10.284863</t>
  </si>
  <si>
    <t>Sonthofen</t>
  </si>
  <si>
    <t>47.513284</t>
  </si>
  <si>
    <t>10.272093</t>
  </si>
  <si>
    <t>Sontra</t>
  </si>
  <si>
    <t>51.072153</t>
  </si>
  <si>
    <t>9.930934</t>
  </si>
  <si>
    <t>Sontra Breitwiese</t>
  </si>
  <si>
    <t>51.071000</t>
  </si>
  <si>
    <t>9.932960</t>
  </si>
  <si>
    <t>Sophienhof</t>
  </si>
  <si>
    <t>51.641116</t>
  </si>
  <si>
    <t>10.789416</t>
  </si>
  <si>
    <t>Sorge</t>
  </si>
  <si>
    <t>51.693414</t>
  </si>
  <si>
    <t>10.697347</t>
  </si>
  <si>
    <t>Sörup</t>
  </si>
  <si>
    <t>54.716662</t>
  </si>
  <si>
    <t>9.669912</t>
  </si>
  <si>
    <t>Sottrum</t>
  </si>
  <si>
    <t>53.101242</t>
  </si>
  <si>
    <t>9.250030</t>
  </si>
  <si>
    <t>Soyen</t>
  </si>
  <si>
    <t>48.108085</t>
  </si>
  <si>
    <t>12.209744</t>
  </si>
  <si>
    <t>Spaichingen</t>
  </si>
  <si>
    <t>48.068987</t>
  </si>
  <si>
    <t>8.740147</t>
  </si>
  <si>
    <t>Spaichingen Mitte</t>
  </si>
  <si>
    <t>48.078502</t>
  </si>
  <si>
    <t>8.730425</t>
  </si>
  <si>
    <t>Sparrieshoop</t>
  </si>
  <si>
    <t>53.781294</t>
  </si>
  <si>
    <t>9.685207</t>
  </si>
  <si>
    <t>Spay</t>
  </si>
  <si>
    <t>50.255544</t>
  </si>
  <si>
    <t>7.645473</t>
  </si>
  <si>
    <t>Spay Alter Posthof</t>
  </si>
  <si>
    <t>50.253086</t>
  </si>
  <si>
    <t>7.646262</t>
  </si>
  <si>
    <t>Spechtritz</t>
  </si>
  <si>
    <t>50.952635</t>
  </si>
  <si>
    <t>13.638817</t>
  </si>
  <si>
    <t>Speele</t>
  </si>
  <si>
    <t>51.377458</t>
  </si>
  <si>
    <t>9.563559</t>
  </si>
  <si>
    <t>Speicher</t>
  </si>
  <si>
    <t>49.929184</t>
  </si>
  <si>
    <t>6.615911</t>
  </si>
  <si>
    <t>Speikern</t>
  </si>
  <si>
    <t>49.528639</t>
  </si>
  <si>
    <t>11.336992</t>
  </si>
  <si>
    <t>Speyer Nord-West</t>
  </si>
  <si>
    <t>49.333592</t>
  </si>
  <si>
    <t>8.419263</t>
  </si>
  <si>
    <t>Spich</t>
  </si>
  <si>
    <t>50.826727</t>
  </si>
  <si>
    <t>7.114916</t>
  </si>
  <si>
    <t>Spiegelau</t>
  </si>
  <si>
    <t>48.917723</t>
  </si>
  <si>
    <t>13.359260</t>
  </si>
  <si>
    <t>Spiekeroog</t>
  </si>
  <si>
    <t>53.763422</t>
  </si>
  <si>
    <t>7.693891</t>
  </si>
  <si>
    <t>Spielberg</t>
  </si>
  <si>
    <t>48.897652</t>
  </si>
  <si>
    <t>8.474626</t>
  </si>
  <si>
    <t>Sponholz</t>
  </si>
  <si>
    <t>53.563854</t>
  </si>
  <si>
    <t>13.366401</t>
  </si>
  <si>
    <t>Sponholz Ort</t>
  </si>
  <si>
    <t>53.552532</t>
  </si>
  <si>
    <t>13.365605</t>
  </si>
  <si>
    <t>Spornitz</t>
  </si>
  <si>
    <t>53.412351</t>
  </si>
  <si>
    <t>11.710976</t>
  </si>
  <si>
    <t>Spremberg</t>
  </si>
  <si>
    <t>51.574757</t>
  </si>
  <si>
    <t>14.397498</t>
  </si>
  <si>
    <t>Sprendlingen(Rheinhess)</t>
  </si>
  <si>
    <t>49.858947</t>
  </si>
  <si>
    <t>7.981795</t>
  </si>
  <si>
    <t>Springe</t>
  </si>
  <si>
    <t>52.215150</t>
  </si>
  <si>
    <t>9.556238</t>
  </si>
  <si>
    <t>Sprötze</t>
  </si>
  <si>
    <t>53.309429</t>
  </si>
  <si>
    <t>9.812245</t>
  </si>
  <si>
    <t>St Alban</t>
  </si>
  <si>
    <t>47.964133</t>
  </si>
  <si>
    <t>11.105359</t>
  </si>
  <si>
    <t>St Augustin Kloster</t>
  </si>
  <si>
    <t>50.773797</t>
  </si>
  <si>
    <t>7.184995</t>
  </si>
  <si>
    <t>St Augustin Ort</t>
  </si>
  <si>
    <t>50.770262</t>
  </si>
  <si>
    <t>7.180421</t>
  </si>
  <si>
    <t>St Augustin-Mülldorf</t>
  </si>
  <si>
    <t>50.784734</t>
  </si>
  <si>
    <t>7.193457</t>
  </si>
  <si>
    <t>St Egidien</t>
  </si>
  <si>
    <t>50.789568</t>
  </si>
  <si>
    <t>12.622556</t>
  </si>
  <si>
    <t>St Georgen(Schwarzw)</t>
  </si>
  <si>
    <t>48.123813</t>
  </si>
  <si>
    <t>8.341955</t>
  </si>
  <si>
    <t>St Goar</t>
  </si>
  <si>
    <t>50.150155</t>
  </si>
  <si>
    <t>7.714587</t>
  </si>
  <si>
    <t>St Goar KD</t>
  </si>
  <si>
    <t>St Goarshausen KD</t>
  </si>
  <si>
    <t>St Ilgen-Sandhausen</t>
  </si>
  <si>
    <t>49.341268</t>
  </si>
  <si>
    <t>8.668715</t>
  </si>
  <si>
    <t>St Ingbert</t>
  </si>
  <si>
    <t>49.274763</t>
  </si>
  <si>
    <t>7.110814</t>
  </si>
  <si>
    <t>St Koloman</t>
  </si>
  <si>
    <t>48.243747</t>
  </si>
  <si>
    <t>11.882965</t>
  </si>
  <si>
    <t>St Mang</t>
  </si>
  <si>
    <t>47.708899</t>
  </si>
  <si>
    <t>10.325539</t>
  </si>
  <si>
    <t>St Michaelisdonn</t>
  </si>
  <si>
    <t>53.989620</t>
  </si>
  <si>
    <t>9.118006</t>
  </si>
  <si>
    <t>St Ottilien</t>
  </si>
  <si>
    <t>48.094544</t>
  </si>
  <si>
    <t>11.048390</t>
  </si>
  <si>
    <t>St Thomas</t>
  </si>
  <si>
    <t>50.069788</t>
  </si>
  <si>
    <t>6.601076</t>
  </si>
  <si>
    <t>St Wendel</t>
  </si>
  <si>
    <t>49.466952</t>
  </si>
  <si>
    <t>7.165293</t>
  </si>
  <si>
    <t>St. Goar Fähre</t>
  </si>
  <si>
    <t>50.149857</t>
  </si>
  <si>
    <t>7.717773</t>
  </si>
  <si>
    <t>Stade</t>
  </si>
  <si>
    <t>53.596143</t>
  </si>
  <si>
    <t>9.477008</t>
  </si>
  <si>
    <t>Stadt Wehlen Karl-Marx-Platz</t>
  </si>
  <si>
    <t>50.956694</t>
  </si>
  <si>
    <t>14.032634</t>
  </si>
  <si>
    <t>Stadt Wehlen(Sachs)</t>
  </si>
  <si>
    <t>50.953718</t>
  </si>
  <si>
    <t>14.032242</t>
  </si>
  <si>
    <t>Stadtallendorf</t>
  </si>
  <si>
    <t>50.825208</t>
  </si>
  <si>
    <t>9.015296</t>
  </si>
  <si>
    <t>Stadthagen</t>
  </si>
  <si>
    <t>52.332837</t>
  </si>
  <si>
    <t>9.189426</t>
  </si>
  <si>
    <t>Stadtilm</t>
  </si>
  <si>
    <t>50.766956</t>
  </si>
  <si>
    <t>11.070817</t>
  </si>
  <si>
    <t>Stadtmitte, Hessisch Lichtenau</t>
  </si>
  <si>
    <t>51.198841</t>
  </si>
  <si>
    <t>9.721120</t>
  </si>
  <si>
    <t>Stadtoldendorf</t>
  </si>
  <si>
    <t>51.881002</t>
  </si>
  <si>
    <t>9.620519</t>
  </si>
  <si>
    <t>Stadtprozelten</t>
  </si>
  <si>
    <t>49.783595</t>
  </si>
  <si>
    <t>9.410979</t>
  </si>
  <si>
    <t>Stadtroda</t>
  </si>
  <si>
    <t>50.868216</t>
  </si>
  <si>
    <t>11.722792</t>
  </si>
  <si>
    <t>Staffel</t>
  </si>
  <si>
    <t>50.399512</t>
  </si>
  <si>
    <t>8.046017</t>
  </si>
  <si>
    <t>Staffel Ost</t>
  </si>
  <si>
    <t>50.400117</t>
  </si>
  <si>
    <t>8.047587</t>
  </si>
  <si>
    <t>Stahringen</t>
  </si>
  <si>
    <t>47.787663</t>
  </si>
  <si>
    <t>8.976275</t>
  </si>
  <si>
    <t>Stambach</t>
  </si>
  <si>
    <t>49.239171</t>
  </si>
  <si>
    <t>7.456623</t>
  </si>
  <si>
    <t>Stammbach</t>
  </si>
  <si>
    <t>50.154633</t>
  </si>
  <si>
    <t>11.704894</t>
  </si>
  <si>
    <t>Stapelburg</t>
  </si>
  <si>
    <t>51.900281</t>
  </si>
  <si>
    <t>10.671721</t>
  </si>
  <si>
    <t>Starnberg</t>
  </si>
  <si>
    <t>47.995963</t>
  </si>
  <si>
    <t>11.343670</t>
  </si>
  <si>
    <t>Starnberg Nord</t>
  </si>
  <si>
    <t>48.005975</t>
  </si>
  <si>
    <t>11.347386</t>
  </si>
  <si>
    <t>Staßfurt</t>
  </si>
  <si>
    <t>51.851258</t>
  </si>
  <si>
    <t>11.587898</t>
  </si>
  <si>
    <t>Stauchitz</t>
  </si>
  <si>
    <t>51.242914</t>
  </si>
  <si>
    <t>13.211920</t>
  </si>
  <si>
    <t>Staudernheim</t>
  </si>
  <si>
    <t>49.780582</t>
  </si>
  <si>
    <t>7.693103</t>
  </si>
  <si>
    <t>Staufen</t>
  </si>
  <si>
    <t>47.885027</t>
  </si>
  <si>
    <t>7.728343</t>
  </si>
  <si>
    <t>Staufen Süd</t>
  </si>
  <si>
    <t>47.878447</t>
  </si>
  <si>
    <t>7.727759</t>
  </si>
  <si>
    <t>Stederdorf(Kr Uelzen)</t>
  </si>
  <si>
    <t>52.907428</t>
  </si>
  <si>
    <t>10.592702</t>
  </si>
  <si>
    <t>Stegenwaldhaus</t>
  </si>
  <si>
    <t>50.316260</t>
  </si>
  <si>
    <t>11.796809</t>
  </si>
  <si>
    <t>Steilküste/Wittenbeck</t>
  </si>
  <si>
    <t>54.144768</t>
  </si>
  <si>
    <t>11.793771</t>
  </si>
  <si>
    <t>Stein(Traun)</t>
  </si>
  <si>
    <t>47.985354</t>
  </si>
  <si>
    <t>12.546124</t>
  </si>
  <si>
    <t>Steina</t>
  </si>
  <si>
    <t>51.103359</t>
  </si>
  <si>
    <t>13.022657</t>
  </si>
  <si>
    <t>Steinach(Baden)</t>
  </si>
  <si>
    <t>48.298992</t>
  </si>
  <si>
    <t>8.056469</t>
  </si>
  <si>
    <t>Steinach(bei Rothenburg ob der Tauber)</t>
  </si>
  <si>
    <t>49.453218</t>
  </si>
  <si>
    <t>10.273535</t>
  </si>
  <si>
    <t>Steinach(Thür)</t>
  </si>
  <si>
    <t>50.432724</t>
  </si>
  <si>
    <t>11.158644</t>
  </si>
  <si>
    <t>Steinach(Thür)Süd</t>
  </si>
  <si>
    <t>50.423051</t>
  </si>
  <si>
    <t>11.166781</t>
  </si>
  <si>
    <t>Steinalben</t>
  </si>
  <si>
    <t>49.316241</t>
  </si>
  <si>
    <t>7.651613</t>
  </si>
  <si>
    <t>Steinau(Straße)</t>
  </si>
  <si>
    <t>50.314349</t>
  </si>
  <si>
    <t>9.443162</t>
  </si>
  <si>
    <t>Steinbach (bei Jöhstadt)</t>
  </si>
  <si>
    <t>50.557187</t>
  </si>
  <si>
    <t>13.149352</t>
  </si>
  <si>
    <t>Steinbach am Wald</t>
  </si>
  <si>
    <t>50.441648</t>
  </si>
  <si>
    <t>11.382922</t>
  </si>
  <si>
    <t>Steinbach-Hallenberg</t>
  </si>
  <si>
    <t>50.693163</t>
  </si>
  <si>
    <t>10.558086</t>
  </si>
  <si>
    <t>Steinbergen DWE</t>
  </si>
  <si>
    <t>52.212080</t>
  </si>
  <si>
    <t>9.118841</t>
  </si>
  <si>
    <t>Steinebach</t>
  </si>
  <si>
    <t>48.061184</t>
  </si>
  <si>
    <t>11.206812</t>
  </si>
  <si>
    <t>Steinefrenz</t>
  </si>
  <si>
    <t>50.448420</t>
  </si>
  <si>
    <t>7.938888</t>
  </si>
  <si>
    <t>Steinefrenz Ort</t>
  </si>
  <si>
    <t>50.459270</t>
  </si>
  <si>
    <t>7.933280</t>
  </si>
  <si>
    <t>Steinen</t>
  </si>
  <si>
    <t>47.641604</t>
  </si>
  <si>
    <t>7.741561</t>
  </si>
  <si>
    <t>Steinerne Renne</t>
  </si>
  <si>
    <t>51.816700</t>
  </si>
  <si>
    <t>10.727011</t>
  </si>
  <si>
    <t>Steinfeld(Oldb)</t>
  </si>
  <si>
    <t>52.592797</t>
  </si>
  <si>
    <t>8.198151</t>
  </si>
  <si>
    <t>Steinfeld(Pfalz)</t>
  </si>
  <si>
    <t>49.044675</t>
  </si>
  <si>
    <t>8.039369</t>
  </si>
  <si>
    <t>Steinfeld(Stendal)</t>
  </si>
  <si>
    <t>52.614734</t>
  </si>
  <si>
    <t>11.728617</t>
  </si>
  <si>
    <t>Steinfurt-Borghorst</t>
  </si>
  <si>
    <t>52.118737</t>
  </si>
  <si>
    <t>7.397539</t>
  </si>
  <si>
    <t>Steinfurt-Burgsteinfurt</t>
  </si>
  <si>
    <t>52.147384</t>
  </si>
  <si>
    <t>7.329340</t>
  </si>
  <si>
    <t>Steinfurt-Grottenkamp</t>
  </si>
  <si>
    <t>52.123249</t>
  </si>
  <si>
    <t>7.375921</t>
  </si>
  <si>
    <t>Steinhagen(Westf)</t>
  </si>
  <si>
    <t>52.017419</t>
  </si>
  <si>
    <t>8.420787</t>
  </si>
  <si>
    <t>Steinhagen(Westf) Bielef. Str.</t>
  </si>
  <si>
    <t>52.011416</t>
  </si>
  <si>
    <t>8.436453</t>
  </si>
  <si>
    <t>Steinhausen-Neuburg</t>
  </si>
  <si>
    <t>53.942319</t>
  </si>
  <si>
    <t>11.596334</t>
  </si>
  <si>
    <t>Steinheim(Main)</t>
  </si>
  <si>
    <t>50.121369</t>
  </si>
  <si>
    <t>8.906852</t>
  </si>
  <si>
    <t>Steinheim(Westf)</t>
  </si>
  <si>
    <t>51.868177</t>
  </si>
  <si>
    <t>9.088447</t>
  </si>
  <si>
    <t>Steinheim-Sandebeck</t>
  </si>
  <si>
    <t>51.818371</t>
  </si>
  <si>
    <t>8.986954</t>
  </si>
  <si>
    <t>Steinhöring</t>
  </si>
  <si>
    <t>48.083487</t>
  </si>
  <si>
    <t>12.031284</t>
  </si>
  <si>
    <t>Steinpleis</t>
  </si>
  <si>
    <t>50.708976</t>
  </si>
  <si>
    <t>12.394074</t>
  </si>
  <si>
    <t>Steinpleis Post</t>
  </si>
  <si>
    <t>50.713231</t>
  </si>
  <si>
    <t>12.395771</t>
  </si>
  <si>
    <t>Steinsfurt</t>
  </si>
  <si>
    <t>49.235822</t>
  </si>
  <si>
    <t>8.907978</t>
  </si>
  <si>
    <t>Steinweiler</t>
  </si>
  <si>
    <t>49.120844</t>
  </si>
  <si>
    <t>8.130696</t>
  </si>
  <si>
    <t>Steinwenden</t>
  </si>
  <si>
    <t>49.454122</t>
  </si>
  <si>
    <t>7.524197</t>
  </si>
  <si>
    <t>Stelle</t>
  </si>
  <si>
    <t>53.387699</t>
  </si>
  <si>
    <t>10.109023</t>
  </si>
  <si>
    <t>Stelle DHE</t>
  </si>
  <si>
    <t>53.008107</t>
  </si>
  <si>
    <t>8.680962</t>
  </si>
  <si>
    <t>Stemmen</t>
  </si>
  <si>
    <t>52.865883</t>
  </si>
  <si>
    <t>9.376574</t>
  </si>
  <si>
    <t>Stendal Hbf</t>
  </si>
  <si>
    <t>52.594723</t>
  </si>
  <si>
    <t>11.854412</t>
  </si>
  <si>
    <t>Stendal Hochschule</t>
  </si>
  <si>
    <t>52.616234</t>
  </si>
  <si>
    <t>11.848369</t>
  </si>
  <si>
    <t>Stendal Vorbf</t>
  </si>
  <si>
    <t>52.595836</t>
  </si>
  <si>
    <t>11.871290</t>
  </si>
  <si>
    <t>Stendal-Stadtsee</t>
  </si>
  <si>
    <t>52.606837</t>
  </si>
  <si>
    <t>11.836728</t>
  </si>
  <si>
    <t>Stenn</t>
  </si>
  <si>
    <t>50.678758</t>
  </si>
  <si>
    <t>12.441635</t>
  </si>
  <si>
    <t>Sterbfritz</t>
  </si>
  <si>
    <t>50.312868</t>
  </si>
  <si>
    <t>9.625417</t>
  </si>
  <si>
    <t>Sternfeld</t>
  </si>
  <si>
    <t>53.824775</t>
  </si>
  <si>
    <t>13.150420</t>
  </si>
  <si>
    <t>Sternhaus-Haferfeld</t>
  </si>
  <si>
    <t>51.698595</t>
  </si>
  <si>
    <t>11.132586</t>
  </si>
  <si>
    <t>Sternhaus-Ramberg</t>
  </si>
  <si>
    <t>51.690311</t>
  </si>
  <si>
    <t>11.127498</t>
  </si>
  <si>
    <t>Sterzhausen</t>
  </si>
  <si>
    <t>50.861554</t>
  </si>
  <si>
    <t>8.708698</t>
  </si>
  <si>
    <t>Stetten (b. Haigerloch)</t>
  </si>
  <si>
    <t>48.353415</t>
  </si>
  <si>
    <t>8.812741</t>
  </si>
  <si>
    <t>Stetten am Heuchelberg</t>
  </si>
  <si>
    <t>49.136913</t>
  </si>
  <si>
    <t>9.014726</t>
  </si>
  <si>
    <t>Stetten(Donau)</t>
  </si>
  <si>
    <t>48.022814</t>
  </si>
  <si>
    <t>8.872354</t>
  </si>
  <si>
    <t>Stetten(Schwab)</t>
  </si>
  <si>
    <t>48.027663</t>
  </si>
  <si>
    <t>10.436040</t>
  </si>
  <si>
    <t>Stetten-Beinstein</t>
  </si>
  <si>
    <t>48.811924</t>
  </si>
  <si>
    <t>9.352450</t>
  </si>
  <si>
    <t>Stettfeld(Baden)</t>
  </si>
  <si>
    <t>49.178906</t>
  </si>
  <si>
    <t>8.643740</t>
  </si>
  <si>
    <t>Stettfeld-Weiher</t>
  </si>
  <si>
    <t>49.183625</t>
  </si>
  <si>
    <t>8.636928</t>
  </si>
  <si>
    <t>Stiege</t>
  </si>
  <si>
    <t>51.660798</t>
  </si>
  <si>
    <t>10.881191</t>
  </si>
  <si>
    <t>Stift Keppel-Allenbach</t>
  </si>
  <si>
    <t>50.977961</t>
  </si>
  <si>
    <t>8.092230</t>
  </si>
  <si>
    <t>Stockach</t>
  </si>
  <si>
    <t>47.850090</t>
  </si>
  <si>
    <t>9.005731</t>
  </si>
  <si>
    <t>Stockau</t>
  </si>
  <si>
    <t>49.919576</t>
  </si>
  <si>
    <t>11.666718</t>
  </si>
  <si>
    <t>Stockdorf</t>
  </si>
  <si>
    <t>48.093258</t>
  </si>
  <si>
    <t>11.400845</t>
  </si>
  <si>
    <t>Stockhausen(Lahn)</t>
  </si>
  <si>
    <t>50.540536</t>
  </si>
  <si>
    <t>8.325365</t>
  </si>
  <si>
    <t>Stockheim(Oberfr)</t>
  </si>
  <si>
    <t>50.306822</t>
  </si>
  <si>
    <t>11.282133</t>
  </si>
  <si>
    <t>Stockheim(Unterfr)</t>
  </si>
  <si>
    <t>50.459952</t>
  </si>
  <si>
    <t>10.271229</t>
  </si>
  <si>
    <t>Stockstadt(Main)</t>
  </si>
  <si>
    <t>49.976627</t>
  </si>
  <si>
    <t>9.063369</t>
  </si>
  <si>
    <t>Stockstadt(Rhein)</t>
  </si>
  <si>
    <t>49.809433</t>
  </si>
  <si>
    <t>8.472440</t>
  </si>
  <si>
    <t>Stolberg(Harz)</t>
  </si>
  <si>
    <t>51.567398</t>
  </si>
  <si>
    <t>10.956538</t>
  </si>
  <si>
    <t>Stolberg(Rheinl)Hbf</t>
  </si>
  <si>
    <t>50.794480</t>
  </si>
  <si>
    <t>6.217478</t>
  </si>
  <si>
    <t>Stolberg-Altstadt</t>
  </si>
  <si>
    <t>50.764259</t>
  </si>
  <si>
    <t>6.230538</t>
  </si>
  <si>
    <t>Stolberg-Mühlener Bahnhof</t>
  </si>
  <si>
    <t>50.773589</t>
  </si>
  <si>
    <t>6.223898</t>
  </si>
  <si>
    <t>Stolberg-Rathaus</t>
  </si>
  <si>
    <t>50.768554</t>
  </si>
  <si>
    <t>6.229845</t>
  </si>
  <si>
    <t>Stolberg-Schneidmühle</t>
  </si>
  <si>
    <t>50.784904</t>
  </si>
  <si>
    <t>6.219012</t>
  </si>
  <si>
    <t>Stollberg Schlachthofstraße</t>
  </si>
  <si>
    <t>50.714229</t>
  </si>
  <si>
    <t>12.778782</t>
  </si>
  <si>
    <t>Stollberg(Sachs)</t>
  </si>
  <si>
    <t>50.709310</t>
  </si>
  <si>
    <t>12.773549</t>
  </si>
  <si>
    <t>Stollberg(Sachs) Gewerbepark</t>
  </si>
  <si>
    <t>50.714251</t>
  </si>
  <si>
    <t>12.781138</t>
  </si>
  <si>
    <t>Stolpen</t>
  </si>
  <si>
    <t>51.037051</t>
  </si>
  <si>
    <t>14.087250</t>
  </si>
  <si>
    <t>Stolpen Langenwolmsdorf Aue</t>
  </si>
  <si>
    <t>51.039094</t>
  </si>
  <si>
    <t>14.090111</t>
  </si>
  <si>
    <t>Stommeln</t>
  </si>
  <si>
    <t>51.018092</t>
  </si>
  <si>
    <t>6.752466</t>
  </si>
  <si>
    <t>Storkow(Mark)</t>
  </si>
  <si>
    <t>52.251632</t>
  </si>
  <si>
    <t>13.920900</t>
  </si>
  <si>
    <t>Storzingen</t>
  </si>
  <si>
    <t>48.134881</t>
  </si>
  <si>
    <t>9.127085</t>
  </si>
  <si>
    <t>Stotternheim</t>
  </si>
  <si>
    <t>51.052351</t>
  </si>
  <si>
    <t>11.048324</t>
  </si>
  <si>
    <t>Stralsund Alte Rostocker Str.</t>
  </si>
  <si>
    <t>54.308980</t>
  </si>
  <si>
    <t>13.076371</t>
  </si>
  <si>
    <t>Stralsund Hafen</t>
  </si>
  <si>
    <t>Stralsund Hbf</t>
  </si>
  <si>
    <t>54.308626</t>
  </si>
  <si>
    <t>13.077321</t>
  </si>
  <si>
    <t>Stralsund Krankenhaus West</t>
  </si>
  <si>
    <t>54.304112</t>
  </si>
  <si>
    <t>13.045123</t>
  </si>
  <si>
    <t>Stralsund Rügendamm</t>
  </si>
  <si>
    <t>54.305322</t>
  </si>
  <si>
    <t>13.107522</t>
  </si>
  <si>
    <t>Stralsund-Grünhufe</t>
  </si>
  <si>
    <t>54.304298</t>
  </si>
  <si>
    <t>13.043930</t>
  </si>
  <si>
    <t>Strasburg(Uckerm)</t>
  </si>
  <si>
    <t>53.515101</t>
  </si>
  <si>
    <t>13.745272</t>
  </si>
  <si>
    <t>Straßberg(Harz)</t>
  </si>
  <si>
    <t>51.620209</t>
  </si>
  <si>
    <t>11.043781</t>
  </si>
  <si>
    <t>Straßberg-Glasebach</t>
  </si>
  <si>
    <t>51.618215</t>
  </si>
  <si>
    <t>11.049358</t>
  </si>
  <si>
    <t>Straßberg-Winterlingen</t>
  </si>
  <si>
    <t>48.178747</t>
  </si>
  <si>
    <t>9.087718</t>
  </si>
  <si>
    <t>Straßgräbchen-Bernsdorf</t>
  </si>
  <si>
    <t>51.361469</t>
  </si>
  <si>
    <t>14.052047</t>
  </si>
  <si>
    <t>Straßkirchen</t>
  </si>
  <si>
    <t>48.833615</t>
  </si>
  <si>
    <t>12.720746</t>
  </si>
  <si>
    <t>Straß-Moos</t>
  </si>
  <si>
    <t>48.711321</t>
  </si>
  <si>
    <t>11.050315</t>
  </si>
  <si>
    <t>Straubing</t>
  </si>
  <si>
    <t>48.876978</t>
  </si>
  <si>
    <t>12.574094</t>
  </si>
  <si>
    <t>Straubing Hafen</t>
  </si>
  <si>
    <t>48.891755</t>
  </si>
  <si>
    <t>12.662583</t>
  </si>
  <si>
    <t>Straubing-Ost</t>
  </si>
  <si>
    <t>48.876407</t>
  </si>
  <si>
    <t>12.592248</t>
  </si>
  <si>
    <t>Strausberg</t>
  </si>
  <si>
    <t>52.532083</t>
  </si>
  <si>
    <t>13.833498</t>
  </si>
  <si>
    <t>Strausberg (S)</t>
  </si>
  <si>
    <t>52.532235</t>
  </si>
  <si>
    <t>13.833579</t>
  </si>
  <si>
    <t>Strausberg Nord</t>
  </si>
  <si>
    <t>52.590146</t>
  </si>
  <si>
    <t>13.908476</t>
  </si>
  <si>
    <t>Strausberg Stadt</t>
  </si>
  <si>
    <t>52.576980</t>
  </si>
  <si>
    <t>13.888133</t>
  </si>
  <si>
    <t>Strausberg-Hegermühle</t>
  </si>
  <si>
    <t>52.548383</t>
  </si>
  <si>
    <t>13.866362</t>
  </si>
  <si>
    <t>Straußfurt</t>
  </si>
  <si>
    <t>51.163898</t>
  </si>
  <si>
    <t>10.987465</t>
  </si>
  <si>
    <t>Strohkirchen</t>
  </si>
  <si>
    <t>53.398386</t>
  </si>
  <si>
    <t>11.318463</t>
  </si>
  <si>
    <t>Strullendorf</t>
  </si>
  <si>
    <t>49.845550</t>
  </si>
  <si>
    <t>10.961670</t>
  </si>
  <si>
    <t>Struthütten</t>
  </si>
  <si>
    <t>50.781440</t>
  </si>
  <si>
    <t>7.973309</t>
  </si>
  <si>
    <t>Struthütten Ort</t>
  </si>
  <si>
    <t>50.783439</t>
  </si>
  <si>
    <t>7.972652</t>
  </si>
  <si>
    <t>Struwenberg Abzw. Falkenberg</t>
  </si>
  <si>
    <t>52.829371</t>
  </si>
  <si>
    <t>13.932048</t>
  </si>
  <si>
    <t>Stubben</t>
  </si>
  <si>
    <t>53.405793</t>
  </si>
  <si>
    <t>8.780519</t>
  </si>
  <si>
    <t>Stubbenfelde</t>
  </si>
  <si>
    <t>54.028074</t>
  </si>
  <si>
    <t>14.033515</t>
  </si>
  <si>
    <t>Stubersheim</t>
  </si>
  <si>
    <t>48.593792</t>
  </si>
  <si>
    <t>9.920377</t>
  </si>
  <si>
    <t>Stühlingen</t>
  </si>
  <si>
    <t>47.743123</t>
  </si>
  <si>
    <t>8.446127</t>
  </si>
  <si>
    <t>Stühlingen-Eberfingen</t>
  </si>
  <si>
    <t>47.720594</t>
  </si>
  <si>
    <t>8.429886</t>
  </si>
  <si>
    <t>Stumsdorf</t>
  </si>
  <si>
    <t>51.616234</t>
  </si>
  <si>
    <t>12.066859</t>
  </si>
  <si>
    <t>Stuttgart Ebitzweg</t>
  </si>
  <si>
    <t>48.803938</t>
  </si>
  <si>
    <t>9.231701</t>
  </si>
  <si>
    <t>Stuttgart Feuersee</t>
  </si>
  <si>
    <t>48.772768</t>
  </si>
  <si>
    <t>9.166273</t>
  </si>
  <si>
    <t>Stuttgart Flughafen/Messe</t>
  </si>
  <si>
    <t>48.690648</t>
  </si>
  <si>
    <t>9.192630</t>
  </si>
  <si>
    <t>Stuttgart Neckarpark</t>
  </si>
  <si>
    <t>48.791998</t>
  </si>
  <si>
    <t>9.241052</t>
  </si>
  <si>
    <t>Stuttgart Nord</t>
  </si>
  <si>
    <t>48.803769</t>
  </si>
  <si>
    <t>9.188026</t>
  </si>
  <si>
    <t>Stuttgart Nürnberger Str.</t>
  </si>
  <si>
    <t>48.806423</t>
  </si>
  <si>
    <t>9.234858</t>
  </si>
  <si>
    <t>Stuttgart Schwabstr.</t>
  </si>
  <si>
    <t>48.770255</t>
  </si>
  <si>
    <t>9.156959</t>
  </si>
  <si>
    <t>Stuttgart Stadtmitte</t>
  </si>
  <si>
    <t>48.776229</t>
  </si>
  <si>
    <t>9.172925</t>
  </si>
  <si>
    <t>Stuttgart Universität</t>
  </si>
  <si>
    <t>48.745837</t>
  </si>
  <si>
    <t>9.105398</t>
  </si>
  <si>
    <t>Stuttgart-Bad Cannstatt</t>
  </si>
  <si>
    <t>48.801377</t>
  </si>
  <si>
    <t>9.217531</t>
  </si>
  <si>
    <t>Stuttgart-Feuerbach</t>
  </si>
  <si>
    <t>48.813673</t>
  </si>
  <si>
    <t>9.169382</t>
  </si>
  <si>
    <t>Stuttgart-Münster</t>
  </si>
  <si>
    <t>48.820724</t>
  </si>
  <si>
    <t>9.215860</t>
  </si>
  <si>
    <t>Stuttgart-Obertürkheim</t>
  </si>
  <si>
    <t>48.762013</t>
  </si>
  <si>
    <t>9.267889</t>
  </si>
  <si>
    <t>Stuttgart-Österfeld</t>
  </si>
  <si>
    <t>48.737651</t>
  </si>
  <si>
    <t>9.116774</t>
  </si>
  <si>
    <t>Stuttgart-Rohr</t>
  </si>
  <si>
    <t>48.717902</t>
  </si>
  <si>
    <t>9.108328</t>
  </si>
  <si>
    <t>Stuttgart-Sommerrain</t>
  </si>
  <si>
    <t>48.815270</t>
  </si>
  <si>
    <t>9.248327</t>
  </si>
  <si>
    <t>Stuttgart-Untertürkheim</t>
  </si>
  <si>
    <t>48.779751</t>
  </si>
  <si>
    <t>9.250569</t>
  </si>
  <si>
    <t>Stuttgart-Vaihingen</t>
  </si>
  <si>
    <t>48.726279</t>
  </si>
  <si>
    <t>9.113226</t>
  </si>
  <si>
    <t>Stuttgart-Zazenhausen</t>
  </si>
  <si>
    <t>48.836034</t>
  </si>
  <si>
    <t>9.199539</t>
  </si>
  <si>
    <t>Stuttgart-Zuffenhausen</t>
  </si>
  <si>
    <t>48.829440</t>
  </si>
  <si>
    <t>9.166972</t>
  </si>
  <si>
    <t>Stützerbach</t>
  </si>
  <si>
    <t>50.639479</t>
  </si>
  <si>
    <t>10.857915</t>
  </si>
  <si>
    <t>Subzin-Liessow</t>
  </si>
  <si>
    <t>53.891919</t>
  </si>
  <si>
    <t>12.347623</t>
  </si>
  <si>
    <t>Suchsdorf</t>
  </si>
  <si>
    <t>54.349605</t>
  </si>
  <si>
    <t>10.091264</t>
  </si>
  <si>
    <t>Süderbrarup</t>
  </si>
  <si>
    <t>54.637409</t>
  </si>
  <si>
    <t>9.770907</t>
  </si>
  <si>
    <t>Suderburg</t>
  </si>
  <si>
    <t>52.904892</t>
  </si>
  <si>
    <t>10.432790</t>
  </si>
  <si>
    <t>Süderdeich</t>
  </si>
  <si>
    <t>54.198185</t>
  </si>
  <si>
    <t>8.911247</t>
  </si>
  <si>
    <t>Süderlügum</t>
  </si>
  <si>
    <t>54.870997</t>
  </si>
  <si>
    <t>8.889327</t>
  </si>
  <si>
    <t>Suerhop</t>
  </si>
  <si>
    <t>53.315903</t>
  </si>
  <si>
    <t>9.855154</t>
  </si>
  <si>
    <t>Suhl</t>
  </si>
  <si>
    <t>50.605145</t>
  </si>
  <si>
    <t>10.682826</t>
  </si>
  <si>
    <t>Suhl-Heinrichs</t>
  </si>
  <si>
    <t>50.602098</t>
  </si>
  <si>
    <t>10.638454</t>
  </si>
  <si>
    <t>Sukow(b Schwerin)</t>
  </si>
  <si>
    <t>53.554785</t>
  </si>
  <si>
    <t>11.559558</t>
  </si>
  <si>
    <t>Sulmingen</t>
  </si>
  <si>
    <t>48.151937</t>
  </si>
  <si>
    <t>9.863192</t>
  </si>
  <si>
    <t>Sülstorf</t>
  </si>
  <si>
    <t>53.513998</t>
  </si>
  <si>
    <t>11.388039</t>
  </si>
  <si>
    <t>Sülstorf Sportplatz</t>
  </si>
  <si>
    <t>53.512173</t>
  </si>
  <si>
    <t>11.381565</t>
  </si>
  <si>
    <t>Sulz(Neckar)</t>
  </si>
  <si>
    <t>48.366485</t>
  </si>
  <si>
    <t>8.636748</t>
  </si>
  <si>
    <t>Sülzbach</t>
  </si>
  <si>
    <t>49.148550</t>
  </si>
  <si>
    <t>9.340458</t>
  </si>
  <si>
    <t>Sulzbach Marktplatz</t>
  </si>
  <si>
    <t>49.002535</t>
  </si>
  <si>
    <t>9.501331</t>
  </si>
  <si>
    <t>Sülzbach Schule</t>
  </si>
  <si>
    <t>49.144833</t>
  </si>
  <si>
    <t>9.351532</t>
  </si>
  <si>
    <t>Sulzbach(Inn)</t>
  </si>
  <si>
    <t>48.454689</t>
  </si>
  <si>
    <t>13.382017</t>
  </si>
  <si>
    <t>Sulzbach(Main)</t>
  </si>
  <si>
    <t>49.917973</t>
  </si>
  <si>
    <t>9.146531</t>
  </si>
  <si>
    <t>Sulzbach(Murr)</t>
  </si>
  <si>
    <t>48.999461</t>
  </si>
  <si>
    <t>9.500409</t>
  </si>
  <si>
    <t>Sulzbach(Saar)</t>
  </si>
  <si>
    <t>49.299561</t>
  </si>
  <si>
    <t>7.055062</t>
  </si>
  <si>
    <t>Sulzbach(Saar)Altenwald</t>
  </si>
  <si>
    <t>49.312078</t>
  </si>
  <si>
    <t>7.078876</t>
  </si>
  <si>
    <t>Sulzbach(Taunus)</t>
  </si>
  <si>
    <t>50.129833</t>
  </si>
  <si>
    <t>8.527989</t>
  </si>
  <si>
    <t>Sulzbach(Taunus)Nord</t>
  </si>
  <si>
    <t>50.138770</t>
  </si>
  <si>
    <t>8.517580</t>
  </si>
  <si>
    <t>49.499478</t>
  </si>
  <si>
    <t>11.739277</t>
  </si>
  <si>
    <t>Sulzbachtal</t>
  </si>
  <si>
    <t>49.522743</t>
  </si>
  <si>
    <t>7.663672</t>
  </si>
  <si>
    <t>Sulzberg</t>
  </si>
  <si>
    <t>47.675214</t>
  </si>
  <si>
    <t>10.363935</t>
  </si>
  <si>
    <t>Sülzenbrücken</t>
  </si>
  <si>
    <t>50.887391</t>
  </si>
  <si>
    <t>10.895873</t>
  </si>
  <si>
    <t>Sulzfeld(Baden)</t>
  </si>
  <si>
    <t>49.108173</t>
  </si>
  <si>
    <t>8.852544</t>
  </si>
  <si>
    <t>Sünching</t>
  </si>
  <si>
    <t>48.884159</t>
  </si>
  <si>
    <t>12.356769</t>
  </si>
  <si>
    <t>Süßen</t>
  </si>
  <si>
    <t>48.683641</t>
  </si>
  <si>
    <t>9.760280</t>
  </si>
  <si>
    <t>Swisttal-Odendorf</t>
  </si>
  <si>
    <t>50.651162</t>
  </si>
  <si>
    <t>6.879764</t>
  </si>
  <si>
    <t>Syke</t>
  </si>
  <si>
    <t>52.916160</t>
  </si>
  <si>
    <t>8.809786</t>
  </si>
  <si>
    <t>Syrau</t>
  </si>
  <si>
    <t>50.544769</t>
  </si>
  <si>
    <t>12.085313</t>
  </si>
  <si>
    <t>Sythen</t>
  </si>
  <si>
    <t>51.771760</t>
  </si>
  <si>
    <t>7.226526</t>
  </si>
  <si>
    <t>Taben</t>
  </si>
  <si>
    <t>49.552661</t>
  </si>
  <si>
    <t>6.600820</t>
  </si>
  <si>
    <t>Tacherting</t>
  </si>
  <si>
    <t>48.078747</t>
  </si>
  <si>
    <t>12.567336</t>
  </si>
  <si>
    <t>Tamm(Württ)</t>
  </si>
  <si>
    <t>48.921605</t>
  </si>
  <si>
    <t>9.125828</t>
  </si>
  <si>
    <t>Tangerhütte</t>
  </si>
  <si>
    <t>52.433869</t>
  </si>
  <si>
    <t>11.809943</t>
  </si>
  <si>
    <t>Tangermünde</t>
  </si>
  <si>
    <t>52.545741</t>
  </si>
  <si>
    <t>11.969957</t>
  </si>
  <si>
    <t>Tangermünde West</t>
  </si>
  <si>
    <t>52.547736</t>
  </si>
  <si>
    <t>11.960454</t>
  </si>
  <si>
    <t>Tangersdorf Abzweig</t>
  </si>
  <si>
    <t>53.167665</t>
  </si>
  <si>
    <t>13.339677</t>
  </si>
  <si>
    <t>Tanndorf</t>
  </si>
  <si>
    <t>51.161553</t>
  </si>
  <si>
    <t>12.848200</t>
  </si>
  <si>
    <t>Tanneneck</t>
  </si>
  <si>
    <t>53.755327</t>
  </si>
  <si>
    <t>9.943297</t>
  </si>
  <si>
    <t>Tannheim(Württ)</t>
  </si>
  <si>
    <t>47.994955</t>
  </si>
  <si>
    <t>10.096920</t>
  </si>
  <si>
    <t>Tannroda</t>
  </si>
  <si>
    <t>50.862446</t>
  </si>
  <si>
    <t>11.247149</t>
  </si>
  <si>
    <t>Tantow</t>
  </si>
  <si>
    <t>53.269275</t>
  </si>
  <si>
    <t>14.347926</t>
  </si>
  <si>
    <t>Tantow(Gr)</t>
  </si>
  <si>
    <t>Tapfheim</t>
  </si>
  <si>
    <t>48.679208</t>
  </si>
  <si>
    <t>10.694078</t>
  </si>
  <si>
    <t>Tarp</t>
  </si>
  <si>
    <t>54.664815</t>
  </si>
  <si>
    <t>9.398599</t>
  </si>
  <si>
    <t>Tating</t>
  </si>
  <si>
    <t>54.322847</t>
  </si>
  <si>
    <t>8.709512</t>
  </si>
  <si>
    <t>Taubenheim(Spree)</t>
  </si>
  <si>
    <t>51.042200</t>
  </si>
  <si>
    <t>14.480637</t>
  </si>
  <si>
    <t>Tauberbischofsheim</t>
  </si>
  <si>
    <t>49.623632</t>
  </si>
  <si>
    <t>9.658294</t>
  </si>
  <si>
    <t>Tauberfeld</t>
  </si>
  <si>
    <t>48.819238</t>
  </si>
  <si>
    <t>11.275691</t>
  </si>
  <si>
    <t>Taucha(Leipzig)</t>
  </si>
  <si>
    <t>51.379017</t>
  </si>
  <si>
    <t>12.484471</t>
  </si>
  <si>
    <t>Taufkirchen</t>
  </si>
  <si>
    <t>48.051552</t>
  </si>
  <si>
    <t>11.609252</t>
  </si>
  <si>
    <t>Taunusstein Eiserne Hand</t>
  </si>
  <si>
    <t>50.125440</t>
  </si>
  <si>
    <t>8.169149</t>
  </si>
  <si>
    <t>Tautenhain</t>
  </si>
  <si>
    <t>51.090063</t>
  </si>
  <si>
    <t>12.679108</t>
  </si>
  <si>
    <t>Tecklenburg Bf</t>
  </si>
  <si>
    <t>52.215766</t>
  </si>
  <si>
    <t>7.802696</t>
  </si>
  <si>
    <t>Tegernsee</t>
  </si>
  <si>
    <t>47.714476</t>
  </si>
  <si>
    <t>11.756616</t>
  </si>
  <si>
    <t>Teicha</t>
  </si>
  <si>
    <t>51.555055</t>
  </si>
  <si>
    <t>11.959294</t>
  </si>
  <si>
    <t>Teichland</t>
  </si>
  <si>
    <t>51.818613</t>
  </si>
  <si>
    <t>14.423813</t>
  </si>
  <si>
    <t>Teichwolframsdorf</t>
  </si>
  <si>
    <t>50.731606</t>
  </si>
  <si>
    <t>12.266353</t>
  </si>
  <si>
    <t>Teisendorf</t>
  </si>
  <si>
    <t>47.849397</t>
  </si>
  <si>
    <t>12.834452</t>
  </si>
  <si>
    <t>Teisnach</t>
  </si>
  <si>
    <t>49.039375</t>
  </si>
  <si>
    <t>12.994268</t>
  </si>
  <si>
    <t>Teisnach Rohde&amp;Schwarz</t>
  </si>
  <si>
    <t>49.029390</t>
  </si>
  <si>
    <t>12.991538</t>
  </si>
  <si>
    <t>Telgte</t>
  </si>
  <si>
    <t>51.981193</t>
  </si>
  <si>
    <t>7.780876</t>
  </si>
  <si>
    <t>Teltow</t>
  </si>
  <si>
    <t>52.388630</t>
  </si>
  <si>
    <t>13.299920</t>
  </si>
  <si>
    <t>Teltow Stadt</t>
  </si>
  <si>
    <t>52.396906</t>
  </si>
  <si>
    <t>13.276623</t>
  </si>
  <si>
    <t>Teltow Warthestr/Zum Techno Terrain</t>
  </si>
  <si>
    <t>52.397845</t>
  </si>
  <si>
    <t>13.245362</t>
  </si>
  <si>
    <t>Temmels</t>
  </si>
  <si>
    <t>49.688479</t>
  </si>
  <si>
    <t>6.462523</t>
  </si>
  <si>
    <t>Templin</t>
  </si>
  <si>
    <t>53.112345</t>
  </si>
  <si>
    <t>13.491481</t>
  </si>
  <si>
    <t>Templin Stadt</t>
  </si>
  <si>
    <t>53.117068</t>
  </si>
  <si>
    <t>13.508787</t>
  </si>
  <si>
    <t>Templin-Ahrensdorf</t>
  </si>
  <si>
    <t>53.112287</t>
  </si>
  <si>
    <t>13.575789</t>
  </si>
  <si>
    <t>Templin-Ahrensdorf Abzw</t>
  </si>
  <si>
    <t>53.118306</t>
  </si>
  <si>
    <t>13.578970</t>
  </si>
  <si>
    <t>Teningen-Mundingen</t>
  </si>
  <si>
    <t>48.128777</t>
  </si>
  <si>
    <t>7.824408</t>
  </si>
  <si>
    <t>Teschenhagen</t>
  </si>
  <si>
    <t>54.389367</t>
  </si>
  <si>
    <t>13.374233</t>
  </si>
  <si>
    <t>Teschow</t>
  </si>
  <si>
    <t>53.994354</t>
  </si>
  <si>
    <t>11.637959</t>
  </si>
  <si>
    <t>Teschow Gaststätte</t>
  </si>
  <si>
    <t>53.994106</t>
  </si>
  <si>
    <t>11.637206</t>
  </si>
  <si>
    <t>Tessin</t>
  </si>
  <si>
    <t>54.032017</t>
  </si>
  <si>
    <t>12.462614</t>
  </si>
  <si>
    <t>Tessin West</t>
  </si>
  <si>
    <t>54.034436</t>
  </si>
  <si>
    <t>12.442570</t>
  </si>
  <si>
    <t>Teterow</t>
  </si>
  <si>
    <t>53.768437</t>
  </si>
  <si>
    <t>12.577966</t>
  </si>
  <si>
    <t>Teuchern</t>
  </si>
  <si>
    <t>51.133858</t>
  </si>
  <si>
    <t>12.016542</t>
  </si>
  <si>
    <t>Teufelsmühle</t>
  </si>
  <si>
    <t>50.853298</t>
  </si>
  <si>
    <t>14.751792</t>
  </si>
  <si>
    <t>Teutschenthal</t>
  </si>
  <si>
    <t>51.464358</t>
  </si>
  <si>
    <t>11.782738</t>
  </si>
  <si>
    <t>Teutschenthal Ost</t>
  </si>
  <si>
    <t>51.465749</t>
  </si>
  <si>
    <t>11.819821</t>
  </si>
  <si>
    <t>51.746047</t>
  </si>
  <si>
    <t>11.031048</t>
  </si>
  <si>
    <t>Thale Musestieg</t>
  </si>
  <si>
    <t>51.751434</t>
  </si>
  <si>
    <t>11.046880</t>
  </si>
  <si>
    <t>Thaleischweiler-Fröschen</t>
  </si>
  <si>
    <t>49.261262</t>
  </si>
  <si>
    <t>7.578673</t>
  </si>
  <si>
    <t>Thalfingen(b Ulm)</t>
  </si>
  <si>
    <t>48.432982</t>
  </si>
  <si>
    <t>10.047853</t>
  </si>
  <si>
    <t>Thalheim Diska Markt</t>
  </si>
  <si>
    <t>50.694385</t>
  </si>
  <si>
    <t>12.844641</t>
  </si>
  <si>
    <t>Thalheim(b Oschatz)</t>
  </si>
  <si>
    <t>51.281057</t>
  </si>
  <si>
    <t>13.089738</t>
  </si>
  <si>
    <t>Thalheim(Erzgeb)</t>
  </si>
  <si>
    <t>50.696598</t>
  </si>
  <si>
    <t>12.849345</t>
  </si>
  <si>
    <t>Thalheim(Erzgeb) Mitte</t>
  </si>
  <si>
    <t>50.701290</t>
  </si>
  <si>
    <t>12.854232</t>
  </si>
  <si>
    <t>Thann-Matzbach</t>
  </si>
  <si>
    <t>48.266510</t>
  </si>
  <si>
    <t>12.047460</t>
  </si>
  <si>
    <t>Thansüß</t>
  </si>
  <si>
    <t>49.622265</t>
  </si>
  <si>
    <t>11.937845</t>
  </si>
  <si>
    <t>Tharandt</t>
  </si>
  <si>
    <t>50.982872</t>
  </si>
  <si>
    <t>13.592111</t>
  </si>
  <si>
    <t>Thayngen</t>
  </si>
  <si>
    <t>47.745502</t>
  </si>
  <si>
    <t>8.704300</t>
  </si>
  <si>
    <t>Theisbergstegen</t>
  </si>
  <si>
    <t>49.518978</t>
  </si>
  <si>
    <t>7.448373</t>
  </si>
  <si>
    <t>Theißen</t>
  </si>
  <si>
    <t>51.090429</t>
  </si>
  <si>
    <t>12.106626</t>
  </si>
  <si>
    <t>Themar</t>
  </si>
  <si>
    <t>50.506715</t>
  </si>
  <si>
    <t>10.617521</t>
  </si>
  <si>
    <t>Thermalbad Wiesenbad</t>
  </si>
  <si>
    <t>50.619145</t>
  </si>
  <si>
    <t>13.044958</t>
  </si>
  <si>
    <t>Thesdorf</t>
  </si>
  <si>
    <t>53.644372</t>
  </si>
  <si>
    <t>9.813837</t>
  </si>
  <si>
    <t>Thiergarten(Hohenz)</t>
  </si>
  <si>
    <t>48.085413</t>
  </si>
  <si>
    <t>9.095629</t>
  </si>
  <si>
    <t>Thoßfell</t>
  </si>
  <si>
    <t>50.541104</t>
  </si>
  <si>
    <t>12.259346</t>
  </si>
  <si>
    <t>Thüngersheim</t>
  </si>
  <si>
    <t>49.877985</t>
  </si>
  <si>
    <t>9.840298</t>
  </si>
  <si>
    <t>Thür</t>
  </si>
  <si>
    <t>50.358808</t>
  </si>
  <si>
    <t>7.277080</t>
  </si>
  <si>
    <t>Thyrow</t>
  </si>
  <si>
    <t>52.247228</t>
  </si>
  <si>
    <t>13.259634</t>
  </si>
  <si>
    <t>Tiebensee</t>
  </si>
  <si>
    <t>54.219487</t>
  </si>
  <si>
    <t>9.019229</t>
  </si>
  <si>
    <t>Tiefenau</t>
  </si>
  <si>
    <t>51.390689</t>
  </si>
  <si>
    <t>13.413904</t>
  </si>
  <si>
    <t>Tiefenbachmühle</t>
  </si>
  <si>
    <t>51.636525</t>
  </si>
  <si>
    <t>10.813465</t>
  </si>
  <si>
    <t>Tiefenort</t>
  </si>
  <si>
    <t>50.829487</t>
  </si>
  <si>
    <t>10.162617</t>
  </si>
  <si>
    <t>Tiefensee</t>
  </si>
  <si>
    <t>52.675183</t>
  </si>
  <si>
    <t>13.827725</t>
  </si>
  <si>
    <t>Tiengen(Hochrhein)</t>
  </si>
  <si>
    <t>47.635471</t>
  </si>
  <si>
    <t>8.272003</t>
  </si>
  <si>
    <t>Timmendorfer Strand</t>
  </si>
  <si>
    <t>53.994212</t>
  </si>
  <si>
    <t>10.762270</t>
  </si>
  <si>
    <t>47.903402</t>
  </si>
  <si>
    <t>8.155069</t>
  </si>
  <si>
    <t>Tittmoning-Wiesmühl</t>
  </si>
  <si>
    <t>48.023909</t>
  </si>
  <si>
    <t>12.744898</t>
  </si>
  <si>
    <t>Todtnau</t>
  </si>
  <si>
    <t>47.828854</t>
  </si>
  <si>
    <t>7.942877</t>
  </si>
  <si>
    <t>Toender(Gr)</t>
  </si>
  <si>
    <t>Töging(Inn)</t>
  </si>
  <si>
    <t>48.259015</t>
  </si>
  <si>
    <t>12.594870</t>
  </si>
  <si>
    <t>Tönning</t>
  </si>
  <si>
    <t>54.314139</t>
  </si>
  <si>
    <t>8.937601</t>
  </si>
  <si>
    <t>Tönning Gardinger Chaussee</t>
  </si>
  <si>
    <t>54.318812</t>
  </si>
  <si>
    <t>8.936968</t>
  </si>
  <si>
    <t>Töppeln</t>
  </si>
  <si>
    <t>50.890855</t>
  </si>
  <si>
    <t>12.006161</t>
  </si>
  <si>
    <t>Torgau</t>
  </si>
  <si>
    <t>51.563036</t>
  </si>
  <si>
    <t>12.991134</t>
  </si>
  <si>
    <t>Torgelow</t>
  </si>
  <si>
    <t>53.634620</t>
  </si>
  <si>
    <t>14.008758</t>
  </si>
  <si>
    <t>Tornesch</t>
  </si>
  <si>
    <t>53.697313</t>
  </si>
  <si>
    <t>9.714970</t>
  </si>
  <si>
    <t>Tostedt</t>
  </si>
  <si>
    <t>53.272046</t>
  </si>
  <si>
    <t>9.732013</t>
  </si>
  <si>
    <t>Traben-Trarbach</t>
  </si>
  <si>
    <t>49.951565</t>
  </si>
  <si>
    <t>7.120722</t>
  </si>
  <si>
    <t>Trabitz</t>
  </si>
  <si>
    <t>49.801467</t>
  </si>
  <si>
    <t>11.894621</t>
  </si>
  <si>
    <t>Trais-Horloff</t>
  </si>
  <si>
    <t>50.450590</t>
  </si>
  <si>
    <t>8.910969</t>
  </si>
  <si>
    <t>Trasadingen</t>
  </si>
  <si>
    <t>47.665238</t>
  </si>
  <si>
    <t>8.436804</t>
  </si>
  <si>
    <t>Trassenheide</t>
  </si>
  <si>
    <t>54.081378</t>
  </si>
  <si>
    <t>13.868517</t>
  </si>
  <si>
    <t>Trassenmoor</t>
  </si>
  <si>
    <t>54.091046</t>
  </si>
  <si>
    <t>13.867810</t>
  </si>
  <si>
    <t>Traun</t>
  </si>
  <si>
    <t>50.734132</t>
  </si>
  <si>
    <t>11.819365</t>
  </si>
  <si>
    <t>Traundorf</t>
  </si>
  <si>
    <t>47.838373</t>
  </si>
  <si>
    <t>12.639879</t>
  </si>
  <si>
    <t>Traunreut</t>
  </si>
  <si>
    <t>47.965068</t>
  </si>
  <si>
    <t>12.589768</t>
  </si>
  <si>
    <t>Traunstein</t>
  </si>
  <si>
    <t>47.869727</t>
  </si>
  <si>
    <t>12.638801</t>
  </si>
  <si>
    <t>Traunstein Klinikum</t>
  </si>
  <si>
    <t>47.874557</t>
  </si>
  <si>
    <t>12.633438</t>
  </si>
  <si>
    <t>Trebbin</t>
  </si>
  <si>
    <t>52.217618</t>
  </si>
  <si>
    <t>13.230382</t>
  </si>
  <si>
    <t>Treben-Lehma</t>
  </si>
  <si>
    <t>51.046935</t>
  </si>
  <si>
    <t>12.440947</t>
  </si>
  <si>
    <t>Trebgast</t>
  </si>
  <si>
    <t>50.065328</t>
  </si>
  <si>
    <t>11.552290</t>
  </si>
  <si>
    <t>Trebnitz(Mark)</t>
  </si>
  <si>
    <t>52.538262</t>
  </si>
  <si>
    <t>14.216504</t>
  </si>
  <si>
    <t>Trechtingshausen</t>
  </si>
  <si>
    <t>50.009042</t>
  </si>
  <si>
    <t>7.852359</t>
  </si>
  <si>
    <t>Treis-Karden</t>
  </si>
  <si>
    <t>50.179836</t>
  </si>
  <si>
    <t>7.299635</t>
  </si>
  <si>
    <t>Treuchtlingen</t>
  </si>
  <si>
    <t>48.961267</t>
  </si>
  <si>
    <t>10.908159</t>
  </si>
  <si>
    <t>Treuen</t>
  </si>
  <si>
    <t>50.547935</t>
  </si>
  <si>
    <t>12.301859</t>
  </si>
  <si>
    <t>Treuenbrietzen</t>
  </si>
  <si>
    <t>52.091919</t>
  </si>
  <si>
    <t>12.857911</t>
  </si>
  <si>
    <t>Treuenbrietzen Süd</t>
  </si>
  <si>
    <t>52.080609</t>
  </si>
  <si>
    <t>12.880916</t>
  </si>
  <si>
    <t>Treysa</t>
  </si>
  <si>
    <t>50.910661</t>
  </si>
  <si>
    <t>9.185673</t>
  </si>
  <si>
    <t>Triberg</t>
  </si>
  <si>
    <t>48.140004</t>
  </si>
  <si>
    <t>8.236806</t>
  </si>
  <si>
    <t>Triebes</t>
  </si>
  <si>
    <t>50.688044</t>
  </si>
  <si>
    <t>12.023306</t>
  </si>
  <si>
    <t>Triefenried</t>
  </si>
  <si>
    <t>48.969669</t>
  </si>
  <si>
    <t>13.052686</t>
  </si>
  <si>
    <t>Trier Hafenstraße</t>
  </si>
  <si>
    <t>49.792015</t>
  </si>
  <si>
    <t>6.682724</t>
  </si>
  <si>
    <t>Trier Hbf</t>
  </si>
  <si>
    <t>49.756846</t>
  </si>
  <si>
    <t>6.652453</t>
  </si>
  <si>
    <t>Trier Süd</t>
  </si>
  <si>
    <t>49.744631</t>
  </si>
  <si>
    <t>6.636686</t>
  </si>
  <si>
    <t>Trier West</t>
  </si>
  <si>
    <t>49.751778</t>
  </si>
  <si>
    <t>6.623544</t>
  </si>
  <si>
    <t>Trier-Euren</t>
  </si>
  <si>
    <t>49.738085</t>
  </si>
  <si>
    <t>6.612300</t>
  </si>
  <si>
    <t>Trier-Pallien</t>
  </si>
  <si>
    <t>49.764200</t>
  </si>
  <si>
    <t>6.630140</t>
  </si>
  <si>
    <t>Trier-Zewen</t>
  </si>
  <si>
    <t>49.719988</t>
  </si>
  <si>
    <t>6.580891</t>
  </si>
  <si>
    <t>Triesdorf</t>
  </si>
  <si>
    <t>49.200919</t>
  </si>
  <si>
    <t>10.679144</t>
  </si>
  <si>
    <t>Triptis</t>
  </si>
  <si>
    <t>50.740882</t>
  </si>
  <si>
    <t>11.872173</t>
  </si>
  <si>
    <t>Trochtelfingen ALB-GOLD</t>
  </si>
  <si>
    <t>48.328851</t>
  </si>
  <si>
    <t>9.245916</t>
  </si>
  <si>
    <t>Trochtelfingen(b Bopfingen)</t>
  </si>
  <si>
    <t>48.838365</t>
  </si>
  <si>
    <t>10.401823</t>
  </si>
  <si>
    <t>Trochtelfingen(Hohenz)</t>
  </si>
  <si>
    <t>48.307542</t>
  </si>
  <si>
    <t>9.246268</t>
  </si>
  <si>
    <t>Troisdorf</t>
  </si>
  <si>
    <t>50.813922</t>
  </si>
  <si>
    <t>7.150892</t>
  </si>
  <si>
    <t>Trompet</t>
  </si>
  <si>
    <t>51.413489</t>
  </si>
  <si>
    <t>6.669107</t>
  </si>
  <si>
    <t>Trossingen Bahnhof</t>
  </si>
  <si>
    <t>48.087664</t>
  </si>
  <si>
    <t>8.585154</t>
  </si>
  <si>
    <t>Trossingen Stadt</t>
  </si>
  <si>
    <t>48.074037</t>
  </si>
  <si>
    <t>8.631547</t>
  </si>
  <si>
    <t>Trostberg</t>
  </si>
  <si>
    <t>48.024737</t>
  </si>
  <si>
    <t>12.555646</t>
  </si>
  <si>
    <t>Trostberg ZBH</t>
  </si>
  <si>
    <t>48.027231</t>
  </si>
  <si>
    <t>12.556072</t>
  </si>
  <si>
    <t>Tübingen Hbf</t>
  </si>
  <si>
    <t>48.515641</t>
  </si>
  <si>
    <t>9.055395</t>
  </si>
  <si>
    <t>Tübingen West</t>
  </si>
  <si>
    <t>48.520045</t>
  </si>
  <si>
    <t>9.038249</t>
  </si>
  <si>
    <t>Tübingen-Derendingen</t>
  </si>
  <si>
    <t>48.503486</t>
  </si>
  <si>
    <t>9.050590</t>
  </si>
  <si>
    <t>Tübingen-Lustnau</t>
  </si>
  <si>
    <t>48.524048</t>
  </si>
  <si>
    <t>9.094876</t>
  </si>
  <si>
    <t>Tulling</t>
  </si>
  <si>
    <t>48.082865</t>
  </si>
  <si>
    <t>12.060049</t>
  </si>
  <si>
    <t>Türkenfeld</t>
  </si>
  <si>
    <t>48.104725</t>
  </si>
  <si>
    <t>11.077277</t>
  </si>
  <si>
    <t>Türkheim(Bay)Bf</t>
  </si>
  <si>
    <t>48.045690</t>
  </si>
  <si>
    <t>10.617439</t>
  </si>
  <si>
    <t>Türkismühle</t>
  </si>
  <si>
    <t>49.580358</t>
  </si>
  <si>
    <t>7.114615</t>
  </si>
  <si>
    <t>Tüßling</t>
  </si>
  <si>
    <t>48.211880</t>
  </si>
  <si>
    <t>12.589077</t>
  </si>
  <si>
    <t>Tuttlingen</t>
  </si>
  <si>
    <t>47.980579</t>
  </si>
  <si>
    <t>8.798542</t>
  </si>
  <si>
    <t>Tuttlingen Gänsäcker</t>
  </si>
  <si>
    <t>47.964663</t>
  </si>
  <si>
    <t>8.781233</t>
  </si>
  <si>
    <t>Tuttlingen Nord</t>
  </si>
  <si>
    <t>47.992605</t>
  </si>
  <si>
    <t>8.823737</t>
  </si>
  <si>
    <t>Tuttlingen Schulen</t>
  </si>
  <si>
    <t>47.987335</t>
  </si>
  <si>
    <t>8.801166</t>
  </si>
  <si>
    <t>Tuttlingen Zentrum</t>
  </si>
  <si>
    <t>47.985615</t>
  </si>
  <si>
    <t>8.809435</t>
  </si>
  <si>
    <t>Tutzing</t>
  </si>
  <si>
    <t>47.907142</t>
  </si>
  <si>
    <t>11.272890</t>
  </si>
  <si>
    <t>Twiste</t>
  </si>
  <si>
    <t>51.336260</t>
  </si>
  <si>
    <t>8.964011</t>
  </si>
  <si>
    <t>Twistringen</t>
  </si>
  <si>
    <t>52.791880</t>
  </si>
  <si>
    <t>8.644832</t>
  </si>
  <si>
    <t>Übach-Palenberg</t>
  </si>
  <si>
    <t>50.924336</t>
  </si>
  <si>
    <t>6.097265</t>
  </si>
  <si>
    <t>Ubbedissen</t>
  </si>
  <si>
    <t>51.988447</t>
  </si>
  <si>
    <t>8.637579</t>
  </si>
  <si>
    <t>Überlingen</t>
  </si>
  <si>
    <t>47.769101</t>
  </si>
  <si>
    <t>9.162853</t>
  </si>
  <si>
    <t>Überlingen Hafen</t>
  </si>
  <si>
    <t>47.765573</t>
  </si>
  <si>
    <t>9.159700</t>
  </si>
  <si>
    <t>Überlingen Therme</t>
  </si>
  <si>
    <t>47.769269</t>
  </si>
  <si>
    <t>9.145642</t>
  </si>
  <si>
    <t>Überlingen-Nußdorf</t>
  </si>
  <si>
    <t>47.754859</t>
  </si>
  <si>
    <t>9.188144</t>
  </si>
  <si>
    <t>Übersee</t>
  </si>
  <si>
    <t>47.822047</t>
  </si>
  <si>
    <t>12.487338</t>
  </si>
  <si>
    <t>Ubstadt Ort</t>
  </si>
  <si>
    <t>49.156748</t>
  </si>
  <si>
    <t>8.625553</t>
  </si>
  <si>
    <t>Ubstadt Salzbrunnenstr</t>
  </si>
  <si>
    <t>49.155190</t>
  </si>
  <si>
    <t>8.633025</t>
  </si>
  <si>
    <t>Ubstadt Uhlandstr.</t>
  </si>
  <si>
    <t>49.162713</t>
  </si>
  <si>
    <t>8.628827</t>
  </si>
  <si>
    <t>Ubstadt-Weiher</t>
  </si>
  <si>
    <t>49.167021</t>
  </si>
  <si>
    <t>8.623335</t>
  </si>
  <si>
    <t>Uchtspringe</t>
  </si>
  <si>
    <t>52.543674</t>
  </si>
  <si>
    <t>11.592243</t>
  </si>
  <si>
    <t>Ückeritz</t>
  </si>
  <si>
    <t>54.013918</t>
  </si>
  <si>
    <t>14.049809</t>
  </si>
  <si>
    <t>Uder</t>
  </si>
  <si>
    <t>51.367042</t>
  </si>
  <si>
    <t>10.062149</t>
  </si>
  <si>
    <t>Üdingen</t>
  </si>
  <si>
    <t>50.728109</t>
  </si>
  <si>
    <t>6.481437</t>
  </si>
  <si>
    <t>Uebigau</t>
  </si>
  <si>
    <t>51.585421</t>
  </si>
  <si>
    <t>13.296519</t>
  </si>
  <si>
    <t>Uebigau Markt</t>
  </si>
  <si>
    <t>51.594869</t>
  </si>
  <si>
    <t>13.300362</t>
  </si>
  <si>
    <t>Ueckermünde</t>
  </si>
  <si>
    <t>53.733923</t>
  </si>
  <si>
    <t>14.054080</t>
  </si>
  <si>
    <t>Ueckermünde Stadthafen</t>
  </si>
  <si>
    <t>53.736202</t>
  </si>
  <si>
    <t>14.052233</t>
  </si>
  <si>
    <t>Uelzen</t>
  </si>
  <si>
    <t>52.969781</t>
  </si>
  <si>
    <t>10.553053</t>
  </si>
  <si>
    <t>Uffenheim</t>
  </si>
  <si>
    <t>49.551264</t>
  </si>
  <si>
    <t>10.242887</t>
  </si>
  <si>
    <t>Uffing a Staffelsee</t>
  </si>
  <si>
    <t>47.720150</t>
  </si>
  <si>
    <t>11.158954</t>
  </si>
  <si>
    <t>Uhingen</t>
  </si>
  <si>
    <t>48.708605</t>
  </si>
  <si>
    <t>9.585528</t>
  </si>
  <si>
    <t>Uhldingen-Mühlhofen</t>
  </si>
  <si>
    <t>47.736997</t>
  </si>
  <si>
    <t>9.248419</t>
  </si>
  <si>
    <t>Uhlerborn</t>
  </si>
  <si>
    <t>50.010673</t>
  </si>
  <si>
    <t>8.142584</t>
  </si>
  <si>
    <t>Uhlstädt</t>
  </si>
  <si>
    <t>50.741642</t>
  </si>
  <si>
    <t>11.462662</t>
  </si>
  <si>
    <t>Uhsmannsdorf</t>
  </si>
  <si>
    <t>51.328137</t>
  </si>
  <si>
    <t>14.894309</t>
  </si>
  <si>
    <t>Uhyst</t>
  </si>
  <si>
    <t>51.362845</t>
  </si>
  <si>
    <t>14.509056</t>
  </si>
  <si>
    <t>Uhyst Gaststätte</t>
  </si>
  <si>
    <t>51.365054</t>
  </si>
  <si>
    <t>14.509209</t>
  </si>
  <si>
    <t>Ulberndorf</t>
  </si>
  <si>
    <t>50.874021</t>
  </si>
  <si>
    <t>13.672117</t>
  </si>
  <si>
    <t>Ulbersdorf</t>
  </si>
  <si>
    <t>50.955621</t>
  </si>
  <si>
    <t>14.219801</t>
  </si>
  <si>
    <t>Ulbersdorf Almenhof</t>
  </si>
  <si>
    <t>50.966524</t>
  </si>
  <si>
    <t>14.203957</t>
  </si>
  <si>
    <t>48.399399</t>
  </si>
  <si>
    <t>9.982608</t>
  </si>
  <si>
    <t>Ulm Ost</t>
  </si>
  <si>
    <t>48.407159</t>
  </si>
  <si>
    <t>9.994631</t>
  </si>
  <si>
    <t>Ulm-Donautal</t>
  </si>
  <si>
    <t>48.366340</t>
  </si>
  <si>
    <t>9.940355</t>
  </si>
  <si>
    <t>Ulmen</t>
  </si>
  <si>
    <t>50.214520</t>
  </si>
  <si>
    <t>6.976010</t>
  </si>
  <si>
    <t>Ulm-Söflingen</t>
  </si>
  <si>
    <t>48.402726</t>
  </si>
  <si>
    <t>9.958849</t>
  </si>
  <si>
    <t>Ulzburg Süd</t>
  </si>
  <si>
    <t>53.773460</t>
  </si>
  <si>
    <t>9.972892</t>
  </si>
  <si>
    <t>Umrathshausen Ort</t>
  </si>
  <si>
    <t>47.805741</t>
  </si>
  <si>
    <t>12.326966</t>
  </si>
  <si>
    <t>Unadingen</t>
  </si>
  <si>
    <t>47.881166</t>
  </si>
  <si>
    <t>8.397886</t>
  </si>
  <si>
    <t>Undorf</t>
  </si>
  <si>
    <t>49.027140</t>
  </si>
  <si>
    <t>11.939138</t>
  </si>
  <si>
    <t>Unfriedsdorf</t>
  </si>
  <si>
    <t>50.199537</t>
  </si>
  <si>
    <t>11.752578</t>
  </si>
  <si>
    <t>Ungedanken</t>
  </si>
  <si>
    <t>51.124656</t>
  </si>
  <si>
    <t>9.218971</t>
  </si>
  <si>
    <t>Unkel</t>
  </si>
  <si>
    <t>50.602992</t>
  </si>
  <si>
    <t>7.219678</t>
  </si>
  <si>
    <t>Unkel KD</t>
  </si>
  <si>
    <t>Unna</t>
  </si>
  <si>
    <t>51.538982</t>
  </si>
  <si>
    <t>7.692858</t>
  </si>
  <si>
    <t>Unna West</t>
  </si>
  <si>
    <t>51.538980</t>
  </si>
  <si>
    <t>7.676431</t>
  </si>
  <si>
    <t>Unna-Königsborn</t>
  </si>
  <si>
    <t>51.553280</t>
  </si>
  <si>
    <t>7.687808</t>
  </si>
  <si>
    <t>Unnau-Korb</t>
  </si>
  <si>
    <t>50.654168</t>
  </si>
  <si>
    <t>7.888829</t>
  </si>
  <si>
    <t>Unterammergau</t>
  </si>
  <si>
    <t>47.617464</t>
  </si>
  <si>
    <t>11.030051</t>
  </si>
  <si>
    <t>Unterasbach</t>
  </si>
  <si>
    <t>49.416691</t>
  </si>
  <si>
    <t>10.985390</t>
  </si>
  <si>
    <t>Unteraschau</t>
  </si>
  <si>
    <t>47.922956</t>
  </si>
  <si>
    <t>12.697808</t>
  </si>
  <si>
    <t>Unterelchingen</t>
  </si>
  <si>
    <t>48.452989</t>
  </si>
  <si>
    <t>10.100191</t>
  </si>
  <si>
    <t>Unterföhring</t>
  </si>
  <si>
    <t>48.190310</t>
  </si>
  <si>
    <t>11.646772</t>
  </si>
  <si>
    <t>Untergimpern</t>
  </si>
  <si>
    <t>49.269021</t>
  </si>
  <si>
    <t>9.011964</t>
  </si>
  <si>
    <t>Untergrainau</t>
  </si>
  <si>
    <t>47.481117</t>
  </si>
  <si>
    <t>11.042821</t>
  </si>
  <si>
    <t>Untergriesheim</t>
  </si>
  <si>
    <t>49.265104</t>
  </si>
  <si>
    <t>9.222779</t>
  </si>
  <si>
    <t>Untergrombach</t>
  </si>
  <si>
    <t>49.087651</t>
  </si>
  <si>
    <t>8.548290</t>
  </si>
  <si>
    <t>Unterhaching</t>
  </si>
  <si>
    <t>48.064962</t>
  </si>
  <si>
    <t>11.612359</t>
  </si>
  <si>
    <t>Unterharmersbach</t>
  </si>
  <si>
    <t>48.354139</t>
  </si>
  <si>
    <t>8.089966</t>
  </si>
  <si>
    <t>Unterhausen(Bay)</t>
  </si>
  <si>
    <t>48.716773</t>
  </si>
  <si>
    <t>11.100288</t>
  </si>
  <si>
    <t>Unterheckenhofen</t>
  </si>
  <si>
    <t>49.213517</t>
  </si>
  <si>
    <t>11.056154</t>
  </si>
  <si>
    <t>Unterjesingen Mitte</t>
  </si>
  <si>
    <t>48.524681</t>
  </si>
  <si>
    <t>8.981736</t>
  </si>
  <si>
    <t>Unterjesingen Sandäcker</t>
  </si>
  <si>
    <t>48.523306</t>
  </si>
  <si>
    <t>8.988261</t>
  </si>
  <si>
    <t>Unterkochen</t>
  </si>
  <si>
    <t>48.815008</t>
  </si>
  <si>
    <t>10.126493</t>
  </si>
  <si>
    <t>Unterlemnitz</t>
  </si>
  <si>
    <t>50.469342</t>
  </si>
  <si>
    <t>11.623841</t>
  </si>
  <si>
    <t>Unterlenningen</t>
  </si>
  <si>
    <t>48.565255</t>
  </si>
  <si>
    <t>9.460555</t>
  </si>
  <si>
    <t>Unterloquitz</t>
  </si>
  <si>
    <t>50.580446</t>
  </si>
  <si>
    <t>11.391975</t>
  </si>
  <si>
    <t>Unterlüß</t>
  </si>
  <si>
    <t>52.834869</t>
  </si>
  <si>
    <t>10.300262</t>
  </si>
  <si>
    <t>Untermaßfeld</t>
  </si>
  <si>
    <t>50.536633</t>
  </si>
  <si>
    <t>10.415475</t>
  </si>
  <si>
    <t>Untermaubach-Schlagstein</t>
  </si>
  <si>
    <t>50.726853</t>
  </si>
  <si>
    <t>6.460448</t>
  </si>
  <si>
    <t>Untermünkheim Schule</t>
  </si>
  <si>
    <t>49.153775</t>
  </si>
  <si>
    <t>9.736324</t>
  </si>
  <si>
    <t>Unterneudorf</t>
  </si>
  <si>
    <t>50.493693</t>
  </si>
  <si>
    <t>12.974610</t>
  </si>
  <si>
    <t>Unteröwisheim Bf</t>
  </si>
  <si>
    <t>49.146342</t>
  </si>
  <si>
    <t>8.668986</t>
  </si>
  <si>
    <t>Unteröwisheim M.-Luther-Str.</t>
  </si>
  <si>
    <t>49.146484</t>
  </si>
  <si>
    <t>8.662020</t>
  </si>
  <si>
    <t>Unterreichenbach</t>
  </si>
  <si>
    <t>48.826858</t>
  </si>
  <si>
    <t>8.711284</t>
  </si>
  <si>
    <t>Unterrot</t>
  </si>
  <si>
    <t>48.980371</t>
  </si>
  <si>
    <t>9.778057</t>
  </si>
  <si>
    <t>Unterschleißheim</t>
  </si>
  <si>
    <t>48.273700</t>
  </si>
  <si>
    <t>11.568628</t>
  </si>
  <si>
    <t>Unterschwaningen</t>
  </si>
  <si>
    <t>49.071758</t>
  </si>
  <si>
    <t>10.631968</t>
  </si>
  <si>
    <t>Untersteinach(b Stadtsteinach)</t>
  </si>
  <si>
    <t>50.129846</t>
  </si>
  <si>
    <t>11.528122</t>
  </si>
  <si>
    <t>Untersteinach(Bayr)</t>
  </si>
  <si>
    <t>49.968884</t>
  </si>
  <si>
    <t>11.689862</t>
  </si>
  <si>
    <t>Unteruhldingen</t>
  </si>
  <si>
    <t>47.723494</t>
  </si>
  <si>
    <t>9.228984</t>
  </si>
  <si>
    <t>Unterwellenborn</t>
  </si>
  <si>
    <t>50.659253</t>
  </si>
  <si>
    <t>11.435073</t>
  </si>
  <si>
    <t>Unterwiesenthal</t>
  </si>
  <si>
    <t>50.427760</t>
  </si>
  <si>
    <t>12.989118</t>
  </si>
  <si>
    <t>Unterwurmbach</t>
  </si>
  <si>
    <t>49.106024</t>
  </si>
  <si>
    <t>10.730880</t>
  </si>
  <si>
    <t>Uphusum</t>
  </si>
  <si>
    <t>54.838594</t>
  </si>
  <si>
    <t>8.862821</t>
  </si>
  <si>
    <t>Urbach(b Schorndorf)</t>
  </si>
  <si>
    <t>48.804956</t>
  </si>
  <si>
    <t>9.573734</t>
  </si>
  <si>
    <t>Urft</t>
  </si>
  <si>
    <t>50.512369</t>
  </si>
  <si>
    <t>6.580173</t>
  </si>
  <si>
    <t>Urmersbach</t>
  </si>
  <si>
    <t>50.255912</t>
  </si>
  <si>
    <t>7.131850</t>
  </si>
  <si>
    <t>Urmitz Rheinbrücke</t>
  </si>
  <si>
    <t>50.418417</t>
  </si>
  <si>
    <t>7.527995</t>
  </si>
  <si>
    <t>Urschalling</t>
  </si>
  <si>
    <t>47.835815</t>
  </si>
  <si>
    <t>12.338690</t>
  </si>
  <si>
    <t>Urspring</t>
  </si>
  <si>
    <t>48.550144</t>
  </si>
  <si>
    <t>9.894569</t>
  </si>
  <si>
    <t>Ürzig(DB)</t>
  </si>
  <si>
    <t>49.995933</t>
  </si>
  <si>
    <t>7.004806</t>
  </si>
  <si>
    <t>Usch-Zendscheid</t>
  </si>
  <si>
    <t>50.102659</t>
  </si>
  <si>
    <t>6.602947</t>
  </si>
  <si>
    <t>Usingen</t>
  </si>
  <si>
    <t>50.330923</t>
  </si>
  <si>
    <t>8.527254</t>
  </si>
  <si>
    <t>Uslar</t>
  </si>
  <si>
    <t>51.654481</t>
  </si>
  <si>
    <t>9.655240</t>
  </si>
  <si>
    <t>Usseln</t>
  </si>
  <si>
    <t>51.280708</t>
  </si>
  <si>
    <t>8.670227</t>
  </si>
  <si>
    <t>Utting</t>
  </si>
  <si>
    <t>48.022741</t>
  </si>
  <si>
    <t>11.093969</t>
  </si>
  <si>
    <t>Utzedel</t>
  </si>
  <si>
    <t>53.860724</t>
  </si>
  <si>
    <t>13.116222</t>
  </si>
  <si>
    <t>Utzedel Gaststätte</t>
  </si>
  <si>
    <t>53.857266</t>
  </si>
  <si>
    <t>13.126393</t>
  </si>
  <si>
    <t>Utzerath</t>
  </si>
  <si>
    <t>50.233902</t>
  </si>
  <si>
    <t>6.931230</t>
  </si>
  <si>
    <t>Vach</t>
  </si>
  <si>
    <t>49.517572</t>
  </si>
  <si>
    <t>10.986146</t>
  </si>
  <si>
    <t>Vacha</t>
  </si>
  <si>
    <t>50.826416</t>
  </si>
  <si>
    <t>10.026649</t>
  </si>
  <si>
    <t>Vachdorf</t>
  </si>
  <si>
    <t>50.529337</t>
  </si>
  <si>
    <t>10.538533</t>
  </si>
  <si>
    <t>Vachendorf</t>
  </si>
  <si>
    <t>47.826814</t>
  </si>
  <si>
    <t>12.321880</t>
  </si>
  <si>
    <t>Vahldorf</t>
  </si>
  <si>
    <t>52.252389</t>
  </si>
  <si>
    <t>11.499764</t>
  </si>
  <si>
    <t>Vaihingen(Enz)</t>
  </si>
  <si>
    <t>48.948118</t>
  </si>
  <si>
    <t>8.957632</t>
  </si>
  <si>
    <t>Vaihingen(Enz)Nord</t>
  </si>
  <si>
    <t>48.954861</t>
  </si>
  <si>
    <t>8.985445</t>
  </si>
  <si>
    <t>Valbert</t>
  </si>
  <si>
    <t>51.104126</t>
  </si>
  <si>
    <t>7.723306</t>
  </si>
  <si>
    <t>Vallendar</t>
  </si>
  <si>
    <t>50.399717</t>
  </si>
  <si>
    <t>7.610039</t>
  </si>
  <si>
    <t>Varel(Oldb)</t>
  </si>
  <si>
    <t>53.399098</t>
  </si>
  <si>
    <t>8.150187</t>
  </si>
  <si>
    <t>Vastorf</t>
  </si>
  <si>
    <t>53.199049</t>
  </si>
  <si>
    <t>10.555558</t>
  </si>
  <si>
    <t>Vaterstetten</t>
  </si>
  <si>
    <t>48.104109</t>
  </si>
  <si>
    <t>11.764380</t>
  </si>
  <si>
    <t>Vatterode</t>
  </si>
  <si>
    <t>51.597544</t>
  </si>
  <si>
    <t>11.429300</t>
  </si>
  <si>
    <t>Vatteröder Teich</t>
  </si>
  <si>
    <t>51.598114</t>
  </si>
  <si>
    <t>11.412177</t>
  </si>
  <si>
    <t>Vechelde</t>
  </si>
  <si>
    <t>52.257212</t>
  </si>
  <si>
    <t>10.359760</t>
  </si>
  <si>
    <t>Vechta</t>
  </si>
  <si>
    <t>52.728904</t>
  </si>
  <si>
    <t>8.280367</t>
  </si>
  <si>
    <t>Vechta-Stoppelmarkt</t>
  </si>
  <si>
    <t>52.748366</t>
  </si>
  <si>
    <t>8.292049</t>
  </si>
  <si>
    <t>Vehlefanz</t>
  </si>
  <si>
    <t>52.722332</t>
  </si>
  <si>
    <t>13.114827</t>
  </si>
  <si>
    <t>Veilsdorf</t>
  </si>
  <si>
    <t>50.415330</t>
  </si>
  <si>
    <t>10.813763</t>
  </si>
  <si>
    <t>Veitshöchheim</t>
  </si>
  <si>
    <t>49.831432</t>
  </si>
  <si>
    <t>9.876196</t>
  </si>
  <si>
    <t>Vejprty(Gr)</t>
  </si>
  <si>
    <t>Velbert Rosenhügel</t>
  </si>
  <si>
    <t>51.300124</t>
  </si>
  <si>
    <t>7.101725</t>
  </si>
  <si>
    <t>Velbert-Langenberg</t>
  </si>
  <si>
    <t>51.354764</t>
  </si>
  <si>
    <t>7.122377</t>
  </si>
  <si>
    <t>Velbert-Neviges</t>
  </si>
  <si>
    <t>51.313159</t>
  </si>
  <si>
    <t>7.090484</t>
  </si>
  <si>
    <t>Velbert-Nierenhof</t>
  </si>
  <si>
    <t>51.372376</t>
  </si>
  <si>
    <t>7.134154</t>
  </si>
  <si>
    <t>Velden(b Hersbruck)</t>
  </si>
  <si>
    <t>49.610808</t>
  </si>
  <si>
    <t>11.518333</t>
  </si>
  <si>
    <t>Velgast</t>
  </si>
  <si>
    <t>54.277316</t>
  </si>
  <si>
    <t>12.803137</t>
  </si>
  <si>
    <t>Vellmar-Niedervellmar</t>
  </si>
  <si>
    <t>51.351851</t>
  </si>
  <si>
    <t>9.478438</t>
  </si>
  <si>
    <t>Vellmar-Obervellmar</t>
  </si>
  <si>
    <t>51.359679</t>
  </si>
  <si>
    <t>9.452475</t>
  </si>
  <si>
    <t>Vellmar-Osterberg/EKZ</t>
  </si>
  <si>
    <t>51.354260</t>
  </si>
  <si>
    <t>9.460796</t>
  </si>
  <si>
    <t>Velten(Mark)</t>
  </si>
  <si>
    <t>52.684889</t>
  </si>
  <si>
    <t>13.172034</t>
  </si>
  <si>
    <t>Venlo(Gr)</t>
  </si>
  <si>
    <t>Ventschow</t>
  </si>
  <si>
    <t>53.787208</t>
  </si>
  <si>
    <t>11.580016</t>
  </si>
  <si>
    <t>Verden(Aller)</t>
  </si>
  <si>
    <t>52.920818</t>
  </si>
  <si>
    <t>9.237855</t>
  </si>
  <si>
    <t>Veringendorf</t>
  </si>
  <si>
    <t>48.160279</t>
  </si>
  <si>
    <t>9.199108</t>
  </si>
  <si>
    <t>Veringenstadt</t>
  </si>
  <si>
    <t>48.181412</t>
  </si>
  <si>
    <t>9.210822</t>
  </si>
  <si>
    <t>Verl(Bz Detmold)</t>
  </si>
  <si>
    <t>51.880986</t>
  </si>
  <si>
    <t>8.508357</t>
  </si>
  <si>
    <t>Vernawahlshausen</t>
  </si>
  <si>
    <t>51.629438</t>
  </si>
  <si>
    <t>9.614148</t>
  </si>
  <si>
    <t>Versmold</t>
  </si>
  <si>
    <t>52.039937</t>
  </si>
  <si>
    <t>8.147086</t>
  </si>
  <si>
    <t>Vetschau</t>
  </si>
  <si>
    <t>51.789759</t>
  </si>
  <si>
    <t>14.081023</t>
  </si>
  <si>
    <t>Vetschau Bahnhofstr.</t>
  </si>
  <si>
    <t>Vettweiß</t>
  </si>
  <si>
    <t>50.743072</t>
  </si>
  <si>
    <t>6.602616</t>
  </si>
  <si>
    <t>Vettweiß-Jakobwüllesheim</t>
  </si>
  <si>
    <t>50.766705</t>
  </si>
  <si>
    <t>6.565209</t>
  </si>
  <si>
    <t>Viechtach</t>
  </si>
  <si>
    <t>49.078858</t>
  </si>
  <si>
    <t>12.889374</t>
  </si>
  <si>
    <t>Vierenstraße</t>
  </si>
  <si>
    <t>50.466902</t>
  </si>
  <si>
    <t>12.967797</t>
  </si>
  <si>
    <t>Vierkirchen-Esterhofen</t>
  </si>
  <si>
    <t>48.361118</t>
  </si>
  <si>
    <t>11.445108</t>
  </si>
  <si>
    <t>Viernau</t>
  </si>
  <si>
    <t>50.667106</t>
  </si>
  <si>
    <t>10.558908</t>
  </si>
  <si>
    <t>Vierow</t>
  </si>
  <si>
    <t>54.117558</t>
  </si>
  <si>
    <t>13.575303</t>
  </si>
  <si>
    <t>Viersen</t>
  </si>
  <si>
    <t>51.254947</t>
  </si>
  <si>
    <t>6.403896</t>
  </si>
  <si>
    <t>Vieselbach</t>
  </si>
  <si>
    <t>50.992950</t>
  </si>
  <si>
    <t>11.138329</t>
  </si>
  <si>
    <t>Villingen(Schwarzw)</t>
  </si>
  <si>
    <t>48.058022</t>
  </si>
  <si>
    <t>8.465261</t>
  </si>
  <si>
    <t>Villingen-Schwenningen Eisstadion</t>
  </si>
  <si>
    <t>48.052772</t>
  </si>
  <si>
    <t>8.528553</t>
  </si>
  <si>
    <t>Villingen-Schwenningen Hammerstatt</t>
  </si>
  <si>
    <t>48.060175</t>
  </si>
  <si>
    <t>8.546922</t>
  </si>
  <si>
    <t>Villmar</t>
  </si>
  <si>
    <t>50.395653</t>
  </si>
  <si>
    <t>8.187019</t>
  </si>
  <si>
    <t>Villmar Rathaus</t>
  </si>
  <si>
    <t>50.391645</t>
  </si>
  <si>
    <t>8.192212</t>
  </si>
  <si>
    <t>Vilsbiburg</t>
  </si>
  <si>
    <t>48.447384</t>
  </si>
  <si>
    <t>12.347500</t>
  </si>
  <si>
    <t>Vilseck</t>
  </si>
  <si>
    <t>49.615629</t>
  </si>
  <si>
    <t>11.801058</t>
  </si>
  <si>
    <t>Vilsen Ort DEV</t>
  </si>
  <si>
    <t>52.820402</t>
  </si>
  <si>
    <t>8.992505</t>
  </si>
  <si>
    <t>Vilshofen(Niederbay)</t>
  </si>
  <si>
    <t>48.629551</t>
  </si>
  <si>
    <t>13.190867</t>
  </si>
  <si>
    <t>Vinzelberg</t>
  </si>
  <si>
    <t>52.569185</t>
  </si>
  <si>
    <t>11.671960</t>
  </si>
  <si>
    <t>Visselhövede</t>
  </si>
  <si>
    <t>52.980059</t>
  </si>
  <si>
    <t>9.566642</t>
  </si>
  <si>
    <t>Vitte(Hiddensee)</t>
  </si>
  <si>
    <t>54.568871</t>
  </si>
  <si>
    <t>13.109393</t>
  </si>
  <si>
    <t>Vlotho</t>
  </si>
  <si>
    <t>52.171800</t>
  </si>
  <si>
    <t>8.864190</t>
  </si>
  <si>
    <t>Voerde(Niederrhein)</t>
  </si>
  <si>
    <t>51.597541</t>
  </si>
  <si>
    <t>6.688813</t>
  </si>
  <si>
    <t>Vogelsang(Kr Oberhavel)</t>
  </si>
  <si>
    <t>53.037712</t>
  </si>
  <si>
    <t>13.385687</t>
  </si>
  <si>
    <t>Vogelweh</t>
  </si>
  <si>
    <t>49.438535</t>
  </si>
  <si>
    <t>7.706011</t>
  </si>
  <si>
    <t>Vohburg-Rockolding</t>
  </si>
  <si>
    <t>48.739437</t>
  </si>
  <si>
    <t>11.608912</t>
  </si>
  <si>
    <t>Vöhl-Ederbringhausen</t>
  </si>
  <si>
    <t>51.129568</t>
  </si>
  <si>
    <t>8.871803</t>
  </si>
  <si>
    <t>Vöhl-Herzhausen</t>
  </si>
  <si>
    <t>51.181224</t>
  </si>
  <si>
    <t>8.884998</t>
  </si>
  <si>
    <t>Vöhl-Schmittlotheim</t>
  </si>
  <si>
    <t>51.156838</t>
  </si>
  <si>
    <t>8.900261</t>
  </si>
  <si>
    <t>Vöhl-Thalitter</t>
  </si>
  <si>
    <t>51.217442</t>
  </si>
  <si>
    <t>8.895033</t>
  </si>
  <si>
    <t>Vohren</t>
  </si>
  <si>
    <t>51.943400</t>
  </si>
  <si>
    <t>8.058158</t>
  </si>
  <si>
    <t>Vöhringen</t>
  </si>
  <si>
    <t>48.279088</t>
  </si>
  <si>
    <t>10.083628</t>
  </si>
  <si>
    <t>Vöhrum</t>
  </si>
  <si>
    <t>52.335431</t>
  </si>
  <si>
    <t>10.168802</t>
  </si>
  <si>
    <t>Voigtsgrün</t>
  </si>
  <si>
    <t>50.634018</t>
  </si>
  <si>
    <t>12.426541</t>
  </si>
  <si>
    <t>Voigtstedt</t>
  </si>
  <si>
    <t>51.391632</t>
  </si>
  <si>
    <t>11.306824</t>
  </si>
  <si>
    <t>Volkach-Astheim</t>
  </si>
  <si>
    <t>49.864345</t>
  </si>
  <si>
    <t>10.217033</t>
  </si>
  <si>
    <t>49.249091</t>
  </si>
  <si>
    <t>6.848156</t>
  </si>
  <si>
    <t>Volkmarsen</t>
  </si>
  <si>
    <t>51.407567</t>
  </si>
  <si>
    <t>9.117226</t>
  </si>
  <si>
    <t>Volkringhausen</t>
  </si>
  <si>
    <t>51.359889</t>
  </si>
  <si>
    <t>7.872214</t>
  </si>
  <si>
    <t>Völksen/Eldagsen</t>
  </si>
  <si>
    <t>52.211875</t>
  </si>
  <si>
    <t>9.626528</t>
  </si>
  <si>
    <t>Volpriehausen</t>
  </si>
  <si>
    <t>51.660967</t>
  </si>
  <si>
    <t>9.737822</t>
  </si>
  <si>
    <t>Vorhop</t>
  </si>
  <si>
    <t>52.648040</t>
  </si>
  <si>
    <t>10.656384</t>
  </si>
  <si>
    <t>Vormwald</t>
  </si>
  <si>
    <t>50.980421</t>
  </si>
  <si>
    <t>8.143094</t>
  </si>
  <si>
    <t>Vormwald Dorf</t>
  </si>
  <si>
    <t>50.989929</t>
  </si>
  <si>
    <t>8.127215</t>
  </si>
  <si>
    <t>Vorra(Pegnitz)</t>
  </si>
  <si>
    <t>49.562673</t>
  </si>
  <si>
    <t>11.493294</t>
  </si>
  <si>
    <t>Voßloch</t>
  </si>
  <si>
    <t>53.790602</t>
  </si>
  <si>
    <t>9.735868</t>
  </si>
  <si>
    <t>Wabern(Bz Kassel)</t>
  </si>
  <si>
    <t>51.103134</t>
  </si>
  <si>
    <t>Wachenheim(Pfalz)</t>
  </si>
  <si>
    <t>49.439300</t>
  </si>
  <si>
    <t>8.191152</t>
  </si>
  <si>
    <t>Wachenheim-Mölsheim</t>
  </si>
  <si>
    <t>49.635467</t>
  </si>
  <si>
    <t>8.167498</t>
  </si>
  <si>
    <t>Wächterhof</t>
  </si>
  <si>
    <t>48.033567</t>
  </si>
  <si>
    <t>11.712731</t>
  </si>
  <si>
    <t>Wächtersbach</t>
  </si>
  <si>
    <t>50.253958</t>
  </si>
  <si>
    <t>9.295828</t>
  </si>
  <si>
    <t>Wackershofen</t>
  </si>
  <si>
    <t>49.137249</t>
  </si>
  <si>
    <t>9.697115</t>
  </si>
  <si>
    <t>Waffenbrunn</t>
  </si>
  <si>
    <t>49.261541</t>
  </si>
  <si>
    <t>12.675032</t>
  </si>
  <si>
    <t>Waghäusel</t>
  </si>
  <si>
    <t>49.248186</t>
  </si>
  <si>
    <t>8.508313</t>
  </si>
  <si>
    <t>Waging</t>
  </si>
  <si>
    <t>47.931617</t>
  </si>
  <si>
    <t>12.727085</t>
  </si>
  <si>
    <t>Wahlbach(Kr Siegen)</t>
  </si>
  <si>
    <t>50.758416</t>
  </si>
  <si>
    <t>8.053783</t>
  </si>
  <si>
    <t>Wahlheim</t>
  </si>
  <si>
    <t>49.719105</t>
  </si>
  <si>
    <t>8.099920</t>
  </si>
  <si>
    <t>Wahlitz</t>
  </si>
  <si>
    <t>52.109177</t>
  </si>
  <si>
    <t>11.788868</t>
  </si>
  <si>
    <t>Wahlstedt</t>
  </si>
  <si>
    <t>53.961055</t>
  </si>
  <si>
    <t>10.229866</t>
  </si>
  <si>
    <t>Wahlwies</t>
  </si>
  <si>
    <t>47.814176</t>
  </si>
  <si>
    <t>8.965227</t>
  </si>
  <si>
    <t>Wahrenholz</t>
  </si>
  <si>
    <t>52.608002</t>
  </si>
  <si>
    <t>10.606954</t>
  </si>
  <si>
    <t>Waiblingen</t>
  </si>
  <si>
    <t>48.826124</t>
  </si>
  <si>
    <t>9.299882</t>
  </si>
  <si>
    <t>Waibstadt</t>
  </si>
  <si>
    <t>49.300941</t>
  </si>
  <si>
    <t>8.919354</t>
  </si>
  <si>
    <t>Waigolshausen</t>
  </si>
  <si>
    <t>49.967293</t>
  </si>
  <si>
    <t>10.116027</t>
  </si>
  <si>
    <t>Wakendorf</t>
  </si>
  <si>
    <t>53.866266</t>
  </si>
  <si>
    <t>10.365956</t>
  </si>
  <si>
    <t>Walddrehna</t>
  </si>
  <si>
    <t>51.772723</t>
  </si>
  <si>
    <t>13.617249</t>
  </si>
  <si>
    <t>Walddrehna Dorfplatz</t>
  </si>
  <si>
    <t>51.778200</t>
  </si>
  <si>
    <t>13.628663</t>
  </si>
  <si>
    <t>Waldenburg(Sachs)</t>
  </si>
  <si>
    <t>50.868208</t>
  </si>
  <si>
    <t>12.617455</t>
  </si>
  <si>
    <t>Waldenburg(Württ)</t>
  </si>
  <si>
    <t>49.202537</t>
  </si>
  <si>
    <t>9.658699</t>
  </si>
  <si>
    <t>Waldershof</t>
  </si>
  <si>
    <t>49.983231</t>
  </si>
  <si>
    <t>12.057994</t>
  </si>
  <si>
    <t>Waldfischbach</t>
  </si>
  <si>
    <t>49.288337</t>
  </si>
  <si>
    <t>7.651516</t>
  </si>
  <si>
    <t>Waldhausen(b Geislingen)</t>
  </si>
  <si>
    <t>48.635308</t>
  </si>
  <si>
    <t>9.907723</t>
  </si>
  <si>
    <t>Waldhausen(b Schorndorf)</t>
  </si>
  <si>
    <t>48.789185</t>
  </si>
  <si>
    <t>9.637927</t>
  </si>
  <si>
    <t>Waldheim</t>
  </si>
  <si>
    <t>51.075819</t>
  </si>
  <si>
    <t>13.013923</t>
  </si>
  <si>
    <t>Waldkirch</t>
  </si>
  <si>
    <t>48.095691</t>
  </si>
  <si>
    <t>7.957245</t>
  </si>
  <si>
    <t>Waldkirchen(Erzgeb)</t>
  </si>
  <si>
    <t>50.762714</t>
  </si>
  <si>
    <t>13.090571</t>
  </si>
  <si>
    <t>Waldkirchen(Niederbay.)</t>
  </si>
  <si>
    <t>48.737164</t>
  </si>
  <si>
    <t>13.606580</t>
  </si>
  <si>
    <t>Waldkraiburg-Kraiburg</t>
  </si>
  <si>
    <t>48.202953</t>
  </si>
  <si>
    <t>12.408022</t>
  </si>
  <si>
    <t>Waldmichelbach</t>
  </si>
  <si>
    <t>49.569330</t>
  </si>
  <si>
    <t>8.838676</t>
  </si>
  <si>
    <t>Waldshut</t>
  </si>
  <si>
    <t>47.621368</t>
  </si>
  <si>
    <t>8.219526</t>
  </si>
  <si>
    <t>Walhausen(Saar)</t>
  </si>
  <si>
    <t>49.558800</t>
  </si>
  <si>
    <t>7.129374</t>
  </si>
  <si>
    <t>Walheim(Württ)</t>
  </si>
  <si>
    <t>49.010941</t>
  </si>
  <si>
    <t>9.152118</t>
  </si>
  <si>
    <t>Walkenried</t>
  </si>
  <si>
    <t>51.584876</t>
  </si>
  <si>
    <t>10.608814</t>
  </si>
  <si>
    <t>Wallau(Lahn)</t>
  </si>
  <si>
    <t>50.922898</t>
  </si>
  <si>
    <t>8.470010</t>
  </si>
  <si>
    <t>Walldorf(Hess)</t>
  </si>
  <si>
    <t>50.001339</t>
  </si>
  <si>
    <t>8.580811</t>
  </si>
  <si>
    <t>Walldorf(Werra)</t>
  </si>
  <si>
    <t>50.617603</t>
  </si>
  <si>
    <t>10.390843</t>
  </si>
  <si>
    <t>Walldürn</t>
  </si>
  <si>
    <t>49.578023</t>
  </si>
  <si>
    <t>9.367542</t>
  </si>
  <si>
    <t>Wallenrod</t>
  </si>
  <si>
    <t>50.664060</t>
  </si>
  <si>
    <t>9.331838</t>
  </si>
  <si>
    <t>Wallersdorf</t>
  </si>
  <si>
    <t>48.740644</t>
  </si>
  <si>
    <t>12.743464</t>
  </si>
  <si>
    <t>Wallertheim</t>
  </si>
  <si>
    <t>49.832648</t>
  </si>
  <si>
    <t>8.049458</t>
  </si>
  <si>
    <t>Walleshausen</t>
  </si>
  <si>
    <t>48.150218</t>
  </si>
  <si>
    <t>10.980995</t>
  </si>
  <si>
    <t>Wallhausen(Helme)</t>
  </si>
  <si>
    <t>51.462026</t>
  </si>
  <si>
    <t>11.206677</t>
  </si>
  <si>
    <t>Wallhausen(Württ)</t>
  </si>
  <si>
    <t>49.209151</t>
  </si>
  <si>
    <t>10.063117</t>
  </si>
  <si>
    <t>Wallwitz(Saalkr)</t>
  </si>
  <si>
    <t>51.581758</t>
  </si>
  <si>
    <t>11.921079</t>
  </si>
  <si>
    <t>Walpertskirchen</t>
  </si>
  <si>
    <t>48.260872</t>
  </si>
  <si>
    <t>11.970421</t>
  </si>
  <si>
    <t>Walporzheim</t>
  </si>
  <si>
    <t>50.532512</t>
  </si>
  <si>
    <t>7.078478</t>
  </si>
  <si>
    <t>Walschleben</t>
  </si>
  <si>
    <t>51.067881</t>
  </si>
  <si>
    <t>10.955958</t>
  </si>
  <si>
    <t>Walsleben</t>
  </si>
  <si>
    <t>52.947039</t>
  </si>
  <si>
    <t>12.679027</t>
  </si>
  <si>
    <t>Walsleben Brücke</t>
  </si>
  <si>
    <t>52.944710</t>
  </si>
  <si>
    <t>12.673906</t>
  </si>
  <si>
    <t>Walsleben Schule</t>
  </si>
  <si>
    <t>52.941475</t>
  </si>
  <si>
    <t>12.667752</t>
  </si>
  <si>
    <t>Walsrode</t>
  </si>
  <si>
    <t>52.864855</t>
  </si>
  <si>
    <t>9.600906</t>
  </si>
  <si>
    <t>Waltershausen</t>
  </si>
  <si>
    <t>50.900730</t>
  </si>
  <si>
    <t>10.563743</t>
  </si>
  <si>
    <t>50.883974</t>
  </si>
  <si>
    <t>10.576211</t>
  </si>
  <si>
    <t>Walthersdorf(Erzgeb)</t>
  </si>
  <si>
    <t>50.546353</t>
  </si>
  <si>
    <t>12.964221</t>
  </si>
  <si>
    <t>Wandersleben</t>
  </si>
  <si>
    <t>50.906666</t>
  </si>
  <si>
    <t>10.852498</t>
  </si>
  <si>
    <t>Wandlitz</t>
  </si>
  <si>
    <t>52.744823</t>
  </si>
  <si>
    <t>13.466150</t>
  </si>
  <si>
    <t>Wandlitzsee</t>
  </si>
  <si>
    <t>52.755967</t>
  </si>
  <si>
    <t>13.474025</t>
  </si>
  <si>
    <t>Wangen(Allgäu)</t>
  </si>
  <si>
    <t>47.689227</t>
  </si>
  <si>
    <t>9.830573</t>
  </si>
  <si>
    <t>Wangen(Bodensee)</t>
  </si>
  <si>
    <t>47.658660</t>
  </si>
  <si>
    <t>8.930281</t>
  </si>
  <si>
    <t>Wangen(Unstrut)</t>
  </si>
  <si>
    <t>51.271505</t>
  </si>
  <si>
    <t>11.545293</t>
  </si>
  <si>
    <t>Wangerooge</t>
  </si>
  <si>
    <t>53.773778</t>
  </si>
  <si>
    <t>7.866469</t>
  </si>
  <si>
    <t>Wanne-Eickel Hbf</t>
  </si>
  <si>
    <t>51.531256</t>
  </si>
  <si>
    <t>7.165783</t>
  </si>
  <si>
    <t>Wannweil</t>
  </si>
  <si>
    <t>48.512315</t>
  </si>
  <si>
    <t>9.150449</t>
  </si>
  <si>
    <t>Wansleben am See</t>
  </si>
  <si>
    <t>51.462417</t>
  </si>
  <si>
    <t>11.746764</t>
  </si>
  <si>
    <t>Wanzleben(Magdeb)</t>
  </si>
  <si>
    <t>52.063541</t>
  </si>
  <si>
    <t>11.450639</t>
  </si>
  <si>
    <t>Warburg(Westf)</t>
  </si>
  <si>
    <t>51.492953</t>
  </si>
  <si>
    <t>9.163845</t>
  </si>
  <si>
    <t>Waren(Müritz)</t>
  </si>
  <si>
    <t>53.521512</t>
  </si>
  <si>
    <t>12.680678</t>
  </si>
  <si>
    <t>Warendorf</t>
  </si>
  <si>
    <t>7.984464</t>
  </si>
  <si>
    <t>Warendorf-Einen-Müssingen</t>
  </si>
  <si>
    <t>51.961400</t>
  </si>
  <si>
    <t>7.894774</t>
  </si>
  <si>
    <t>Warenshof</t>
  </si>
  <si>
    <t>53.530788</t>
  </si>
  <si>
    <t>12.645419</t>
  </si>
  <si>
    <t>Warin Post</t>
  </si>
  <si>
    <t>53.800366</t>
  </si>
  <si>
    <t>11.709536</t>
  </si>
  <si>
    <t>Warmbad</t>
  </si>
  <si>
    <t>50.668495</t>
  </si>
  <si>
    <t>13.064031</t>
  </si>
  <si>
    <t>Warmbad Floßplatz</t>
  </si>
  <si>
    <t>50.670020</t>
  </si>
  <si>
    <t>13.064744</t>
  </si>
  <si>
    <t>Warmensteinach</t>
  </si>
  <si>
    <t>49.994007</t>
  </si>
  <si>
    <t>11.777891</t>
  </si>
  <si>
    <t>Warnemünde</t>
  </si>
  <si>
    <t>54.176852</t>
  </si>
  <si>
    <t>12.091271</t>
  </si>
  <si>
    <t>Warnemünde Werft</t>
  </si>
  <si>
    <t>54.169320</t>
  </si>
  <si>
    <t>12.085638</t>
  </si>
  <si>
    <t>Warngau</t>
  </si>
  <si>
    <t>47.833570</t>
  </si>
  <si>
    <t>11.709472</t>
  </si>
  <si>
    <t>Warnitz(Uckermark)</t>
  </si>
  <si>
    <t>53.182031</t>
  </si>
  <si>
    <t>13.876684</t>
  </si>
  <si>
    <t>Wasbek</t>
  </si>
  <si>
    <t>54.075581</t>
  </si>
  <si>
    <t>9.898016</t>
  </si>
  <si>
    <t>Wasenweiler</t>
  </si>
  <si>
    <t>48.046587</t>
  </si>
  <si>
    <t>7.686813</t>
  </si>
  <si>
    <t>Wasseralfingen</t>
  </si>
  <si>
    <t>48.858615</t>
  </si>
  <si>
    <t>10.103645</t>
  </si>
  <si>
    <t>Wasserburg Hafen</t>
  </si>
  <si>
    <t>47.566032</t>
  </si>
  <si>
    <t>9.630307</t>
  </si>
  <si>
    <t>Wasserburg(Bodensee)</t>
  </si>
  <si>
    <t>47.571903</t>
  </si>
  <si>
    <t>9.639064</t>
  </si>
  <si>
    <t>Wasserburg(Günz)</t>
  </si>
  <si>
    <t>48.438377</t>
  </si>
  <si>
    <t>10.269707</t>
  </si>
  <si>
    <t>Wasserburg(Inn)Bf</t>
  </si>
  <si>
    <t>48.061563</t>
  </si>
  <si>
    <t>12.185230</t>
  </si>
  <si>
    <t>Wasserliesch</t>
  </si>
  <si>
    <t>49.708467</t>
  </si>
  <si>
    <t>6.537216</t>
  </si>
  <si>
    <t>Wasserthaleben</t>
  </si>
  <si>
    <t>51.258457</t>
  </si>
  <si>
    <t>10.890294</t>
  </si>
  <si>
    <t>Wassertrüdingen</t>
  </si>
  <si>
    <t>49.043792</t>
  </si>
  <si>
    <t>10.607434</t>
  </si>
  <si>
    <t>Wasserzell(b Eichstätt)</t>
  </si>
  <si>
    <t>48.875347</t>
  </si>
  <si>
    <t>11.167970</t>
  </si>
  <si>
    <t>Waßmannsdorf</t>
  </si>
  <si>
    <t>52.368420</t>
  </si>
  <si>
    <t>13.463531</t>
  </si>
  <si>
    <t>Wasungen</t>
  </si>
  <si>
    <t>50.662895</t>
  </si>
  <si>
    <t>10.359287</t>
  </si>
  <si>
    <t>Watenstedt</t>
  </si>
  <si>
    <t>52.082814</t>
  </si>
  <si>
    <t>10.832212</t>
  </si>
  <si>
    <t>Wattenscheid</t>
  </si>
  <si>
    <t>51.473214</t>
  </si>
  <si>
    <t>7.139521</t>
  </si>
  <si>
    <t>Wattenscheid-Höntrop</t>
  </si>
  <si>
    <t>51.459894</t>
  </si>
  <si>
    <t>7.153535</t>
  </si>
  <si>
    <t>Watzelsteg</t>
  </si>
  <si>
    <t>49.206939</t>
  </si>
  <si>
    <t>12.899847</t>
  </si>
  <si>
    <t>Watzenborn-Steinberg</t>
  </si>
  <si>
    <t>50.545456</t>
  </si>
  <si>
    <t>8.722997</t>
  </si>
  <si>
    <t>Webau</t>
  </si>
  <si>
    <t>51.178988</t>
  </si>
  <si>
    <t>12.066813</t>
  </si>
  <si>
    <t>Weckesheim</t>
  </si>
  <si>
    <t>50.359559</t>
  </si>
  <si>
    <t>8.843673</t>
  </si>
  <si>
    <t>Weddel(Braunschw)</t>
  </si>
  <si>
    <t>52.269118</t>
  </si>
  <si>
    <t>10.623494</t>
  </si>
  <si>
    <t>Wedel(Holst)</t>
  </si>
  <si>
    <t>53.581995</t>
  </si>
  <si>
    <t>9.705161</t>
  </si>
  <si>
    <t>Weener</t>
  </si>
  <si>
    <t>53.163271</t>
  </si>
  <si>
    <t>7.343095</t>
  </si>
  <si>
    <t>Weener(Gr)</t>
  </si>
  <si>
    <t>Weesenstein</t>
  </si>
  <si>
    <t>50.936358</t>
  </si>
  <si>
    <t>13.862885</t>
  </si>
  <si>
    <t>Weesenstein Gemeindeamt</t>
  </si>
  <si>
    <t>50.934383</t>
  </si>
  <si>
    <t>13.862679</t>
  </si>
  <si>
    <t>Weetzen</t>
  </si>
  <si>
    <t>52.298351</t>
  </si>
  <si>
    <t>9.635376</t>
  </si>
  <si>
    <t>Weeze</t>
  </si>
  <si>
    <t>51.624294</t>
  </si>
  <si>
    <t>6.197976</t>
  </si>
  <si>
    <t>Wefensleben</t>
  </si>
  <si>
    <t>52.176940</t>
  </si>
  <si>
    <t>11.155205</t>
  </si>
  <si>
    <t>Wega</t>
  </si>
  <si>
    <t>51.128192</t>
  </si>
  <si>
    <t>9.175551</t>
  </si>
  <si>
    <t>Wegberg</t>
  </si>
  <si>
    <t>51.145179</t>
  </si>
  <si>
    <t>6.281289</t>
  </si>
  <si>
    <t>Wegeleben</t>
  </si>
  <si>
    <t>51.871583</t>
  </si>
  <si>
    <t>11.168551</t>
  </si>
  <si>
    <t>Wegenstedt</t>
  </si>
  <si>
    <t>52.387075</t>
  </si>
  <si>
    <t>11.208882</t>
  </si>
  <si>
    <t>Wehdel</t>
  </si>
  <si>
    <t>53.512364</t>
  </si>
  <si>
    <t>8.806549</t>
  </si>
  <si>
    <t>Wehr(Mosel)</t>
  </si>
  <si>
    <t>49.586464</t>
  </si>
  <si>
    <t>6.376822</t>
  </si>
  <si>
    <t>Wehr-Brennet</t>
  </si>
  <si>
    <t>47.580920</t>
  </si>
  <si>
    <t>7.910525</t>
  </si>
  <si>
    <t>Wehretal-Reichensachsen</t>
  </si>
  <si>
    <t>51.154096</t>
  </si>
  <si>
    <t>9.985977</t>
  </si>
  <si>
    <t>Wehretal-Reichensachsen Mitte</t>
  </si>
  <si>
    <t>51.151750</t>
  </si>
  <si>
    <t>9.997120</t>
  </si>
  <si>
    <t>Wehrheim</t>
  </si>
  <si>
    <t>50.296348</t>
  </si>
  <si>
    <t>8.567030</t>
  </si>
  <si>
    <t>Weibhausen</t>
  </si>
  <si>
    <t>47.898573</t>
  </si>
  <si>
    <t>12.692476</t>
  </si>
  <si>
    <t>Weichering</t>
  </si>
  <si>
    <t>48.720645</t>
  </si>
  <si>
    <t>11.330409</t>
  </si>
  <si>
    <t>Weickersdorf(Sachs)</t>
  </si>
  <si>
    <t>51.110906</t>
  </si>
  <si>
    <t>14.151122</t>
  </si>
  <si>
    <t>Weickersgrüben</t>
  </si>
  <si>
    <t>50.107067</t>
  </si>
  <si>
    <t>9.782546</t>
  </si>
  <si>
    <t>Weida</t>
  </si>
  <si>
    <t>50.785919</t>
  </si>
  <si>
    <t>12.062243</t>
  </si>
  <si>
    <t>Weida Altstadt</t>
  </si>
  <si>
    <t>50.767870</t>
  </si>
  <si>
    <t>12.058457</t>
  </si>
  <si>
    <t>Weida Mitte</t>
  </si>
  <si>
    <t>50.776506</t>
  </si>
  <si>
    <t>12.055613</t>
  </si>
  <si>
    <t>Weiden(Oberpf)</t>
  </si>
  <si>
    <t>49.670490</t>
  </si>
  <si>
    <t>12.153846</t>
  </si>
  <si>
    <t>Weidenbach</t>
  </si>
  <si>
    <t>48.254124</t>
  </si>
  <si>
    <t>12.347317</t>
  </si>
  <si>
    <t>Weidenberg</t>
  </si>
  <si>
    <t>49.943612</t>
  </si>
  <si>
    <t>11.723267</t>
  </si>
  <si>
    <t>Weidenthal</t>
  </si>
  <si>
    <t>49.417494</t>
  </si>
  <si>
    <t>7.994912</t>
  </si>
  <si>
    <t>Weiding</t>
  </si>
  <si>
    <t>49.255722</t>
  </si>
  <si>
    <t>12.776995</t>
  </si>
  <si>
    <t>Weiherhammer</t>
  </si>
  <si>
    <t>49.631253</t>
  </si>
  <si>
    <t>12.061829</t>
  </si>
  <si>
    <t>Weiherhof</t>
  </si>
  <si>
    <t>49.459926</t>
  </si>
  <si>
    <t>10.928488</t>
  </si>
  <si>
    <t>Weikersheim</t>
  </si>
  <si>
    <t>49.478463</t>
  </si>
  <si>
    <t>9.905718</t>
  </si>
  <si>
    <t>47.593608</t>
  </si>
  <si>
    <t>7.608440</t>
  </si>
  <si>
    <t>Weil am Rhein Ost</t>
  </si>
  <si>
    <t>47.590629</t>
  </si>
  <si>
    <t>7.634780</t>
  </si>
  <si>
    <t>Weil am Rhein-Gartenstadt</t>
  </si>
  <si>
    <t>47.588707</t>
  </si>
  <si>
    <t>7.616284</t>
  </si>
  <si>
    <t>Weil am Rhein-Pfädlistraße</t>
  </si>
  <si>
    <t>47.589015</t>
  </si>
  <si>
    <t>7.626493</t>
  </si>
  <si>
    <t>Weil der Stadt</t>
  </si>
  <si>
    <t>48.755483</t>
  </si>
  <si>
    <t>8.872806</t>
  </si>
  <si>
    <t>Weil im Schönbuch Röte</t>
  </si>
  <si>
    <t>48.620950</t>
  </si>
  <si>
    <t>9.049898</t>
  </si>
  <si>
    <t>Weil im Schönbuch Troppel</t>
  </si>
  <si>
    <t>48.620216</t>
  </si>
  <si>
    <t>9.042722</t>
  </si>
  <si>
    <t>Weil im Schönbuch Untere Halde</t>
  </si>
  <si>
    <t>48.620440</t>
  </si>
  <si>
    <t>9.062796</t>
  </si>
  <si>
    <t>Weilbach(Unterallg)</t>
  </si>
  <si>
    <t>48.125996</t>
  </si>
  <si>
    <t>10.429623</t>
  </si>
  <si>
    <t>Weilbach(Unterfr)</t>
  </si>
  <si>
    <t>49.668683</t>
  </si>
  <si>
    <t>9.213165</t>
  </si>
  <si>
    <t>Weilburg</t>
  </si>
  <si>
    <t>50.487276</t>
  </si>
  <si>
    <t>8.268435</t>
  </si>
  <si>
    <t>Weiler (Brohltal)</t>
  </si>
  <si>
    <t>50.459034</t>
  </si>
  <si>
    <t>7.258502</t>
  </si>
  <si>
    <t>Weiler(Rems)</t>
  </si>
  <si>
    <t>48.800301</t>
  </si>
  <si>
    <t>9.501991</t>
  </si>
  <si>
    <t>Weilerswist</t>
  </si>
  <si>
    <t>50.750293</t>
  </si>
  <si>
    <t>6.845078</t>
  </si>
  <si>
    <t>Weilerswist-Derkum</t>
  </si>
  <si>
    <t>50.704964</t>
  </si>
  <si>
    <t>6.816830</t>
  </si>
  <si>
    <t>Weilheim(Oberbay)</t>
  </si>
  <si>
    <t>47.845363</t>
  </si>
  <si>
    <t>11.142860</t>
  </si>
  <si>
    <t>Weilheim(Württ)</t>
  </si>
  <si>
    <t>48.025106</t>
  </si>
  <si>
    <t>8.775956</t>
  </si>
  <si>
    <t>Weilimdorf</t>
  </si>
  <si>
    <t>48.822080</t>
  </si>
  <si>
    <t>9.094328</t>
  </si>
  <si>
    <t>Weimar</t>
  </si>
  <si>
    <t>50.991487</t>
  </si>
  <si>
    <t>11.326458</t>
  </si>
  <si>
    <t>Weimar Berkaer Bf</t>
  </si>
  <si>
    <t>50.980626</t>
  </si>
  <si>
    <t>11.313686</t>
  </si>
  <si>
    <t>Weimar West</t>
  </si>
  <si>
    <t>50.988083</t>
  </si>
  <si>
    <t>11.311561</t>
  </si>
  <si>
    <t>Weinböhla Hp</t>
  </si>
  <si>
    <t>51.159098</t>
  </si>
  <si>
    <t>13.561549</t>
  </si>
  <si>
    <t>Weingarten Berg</t>
  </si>
  <si>
    <t>47.816852</t>
  </si>
  <si>
    <t>9.616876</t>
  </si>
  <si>
    <t>Weingarten(Baden)</t>
  </si>
  <si>
    <t>49.059101</t>
  </si>
  <si>
    <t>8.521224</t>
  </si>
  <si>
    <t>Weingarten(Württ) Charlottenplatz</t>
  </si>
  <si>
    <t>47.809195</t>
  </si>
  <si>
    <t>9.636997</t>
  </si>
  <si>
    <t>Weinheim(Bergstr)Hbf</t>
  </si>
  <si>
    <t>49.553302</t>
  </si>
  <si>
    <t>8.665351</t>
  </si>
  <si>
    <t>Weinheim-Lützelsachsen</t>
  </si>
  <si>
    <t>49.528075</t>
  </si>
  <si>
    <t>8.650173</t>
  </si>
  <si>
    <t>Weinheim-Sulzbach</t>
  </si>
  <si>
    <t>49.575800</t>
  </si>
  <si>
    <t>8.656360</t>
  </si>
  <si>
    <t>Weinsberg</t>
  </si>
  <si>
    <t>49.147997</t>
  </si>
  <si>
    <t>9.287024</t>
  </si>
  <si>
    <t>Weinsberg West</t>
  </si>
  <si>
    <t>49.151258</t>
  </si>
  <si>
    <t>9.274027</t>
  </si>
  <si>
    <t>Weinsberg/Ellhofen Gewerbegebiet</t>
  </si>
  <si>
    <t>49.148758</t>
  </si>
  <si>
    <t>9.305552</t>
  </si>
  <si>
    <t>Weischlitz</t>
  </si>
  <si>
    <t>50.448105</t>
  </si>
  <si>
    <t>12.060517</t>
  </si>
  <si>
    <t>Weisen</t>
  </si>
  <si>
    <t>53.025546</t>
  </si>
  <si>
    <t>11.787505</t>
  </si>
  <si>
    <t>Weisenbach</t>
  </si>
  <si>
    <t>48.727532</t>
  </si>
  <si>
    <t>8.355263</t>
  </si>
  <si>
    <t>Weisenheim(Sand)</t>
  </si>
  <si>
    <t>49.513931</t>
  </si>
  <si>
    <t>8.249874</t>
  </si>
  <si>
    <t>Weissach</t>
  </si>
  <si>
    <t>48.846464</t>
  </si>
  <si>
    <t>8.934119</t>
  </si>
  <si>
    <t>Weißandt-Gölzau</t>
  </si>
  <si>
    <t>51.669670</t>
  </si>
  <si>
    <t>12.028765</t>
  </si>
  <si>
    <t>Weißandt-Gölzau Tanzfleck</t>
  </si>
  <si>
    <t>51.671190</t>
  </si>
  <si>
    <t>12.068134</t>
  </si>
  <si>
    <t>Weißenau</t>
  </si>
  <si>
    <t>47.765975</t>
  </si>
  <si>
    <t>9.594383</t>
  </si>
  <si>
    <t>Weißenburg(Bay)</t>
  </si>
  <si>
    <t>49.029673</t>
  </si>
  <si>
    <t>10.965390</t>
  </si>
  <si>
    <t>Weißenfels</t>
  </si>
  <si>
    <t>51.204615</t>
  </si>
  <si>
    <t>11.970926</t>
  </si>
  <si>
    <t>Weißenfels West</t>
  </si>
  <si>
    <t>51.194482</t>
  </si>
  <si>
    <t>11.943964</t>
  </si>
  <si>
    <t>Weißenhorn</t>
  </si>
  <si>
    <t>48.305795</t>
  </si>
  <si>
    <t>10.153157</t>
  </si>
  <si>
    <t>Weißenhorn-Eschach</t>
  </si>
  <si>
    <t>48.301053</t>
  </si>
  <si>
    <t>10.134668</t>
  </si>
  <si>
    <t>Weißenohe</t>
  </si>
  <si>
    <t>49.629289</t>
  </si>
  <si>
    <t>11.249367</t>
  </si>
  <si>
    <t>Weißer See</t>
  </si>
  <si>
    <t>53.283034</t>
  </si>
  <si>
    <t>12.948926</t>
  </si>
  <si>
    <t>Weißes Roß</t>
  </si>
  <si>
    <t>51.106628</t>
  </si>
  <si>
    <t>13.661618</t>
  </si>
  <si>
    <t>Weißwasser(Oberlausitz)</t>
  </si>
  <si>
    <t>51.505442</t>
  </si>
  <si>
    <t>14.638027</t>
  </si>
  <si>
    <t>Weiterstadt</t>
  </si>
  <si>
    <t>49.909706</t>
  </si>
  <si>
    <t>8.579385</t>
  </si>
  <si>
    <t>Weixdorf</t>
  </si>
  <si>
    <t>51.150040</t>
  </si>
  <si>
    <t>13.806676</t>
  </si>
  <si>
    <t>Weixdorf Bad</t>
  </si>
  <si>
    <t>51.140116</t>
  </si>
  <si>
    <t>13.802003</t>
  </si>
  <si>
    <t>Weizen</t>
  </si>
  <si>
    <t>47.768832</t>
  </si>
  <si>
    <t>8.476514</t>
  </si>
  <si>
    <t>Weizern-Hopferau</t>
  </si>
  <si>
    <t>47.614593</t>
  </si>
  <si>
    <t>10.620460</t>
  </si>
  <si>
    <t>Welgesheim-Zotzenheim</t>
  </si>
  <si>
    <t>49.878575</t>
  </si>
  <si>
    <t>7.956653</t>
  </si>
  <si>
    <t>Welkers</t>
  </si>
  <si>
    <t>50.480996</t>
  </si>
  <si>
    <t>9.722538</t>
  </si>
  <si>
    <t>Wellen(Magdeburg)</t>
  </si>
  <si>
    <t>52.136163</t>
  </si>
  <si>
    <t>11.432138</t>
  </si>
  <si>
    <t>Wellen(Mosel)</t>
  </si>
  <si>
    <t>49.672660</t>
  </si>
  <si>
    <t>6.441322</t>
  </si>
  <si>
    <t>Wellendorf</t>
  </si>
  <si>
    <t>52.181173</t>
  </si>
  <si>
    <t>8.140157</t>
  </si>
  <si>
    <t>Wellmitz</t>
  </si>
  <si>
    <t>52.064644</t>
  </si>
  <si>
    <t>14.714896</t>
  </si>
  <si>
    <t>Welschen Ennest</t>
  </si>
  <si>
    <t>51.041970</t>
  </si>
  <si>
    <t>8.003610</t>
  </si>
  <si>
    <t>Welschingen-Neuhausen</t>
  </si>
  <si>
    <t>47.834030</t>
  </si>
  <si>
    <t>8.769216</t>
  </si>
  <si>
    <t>Welver</t>
  </si>
  <si>
    <t>51.616253</t>
  </si>
  <si>
    <t>Welver Ramesohl</t>
  </si>
  <si>
    <t>51.672539</t>
  </si>
  <si>
    <t>7.987777</t>
  </si>
  <si>
    <t>Wemmetsweiler Rathaus</t>
  </si>
  <si>
    <t>49.369521</t>
  </si>
  <si>
    <t>7.085936</t>
  </si>
  <si>
    <t>Wendisch Evern</t>
  </si>
  <si>
    <t>53.217641</t>
  </si>
  <si>
    <t>10.462781</t>
  </si>
  <si>
    <t>Wendisch Priborn</t>
  </si>
  <si>
    <t>53.341170</t>
  </si>
  <si>
    <t>12.265289</t>
  </si>
  <si>
    <t>Wendisch-Rietz</t>
  </si>
  <si>
    <t>52.206826</t>
  </si>
  <si>
    <t>14.009652</t>
  </si>
  <si>
    <t>Wendlingen(Neckar)</t>
  </si>
  <si>
    <t>48.672961</t>
  </si>
  <si>
    <t>9.373011</t>
  </si>
  <si>
    <t>Wennedach</t>
  </si>
  <si>
    <t>48.119398</t>
  </si>
  <si>
    <t>9.902746</t>
  </si>
  <si>
    <t>Wennigsen(Deister)</t>
  </si>
  <si>
    <t>52.279628</t>
  </si>
  <si>
    <t>9.572167</t>
  </si>
  <si>
    <t>Wensickendorf</t>
  </si>
  <si>
    <t>52.754973</t>
  </si>
  <si>
    <t>13.386685</t>
  </si>
  <si>
    <t>Werbig</t>
  </si>
  <si>
    <t>52.564886</t>
  </si>
  <si>
    <t>14.405238</t>
  </si>
  <si>
    <t>Werdau</t>
  </si>
  <si>
    <t>50.725739</t>
  </si>
  <si>
    <t>12.367019</t>
  </si>
  <si>
    <t>Werdau Nord</t>
  </si>
  <si>
    <t>50.743676</t>
  </si>
  <si>
    <t>12.371521</t>
  </si>
  <si>
    <t>Werder(Havel)</t>
  </si>
  <si>
    <t>52.392939</t>
  </si>
  <si>
    <t>12.926189</t>
  </si>
  <si>
    <t>Werdohl</t>
  </si>
  <si>
    <t>51.259485</t>
  </si>
  <si>
    <t>7.757544</t>
  </si>
  <si>
    <t>Werdorf</t>
  </si>
  <si>
    <t>50.592829</t>
  </si>
  <si>
    <t>8.417263</t>
  </si>
  <si>
    <t>Werdum Feuerwehr</t>
  </si>
  <si>
    <t>53.658634</t>
  </si>
  <si>
    <t>7.715882</t>
  </si>
  <si>
    <t>Werl</t>
  </si>
  <si>
    <t>51.558073</t>
  </si>
  <si>
    <t>7.914136</t>
  </si>
  <si>
    <t>Wernau(Neckar)</t>
  </si>
  <si>
    <t>48.694247</t>
  </si>
  <si>
    <t>9.413898</t>
  </si>
  <si>
    <t>Wernberg</t>
  </si>
  <si>
    <t>49.538931</t>
  </si>
  <si>
    <t>12.146226</t>
  </si>
  <si>
    <t>Werne a d Lippe</t>
  </si>
  <si>
    <t>51.669250</t>
  </si>
  <si>
    <t>7.622934</t>
  </si>
  <si>
    <t>Werneuchen</t>
  </si>
  <si>
    <t>52.637456</t>
  </si>
  <si>
    <t>13.738310</t>
  </si>
  <si>
    <t>Wernfeld</t>
  </si>
  <si>
    <t>50.026065</t>
  </si>
  <si>
    <t>9.725529</t>
  </si>
  <si>
    <t>Wernigerode Elmowerk</t>
  </si>
  <si>
    <t>51.838791</t>
  </si>
  <si>
    <t>10.769264</t>
  </si>
  <si>
    <t>Wernigerode Hbf</t>
  </si>
  <si>
    <t>51.840254</t>
  </si>
  <si>
    <t>10.788805</t>
  </si>
  <si>
    <t>Wernigerode Hochschule Harz</t>
  </si>
  <si>
    <t>51.826217</t>
  </si>
  <si>
    <t>10.765687</t>
  </si>
  <si>
    <t>Wernigerode Westerntor</t>
  </si>
  <si>
    <t>51.833960</t>
  </si>
  <si>
    <t>10.780256</t>
  </si>
  <si>
    <t>Wernigerode-Hasserode</t>
  </si>
  <si>
    <t>51.820098</t>
  </si>
  <si>
    <t>10.743219</t>
  </si>
  <si>
    <t>Wernshausen</t>
  </si>
  <si>
    <t>50.721240</t>
  </si>
  <si>
    <t>10.353606</t>
  </si>
  <si>
    <t>Wersen</t>
  </si>
  <si>
    <t>52.312779</t>
  </si>
  <si>
    <t>7.944586</t>
  </si>
  <si>
    <t>Wertach-Haslach</t>
  </si>
  <si>
    <t>47.628915</t>
  </si>
  <si>
    <t>10.460250</t>
  </si>
  <si>
    <t>Wertheim</t>
  </si>
  <si>
    <t>49.762025</t>
  </si>
  <si>
    <t>9.513095</t>
  </si>
  <si>
    <t>Wertheim-Bestenheid</t>
  </si>
  <si>
    <t>49.786182</t>
  </si>
  <si>
    <t>9.499932</t>
  </si>
  <si>
    <t>Werther</t>
  </si>
  <si>
    <t>51.469919</t>
  </si>
  <si>
    <t>10.742145</t>
  </si>
  <si>
    <t>Wesel</t>
  </si>
  <si>
    <t>51.655840</t>
  </si>
  <si>
    <t>6.627134</t>
  </si>
  <si>
    <t>Wesel Feldmark</t>
  </si>
  <si>
    <t>51.676658</t>
  </si>
  <si>
    <t>6.616308</t>
  </si>
  <si>
    <t>Wesel-Blumenkamp</t>
  </si>
  <si>
    <t>51.695217</t>
  </si>
  <si>
    <t>6.613118</t>
  </si>
  <si>
    <t>Wesenberg</t>
  </si>
  <si>
    <t>53.286702</t>
  </si>
  <si>
    <t>12.962746</t>
  </si>
  <si>
    <t>Wesselburen</t>
  </si>
  <si>
    <t>54.207179</t>
  </si>
  <si>
    <t>8.932718</t>
  </si>
  <si>
    <t>Wesseling KD</t>
  </si>
  <si>
    <t>Wesseln</t>
  </si>
  <si>
    <t>52.081543</t>
  </si>
  <si>
    <t>10.034206</t>
  </si>
  <si>
    <t>Weßling(Oberbay)</t>
  </si>
  <si>
    <t>48.077374</t>
  </si>
  <si>
    <t>11.251768</t>
  </si>
  <si>
    <t>Westbarthausen</t>
  </si>
  <si>
    <t>52.096975</t>
  </si>
  <si>
    <t>8.232642</t>
  </si>
  <si>
    <t>Westbevern</t>
  </si>
  <si>
    <t>52.030984</t>
  </si>
  <si>
    <t>7.743702</t>
  </si>
  <si>
    <t>Westendorf</t>
  </si>
  <si>
    <t>48.571845</t>
  </si>
  <si>
    <t>10.843370</t>
  </si>
  <si>
    <t>Westerburg</t>
  </si>
  <si>
    <t>50.557642</t>
  </si>
  <si>
    <t>7.966978</t>
  </si>
  <si>
    <t>Westerham</t>
  </si>
  <si>
    <t>47.903892</t>
  </si>
  <si>
    <t>11.828482</t>
  </si>
  <si>
    <t>Westerhausen</t>
  </si>
  <si>
    <t>52.236324</t>
  </si>
  <si>
    <t>8.278625</t>
  </si>
  <si>
    <t>Westerland(Sylt)</t>
  </si>
  <si>
    <t>54.906839</t>
  </si>
  <si>
    <t>8.310925</t>
  </si>
  <si>
    <t>Westernhausen</t>
  </si>
  <si>
    <t>49.344011</t>
  </si>
  <si>
    <t>9.559139</t>
  </si>
  <si>
    <t>Westerstede-Ocholt</t>
  </si>
  <si>
    <t>53.202166</t>
  </si>
  <si>
    <t>7.886468</t>
  </si>
  <si>
    <t>Westerstetten</t>
  </si>
  <si>
    <t>48.520195</t>
  </si>
  <si>
    <t>9.949281</t>
  </si>
  <si>
    <t>Westewitz-Hochweitzschen</t>
  </si>
  <si>
    <t>51.137616</t>
  </si>
  <si>
    <t>13.027851</t>
  </si>
  <si>
    <t>Westhausen</t>
  </si>
  <si>
    <t>48.881409</t>
  </si>
  <si>
    <t>10.183653</t>
  </si>
  <si>
    <t>Westheim(Schwab)</t>
  </si>
  <si>
    <t>48.385991</t>
  </si>
  <si>
    <t>10.818233</t>
  </si>
  <si>
    <t>Westheim(Westf)</t>
  </si>
  <si>
    <t>51.494589</t>
  </si>
  <si>
    <t>8.910255</t>
  </si>
  <si>
    <t>Westheim-Langendorf</t>
  </si>
  <si>
    <t>50.125775</t>
  </si>
  <si>
    <t>9.932748</t>
  </si>
  <si>
    <t>Westönnen</t>
  </si>
  <si>
    <t>51.557529</t>
  </si>
  <si>
    <t>7.960952</t>
  </si>
  <si>
    <t>Wethau</t>
  </si>
  <si>
    <t>51.140225</t>
  </si>
  <si>
    <t>11.852225</t>
  </si>
  <si>
    <t>Wethau Mitte</t>
  </si>
  <si>
    <t>51.137331</t>
  </si>
  <si>
    <t>11.858386</t>
  </si>
  <si>
    <t>Wetter(Hessen)</t>
  </si>
  <si>
    <t>50.903715</t>
  </si>
  <si>
    <t>8.729147</t>
  </si>
  <si>
    <t>Wetter(Ruhr)</t>
  </si>
  <si>
    <t>51.386413</t>
  </si>
  <si>
    <t>7.385915</t>
  </si>
  <si>
    <t>Wetterzeube</t>
  </si>
  <si>
    <t>51.008351</t>
  </si>
  <si>
    <t>12.012642</t>
  </si>
  <si>
    <t>Wetzlar</t>
  </si>
  <si>
    <t>50.565631</t>
  </si>
  <si>
    <t>8.503819</t>
  </si>
  <si>
    <t>Wickede(Ruhr)</t>
  </si>
  <si>
    <t>51.493201</t>
  </si>
  <si>
    <t>7.869713</t>
  </si>
  <si>
    <t>Wicklesgreuth</t>
  </si>
  <si>
    <t>49.310689</t>
  </si>
  <si>
    <t>10.711450</t>
  </si>
  <si>
    <t>Wickrath</t>
  </si>
  <si>
    <t>51.132770</t>
  </si>
  <si>
    <t>6.411505</t>
  </si>
  <si>
    <t>Widdern Kirche</t>
  </si>
  <si>
    <t>49.317008</t>
  </si>
  <si>
    <t>9.420152</t>
  </si>
  <si>
    <t>Wiebelskirchen</t>
  </si>
  <si>
    <t>49.371135</t>
  </si>
  <si>
    <t>7.175665</t>
  </si>
  <si>
    <t>Wiednitz</t>
  </si>
  <si>
    <t>51.393167</t>
  </si>
  <si>
    <t>14.039241</t>
  </si>
  <si>
    <t>Wiek(Rügen) Markt</t>
  </si>
  <si>
    <t>54.620275</t>
  </si>
  <si>
    <t>13.287845</t>
  </si>
  <si>
    <t>Wiemersdorf</t>
  </si>
  <si>
    <t>53.954628</t>
  </si>
  <si>
    <t>9.916483</t>
  </si>
  <si>
    <t>Wieren</t>
  </si>
  <si>
    <t>52.892588</t>
  </si>
  <si>
    <t>10.655847</t>
  </si>
  <si>
    <t>Wiesa(Erzgeb)</t>
  </si>
  <si>
    <t>50.610643</t>
  </si>
  <si>
    <t>13.023533</t>
  </si>
  <si>
    <t>Wiesau(Oberpf)</t>
  </si>
  <si>
    <t>49.911013</t>
  </si>
  <si>
    <t>12.191288</t>
  </si>
  <si>
    <t>50.070791</t>
  </si>
  <si>
    <t>8.243731</t>
  </si>
  <si>
    <t>Wiesbaden Ost</t>
  </si>
  <si>
    <t>50.041066</t>
  </si>
  <si>
    <t>8.256826</t>
  </si>
  <si>
    <t>Wiesbaden-Biebr. KD</t>
  </si>
  <si>
    <t>Wiesbaden-Biebrich</t>
  </si>
  <si>
    <t>50.048829</t>
  </si>
  <si>
    <t>8.236423</t>
  </si>
  <si>
    <t>Wiesbaden-Chausseehaus</t>
  </si>
  <si>
    <t>50.097766</t>
  </si>
  <si>
    <t>8.168792</t>
  </si>
  <si>
    <t>Wiesbaden-Erbenheim</t>
  </si>
  <si>
    <t>50.055062</t>
  </si>
  <si>
    <t>8.296400</t>
  </si>
  <si>
    <t>Wiesbaden-Igstadt</t>
  </si>
  <si>
    <t>50.082580</t>
  </si>
  <si>
    <t>8.325635</t>
  </si>
  <si>
    <t>Wiesbaden-Schierstein</t>
  </si>
  <si>
    <t>50.047629</t>
  </si>
  <si>
    <t>8.195313</t>
  </si>
  <si>
    <t>Wiesenau</t>
  </si>
  <si>
    <t>52.231321</t>
  </si>
  <si>
    <t>14.583905</t>
  </si>
  <si>
    <t>Wiesenburg(Mark)</t>
  </si>
  <si>
    <t>52.098825</t>
  </si>
  <si>
    <t>12.431213</t>
  </si>
  <si>
    <t>Wiesenburg(Sachs)</t>
  </si>
  <si>
    <t>50.652705</t>
  </si>
  <si>
    <t>12.566743</t>
  </si>
  <si>
    <t>Wiesenfeld</t>
  </si>
  <si>
    <t>51.007519</t>
  </si>
  <si>
    <t>8.749376</t>
  </si>
  <si>
    <t>Wiesenfeld(b Coburg)</t>
  </si>
  <si>
    <t>50.301555</t>
  </si>
  <si>
    <t>10.911754</t>
  </si>
  <si>
    <t>Wiesengrund-Klinge</t>
  </si>
  <si>
    <t>51.742393</t>
  </si>
  <si>
    <t>14.519636</t>
  </si>
  <si>
    <t>Wiesental</t>
  </si>
  <si>
    <t>49.225458</t>
  </si>
  <si>
    <t>8.502390</t>
  </si>
  <si>
    <t>Wiesenthau</t>
  </si>
  <si>
    <t>49.713651</t>
  </si>
  <si>
    <t>11.127198</t>
  </si>
  <si>
    <t>Wiesenthau Bahnhof Ost</t>
  </si>
  <si>
    <t>49.713734</t>
  </si>
  <si>
    <t>11.127474</t>
  </si>
  <si>
    <t>Wieslensdorf</t>
  </si>
  <si>
    <t>49.149794</t>
  </si>
  <si>
    <t>9.422316</t>
  </si>
  <si>
    <t>Wiesloch-Walldorf</t>
  </si>
  <si>
    <t>49.291353</t>
  </si>
  <si>
    <t>8.664146</t>
  </si>
  <si>
    <t>Wiesmühl(Alz)</t>
  </si>
  <si>
    <t>48.105999</t>
  </si>
  <si>
    <t>12.564312</t>
  </si>
  <si>
    <t>Wiesthal</t>
  </si>
  <si>
    <t>50.016956</t>
  </si>
  <si>
    <t>9.440985</t>
  </si>
  <si>
    <t>Wilburgstetten Bf</t>
  </si>
  <si>
    <t>49.025162</t>
  </si>
  <si>
    <t>10.397122</t>
  </si>
  <si>
    <t>Wilchingen-Hallau</t>
  </si>
  <si>
    <t>47.679448</t>
  </si>
  <si>
    <t>8.463860</t>
  </si>
  <si>
    <t>Wildau</t>
  </si>
  <si>
    <t>52.319935</t>
  </si>
  <si>
    <t>13.633779</t>
  </si>
  <si>
    <t>Wildberg(Württ)</t>
  </si>
  <si>
    <t>48.625280</t>
  </si>
  <si>
    <t>8.742947</t>
  </si>
  <si>
    <t>Wildeck-Bosserode</t>
  </si>
  <si>
    <t>50.945697</t>
  </si>
  <si>
    <t>9.993002</t>
  </si>
  <si>
    <t>Wildeck-Hönebach</t>
  </si>
  <si>
    <t>50.935432</t>
  </si>
  <si>
    <t>9.944241</t>
  </si>
  <si>
    <t>Wildeck-Obersuhl</t>
  </si>
  <si>
    <t>50.950619</t>
  </si>
  <si>
    <t>10.026229</t>
  </si>
  <si>
    <t>Wildeshausen</t>
  </si>
  <si>
    <t>52.897820</t>
  </si>
  <si>
    <t>8.431422</t>
  </si>
  <si>
    <t>Wilferdingen-Singen</t>
  </si>
  <si>
    <t>48.953862</t>
  </si>
  <si>
    <t>8.572415</t>
  </si>
  <si>
    <t>Wilgartswiesen</t>
  </si>
  <si>
    <t>49.209434</t>
  </si>
  <si>
    <t>7.883823</t>
  </si>
  <si>
    <t>Wilhelmsdorf</t>
  </si>
  <si>
    <t>50.350146</t>
  </si>
  <si>
    <t>8.480809</t>
  </si>
  <si>
    <t>Wilhelmshaven</t>
  </si>
  <si>
    <t>53.518795</t>
  </si>
  <si>
    <t>8.114901</t>
  </si>
  <si>
    <t>Wilhelmshorst</t>
  </si>
  <si>
    <t>52.331486</t>
  </si>
  <si>
    <t>13.067447</t>
  </si>
  <si>
    <t>Wilhelmshorst An der Bahn</t>
  </si>
  <si>
    <t>52.329581</t>
  </si>
  <si>
    <t>13.056638</t>
  </si>
  <si>
    <t>Wilhelmshütte(Lahn)</t>
  </si>
  <si>
    <t>50.868382</t>
  </si>
  <si>
    <t>8.550746</t>
  </si>
  <si>
    <t>Wilhermsdorf</t>
  </si>
  <si>
    <t>49.483398</t>
  </si>
  <si>
    <t>10.725242</t>
  </si>
  <si>
    <t>Wilhermsdorf Mitte</t>
  </si>
  <si>
    <t>49.479990</t>
  </si>
  <si>
    <t>10.716547</t>
  </si>
  <si>
    <t>Wilischthal</t>
  </si>
  <si>
    <t>50.724724</t>
  </si>
  <si>
    <t>13.056579</t>
  </si>
  <si>
    <t>Wilkau-Haßlau</t>
  </si>
  <si>
    <t>50.675412</t>
  </si>
  <si>
    <t>12.513578</t>
  </si>
  <si>
    <t>Willebadessen</t>
  </si>
  <si>
    <t>51.621757</t>
  </si>
  <si>
    <t>9.011652</t>
  </si>
  <si>
    <t>Willingen</t>
  </si>
  <si>
    <t>51.293342</t>
  </si>
  <si>
    <t>8.603635</t>
  </si>
  <si>
    <t>Willingen-Stryck</t>
  </si>
  <si>
    <t>51.282471</t>
  </si>
  <si>
    <t>8.629396</t>
  </si>
  <si>
    <t>Willmenrod</t>
  </si>
  <si>
    <t>50.539329</t>
  </si>
  <si>
    <t>7.985758</t>
  </si>
  <si>
    <t>Willmenrod Ortsmitte</t>
  </si>
  <si>
    <t>50.540067</t>
  </si>
  <si>
    <t>7.979537</t>
  </si>
  <si>
    <t>Willmering</t>
  </si>
  <si>
    <t>49.246573</t>
  </si>
  <si>
    <t>12.670073</t>
  </si>
  <si>
    <t>Willsbach</t>
  </si>
  <si>
    <t>49.142422</t>
  </si>
  <si>
    <t>9.358868</t>
  </si>
  <si>
    <t>Wilmersdorf(Angerm)</t>
  </si>
  <si>
    <t>53.111628</t>
  </si>
  <si>
    <t>13.892457</t>
  </si>
  <si>
    <t>Wilnsdorf-Rudersdorf</t>
  </si>
  <si>
    <t>50.839125</t>
  </si>
  <si>
    <t>8.144083</t>
  </si>
  <si>
    <t>Wilsenroth</t>
  </si>
  <si>
    <t>50.531295</t>
  </si>
  <si>
    <t>8.032535</t>
  </si>
  <si>
    <t>Wilster</t>
  </si>
  <si>
    <t>53.926228</t>
  </si>
  <si>
    <t>9.383456</t>
  </si>
  <si>
    <t>Wilthen</t>
  </si>
  <si>
    <t>51.093280</t>
  </si>
  <si>
    <t>14.391502</t>
  </si>
  <si>
    <t>Wilthen Schule</t>
  </si>
  <si>
    <t>51.100220</t>
  </si>
  <si>
    <t>14.396889</t>
  </si>
  <si>
    <t>Wilthen Vorwerkstr.</t>
  </si>
  <si>
    <t>51.098665</t>
  </si>
  <si>
    <t>14.402265</t>
  </si>
  <si>
    <t>Wiltingen(Saar)</t>
  </si>
  <si>
    <t>49.662641</t>
  </si>
  <si>
    <t>6.590462</t>
  </si>
  <si>
    <t>Wincheringen</t>
  </si>
  <si>
    <t>49.608743</t>
  </si>
  <si>
    <t>6.406842</t>
  </si>
  <si>
    <t>Winden(Pfalz)</t>
  </si>
  <si>
    <t>49.095452</t>
  </si>
  <si>
    <t>8.122479</t>
  </si>
  <si>
    <t>Windischeschenbach</t>
  </si>
  <si>
    <t>49.794747</t>
  </si>
  <si>
    <t>12.165170</t>
  </si>
  <si>
    <t>Windsbach</t>
  </si>
  <si>
    <t>49.249694</t>
  </si>
  <si>
    <t>10.825716</t>
  </si>
  <si>
    <t>Wingerode</t>
  </si>
  <si>
    <t>51.389707</t>
  </si>
  <si>
    <t>10.240509</t>
  </si>
  <si>
    <t>Wingst</t>
  </si>
  <si>
    <t>53.745047</t>
  </si>
  <si>
    <t>9.098158</t>
  </si>
  <si>
    <t>Winkelhaid</t>
  </si>
  <si>
    <t>49.392946</t>
  </si>
  <si>
    <t>11.301035</t>
  </si>
  <si>
    <t>Winnenden</t>
  </si>
  <si>
    <t>48.879583</t>
  </si>
  <si>
    <t>9.392290</t>
  </si>
  <si>
    <t>Winningen(Mosel)</t>
  </si>
  <si>
    <t>50.315427</t>
  </si>
  <si>
    <t>7.523185</t>
  </si>
  <si>
    <t>Winninghausen</t>
  </si>
  <si>
    <t>52.323325</t>
  </si>
  <si>
    <t>9.436305</t>
  </si>
  <si>
    <t>Winnweiler</t>
  </si>
  <si>
    <t>49.570548</t>
  </si>
  <si>
    <t>7.855955</t>
  </si>
  <si>
    <t>Winsen(Luhe)</t>
  </si>
  <si>
    <t>53.353839</t>
  </si>
  <si>
    <t>10.207691</t>
  </si>
  <si>
    <t>Winterbach(b Schorndorf)</t>
  </si>
  <si>
    <t>48.798432</t>
  </si>
  <si>
    <t>9.480994</t>
  </si>
  <si>
    <t>Winterberg(Westf)</t>
  </si>
  <si>
    <t>51.198585</t>
  </si>
  <si>
    <t>8.532408</t>
  </si>
  <si>
    <t>Winterhausen</t>
  </si>
  <si>
    <t>49.708375</t>
  </si>
  <si>
    <t>10.011882</t>
  </si>
  <si>
    <t>Winterhausen Bürgerhaus</t>
  </si>
  <si>
    <t>49.706988</t>
  </si>
  <si>
    <t>10.013109</t>
  </si>
  <si>
    <t>Wintermoor</t>
  </si>
  <si>
    <t>53.186138</t>
  </si>
  <si>
    <t>9.828536</t>
  </si>
  <si>
    <t>Wipperdorf</t>
  </si>
  <si>
    <t>51.452958</t>
  </si>
  <si>
    <t>10.661064</t>
  </si>
  <si>
    <t>Wippra</t>
  </si>
  <si>
    <t>51.576616</t>
  </si>
  <si>
    <t>11.281596</t>
  </si>
  <si>
    <t>Wirges</t>
  </si>
  <si>
    <t>50.468396</t>
  </si>
  <si>
    <t>7.785210</t>
  </si>
  <si>
    <t>Wirges Union</t>
  </si>
  <si>
    <t>50.468790</t>
  </si>
  <si>
    <t>7.788352</t>
  </si>
  <si>
    <t>Wirtheim</t>
  </si>
  <si>
    <t>50.226028</t>
  </si>
  <si>
    <t>9.256539</t>
  </si>
  <si>
    <t>Wismar</t>
  </si>
  <si>
    <t>53.896837</t>
  </si>
  <si>
    <t>11.469433</t>
  </si>
  <si>
    <t>Wismar Bf/SEV</t>
  </si>
  <si>
    <t>Wissen(Sieg)</t>
  </si>
  <si>
    <t>50.782871</t>
  </si>
  <si>
    <t>7.739814</t>
  </si>
  <si>
    <t>Wissingen</t>
  </si>
  <si>
    <t>52.258211</t>
  </si>
  <si>
    <t>8.205047</t>
  </si>
  <si>
    <t>Wittbräucke</t>
  </si>
  <si>
    <t>51.420173</t>
  </si>
  <si>
    <t>7.445910</t>
  </si>
  <si>
    <t>Wittdün(Amrum)</t>
  </si>
  <si>
    <t>54.629158</t>
  </si>
  <si>
    <t>8.397772</t>
  </si>
  <si>
    <t>Witten Hbf</t>
  </si>
  <si>
    <t>51.435544</t>
  </si>
  <si>
    <t>7.329442</t>
  </si>
  <si>
    <t>Witten-Annen Nord</t>
  </si>
  <si>
    <t>51.447840</t>
  </si>
  <si>
    <t>7.375337</t>
  </si>
  <si>
    <t>Wittenbeck Nasse Ecke</t>
  </si>
  <si>
    <t>54.133747</t>
  </si>
  <si>
    <t>11.789454</t>
  </si>
  <si>
    <t>Wittenbeck Zeltplatz</t>
  </si>
  <si>
    <t>54.126780</t>
  </si>
  <si>
    <t>11.800366</t>
  </si>
  <si>
    <t>Wittenberge</t>
  </si>
  <si>
    <t>53.003115</t>
  </si>
  <si>
    <t>11.762871</t>
  </si>
  <si>
    <t>Witten-Bommern Hp</t>
  </si>
  <si>
    <t>51.424613</t>
  </si>
  <si>
    <t>7.340153</t>
  </si>
  <si>
    <t>Wittenhagen</t>
  </si>
  <si>
    <t>54.184004</t>
  </si>
  <si>
    <t>13.056050</t>
  </si>
  <si>
    <t>Wittgensdorf Mitte</t>
  </si>
  <si>
    <t>50.874386</t>
  </si>
  <si>
    <t>12.869759</t>
  </si>
  <si>
    <t>Wittgensdorf ob Bf</t>
  </si>
  <si>
    <t>50.882771</t>
  </si>
  <si>
    <t>12.841365</t>
  </si>
  <si>
    <t>Wittighausen</t>
  </si>
  <si>
    <t>49.618406</t>
  </si>
  <si>
    <t>9.846243</t>
  </si>
  <si>
    <t>Wittingen</t>
  </si>
  <si>
    <t>52.727291</t>
  </si>
  <si>
    <t>10.723174</t>
  </si>
  <si>
    <t>Wittlich Hbf</t>
  </si>
  <si>
    <t>49.973121</t>
  </si>
  <si>
    <t>6.943557</t>
  </si>
  <si>
    <t>Wittlingen</t>
  </si>
  <si>
    <t>47.656631</t>
  </si>
  <si>
    <t>7.646976</t>
  </si>
  <si>
    <t>Wittlingen Hirschen</t>
  </si>
  <si>
    <t>47.657001</t>
  </si>
  <si>
    <t>7.648602</t>
  </si>
  <si>
    <t>Wittmund</t>
  </si>
  <si>
    <t>53.579868</t>
  </si>
  <si>
    <t>7.788826</t>
  </si>
  <si>
    <t>Wittstock(Dosse)</t>
  </si>
  <si>
    <t>53.160621</t>
  </si>
  <si>
    <t>12.478911</t>
  </si>
  <si>
    <t>Witzenhausen Nord</t>
  </si>
  <si>
    <t>51.351556</t>
  </si>
  <si>
    <t>9.863079</t>
  </si>
  <si>
    <t>Witzenhausen Vor dem Rabensberg</t>
  </si>
  <si>
    <t>Witzighausen</t>
  </si>
  <si>
    <t>48.317443</t>
  </si>
  <si>
    <t>10.097804</t>
  </si>
  <si>
    <t>Witzschdorf</t>
  </si>
  <si>
    <t>50.775236</t>
  </si>
  <si>
    <t>13.088523</t>
  </si>
  <si>
    <t>Witzwort</t>
  </si>
  <si>
    <t>54.386097</t>
  </si>
  <si>
    <t>8.998558</t>
  </si>
  <si>
    <t>Woffleben</t>
  </si>
  <si>
    <t>51.555968</t>
  </si>
  <si>
    <t>10.721395</t>
  </si>
  <si>
    <t>Wohltorf</t>
  </si>
  <si>
    <t>53.520589</t>
  </si>
  <si>
    <t>10.278184</t>
  </si>
  <si>
    <t>Wolfach</t>
  </si>
  <si>
    <t>48.294729</t>
  </si>
  <si>
    <t>8.221818</t>
  </si>
  <si>
    <t>Wolfegg</t>
  </si>
  <si>
    <t>47.824264</t>
  </si>
  <si>
    <t>9.808665</t>
  </si>
  <si>
    <t>Wolfen(Bitterfeld)</t>
  </si>
  <si>
    <t>51.661159</t>
  </si>
  <si>
    <t>12.279563</t>
  </si>
  <si>
    <t>Wolfenbüttel</t>
  </si>
  <si>
    <t>52.159126</t>
  </si>
  <si>
    <t>10.532306</t>
  </si>
  <si>
    <t>Wolferode</t>
  </si>
  <si>
    <t>51.512244</t>
  </si>
  <si>
    <t>11.508752</t>
  </si>
  <si>
    <t>Wölfershausen</t>
  </si>
  <si>
    <t>50.491507</t>
  </si>
  <si>
    <t>10.436588</t>
  </si>
  <si>
    <t>Wölfersheim-Södel</t>
  </si>
  <si>
    <t>50.397335</t>
  </si>
  <si>
    <t>8.816220</t>
  </si>
  <si>
    <t>Wolfgang(Kr Hanau)</t>
  </si>
  <si>
    <t>50.123464</t>
  </si>
  <si>
    <t>8.958101</t>
  </si>
  <si>
    <t>Wolfhagen</t>
  </si>
  <si>
    <t>51.331471</t>
  </si>
  <si>
    <t>9.178943</t>
  </si>
  <si>
    <t>Wolfratshausen</t>
  </si>
  <si>
    <t>47.914424</t>
  </si>
  <si>
    <t>11.427201</t>
  </si>
  <si>
    <t>Wolfsburg Hbf</t>
  </si>
  <si>
    <t>52.429498</t>
  </si>
  <si>
    <t>10.787784</t>
  </si>
  <si>
    <t>Wolfsgefärth</t>
  </si>
  <si>
    <t>50.816580</t>
  </si>
  <si>
    <t>12.073457</t>
  </si>
  <si>
    <t>Wolfsmünster</t>
  </si>
  <si>
    <t>50.094508</t>
  </si>
  <si>
    <t>9.734893</t>
  </si>
  <si>
    <t>Wolfstein</t>
  </si>
  <si>
    <t>49.584280</t>
  </si>
  <si>
    <t>7.610287</t>
  </si>
  <si>
    <t>Wolgast</t>
  </si>
  <si>
    <t>54.043949</t>
  </si>
  <si>
    <t>13.769087</t>
  </si>
  <si>
    <t>Wolgast Hafen</t>
  </si>
  <si>
    <t>54.051845</t>
  </si>
  <si>
    <t>13.779963</t>
  </si>
  <si>
    <t>Wolgaster Fähre</t>
  </si>
  <si>
    <t>54.056376</t>
  </si>
  <si>
    <t>13.790624</t>
  </si>
  <si>
    <t>Wolkenstein</t>
  </si>
  <si>
    <t>50.652743</t>
  </si>
  <si>
    <t>13.064965</t>
  </si>
  <si>
    <t>Wolkramshausen</t>
  </si>
  <si>
    <t>51.440021</t>
  </si>
  <si>
    <t>10.745663</t>
  </si>
  <si>
    <t>Wollbach Bahnhof</t>
  </si>
  <si>
    <t>47.668174</t>
  </si>
  <si>
    <t>7.649137</t>
  </si>
  <si>
    <t>Wollbach(Baden)</t>
  </si>
  <si>
    <t>47.668211</t>
  </si>
  <si>
    <t>7.648632</t>
  </si>
  <si>
    <t>Wolmirstedt</t>
  </si>
  <si>
    <t>52.250903</t>
  </si>
  <si>
    <t>11.635943</t>
  </si>
  <si>
    <t>Wolterdingen(Han)</t>
  </si>
  <si>
    <t>53.026942</t>
  </si>
  <si>
    <t>9.845273</t>
  </si>
  <si>
    <t>Woltersdorf Berliner Chaussee</t>
  </si>
  <si>
    <t>52.114080</t>
  </si>
  <si>
    <t>13.205109</t>
  </si>
  <si>
    <t>Woltersdorf(Magdeb)</t>
  </si>
  <si>
    <t>52.152945</t>
  </si>
  <si>
    <t>11.775155</t>
  </si>
  <si>
    <t>Woltersdorf/Nuthe-Urstromtal</t>
  </si>
  <si>
    <t>52.117362</t>
  </si>
  <si>
    <t>13.195281</t>
  </si>
  <si>
    <t>Woltwiesche</t>
  </si>
  <si>
    <t>52.200754</t>
  </si>
  <si>
    <t>10.278999</t>
  </si>
  <si>
    <t>Worms Hbf</t>
  </si>
  <si>
    <t>49.634940</t>
  </si>
  <si>
    <t>8.356448</t>
  </si>
  <si>
    <t>Worms-Pfeddersheim</t>
  </si>
  <si>
    <t>49.634634</t>
  </si>
  <si>
    <t>8.279654</t>
  </si>
  <si>
    <t>Wörnitzstein</t>
  </si>
  <si>
    <t>48.731977</t>
  </si>
  <si>
    <t>10.714478</t>
  </si>
  <si>
    <t>Worpswede</t>
  </si>
  <si>
    <t>53.226487</t>
  </si>
  <si>
    <t>8.915510</t>
  </si>
  <si>
    <t>Wörrstadt</t>
  </si>
  <si>
    <t>49.846251</t>
  </si>
  <si>
    <t>8.114712</t>
  </si>
  <si>
    <t>Wörsdorf</t>
  </si>
  <si>
    <t>50.244752</t>
  </si>
  <si>
    <t>8.249323</t>
  </si>
  <si>
    <t>Wörth(Isar)</t>
  </si>
  <si>
    <t>48.624182</t>
  </si>
  <si>
    <t>12.332925</t>
  </si>
  <si>
    <t>Wörth(Main)</t>
  </si>
  <si>
    <t>49.793465</t>
  </si>
  <si>
    <t>9.156960</t>
  </si>
  <si>
    <t>Wörth(Rhein)</t>
  </si>
  <si>
    <t>49.045678</t>
  </si>
  <si>
    <t>8.273146</t>
  </si>
  <si>
    <t>Wörth(Rhein) Alte Bahnmeisterei</t>
  </si>
  <si>
    <t>49.048620</t>
  </si>
  <si>
    <t>8.266465</t>
  </si>
  <si>
    <t>Wörth(Rhein) Badallee</t>
  </si>
  <si>
    <t>49.055995</t>
  </si>
  <si>
    <t>8.249891</t>
  </si>
  <si>
    <t>Wörth(Rhein) Badepark</t>
  </si>
  <si>
    <t>49.058565</t>
  </si>
  <si>
    <t>8.244130</t>
  </si>
  <si>
    <t>Wörth(Rhein) Bienwaldhalle</t>
  </si>
  <si>
    <t>49.049780</t>
  </si>
  <si>
    <t>8.260879</t>
  </si>
  <si>
    <t>Wörth(Rhein) Bürgerpark</t>
  </si>
  <si>
    <t>49.050843</t>
  </si>
  <si>
    <t>8.254267</t>
  </si>
  <si>
    <t>Wörth(Rhein) Mozartstraße</t>
  </si>
  <si>
    <t>49.055109</t>
  </si>
  <si>
    <t>8.251944</t>
  </si>
  <si>
    <t>Wörth(Rhein) Rathaus</t>
  </si>
  <si>
    <t>49.052423</t>
  </si>
  <si>
    <t>8.249809</t>
  </si>
  <si>
    <t>Wörth(Rhein) Zügelstraße</t>
  </si>
  <si>
    <t>49.052975</t>
  </si>
  <si>
    <t>8.262016</t>
  </si>
  <si>
    <t>Wössingen</t>
  </si>
  <si>
    <t>49.015508</t>
  </si>
  <si>
    <t>8.605129</t>
  </si>
  <si>
    <t>Wössingen Ost</t>
  </si>
  <si>
    <t>49.015786</t>
  </si>
  <si>
    <t>8.609981</t>
  </si>
  <si>
    <t>Wremen</t>
  </si>
  <si>
    <t>53.646987</t>
  </si>
  <si>
    <t>8.521275</t>
  </si>
  <si>
    <t>Wrexen Bahnhof</t>
  </si>
  <si>
    <t>51.514712</t>
  </si>
  <si>
    <t>9.002890</t>
  </si>
  <si>
    <t>Wriezen</t>
  </si>
  <si>
    <t>52.715433</t>
  </si>
  <si>
    <t>14.140239</t>
  </si>
  <si>
    <t>Wrist</t>
  </si>
  <si>
    <t>53.932382</t>
  </si>
  <si>
    <t>9.748128</t>
  </si>
  <si>
    <t>Wrist Parkplatz</t>
  </si>
  <si>
    <t>53.931031</t>
  </si>
  <si>
    <t>9.746555</t>
  </si>
  <si>
    <t>Wulfen(Anh)</t>
  </si>
  <si>
    <t>51.818681</t>
  </si>
  <si>
    <t>11.922141</t>
  </si>
  <si>
    <t>Wulfen(Westf)</t>
  </si>
  <si>
    <t>51.719189</t>
  </si>
  <si>
    <t>7.011578</t>
  </si>
  <si>
    <t>Wülfrath-Aprath</t>
  </si>
  <si>
    <t>51.267886</t>
  </si>
  <si>
    <t>7.072023</t>
  </si>
  <si>
    <t>Wulften</t>
  </si>
  <si>
    <t>51.659403</t>
  </si>
  <si>
    <t>10.176026</t>
  </si>
  <si>
    <t>Wülknitz</t>
  </si>
  <si>
    <t>51.369021</t>
  </si>
  <si>
    <t>13.389256</t>
  </si>
  <si>
    <t>Wullenstetten</t>
  </si>
  <si>
    <t>48.313907</t>
  </si>
  <si>
    <t>10.071035</t>
  </si>
  <si>
    <t>Wünschendorf</t>
  </si>
  <si>
    <t>50.797633</t>
  </si>
  <si>
    <t>12.097672</t>
  </si>
  <si>
    <t>Wünschendorf Nord</t>
  </si>
  <si>
    <t>50.817438</t>
  </si>
  <si>
    <t>12.077948</t>
  </si>
  <si>
    <t>Wünschendorf Wendeschleife</t>
  </si>
  <si>
    <t>50.740763</t>
  </si>
  <si>
    <t>13.174623</t>
  </si>
  <si>
    <t>Wünsdorf-Waldstadt</t>
  </si>
  <si>
    <t>52.165559</t>
  </si>
  <si>
    <t>13.468145</t>
  </si>
  <si>
    <t>Wunsiedel-Holenbrunn</t>
  </si>
  <si>
    <t>50.051113</t>
  </si>
  <si>
    <t>12.033928</t>
  </si>
  <si>
    <t>Wunstorf</t>
  </si>
  <si>
    <t>52.422225</t>
  </si>
  <si>
    <t>9.450976</t>
  </si>
  <si>
    <t>Wuppertal-Barmen</t>
  </si>
  <si>
    <t>51.266972</t>
  </si>
  <si>
    <t>7.195159</t>
  </si>
  <si>
    <t>Wuppertal-Hahnenfurth/Düssel</t>
  </si>
  <si>
    <t>51.254000</t>
  </si>
  <si>
    <t>7.055431</t>
  </si>
  <si>
    <t>Wuppertal-Langerfeld</t>
  </si>
  <si>
    <t>51.277866</t>
  </si>
  <si>
    <t>7.242298</t>
  </si>
  <si>
    <t>Wuppertal-Oberbarmen</t>
  </si>
  <si>
    <t>51.273839</t>
  </si>
  <si>
    <t>7.221483</t>
  </si>
  <si>
    <t>Wuppertal-Ronsdorf</t>
  </si>
  <si>
    <t>51.226476</t>
  </si>
  <si>
    <t>7.215600</t>
  </si>
  <si>
    <t>Wuppertal-Sonnborn</t>
  </si>
  <si>
    <t>51.240584</t>
  </si>
  <si>
    <t>7.096575</t>
  </si>
  <si>
    <t>Wuppertal-Steinbeck</t>
  </si>
  <si>
    <t>51.250679</t>
  </si>
  <si>
    <t>7.140630</t>
  </si>
  <si>
    <t>Wuppertal-Unterbarmen</t>
  </si>
  <si>
    <t>51.258929</t>
  </si>
  <si>
    <t>7.171212</t>
  </si>
  <si>
    <t>Wuppertal-Vohwinkel</t>
  </si>
  <si>
    <t>51.234259</t>
  </si>
  <si>
    <t>7.071597</t>
  </si>
  <si>
    <t>Wuppertal-Zoologischer Garten</t>
  </si>
  <si>
    <t>51.243469</t>
  </si>
  <si>
    <t>7.107020</t>
  </si>
  <si>
    <t>Würgendorf</t>
  </si>
  <si>
    <t>50.760013</t>
  </si>
  <si>
    <t>8.141766</t>
  </si>
  <si>
    <t>Würgendorf (Ort)</t>
  </si>
  <si>
    <t>50.756916</t>
  </si>
  <si>
    <t>8.126875</t>
  </si>
  <si>
    <t>Wurlitz</t>
  </si>
  <si>
    <t>50.253194</t>
  </si>
  <si>
    <t>11.990010</t>
  </si>
  <si>
    <t>Wurmlingen Mitte</t>
  </si>
  <si>
    <t>48.001755</t>
  </si>
  <si>
    <t>8.777842</t>
  </si>
  <si>
    <t>Wurmlingen Nord</t>
  </si>
  <si>
    <t>48.008528</t>
  </si>
  <si>
    <t>8.775387</t>
  </si>
  <si>
    <t>Würselen-Merzbrück</t>
  </si>
  <si>
    <t>50.823859</t>
  </si>
  <si>
    <t>6.192700</t>
  </si>
  <si>
    <t>Würzbach(Saar)</t>
  </si>
  <si>
    <t>49.244182</t>
  </si>
  <si>
    <t>7.193441</t>
  </si>
  <si>
    <t>Wurzbach(Thür)</t>
  </si>
  <si>
    <t>50.466172</t>
  </si>
  <si>
    <t>11.543131</t>
  </si>
  <si>
    <t>Würzburg Hbf</t>
  </si>
  <si>
    <t>49.801796</t>
  </si>
  <si>
    <t>9.935780</t>
  </si>
  <si>
    <t>Würzburg Süd</t>
  </si>
  <si>
    <t>49.788193</t>
  </si>
  <si>
    <t>9.943503</t>
  </si>
  <si>
    <t>Würzburg-Heidingsfeld Ost</t>
  </si>
  <si>
    <t>49.761133</t>
  </si>
  <si>
    <t>9.953262</t>
  </si>
  <si>
    <t>Würzburg-Zell</t>
  </si>
  <si>
    <t>49.804938</t>
  </si>
  <si>
    <t>9.884593</t>
  </si>
  <si>
    <t>Wurzen</t>
  </si>
  <si>
    <t>51.364418</t>
  </si>
  <si>
    <t>12.738972</t>
  </si>
  <si>
    <t>Wüstenbrand</t>
  </si>
  <si>
    <t>50.805483</t>
  </si>
  <si>
    <t>12.756417</t>
  </si>
  <si>
    <t>Wüstenfelde</t>
  </si>
  <si>
    <t>54.230272</t>
  </si>
  <si>
    <t>13.139610</t>
  </si>
  <si>
    <t>Wüstenselbitz</t>
  </si>
  <si>
    <t>50.218424</t>
  </si>
  <si>
    <t>11.709552</t>
  </si>
  <si>
    <t>Wusterhausen(Dosse)</t>
  </si>
  <si>
    <t>52.888351</t>
  </si>
  <si>
    <t>12.456704</t>
  </si>
  <si>
    <t>Wustermark</t>
  </si>
  <si>
    <t>52.551851</t>
  </si>
  <si>
    <t>12.939728</t>
  </si>
  <si>
    <t>Wusterwitz</t>
  </si>
  <si>
    <t>52.385112</t>
  </si>
  <si>
    <t>12.374250</t>
  </si>
  <si>
    <t>Wüsting</t>
  </si>
  <si>
    <t>53.118123</t>
  </si>
  <si>
    <t>8.337248</t>
  </si>
  <si>
    <t>Wustrau-Radensleben</t>
  </si>
  <si>
    <t>52.857264</t>
  </si>
  <si>
    <t>12.897265</t>
  </si>
  <si>
    <t>Wustweiler</t>
  </si>
  <si>
    <t>49.398897</t>
  </si>
  <si>
    <t>7.034824</t>
  </si>
  <si>
    <t>Wutachblick</t>
  </si>
  <si>
    <t>47.814174</t>
  </si>
  <si>
    <t>8.516940</t>
  </si>
  <si>
    <t>Wutha</t>
  </si>
  <si>
    <t>50.957099</t>
  </si>
  <si>
    <t>10.396598</t>
  </si>
  <si>
    <t>Wutike</t>
  </si>
  <si>
    <t>53.004316</t>
  </si>
  <si>
    <t>12.352854</t>
  </si>
  <si>
    <t>Wutöschingen</t>
  </si>
  <si>
    <t>47.662088</t>
  </si>
  <si>
    <t>8.363654</t>
  </si>
  <si>
    <t>Wyhlen</t>
  </si>
  <si>
    <t>47.546328</t>
  </si>
  <si>
    <t>7.690918</t>
  </si>
  <si>
    <t>Wyk auf Föhr</t>
  </si>
  <si>
    <t>54.692876</t>
  </si>
  <si>
    <t>8.576604</t>
  </si>
  <si>
    <t>Xanten</t>
  </si>
  <si>
    <t>51.659670</t>
  </si>
  <si>
    <t>6.445287</t>
  </si>
  <si>
    <t>Zabeltitz</t>
  </si>
  <si>
    <t>51.348936</t>
  </si>
  <si>
    <t>13.515694</t>
  </si>
  <si>
    <t>Zabeltitz Bauernmuseum</t>
  </si>
  <si>
    <t>51.353912</t>
  </si>
  <si>
    <t>13.501769</t>
  </si>
  <si>
    <t>Zachun</t>
  </si>
  <si>
    <t>53.502653</t>
  </si>
  <si>
    <t>11.324498</t>
  </si>
  <si>
    <t>Zahna</t>
  </si>
  <si>
    <t>51.919969</t>
  </si>
  <si>
    <t>12.781211</t>
  </si>
  <si>
    <t>Zainhammer</t>
  </si>
  <si>
    <t>49.967374</t>
  </si>
  <si>
    <t>11.766251</t>
  </si>
  <si>
    <t>Zaisenhausen</t>
  </si>
  <si>
    <t>49.104757</t>
  </si>
  <si>
    <t>8.816664</t>
  </si>
  <si>
    <t>Zapfendorf</t>
  </si>
  <si>
    <t>50.018291</t>
  </si>
  <si>
    <t>10.929894</t>
  </si>
  <si>
    <t>Zapfendorf Kirche</t>
  </si>
  <si>
    <t>50.018087</t>
  </si>
  <si>
    <t>10.931325</t>
  </si>
  <si>
    <t>Zarrendorf</t>
  </si>
  <si>
    <t>54.240747</t>
  </si>
  <si>
    <t>13.080030</t>
  </si>
  <si>
    <t>Zarrendorf Mühle</t>
  </si>
  <si>
    <t>54.239989</t>
  </si>
  <si>
    <t>13.081526</t>
  </si>
  <si>
    <t>Zeesen</t>
  </si>
  <si>
    <t>52.264863</t>
  </si>
  <si>
    <t>13.635143</t>
  </si>
  <si>
    <t>Zehdenick(Mark)</t>
  </si>
  <si>
    <t>52.979387</t>
  </si>
  <si>
    <t>13.317482</t>
  </si>
  <si>
    <t>Zehdenick-Neuhof</t>
  </si>
  <si>
    <t>53.005700</t>
  </si>
  <si>
    <t>13.345779</t>
  </si>
  <si>
    <t>Zeil</t>
  </si>
  <si>
    <t>50.005142</t>
  </si>
  <si>
    <t>10.598519</t>
  </si>
  <si>
    <t>Zeithain</t>
  </si>
  <si>
    <t>51.330206</t>
  </si>
  <si>
    <t>13.344552</t>
  </si>
  <si>
    <t>Zeitz</t>
  </si>
  <si>
    <t>51.056452</t>
  </si>
  <si>
    <t>12.131488</t>
  </si>
  <si>
    <t>Zell(Harmersbach)</t>
  </si>
  <si>
    <t>48.345100</t>
  </si>
  <si>
    <t>8.064706</t>
  </si>
  <si>
    <t>Zell(Wiesental)</t>
  </si>
  <si>
    <t>47.705626</t>
  </si>
  <si>
    <t>7.849149</t>
  </si>
  <si>
    <t>Zella-Mehlis</t>
  </si>
  <si>
    <t>50.646721</t>
  </si>
  <si>
    <t>10.674124</t>
  </si>
  <si>
    <t>Zella-Mehlis West</t>
  </si>
  <si>
    <t>50.658552</t>
  </si>
  <si>
    <t>10.649535</t>
  </si>
  <si>
    <t>Zellendorf</t>
  </si>
  <si>
    <t>51.894310</t>
  </si>
  <si>
    <t>13.066853</t>
  </si>
  <si>
    <t>Zellerthal</t>
  </si>
  <si>
    <t>49.174934</t>
  </si>
  <si>
    <t>12.865143</t>
  </si>
  <si>
    <t>Zell-Romrod</t>
  </si>
  <si>
    <t>50.727164</t>
  </si>
  <si>
    <t>9.199797</t>
  </si>
  <si>
    <t>Zempin</t>
  </si>
  <si>
    <t>54.065980</t>
  </si>
  <si>
    <t>13.959447</t>
  </si>
  <si>
    <t>Zempin Bahnhof</t>
  </si>
  <si>
    <t>54.066294</t>
  </si>
  <si>
    <t>13.959008</t>
  </si>
  <si>
    <t>Zennern</t>
  </si>
  <si>
    <t>51.112131</t>
  </si>
  <si>
    <t>9.317278</t>
  </si>
  <si>
    <t>Zepernick(Bernau)</t>
  </si>
  <si>
    <t>52.659449</t>
  </si>
  <si>
    <t>13.533642</t>
  </si>
  <si>
    <t>Zerbst/Anhalt</t>
  </si>
  <si>
    <t>51.953821</t>
  </si>
  <si>
    <t>12.088931</t>
  </si>
  <si>
    <t>Zerkall</t>
  </si>
  <si>
    <t>50.692439</t>
  </si>
  <si>
    <t>6.453932</t>
  </si>
  <si>
    <t>Zernsdorf</t>
  </si>
  <si>
    <t>52.299404</t>
  </si>
  <si>
    <t>13.693338</t>
  </si>
  <si>
    <t>Zerrenthin</t>
  </si>
  <si>
    <t>53.499390</t>
  </si>
  <si>
    <t>14.097895</t>
  </si>
  <si>
    <t>Zeulenroda unt Bf</t>
  </si>
  <si>
    <t>50.659376</t>
  </si>
  <si>
    <t>12.011351</t>
  </si>
  <si>
    <t>Zeutern Bf</t>
  </si>
  <si>
    <t>49.178251</t>
  </si>
  <si>
    <t>8.677521</t>
  </si>
  <si>
    <t>Zeutern Ost</t>
  </si>
  <si>
    <t>49.179087</t>
  </si>
  <si>
    <t>8.703363</t>
  </si>
  <si>
    <t>Zeutern Sportplatz</t>
  </si>
  <si>
    <t>49.177989</t>
  </si>
  <si>
    <t>8.670650</t>
  </si>
  <si>
    <t>Zeuthen</t>
  </si>
  <si>
    <t>52.348936</t>
  </si>
  <si>
    <t>13.627173</t>
  </si>
  <si>
    <t>Zeutsch</t>
  </si>
  <si>
    <t>50.754927</t>
  </si>
  <si>
    <t>11.508263</t>
  </si>
  <si>
    <t>Zeven(Han)</t>
  </si>
  <si>
    <t>53.283650</t>
  </si>
  <si>
    <t>9.278730</t>
  </si>
  <si>
    <t>Zielitz</t>
  </si>
  <si>
    <t>52.296293</t>
  </si>
  <si>
    <t>11.680214</t>
  </si>
  <si>
    <t>Zielitz Ort</t>
  </si>
  <si>
    <t>52.288285</t>
  </si>
  <si>
    <t>11.676309</t>
  </si>
  <si>
    <t>Zielitz Schule</t>
  </si>
  <si>
    <t>52.288014</t>
  </si>
  <si>
    <t>11.674103</t>
  </si>
  <si>
    <t>Zierenberg</t>
  </si>
  <si>
    <t>51.365117</t>
  </si>
  <si>
    <t>9.304813</t>
  </si>
  <si>
    <t>Zierenberg-Rosental</t>
  </si>
  <si>
    <t>51.367668</t>
  </si>
  <si>
    <t>9.291483</t>
  </si>
  <si>
    <t>Ziesar</t>
  </si>
  <si>
    <t>52.263100</t>
  </si>
  <si>
    <t>12.295846</t>
  </si>
  <si>
    <t>Zieverich</t>
  </si>
  <si>
    <t>50.949276</t>
  </si>
  <si>
    <t>6.625740</t>
  </si>
  <si>
    <t>Zillendorf</t>
  </si>
  <si>
    <t>49.345477</t>
  </si>
  <si>
    <t>12.673240</t>
  </si>
  <si>
    <t>Ziltendorf</t>
  </si>
  <si>
    <t>52.199513</t>
  </si>
  <si>
    <t>14.616335</t>
  </si>
  <si>
    <t>Ziltendorf Kreuzung</t>
  </si>
  <si>
    <t>52.206376</t>
  </si>
  <si>
    <t>14.623994</t>
  </si>
  <si>
    <t>Zimmern(b Seckach)</t>
  </si>
  <si>
    <t>49.430411</t>
  </si>
  <si>
    <t>9.371975</t>
  </si>
  <si>
    <t>Zimmern(Main-Tauber)</t>
  </si>
  <si>
    <t>49.595355</t>
  </si>
  <si>
    <t>9.790510</t>
  </si>
  <si>
    <t>Zimmersrode</t>
  </si>
  <si>
    <t>51.008144</t>
  </si>
  <si>
    <t>9.225195</t>
  </si>
  <si>
    <t>Zinnowitz</t>
  </si>
  <si>
    <t>54.075564</t>
  </si>
  <si>
    <t>13.903359</t>
  </si>
  <si>
    <t>Zinnwald Wendeplatz</t>
  </si>
  <si>
    <t>50.736318</t>
  </si>
  <si>
    <t>13.761846</t>
  </si>
  <si>
    <t>Zirndorf</t>
  </si>
  <si>
    <t>49.443891</t>
  </si>
  <si>
    <t>10.958468</t>
  </si>
  <si>
    <t>Zirndorf Kneippallee</t>
  </si>
  <si>
    <t>49.450029</t>
  </si>
  <si>
    <t>10.945303</t>
  </si>
  <si>
    <t>Zirtow-Leussow</t>
  </si>
  <si>
    <t>53.281036</t>
  </si>
  <si>
    <t>12.886920</t>
  </si>
  <si>
    <t>Zittau</t>
  </si>
  <si>
    <t>50.904461</t>
  </si>
  <si>
    <t>14.805774</t>
  </si>
  <si>
    <t>Zittau Hp</t>
  </si>
  <si>
    <t>50.898671</t>
  </si>
  <si>
    <t>14.816982</t>
  </si>
  <si>
    <t>Zittau Süd</t>
  </si>
  <si>
    <t>50.890238</t>
  </si>
  <si>
    <t>14.814749</t>
  </si>
  <si>
    <t>Zittau Vorstadt</t>
  </si>
  <si>
    <t>50.890364</t>
  </si>
  <si>
    <t>14.791870</t>
  </si>
  <si>
    <t>Zittau(Gr)</t>
  </si>
  <si>
    <t>Zöberitz</t>
  </si>
  <si>
    <t>51.504610</t>
  </si>
  <si>
    <t>12.033458</t>
  </si>
  <si>
    <t>Zoblitz</t>
  </si>
  <si>
    <t>51.123578</t>
  </si>
  <si>
    <t>14.750741</t>
  </si>
  <si>
    <t>Zollhaus(Villingen-Schwenningen)</t>
  </si>
  <si>
    <t>48.040888</t>
  </si>
  <si>
    <t>8.505997</t>
  </si>
  <si>
    <t>Zollhaus-Petersthal</t>
  </si>
  <si>
    <t>47.665825</t>
  </si>
  <si>
    <t>10.418038</t>
  </si>
  <si>
    <t>Zopten</t>
  </si>
  <si>
    <t>50.528294</t>
  </si>
  <si>
    <t>11.351790</t>
  </si>
  <si>
    <t>Zorneding</t>
  </si>
  <si>
    <t>48.089601</t>
  </si>
  <si>
    <t>11.832456</t>
  </si>
  <si>
    <t>Zörnigall</t>
  </si>
  <si>
    <t>51.882935</t>
  </si>
  <si>
    <t>12.731558</t>
  </si>
  <si>
    <t>Zörnigall Brücke</t>
  </si>
  <si>
    <t>51.883339</t>
  </si>
  <si>
    <t>12.730488</t>
  </si>
  <si>
    <t>Zossen</t>
  </si>
  <si>
    <t>52.218923</t>
  </si>
  <si>
    <t>13.438571</t>
  </si>
  <si>
    <t>Zotzenbach</t>
  </si>
  <si>
    <t>49.609367</t>
  </si>
  <si>
    <t>8.753220</t>
  </si>
  <si>
    <t>Zschaitz</t>
  </si>
  <si>
    <t>51.168745</t>
  </si>
  <si>
    <t>13.156681</t>
  </si>
  <si>
    <t>Zscherben</t>
  </si>
  <si>
    <t>51.467695</t>
  </si>
  <si>
    <t>11.865125</t>
  </si>
  <si>
    <t>Zschopau</t>
  </si>
  <si>
    <t>50.743242</t>
  </si>
  <si>
    <t>13.065988</t>
  </si>
  <si>
    <t>Zschopau Motorradwerk</t>
  </si>
  <si>
    <t>50.740359</t>
  </si>
  <si>
    <t>13.062643</t>
  </si>
  <si>
    <t>Zschopau Ost</t>
  </si>
  <si>
    <t>50.744587</t>
  </si>
  <si>
    <t>13.081878</t>
  </si>
  <si>
    <t>Zschortau</t>
  </si>
  <si>
    <t>51.483688</t>
  </si>
  <si>
    <t>12.361336</t>
  </si>
  <si>
    <t>Zühlsdorf</t>
  </si>
  <si>
    <t>52.732698</t>
  </si>
  <si>
    <t>13.403535</t>
  </si>
  <si>
    <t>Zülpich</t>
  </si>
  <si>
    <t>50.698174</t>
  </si>
  <si>
    <t>6.662476</t>
  </si>
  <si>
    <t>Zusenhofen</t>
  </si>
  <si>
    <t>48.544728</t>
  </si>
  <si>
    <t>8.018466</t>
  </si>
  <si>
    <t>Züssow</t>
  </si>
  <si>
    <t>53.973879</t>
  </si>
  <si>
    <t>13.548191</t>
  </si>
  <si>
    <t>Züttlingen</t>
  </si>
  <si>
    <t>49.291657</t>
  </si>
  <si>
    <t>9.329117</t>
  </si>
  <si>
    <t>Zuzenhausen</t>
  </si>
  <si>
    <t>49.297394</t>
  </si>
  <si>
    <t>8.821439</t>
  </si>
  <si>
    <t>Zweibrücken Hbf</t>
  </si>
  <si>
    <t>49.246805</t>
  </si>
  <si>
    <t>7.356643</t>
  </si>
  <si>
    <t>Zweibrücken-Rosengarten</t>
  </si>
  <si>
    <t>49.252040</t>
  </si>
  <si>
    <t>7.378441</t>
  </si>
  <si>
    <t>Zwenkau-Großdalzig</t>
  </si>
  <si>
    <t>51.208264</t>
  </si>
  <si>
    <t>12.271154</t>
  </si>
  <si>
    <t>Zwickau Neumarkt</t>
  </si>
  <si>
    <t>50.722362</t>
  </si>
  <si>
    <t>12.494173</t>
  </si>
  <si>
    <t>Zwickau Stadthalle</t>
  </si>
  <si>
    <t>50.703920</t>
  </si>
  <si>
    <t>12.498056</t>
  </si>
  <si>
    <t>Zwickau-Schedewitz</t>
  </si>
  <si>
    <t>50.701851</t>
  </si>
  <si>
    <t>12.495009</t>
  </si>
  <si>
    <t>Zwiesel(Bay)</t>
  </si>
  <si>
    <t>49.020941</t>
  </si>
  <si>
    <t>13.226380</t>
  </si>
  <si>
    <t>Zwieselau</t>
  </si>
  <si>
    <t>49.006760</t>
  </si>
  <si>
    <t>13.276937</t>
  </si>
  <si>
    <t>Zwingenberg(Baden)</t>
  </si>
  <si>
    <t>49.416029</t>
  </si>
  <si>
    <t>9.042830</t>
  </si>
  <si>
    <t>Zwingenberg(Bergstr)</t>
  </si>
  <si>
    <t>49.725902</t>
  </si>
  <si>
    <t>8.609119</t>
  </si>
  <si>
    <t>Zwönitz</t>
  </si>
  <si>
    <t>50.632232</t>
  </si>
  <si>
    <t>12.797899</t>
  </si>
  <si>
    <t>Zwönitz Gymnasium</t>
  </si>
  <si>
    <t>50.633883</t>
  </si>
  <si>
    <t>12.808555</t>
  </si>
  <si>
    <t>Zwota</t>
  </si>
  <si>
    <t>50.352621</t>
  </si>
  <si>
    <t>12.427735</t>
  </si>
  <si>
    <t>Zwota-Zechenbach</t>
  </si>
  <si>
    <t>50.351134</t>
  </si>
  <si>
    <t>12.399987</t>
  </si>
  <si>
    <t>Zwotental</t>
  </si>
  <si>
    <t>50.362070</t>
  </si>
  <si>
    <t>12.363835</t>
  </si>
  <si>
    <t>Valide?</t>
  </si>
  <si>
    <t>Zuordnung</t>
  </si>
  <si>
    <t>Google Adresse</t>
  </si>
  <si>
    <t>Google Koordinaten</t>
  </si>
  <si>
    <t>Gehzeit (min)</t>
  </si>
  <si>
    <t>Aufgaben-zeit (min)</t>
  </si>
  <si>
    <t>Bonus-punkte</t>
  </si>
  <si>
    <t>Bahn-hofs-zeit</t>
  </si>
  <si>
    <t>Check Km/h</t>
  </si>
  <si>
    <t>Check Distanz</t>
  </si>
  <si>
    <t>Check Umweg</t>
  </si>
  <si>
    <t>Check % Umweg</t>
  </si>
  <si>
    <t>Zufallszahl</t>
  </si>
  <si>
    <t>Ziehung</t>
  </si>
  <si>
    <t>Validierung Orga-Team</t>
  </si>
  <si>
    <t>Güni  Güterzug</t>
  </si>
  <si>
    <t>B-1</t>
  </si>
  <si>
    <r>
      <rPr>
        <b/>
        <sz val="11"/>
        <color theme="1"/>
        <rFont val="Calibri"/>
        <family val="2"/>
        <scheme val="minor"/>
      </rPr>
      <t>Info:</t>
    </r>
    <r>
      <rPr>
        <sz val="11"/>
        <color theme="1"/>
        <rFont val="Calibri"/>
        <family val="2"/>
        <scheme val="minor"/>
      </rPr>
      <t xml:space="preserve"> Der Hundertwasser Banhof Uelzen hat mehrere Türme.
</t>
    </r>
    <r>
      <rPr>
        <b/>
        <sz val="11"/>
        <color theme="1"/>
        <rFont val="Calibri"/>
        <family val="2"/>
        <scheme val="minor"/>
      </rPr>
      <t>Aufgabe:</t>
    </r>
    <r>
      <rPr>
        <sz val="11"/>
        <color theme="1"/>
        <rFont val="Calibri"/>
        <family val="2"/>
        <scheme val="minor"/>
      </rPr>
      <t xml:space="preserve"> Findet den eurer Meinung nach Hübschesten Turm und geht dort hin, und Sagt dann Rapunzel lass dein Haar herunter.
</t>
    </r>
    <r>
      <rPr>
        <b/>
        <sz val="11"/>
        <color theme="1"/>
        <rFont val="Calibri"/>
        <family val="2"/>
        <scheme val="minor"/>
      </rPr>
      <t>Bonus:</t>
    </r>
    <r>
      <rPr>
        <sz val="11"/>
        <color theme="1"/>
        <rFont val="Calibri"/>
        <family val="2"/>
        <scheme val="minor"/>
      </rPr>
      <t xml:space="preserve"> Redet mit Wiener Dialekt.</t>
    </r>
  </si>
  <si>
    <t>Friedensreich-Hundertwasser-Platz 1, 29525 Uelzen</t>
  </si>
  <si>
    <t>52.969023, 10.552415</t>
  </si>
  <si>
    <t>Die Zügigen</t>
  </si>
  <si>
    <t>B-10</t>
  </si>
  <si>
    <t>Ausgang Hörstener Straße - macht ein Bild des Inselbahnhofsgebäudes</t>
  </si>
  <si>
    <t>Hörstener Straße - gegenüber des P+R</t>
  </si>
  <si>
    <t>53.45624878398216, 9.991698764101576</t>
  </si>
  <si>
    <t>Aufgabe korrekt</t>
  </si>
  <si>
    <t>AC.Allstars</t>
  </si>
  <si>
    <r>
      <rPr>
        <b/>
        <sz val="11"/>
        <color theme="1"/>
        <rFont val="Calibri"/>
        <family val="2"/>
        <scheme val="minor"/>
      </rPr>
      <t>Info:</t>
    </r>
    <r>
      <rPr>
        <sz val="11"/>
        <color theme="1"/>
        <rFont val="Calibri"/>
        <family val="2"/>
        <scheme val="minor"/>
      </rPr>
      <t xml:space="preserve"> Im Turmbahnhof Werbig kreuzen sich die Strecken 6078 Strausberg - Küstrin-Kietz und 6156 Werbig - Frankfurt(Oder). Die Strecke 6078 wird auch Ostbahn genannt und führte von Berlin bis Kaliningrad.
</t>
    </r>
    <r>
      <rPr>
        <b/>
        <sz val="11"/>
        <color theme="1"/>
        <rFont val="Calibri"/>
        <family val="2"/>
        <scheme val="minor"/>
      </rPr>
      <t>Aufgabe:</t>
    </r>
    <r>
      <rPr>
        <sz val="11"/>
        <color theme="1"/>
        <rFont val="Calibri"/>
        <family val="2"/>
        <scheme val="minor"/>
      </rPr>
      <t xml:space="preserve"> Macht ein Foto Eurer Gruppe auf dem Bahnsteig der "Ostbahn" mit dem Kreuzungsbauwerk im Hintergrund und posiert dabei als Turm.
</t>
    </r>
    <r>
      <rPr>
        <b/>
        <sz val="11"/>
        <color theme="1"/>
        <rFont val="Calibri"/>
        <family val="2"/>
        <scheme val="minor"/>
      </rPr>
      <t>Bonus:</t>
    </r>
    <r>
      <rPr>
        <sz val="11"/>
        <color theme="1"/>
        <rFont val="Calibri"/>
        <family val="2"/>
        <scheme val="minor"/>
      </rPr>
      <t xml:space="preserve"> Das Kreuzungsbauwerk wird dabei von einem Zug überfahren.</t>
    </r>
  </si>
  <si>
    <t>15306 Seelow</t>
  </si>
  <si>
    <t>52.56486171532344, 14.40530998843811</t>
  </si>
  <si>
    <t>Arbeitstitel RRX</t>
  </si>
  <si>
    <t>B-12</t>
  </si>
  <si>
    <t>Aufgabe: Macht ein Foto vor der Zwillingsbuche. Dabei habt ihr alle die gleiche Körperhaltung und den gleichen Gesichtsausdruck passend zur aktuellen Stimmung im Team.</t>
  </si>
  <si>
    <t>Zwillingsbuche, Vielstedter Str. 48, 27798 Hude (Oldb)</t>
  </si>
  <si>
    <t>53.105628377060576, 8.451799579900085</t>
  </si>
  <si>
    <t>DBA</t>
  </si>
  <si>
    <t>B-13</t>
  </si>
  <si>
    <r>
      <rPr>
        <b/>
        <sz val="11"/>
        <color theme="1"/>
        <rFont val="Calibri"/>
        <family val="2"/>
        <scheme val="minor"/>
      </rPr>
      <t>Info</t>
    </r>
    <r>
      <rPr>
        <sz val="11"/>
        <color theme="1"/>
        <rFont val="Calibri"/>
        <family val="2"/>
        <scheme val="minor"/>
      </rPr>
      <t xml:space="preserve">:
direkt an der Weser steht die Skulptur "Vorausschauende Maßnahme" als Meßstelle des Wasserpegels.
</t>
    </r>
    <r>
      <rPr>
        <b/>
        <sz val="11"/>
        <color theme="1"/>
        <rFont val="Calibri"/>
        <family val="2"/>
        <scheme val="minor"/>
      </rPr>
      <t>Aufgabe</t>
    </r>
    <r>
      <rPr>
        <sz val="11"/>
        <color theme="1"/>
        <rFont val="Calibri"/>
        <family val="2"/>
        <scheme val="minor"/>
      </rPr>
      <t>:
Macht ein Gruppenfoto mit der Skulptur im Hintergrund und stellt diese mit euren Koerpern nach.</t>
    </r>
  </si>
  <si>
    <t>Brückenkopf 7A, 32423 Minden</t>
  </si>
  <si>
    <t>52.29082905510507, 8.925005266108457</t>
  </si>
  <si>
    <r>
      <rPr>
        <b/>
        <sz val="11"/>
        <color theme="1"/>
        <rFont val="Calibri"/>
        <family val="2"/>
        <scheme val="minor"/>
      </rPr>
      <t>Info</t>
    </r>
    <r>
      <rPr>
        <sz val="11"/>
        <color theme="1"/>
        <rFont val="Calibri"/>
        <family val="2"/>
        <scheme val="minor"/>
      </rPr>
      <t xml:space="preserve">:Innenstädte sind voller kleiner Details, die man normalerweise übersieht.
</t>
    </r>
    <r>
      <rPr>
        <b/>
        <sz val="11"/>
        <color theme="1"/>
        <rFont val="Calibri"/>
        <family val="2"/>
        <scheme val="minor"/>
      </rPr>
      <t>Aufgabe</t>
    </r>
    <r>
      <rPr>
        <sz val="11"/>
        <color theme="1"/>
        <rFont val="Calibri"/>
        <family val="2"/>
        <scheme val="minor"/>
      </rPr>
      <t xml:space="preserve">:Sucht fünf unterschiedliche Dinge in Schaufenstern:
etwas Blaues,
etwas Rundes,
etwas mit Tiermotiv,
etwas mit einer Zahl,
und etwas Spiegelndes.
Erstellt daraus eine Fotocollage.
</t>
    </r>
    <r>
      <rPr>
        <b/>
        <sz val="11"/>
        <color theme="1"/>
        <rFont val="Calibri"/>
        <family val="2"/>
        <scheme val="minor"/>
      </rPr>
      <t>Bonus</t>
    </r>
    <r>
      <rPr>
        <sz val="11"/>
        <color theme="1"/>
        <rFont val="Calibri"/>
        <family val="2"/>
        <scheme val="minor"/>
      </rPr>
      <t>: Findet ein Schaufenster, in dem sich euer gesamtes Team spiegeln kann.</t>
    </r>
  </si>
  <si>
    <t>Willy-Brandt-Platz, 44532 Lünen</t>
  </si>
  <si>
    <t>51.61440922874806, 7.522340894971069</t>
  </si>
  <si>
    <t>Pils Spotting</t>
  </si>
  <si>
    <t>B-16</t>
  </si>
  <si>
    <r>
      <rPr>
        <b/>
        <sz val="11"/>
        <color theme="1"/>
        <rFont val="Calibri"/>
        <family val="2"/>
        <scheme val="minor"/>
      </rPr>
      <t>Info</t>
    </r>
    <r>
      <rPr>
        <sz val="11"/>
        <color theme="1"/>
        <rFont val="Calibri"/>
        <family val="2"/>
        <scheme val="minor"/>
      </rPr>
      <t xml:space="preserve">: Ludwigshafen am Rhein (Hbf) ist ein ausergewöhnlicher Keil- und Turmbahnhof Bahnhof
</t>
    </r>
    <r>
      <rPr>
        <b/>
        <sz val="11"/>
        <color theme="1"/>
        <rFont val="Calibri"/>
        <family val="2"/>
        <scheme val="minor"/>
      </rPr>
      <t>Aufgabe</t>
    </r>
    <r>
      <rPr>
        <sz val="11"/>
        <color theme="1"/>
        <rFont val="Calibri"/>
        <family val="2"/>
        <scheme val="minor"/>
      </rPr>
      <t xml:space="preserve">: Findet eine Treppe, klettert auf die ihn überspannende Pylonbrücke der B37 und entdeckt die Form des Bahnhofs von oben (mit Fotodokumentation)
</t>
    </r>
    <r>
      <rPr>
        <b/>
        <sz val="11"/>
        <color theme="1"/>
        <rFont val="Calibri"/>
        <family val="2"/>
        <scheme val="minor"/>
      </rPr>
      <t>Bonus</t>
    </r>
    <r>
      <rPr>
        <sz val="11"/>
        <color theme="1"/>
        <rFont val="Calibri"/>
        <family val="2"/>
        <scheme val="minor"/>
      </rPr>
      <t>: macht ein Foto von einem Teammitglied, das in die korrekte Richtung des seit kurzem abgerissenen Ludwigshafener Rathauses zeigt</t>
    </r>
  </si>
  <si>
    <t>Pasadenaallee, 67059 Ludwigshafen am Rhein</t>
  </si>
  <si>
    <t>49.47762685628476, 8.433247544942073</t>
  </si>
  <si>
    <t>Power Railers</t>
  </si>
  <si>
    <t>B-17</t>
  </si>
  <si>
    <r>
      <rPr>
        <b/>
        <sz val="11"/>
        <color theme="1"/>
        <rFont val="Calibri"/>
        <family val="2"/>
        <scheme val="minor"/>
      </rPr>
      <t xml:space="preserve">Info: </t>
    </r>
    <r>
      <rPr>
        <sz val="11"/>
        <color theme="1"/>
        <rFont val="Calibri"/>
        <family val="2"/>
        <scheme val="minor"/>
      </rPr>
      <t xml:space="preserve">Beim Bahnhof Döbeln Hbf handelt es sich um einen Keilbahnhof.
</t>
    </r>
    <r>
      <rPr>
        <b/>
        <sz val="11"/>
        <color theme="1"/>
        <rFont val="Calibri"/>
        <family val="2"/>
        <scheme val="minor"/>
      </rPr>
      <t xml:space="preserve">Aufgabe: </t>
    </r>
    <r>
      <rPr>
        <sz val="11"/>
        <color theme="1"/>
        <rFont val="Calibri"/>
        <family val="2"/>
        <scheme val="minor"/>
      </rPr>
      <t xml:space="preserve">Geht zum Spielplatz am Bahnhof. Auf diesem befindet sich eine Sandkasten-Spiel-Eisenbahn. Stellt dort per Foto eine typische KT-Szene nach, in der Ihr schnell aus dem Zug springt, um ein Foto vom Bahnhofsschild zu machen, und dabei mächtig Ärger vom Zub bekommt.
</t>
    </r>
    <r>
      <rPr>
        <b/>
        <sz val="11"/>
        <color theme="1"/>
        <rFont val="Calibri"/>
        <family val="2"/>
        <scheme val="minor"/>
      </rPr>
      <t xml:space="preserve">Bonus: </t>
    </r>
    <r>
      <rPr>
        <sz val="11"/>
        <color theme="1"/>
        <rFont val="Calibri"/>
        <family val="2"/>
        <scheme val="minor"/>
      </rPr>
      <t>Ihr schafft es, Euch ein Sandförmchen auszuleihen und einen formechten Sandkuchen zu backen.</t>
    </r>
  </si>
  <si>
    <t>Hauptbahnhof, 04720 Döbeln</t>
  </si>
  <si>
    <t>51.12695573759434, 13.097104015478056</t>
  </si>
  <si>
    <t>pro forma</t>
  </si>
  <si>
    <r>
      <rPr>
        <b/>
        <sz val="11"/>
        <color theme="1"/>
        <rFont val="Calibri"/>
        <family val="2"/>
        <scheme val="minor"/>
      </rPr>
      <t xml:space="preserve">Info: </t>
    </r>
    <r>
      <rPr>
        <sz val="11"/>
        <color theme="1"/>
        <rFont val="Calibri"/>
        <family val="2"/>
        <scheme val="minor"/>
      </rPr>
      <t xml:space="preserve">Altenbeken war Keilbahnhof; mit nachträglich gebautem Verbindungsgleis nun ein Inselbahnhof; Altenbeken ist "Eisenbahnerstadt" mit Wahrzeichen Viadukt im Stadtwappen
</t>
    </r>
    <r>
      <rPr>
        <b/>
        <sz val="11"/>
        <color theme="1"/>
        <rFont val="Calibri"/>
        <family val="2"/>
        <scheme val="minor"/>
      </rPr>
      <t>Aufgabe:</t>
    </r>
    <r>
      <rPr>
        <sz val="11"/>
        <color theme="1"/>
        <rFont val="Calibri"/>
        <family val="2"/>
        <scheme val="minor"/>
      </rPr>
      <t xml:space="preserve"> Foto mit Team vom Aussichtspunkt </t>
    </r>
    <r>
      <rPr>
        <b/>
        <sz val="11"/>
        <color theme="1"/>
        <rFont val="Calibri"/>
        <family val="2"/>
        <scheme val="minor"/>
      </rPr>
      <t>über</t>
    </r>
    <r>
      <rPr>
        <sz val="11"/>
        <color theme="1"/>
        <rFont val="Calibri"/>
        <family val="2"/>
        <scheme val="minor"/>
      </rPr>
      <t xml:space="preserve"> dem Großen Viadukt
</t>
    </r>
    <r>
      <rPr>
        <b/>
        <sz val="11"/>
        <color theme="1"/>
        <rFont val="Calibri"/>
        <family val="2"/>
        <scheme val="minor"/>
      </rPr>
      <t>Bonus 1 (+30P)</t>
    </r>
    <r>
      <rPr>
        <sz val="11"/>
        <color theme="1"/>
        <rFont val="Calibri"/>
        <family val="2"/>
        <scheme val="minor"/>
      </rPr>
      <t xml:space="preserve">: Foto mit Team am ausgewiesenen Aussichtspunkt ggü. Kreuzkapelle (51.76315, 8.92743)
</t>
    </r>
    <r>
      <rPr>
        <b/>
        <sz val="11"/>
        <color theme="1"/>
        <rFont val="Calibri"/>
        <family val="2"/>
        <scheme val="minor"/>
      </rPr>
      <t>Bonus 2 (+30P)</t>
    </r>
    <r>
      <rPr>
        <sz val="11"/>
        <color theme="1"/>
        <rFont val="Calibri"/>
        <family val="2"/>
        <scheme val="minor"/>
      </rPr>
      <t>: Foto vom Team mit Lok 44 389-5 ggü. Egge-Museum (51.76276, 8.93597)</t>
    </r>
  </si>
  <si>
    <t>Am Stapelsberg, 33184 Altenbeken</t>
  </si>
  <si>
    <t>51.765300, 8.929210</t>
  </si>
  <si>
    <t>Projektgruppe Kapazitätsausbau</t>
  </si>
  <si>
    <r>
      <rPr>
        <b/>
        <sz val="11"/>
        <color theme="1"/>
        <rFont val="Calibri"/>
        <family val="2"/>
        <scheme val="minor"/>
      </rPr>
      <t xml:space="preserve">Info: </t>
    </r>
    <r>
      <rPr>
        <sz val="11"/>
        <color theme="1"/>
        <rFont val="Calibri"/>
        <family val="2"/>
        <scheme val="minor"/>
      </rPr>
      <t xml:space="preserve">Beim Bahnhof Herlasgrün handelt es sich um einen Keilbahnhof.
</t>
    </r>
    <r>
      <rPr>
        <b/>
        <sz val="11"/>
        <color theme="1"/>
        <rFont val="Calibri"/>
        <family val="2"/>
        <scheme val="minor"/>
      </rPr>
      <t xml:space="preserve">Aufgabe: </t>
    </r>
    <r>
      <rPr>
        <sz val="11"/>
        <color theme="1"/>
        <rFont val="Calibri"/>
        <family val="2"/>
        <scheme val="minor"/>
      </rPr>
      <t>Schieße ein Foto von Bahnsteig 4 in Richtung Bahnsteig 1 und Empfangsgebäude. Es müssen alle Teammitglieder auf dem Foto sein. 
Bonus: Ihr schafft es einen durchfahrenden Güterzug mit abzulichten.</t>
    </r>
  </si>
  <si>
    <t>Bahnhofsstraße, 08543 Pöhl OT Herlasgrün</t>
  </si>
  <si>
    <t>50.57092949540759, 12.235387091771763</t>
  </si>
  <si>
    <t>im Rahmen der KT 2026 nicht erreichbar</t>
  </si>
  <si>
    <t>B-2</t>
  </si>
  <si>
    <r>
      <rPr>
        <b/>
        <sz val="11"/>
        <color theme="1"/>
        <rFont val="Calibri"/>
        <family val="2"/>
        <scheme val="minor"/>
      </rPr>
      <t>Info</t>
    </r>
    <r>
      <rPr>
        <sz val="11"/>
        <color theme="1"/>
        <rFont val="Calibri"/>
        <family val="2"/>
        <scheme val="minor"/>
      </rPr>
      <t xml:space="preserve">: Doberlug-Kirchhain ist eine Doppelstadt, der Turmbahnhof befindet sich genau in der Mitte. Die Gleise verbinden und trennen die beiden Stadtteile. 
</t>
    </r>
    <r>
      <rPr>
        <b/>
        <sz val="11"/>
        <color theme="1"/>
        <rFont val="Calibri"/>
        <family val="2"/>
        <scheme val="minor"/>
      </rPr>
      <t>Aufgabe</t>
    </r>
    <r>
      <rPr>
        <sz val="11"/>
        <color theme="1"/>
        <rFont val="Calibri"/>
        <family val="2"/>
        <scheme val="minor"/>
      </rPr>
      <t xml:space="preserve">: Findet den Bahnübergang; posiert für ein Foto vor der Schranke
</t>
    </r>
    <r>
      <rPr>
        <b/>
        <sz val="11"/>
        <color theme="1"/>
        <rFont val="Calibri"/>
        <family val="2"/>
        <scheme val="minor"/>
      </rPr>
      <t>Bonus</t>
    </r>
    <r>
      <rPr>
        <sz val="11"/>
        <color theme="1"/>
        <rFont val="Calibri"/>
        <family val="2"/>
        <scheme val="minor"/>
      </rPr>
      <t>: Teilt euer Team für das Foto auf beide Seiten des geschlossenen Bahnübergangs auf.</t>
    </r>
  </si>
  <si>
    <t>Bahnhofsallee, 03253 Doberlug-Kirchhain</t>
  </si>
  <si>
    <t>51.61995429475889, 13.560973836983932</t>
  </si>
  <si>
    <t>Reisekettenfetischisten</t>
  </si>
  <si>
    <t>B-20</t>
  </si>
  <si>
    <r>
      <rPr>
        <b/>
        <sz val="11"/>
        <color theme="1"/>
        <rFont val="Calibri"/>
        <family val="2"/>
        <scheme val="minor"/>
      </rPr>
      <t>Info</t>
    </r>
    <r>
      <rPr>
        <sz val="11"/>
        <color theme="1"/>
        <rFont val="Calibri"/>
        <family val="2"/>
        <scheme val="minor"/>
      </rPr>
      <t xml:space="preserve">: Hameln ist für die Geschichte des Rattenfängers von Hameln bekannt, eine der bekanntesten deutschen Sagen. Der Keilbahnhof wurde ursprünglich im Jahr 1872 gebaut.
</t>
    </r>
    <r>
      <rPr>
        <b/>
        <sz val="11"/>
        <color theme="1"/>
        <rFont val="Calibri"/>
        <family val="2"/>
        <scheme val="minor"/>
      </rPr>
      <t>Aufgabe</t>
    </r>
    <r>
      <rPr>
        <sz val="11"/>
        <color theme="1"/>
        <rFont val="Calibri"/>
        <family val="2"/>
        <scheme val="minor"/>
      </rPr>
      <t xml:space="preserve">: Stellt euch vor die Statue des Rattenfängers und nehmt ein Video auf, in dem ihr die Geschichte vom Rattenfänger von Hameln nachspielt.
</t>
    </r>
    <r>
      <rPr>
        <b/>
        <sz val="11"/>
        <color theme="1"/>
        <rFont val="Calibri"/>
        <family val="2"/>
        <scheme val="minor"/>
      </rPr>
      <t>Bonus</t>
    </r>
    <r>
      <rPr>
        <sz val="11"/>
        <color theme="1"/>
        <rFont val="Calibri"/>
        <family val="2"/>
        <scheme val="minor"/>
      </rPr>
      <t>: Findet und fotografiert Rattenstatuen in der Stadt (5 Punkte pro Statue, max. 15 Punkte)</t>
    </r>
  </si>
  <si>
    <t>Osterstraße 15, 31785 Hameln</t>
  </si>
  <si>
    <t>52.10443292730007, 9.3594607177424</t>
  </si>
  <si>
    <t>Ruhewagen-Rowdies</t>
  </si>
  <si>
    <t>Mache ein Foto des DSW21-Betriebswerks. Bonus: Eine Stadtbahn vom Typ B100S verlässt oder fährt gerade in das BW.</t>
  </si>
  <si>
    <t>Dorstfelder Hellweg 73, 44149 Dortmund</t>
  </si>
  <si>
    <t>51.51352205498294, 7.418741265532463</t>
  </si>
  <si>
    <t>TarifWegeEntzündung</t>
  </si>
  <si>
    <r>
      <rPr>
        <b/>
        <sz val="11"/>
        <color theme="1"/>
        <rFont val="Calibri"/>
        <family val="2"/>
        <scheme val="minor"/>
      </rPr>
      <t>Info:</t>
    </r>
    <r>
      <rPr>
        <sz val="11"/>
        <color theme="1"/>
        <rFont val="Calibri"/>
        <family val="2"/>
        <scheme val="minor"/>
      </rPr>
      <t xml:space="preserve"> Durch Bürstadt fährt die Nibelungenbahn.
</t>
    </r>
    <r>
      <rPr>
        <b/>
        <sz val="11"/>
        <color theme="1"/>
        <rFont val="Calibri"/>
        <family val="2"/>
        <scheme val="minor"/>
      </rPr>
      <t xml:space="preserve">Aufgabe: </t>
    </r>
    <r>
      <rPr>
        <sz val="11"/>
        <color theme="1"/>
        <rFont val="Calibri"/>
        <family val="2"/>
        <scheme val="minor"/>
      </rPr>
      <t xml:space="preserve">Findet heraus, warum sie so genannt wird und zitiert eine Strophe aus der Nibelungensage. Nehmt es als Audio auf.
</t>
    </r>
    <r>
      <rPr>
        <b/>
        <sz val="11"/>
        <color theme="1"/>
        <rFont val="Calibri"/>
        <family val="2"/>
        <scheme val="minor"/>
      </rPr>
      <t xml:space="preserve">Bonus: </t>
    </r>
    <r>
      <rPr>
        <sz val="11"/>
        <color theme="1"/>
        <rFont val="Calibri"/>
        <family val="2"/>
        <scheme val="minor"/>
      </rPr>
      <t>Nehmt es als Video auf und macht es theatralisch mit dem Bahnhofsschild im Hintergrund</t>
    </r>
  </si>
  <si>
    <t>Bahnhofsallee 17, 68642 Bürstadt</t>
  </si>
  <si>
    <t>49.64566159753387, 8.457418845168826</t>
  </si>
  <si>
    <t>Team Gleisgeist</t>
  </si>
  <si>
    <r>
      <rPr>
        <b/>
        <sz val="11"/>
        <color theme="1"/>
        <rFont val="Calibri"/>
        <family val="2"/>
        <scheme val="minor"/>
      </rPr>
      <t>Info</t>
    </r>
    <r>
      <rPr>
        <sz val="11"/>
        <color theme="1"/>
        <rFont val="Calibri"/>
        <family val="2"/>
        <scheme val="minor"/>
      </rPr>
      <t xml:space="preserve">: Beruehmt ist der Ort fuer die "Duelmener Wildpferde": seit ueber 600 Jahren lebt im Merfelder Bruch die letzte freilebende Wildpferdherde Europas (~300 Tiere). Einmal im Jahr werden die Jaehrlinge in einem grossen Spektakel eingefangen. 
</t>
    </r>
    <r>
      <rPr>
        <b/>
        <sz val="11"/>
        <color theme="1"/>
        <rFont val="Calibri"/>
        <family val="2"/>
        <scheme val="minor"/>
      </rPr>
      <t>Aufgabe</t>
    </r>
    <r>
      <rPr>
        <sz val="11"/>
        <color theme="1"/>
        <rFont val="Calibri"/>
        <family val="2"/>
        <scheme val="minor"/>
      </rPr>
      <t>: "Wildpferd-Fang!" - das Team galoppiert als wilde Herde vor der Wildpferd-Statue an der Borkener Str. (wiehern erlaubt!). Eine Person ist der Faenger und muss ein "Jaehrling"-Mitglied mit einem Schal oder aehnlichem "einfangen" (umwickeln) und macht davon ein Video</t>
    </r>
  </si>
  <si>
    <t>Borkener Str. 1A, 48249 Dülmen</t>
  </si>
  <si>
    <t>51.829214717032166, 7.2763274929660815</t>
  </si>
  <si>
    <r>
      <rPr>
        <b/>
        <sz val="11"/>
        <color theme="1"/>
        <rFont val="Calibri"/>
        <family val="2"/>
        <scheme val="minor"/>
      </rPr>
      <t>Info</t>
    </r>
    <r>
      <rPr>
        <sz val="11"/>
        <color theme="1"/>
        <rFont val="Calibri"/>
        <family val="2"/>
        <scheme val="minor"/>
      </rPr>
      <t xml:space="preserve">: Der Turmbahnhof Osnabrück wurde 1895 errichtet. Auch Etagenbahnhof genannt, kreuzen sich hier NV und FV auf zwei  übereinanderliegenden Ebenen
</t>
    </r>
    <r>
      <rPr>
        <b/>
        <sz val="11"/>
        <color theme="1"/>
        <rFont val="Calibri"/>
        <family val="2"/>
        <scheme val="minor"/>
      </rPr>
      <t>Aufgabe</t>
    </r>
    <r>
      <rPr>
        <sz val="11"/>
        <color theme="1"/>
        <rFont val="Calibri"/>
        <family val="2"/>
        <scheme val="minor"/>
      </rPr>
      <t xml:space="preserve">: Macht ein Bild von euch MIT der Hase
</t>
    </r>
    <r>
      <rPr>
        <b/>
        <sz val="11"/>
        <color theme="1"/>
        <rFont val="Calibri"/>
        <family val="2"/>
        <scheme val="minor"/>
      </rPr>
      <t>Bonus</t>
    </r>
    <r>
      <rPr>
        <sz val="11"/>
        <color theme="1"/>
        <rFont val="Calibri"/>
        <family val="2"/>
        <scheme val="minor"/>
      </rPr>
      <t>: kleine Abkühlung! Haltet die Füße ins Wasser und macht ein Bild von euch IN der Hase</t>
    </r>
  </si>
  <si>
    <t>Raiffeisenplatz, 49074 Osnabrück</t>
  </si>
  <si>
    <t>52.27166806091102, 8.057230497499551</t>
  </si>
  <si>
    <t>B-25</t>
  </si>
  <si>
    <r>
      <rPr>
        <b/>
        <sz val="11"/>
        <color theme="1"/>
        <rFont val="Calibri"/>
        <family val="2"/>
        <scheme val="minor"/>
      </rPr>
      <t>Info</t>
    </r>
    <r>
      <rPr>
        <sz val="11"/>
        <color theme="1"/>
        <rFont val="Calibri"/>
        <family val="2"/>
        <scheme val="minor"/>
      </rPr>
      <t xml:space="preserve">: Brückenhäuser über die Nahe - eine der wenigen bebauten Brücken in Europa.
</t>
    </r>
    <r>
      <rPr>
        <b/>
        <sz val="11"/>
        <color theme="1"/>
        <rFont val="Calibri"/>
        <family val="2"/>
        <scheme val="minor"/>
      </rPr>
      <t>Aufgabe</t>
    </r>
    <r>
      <rPr>
        <sz val="11"/>
        <color theme="1"/>
        <rFont val="Calibri"/>
        <family val="2"/>
        <scheme val="minor"/>
      </rPr>
      <t xml:space="preserve">: Macht ein Foto der Brückenhäuser von der Naheinsel (Kurhausstraße) aus, auf dem die Brücke und die Brückenhäuser inkl. der Schilder der Handwerksbetriebe an den Hausfassaden zu erkennen sind. 
</t>
    </r>
    <r>
      <rPr>
        <b/>
        <sz val="11"/>
        <color theme="1"/>
        <rFont val="Calibri"/>
        <family val="2"/>
        <scheme val="minor"/>
      </rPr>
      <t>Bonus</t>
    </r>
    <r>
      <rPr>
        <sz val="11"/>
        <color theme="1"/>
        <rFont val="Calibri"/>
        <family val="2"/>
        <scheme val="minor"/>
      </rPr>
      <t>: Trinkt ein Getränk im Schwedischen Kaffee und macht dabei ein Foto von euch.</t>
    </r>
  </si>
  <si>
    <t>Kurhausstraße 2-8, 55543 Bad Kreuznach</t>
  </si>
  <si>
    <t>49.844377771371185, 7.857305125630666</t>
  </si>
  <si>
    <t>B-3</t>
  </si>
  <si>
    <r>
      <rPr>
        <b/>
        <sz val="11"/>
        <color theme="1"/>
        <rFont val="Calibri"/>
        <family val="2"/>
        <scheme val="minor"/>
      </rPr>
      <t xml:space="preserve">Info: </t>
    </r>
    <r>
      <rPr>
        <sz val="11"/>
        <color theme="1"/>
        <rFont val="Calibri"/>
        <family val="2"/>
        <scheme val="minor"/>
      </rPr>
      <t xml:space="preserve">Beim Bahnhof Lindau-Insel handelt es sich um einen Inselbahnhof.
</t>
    </r>
    <r>
      <rPr>
        <b/>
        <sz val="11"/>
        <color theme="1"/>
        <rFont val="Calibri"/>
        <family val="2"/>
        <scheme val="minor"/>
      </rPr>
      <t xml:space="preserve">Aufgabe: </t>
    </r>
    <r>
      <rPr>
        <sz val="11"/>
        <color theme="1"/>
        <rFont val="Calibri"/>
        <family val="2"/>
        <scheme val="minor"/>
      </rPr>
      <t>Geht zum nahegelegenen Mangturm und erstellt ein Foto von Euch, auf dem sowohl der Mangturm (bzw. ein Stück davon), als auch der auf der anderen Seite des Hafens liegende Leuchtturm zu sehen sind.</t>
    </r>
    <r>
      <rPr>
        <sz val="11"/>
        <color theme="1"/>
        <rFont val="Calibri"/>
        <family val="2"/>
        <scheme val="minor"/>
      </rPr>
      <t xml:space="preserve">
</t>
    </r>
    <r>
      <rPr>
        <b/>
        <sz val="11"/>
        <color theme="1"/>
        <rFont val="Calibri"/>
        <family val="2"/>
        <scheme val="minor"/>
      </rPr>
      <t xml:space="preserve">Bonus: </t>
    </r>
    <r>
      <rPr>
        <sz val="11"/>
        <color theme="1"/>
        <rFont val="Calibri"/>
        <family val="2"/>
        <scheme val="minor"/>
      </rPr>
      <t>Ihr ergänzt Euch selbst als weitere Türme.</t>
    </r>
  </si>
  <si>
    <t>Hafenpl. 2, 88131 Lindau (Bodensee)-Insel</t>
  </si>
  <si>
    <t>47.54446088845994, 9.683488764465947</t>
  </si>
  <si>
    <r>
      <rPr>
        <b/>
        <sz val="11"/>
        <color theme="1"/>
        <rFont val="Calibri"/>
        <family val="2"/>
        <scheme val="minor"/>
      </rPr>
      <t>Info:</t>
    </r>
    <r>
      <rPr>
        <sz val="11"/>
        <color theme="1"/>
        <rFont val="Calibri"/>
        <family val="2"/>
        <scheme val="minor"/>
      </rPr>
      <t xml:space="preserve"> Baunatal-Guntershausen ist Keilbahnhof.
</t>
    </r>
    <r>
      <rPr>
        <b/>
        <sz val="11"/>
        <color theme="1"/>
        <rFont val="Calibri"/>
        <family val="2"/>
        <scheme val="minor"/>
      </rPr>
      <t>Aufgabe:</t>
    </r>
    <r>
      <rPr>
        <sz val="11"/>
        <color theme="1"/>
        <rFont val="Calibri"/>
        <family val="2"/>
        <scheme val="minor"/>
      </rPr>
      <t xml:space="preserve"> Teamfoto vom Standort zwischen den beiden Eisenbahnstrecken auf dem Weg am Nordufer der Fulda, Foto mit Team mit der Eisenbahnbrücke über die Fulda.
</t>
    </r>
    <r>
      <rPr>
        <b/>
        <sz val="11"/>
        <color theme="1"/>
        <rFont val="Calibri"/>
        <family val="2"/>
        <scheme val="minor"/>
      </rPr>
      <t>Bonus:</t>
    </r>
    <r>
      <rPr>
        <sz val="11"/>
        <color theme="1"/>
        <rFont val="Calibri"/>
        <family val="2"/>
        <scheme val="minor"/>
      </rPr>
      <t xml:space="preserve"> +20P/50P bei einem/zwei Zügen auf der Brücke beim Teamfoto
</t>
    </r>
  </si>
  <si>
    <t>Zugang zum Weg (ggü. Sportplatz Guntershausen) über
Hinter der Brücke, 34225 Baunatal</t>
  </si>
  <si>
    <t>51.226520, 9.469010</t>
  </si>
  <si>
    <t>B-5</t>
  </si>
  <si>
    <r>
      <rPr>
        <b/>
        <sz val="11"/>
        <color theme="1"/>
        <rFont val="Calibri"/>
        <family val="2"/>
        <scheme val="minor"/>
      </rPr>
      <t>Info</t>
    </r>
    <r>
      <rPr>
        <sz val="11"/>
        <color theme="1"/>
        <rFont val="Calibri"/>
        <family val="2"/>
        <scheme val="minor"/>
      </rPr>
      <t xml:space="preserve">: In Essen muss der Bezug zum Essen gefunden werden ohne dabei Lebensmittel zu verwenden. 
</t>
    </r>
    <r>
      <rPr>
        <b/>
        <sz val="11"/>
        <color theme="1"/>
        <rFont val="Calibri"/>
        <family val="2"/>
        <scheme val="minor"/>
      </rPr>
      <t>Aufgabe</t>
    </r>
    <r>
      <rPr>
        <sz val="11"/>
        <color theme="1"/>
        <rFont val="Calibri"/>
        <family val="2"/>
        <scheme val="minor"/>
      </rPr>
      <t>: Findet in der Innenstadt fünf Belege, die sprachlich, visuell oder kreativ mit Essen verbunden sind ohne das die Belege Lebensmittel beinhalten.</t>
    </r>
  </si>
  <si>
    <t xml:space="preserve"> Theaterpl. 11, 45127 Essen</t>
  </si>
  <si>
    <t>51.45459544063109, 7.011127001849949</t>
  </si>
  <si>
    <t>B-6</t>
  </si>
  <si>
    <r>
      <rPr>
        <b/>
        <sz val="11"/>
        <color theme="1"/>
        <rFont val="Calibri"/>
        <family val="2"/>
        <scheme val="minor"/>
      </rPr>
      <t>Info:</t>
    </r>
    <r>
      <rPr>
        <sz val="11"/>
        <color theme="1"/>
        <rFont val="Calibri"/>
        <family val="2"/>
        <scheme val="minor"/>
      </rPr>
      <t xml:space="preserve"> Turmbahnhof Berlin-Schöneberg der Ring- und Wannseebahn; David Bowie lebte von 1976-1978 in der Hauptstr. 155.
</t>
    </r>
    <r>
      <rPr>
        <b/>
        <sz val="11"/>
        <color theme="1"/>
        <rFont val="Calibri"/>
        <family val="2"/>
        <scheme val="minor"/>
      </rPr>
      <t>Aufgabe:</t>
    </r>
    <r>
      <rPr>
        <sz val="11"/>
        <color theme="1"/>
        <rFont val="Calibri"/>
        <family val="2"/>
        <scheme val="minor"/>
      </rPr>
      <t xml:space="preserve"> Stellt Euch vor die Gedenktafel für David Bowie und singt einen seiner Songs (Video mindestens 1 min lang!)
</t>
    </r>
    <r>
      <rPr>
        <b/>
        <sz val="11"/>
        <color theme="1"/>
        <rFont val="Calibri"/>
        <family val="2"/>
        <scheme val="minor"/>
      </rPr>
      <t xml:space="preserve">Bonus: </t>
    </r>
    <r>
      <rPr>
        <sz val="11"/>
        <color theme="1"/>
        <rFont val="Calibri"/>
        <family val="2"/>
        <scheme val="minor"/>
      </rPr>
      <t>Wenn Ihr auch noch einen Song von Iggy Pop singt (Video mindestens 1 min lang), der zeitweise Davids Nachbar war, bekommt Ihr 10 Bonuspunkte.</t>
    </r>
  </si>
  <si>
    <t>Hauptstraße 155, 10827 Berlin</t>
  </si>
  <si>
    <t>52.48925286066577, 13.359617399999987</t>
  </si>
  <si>
    <t>B-7</t>
  </si>
  <si>
    <t>Nimm Dir eine Auszeit und Besuche den Spielplatz im Zentrum von Holzwickede. Bonus: Fahre eine Runde mit der Seilbahn/-rutsche</t>
  </si>
  <si>
    <t>Allee 9, 59439 Holzwickede</t>
  </si>
  <si>
    <t>51.50024445222175, 7.6176679797571</t>
  </si>
  <si>
    <t>B-8</t>
  </si>
  <si>
    <r>
      <rPr>
        <b/>
        <sz val="11"/>
        <color theme="1"/>
        <rFont val="Calibri"/>
        <family val="2"/>
        <scheme val="minor"/>
      </rPr>
      <t>Info:</t>
    </r>
    <r>
      <rPr>
        <sz val="11"/>
        <color theme="1"/>
        <rFont val="Calibri"/>
        <family val="2"/>
        <scheme val="minor"/>
      </rPr>
      <t xml:space="preserve"> Der Bahnhof Zuffenhausen ist ein Keil- und Inselbahnhof, steht kurz vor dem Tunnelausgang der Schnellfahrstrecke Stuttgart-Mannheim. Gleichzeitig ist Zuffenhausen ein bedeutender Ort für die Automobilindustrie. Das Porsche-Stammwerk befindet sich in der unmittelbaren Nähe
</t>
    </r>
    <r>
      <rPr>
        <b/>
        <sz val="11"/>
        <color theme="1"/>
        <rFont val="Calibri"/>
        <family val="2"/>
        <scheme val="minor"/>
      </rPr>
      <t>Aufgabe:</t>
    </r>
    <r>
      <rPr>
        <sz val="11"/>
        <color theme="1"/>
        <rFont val="Calibri"/>
        <family val="2"/>
        <scheme val="minor"/>
      </rPr>
      <t xml:space="preserve"> Genießt den wunderschönen Blick auf die Gleise neben dem Zaun und macht ein Gruppenfoto mit einem vorbeifahrenden Zug. 
</t>
    </r>
    <r>
      <rPr>
        <b/>
        <sz val="11"/>
        <color theme="1"/>
        <rFont val="Calibri"/>
        <family val="2"/>
        <scheme val="minor"/>
      </rPr>
      <t>Bonus:</t>
    </r>
    <r>
      <rPr>
        <sz val="11"/>
        <color theme="1"/>
        <rFont val="Calibri"/>
        <family val="2"/>
        <scheme val="minor"/>
      </rPr>
      <t xml:space="preserve"> Handelt es sich um einen ICE der aus der Schnellfahrstrecke kommt oder auf diese fährt, gibt es 10 Bonuspunkte. Ist ein Porsche auf diesem Bild zu sehen gibt es 10 weitere Punkte. </t>
    </r>
  </si>
  <si>
    <t>Stammheimer Str. 13, 70372 Stuttgart</t>
  </si>
  <si>
    <t>48.83337650362628, 9.165092817513068</t>
  </si>
  <si>
    <r>
      <rPr>
        <b/>
        <sz val="11"/>
        <color theme="1"/>
        <rFont val="Calibri"/>
        <family val="2"/>
        <scheme val="minor"/>
      </rPr>
      <t>Aufgabe</t>
    </r>
    <r>
      <rPr>
        <sz val="11"/>
        <color theme="1"/>
        <rFont val="Calibri"/>
        <family val="2"/>
        <scheme val="minor"/>
      </rPr>
      <t>: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r>
  </si>
  <si>
    <t>Liebigstraße 8, 35390 Gießen</t>
  </si>
  <si>
    <t>50.58110963639715, 8.66580318352566</t>
  </si>
  <si>
    <t>BP-10a</t>
  </si>
  <si>
    <t>Bahnhofspaar mit Silberhausen</t>
  </si>
  <si>
    <t>50.46151071944908, 7.873046602767534</t>
  </si>
  <si>
    <t>BP-10b</t>
  </si>
  <si>
    <t>Bahnhofspaar mit Goldhausen</t>
  </si>
  <si>
    <t>51.319090300487765, 10.342294418106139</t>
  </si>
  <si>
    <t>Bhf Paar mit Nierstein</t>
  </si>
  <si>
    <t>Bhf Paar mit Herzberg(Harz)</t>
  </si>
  <si>
    <t>BP-12a</t>
  </si>
  <si>
    <t>Bahnhofspaar mit Rothensee</t>
  </si>
  <si>
    <t>49.249358911913696, 10.030191463308315</t>
  </si>
  <si>
    <t>BP-12b</t>
  </si>
  <si>
    <t>Bahnhofspaar mit Rot am See</t>
  </si>
  <si>
    <t>52.18736958216196, 11.647404920194981</t>
  </si>
  <si>
    <t>BP-13a</t>
  </si>
  <si>
    <r>
      <rPr>
        <b/>
        <sz val="11"/>
        <color theme="1"/>
        <rFont val="Calibri"/>
        <family val="2"/>
        <scheme val="minor"/>
      </rPr>
      <t xml:space="preserve">Info: </t>
    </r>
    <r>
      <rPr>
        <sz val="11"/>
        <color theme="1"/>
        <rFont val="Calibri"/>
        <family val="2"/>
        <scheme val="minor"/>
      </rPr>
      <t>Halbe gehört zum Bhf-Paar mit Leer(Ostfriesl)</t>
    </r>
  </si>
  <si>
    <t>52.1091108590089, 13.701432503535697</t>
  </si>
  <si>
    <t>BP-13b</t>
  </si>
  <si>
    <r>
      <rPr>
        <b/>
        <sz val="11"/>
        <color theme="1"/>
        <rFont val="Calibri"/>
        <family val="2"/>
        <scheme val="minor"/>
      </rPr>
      <t xml:space="preserve">Info: </t>
    </r>
    <r>
      <rPr>
        <sz val="11"/>
        <color theme="1"/>
        <rFont val="Calibri"/>
        <family val="2"/>
        <scheme val="minor"/>
      </rPr>
      <t>Leer gehört zum Bhf-Paar mit Halbe</t>
    </r>
  </si>
  <si>
    <t>53.231349791075004, 7.465397042995747</t>
  </si>
  <si>
    <t>BP-14a</t>
  </si>
  <si>
    <t>Bahnhofspaar mit Elend</t>
  </si>
  <si>
    <t>51.69500027239343, 10.697449408711554</t>
  </si>
  <si>
    <t>BP-14b</t>
  </si>
  <si>
    <t>Bahnhofspaar mit Sorge</t>
  </si>
  <si>
    <t>51.748025660809894, 10.689555422350624</t>
  </si>
  <si>
    <t>Bhf Paar mit Kuchen</t>
  </si>
  <si>
    <t>48.683606292795645, 9.75998246310863</t>
  </si>
  <si>
    <t>Bhf Paar mit Süßen</t>
  </si>
  <si>
    <t>48.64065489416759, 9.80359313385485</t>
  </si>
  <si>
    <t>BP-16a</t>
  </si>
  <si>
    <t>Bahnhofspaar mit Quakenbrück</t>
  </si>
  <si>
    <t>49.010693045831864, 8.359144834818972</t>
  </si>
  <si>
    <t>BP-16b</t>
  </si>
  <si>
    <t>Bahnhofspaar mit Karlsruhe-Entenfang</t>
  </si>
  <si>
    <t>52.67402728560801, 7.947798224695017</t>
  </si>
  <si>
    <t>BP-17a</t>
  </si>
  <si>
    <t>Bhf Paar mit Salzkotten</t>
  </si>
  <si>
    <t>52.322925544943104, 7.35026258802808</t>
  </si>
  <si>
    <t>BP-17b</t>
  </si>
  <si>
    <t>Bhf Paar mit Salzbergen</t>
  </si>
  <si>
    <t>51.673151807468365, 8.600911257792053</t>
  </si>
  <si>
    <t>BP-18a</t>
  </si>
  <si>
    <t>Bhf Paar mit Frankfurt (Oder)</t>
  </si>
  <si>
    <t>50.1113577120978, 8.680274172043003</t>
  </si>
  <si>
    <t>0 Bahnhofspunkt ok (Frankfurt/Münster)</t>
  </si>
  <si>
    <t>BP-18b</t>
  </si>
  <si>
    <t>Bhf Paar mit Frankfurt (Main)</t>
  </si>
  <si>
    <t>52.34796214369489, 14.555423259478085</t>
  </si>
  <si>
    <t>BP-19a</t>
  </si>
  <si>
    <t xml:space="preserve">Bhf Paar mit Großen-Buseck
</t>
  </si>
  <si>
    <t>52.76634875568469, 9.594848540123719</t>
  </si>
  <si>
    <t>BP-19b</t>
  </si>
  <si>
    <t>Bhf-Paar mit Hodenhagen</t>
  </si>
  <si>
    <t>50.60594088025884, 8.780553400588968</t>
  </si>
  <si>
    <t>BP-1a</t>
  </si>
  <si>
    <t xml:space="preserve">Bhf Paar mit Lorch(Württ)
</t>
  </si>
  <si>
    <t>50.04041658296187, 7.812949758605755</t>
  </si>
  <si>
    <t>BP-1b</t>
  </si>
  <si>
    <t xml:space="preserve">Bhf Paar mit Lorch(Rhein)
</t>
  </si>
  <si>
    <t>48.79792724668096, 9.695852589374175</t>
  </si>
  <si>
    <t xml:space="preserve">Bhf Paar mit Feuerbach
</t>
  </si>
  <si>
    <t xml:space="preserve">Bhf Paar mit Eislingen
</t>
  </si>
  <si>
    <t>BP-21a</t>
  </si>
  <si>
    <r>
      <rPr>
        <b/>
        <sz val="11"/>
        <rFont val="Calibri"/>
        <family val="2"/>
        <scheme val="minor"/>
      </rPr>
      <t>Info:</t>
    </r>
    <r>
      <rPr>
        <sz val="11"/>
        <rFont val="Calibri"/>
        <family val="2"/>
        <scheme val="minor"/>
      </rPr>
      <t xml:space="preserve"> Köln Messe/Deutz wurde im selben Jahr eröffnet wie Hamburg-Altona.</t>
    </r>
  </si>
  <si>
    <t>50.940964333711825, 6.974694905718728</t>
  </si>
  <si>
    <t>BP-21b</t>
  </si>
  <si>
    <t>53.55235164546636, 9.934780095889499</t>
  </si>
  <si>
    <t>BP-22a</t>
  </si>
  <si>
    <t>Bahnhofspaar mit Bierbach</t>
  </si>
  <si>
    <t>49.55371896150622, 8.669653308304866</t>
  </si>
  <si>
    <t>BP-22b</t>
  </si>
  <si>
    <t>Bahnhofspaar mit Weinheim(Bergstr)</t>
  </si>
  <si>
    <t>49.27255963276612, 7.276200351745359</t>
  </si>
  <si>
    <t>BP-23a</t>
  </si>
  <si>
    <t>Bhf Paar mit Steinfurt-Burgsteinfurt</t>
  </si>
  <si>
    <t>49.2358220, 8.9079780</t>
  </si>
  <si>
    <t>BP-23b</t>
  </si>
  <si>
    <t>Bhf Paar mit Steinsfurt</t>
  </si>
  <si>
    <t>52.1473840, 7.3293400</t>
  </si>
  <si>
    <t>Bahnhofspaar mit Königstein(Taunus)</t>
  </si>
  <si>
    <t>49.43625312016379, 7.768677448105338</t>
  </si>
  <si>
    <t>Bahnhofspaar mit Kaiserslautern</t>
  </si>
  <si>
    <t>50.17791755071372, 8.46898016606659</t>
  </si>
  <si>
    <r>
      <rPr>
        <b/>
        <sz val="11"/>
        <color theme="1"/>
        <rFont val="Calibri"/>
        <family val="2"/>
        <scheme val="minor"/>
      </rPr>
      <t>Info:</t>
    </r>
    <r>
      <rPr>
        <sz val="11"/>
        <color theme="1"/>
        <rFont val="Calibri"/>
        <family val="2"/>
        <scheme val="minor"/>
      </rPr>
      <t xml:space="preserve"> Bhf Paar mit Merzig(Saar): Wie heißt unser aktueller Bundeskanzler und wo kommt er her?</t>
    </r>
  </si>
  <si>
    <r>
      <rPr>
        <b/>
        <sz val="11"/>
        <color theme="1"/>
        <rFont val="Calibri"/>
        <family val="2"/>
        <scheme val="minor"/>
      </rPr>
      <t>Info:</t>
    </r>
    <r>
      <rPr>
        <sz val="11"/>
        <color theme="1"/>
        <rFont val="Calibri"/>
        <family val="2"/>
        <scheme val="minor"/>
      </rPr>
      <t xml:space="preserve"> Bhf Paar mit Arnsberg(Westf): Wie heißt unser aktueller Bundeskanzler und wo kommt er her?</t>
    </r>
  </si>
  <si>
    <t>Bahnhofspaar mit Adlershof</t>
  </si>
  <si>
    <t>51.04226234743492, 14.480583907985332</t>
  </si>
  <si>
    <t>Bahnhofspaar mit Taubenheim</t>
  </si>
  <si>
    <t>52.43567235830112, 13.54024668018225</t>
  </si>
  <si>
    <t>BP-27a</t>
  </si>
  <si>
    <r>
      <rPr>
        <b/>
        <sz val="11"/>
        <color theme="1"/>
        <rFont val="Calibri"/>
        <family val="2"/>
        <scheme val="minor"/>
      </rPr>
      <t>Info:</t>
    </r>
    <r>
      <rPr>
        <sz val="11"/>
        <color theme="1"/>
        <rFont val="Calibri"/>
        <family val="2"/>
        <scheme val="minor"/>
      </rPr>
      <t xml:space="preserve"> Oberhausen als Pendant zu Unterhausen</t>
    </r>
  </si>
  <si>
    <t>51.47457376139252, 6.852405235490426</t>
  </si>
  <si>
    <t>BP-27b</t>
  </si>
  <si>
    <r>
      <rPr>
        <b/>
        <sz val="11"/>
        <color theme="1"/>
        <rFont val="Calibri"/>
        <family val="2"/>
        <scheme val="minor"/>
      </rPr>
      <t>Info:</t>
    </r>
    <r>
      <rPr>
        <sz val="11"/>
        <color theme="1"/>
        <rFont val="Calibri"/>
        <family val="2"/>
        <scheme val="minor"/>
      </rPr>
      <t xml:space="preserve"> Unterhausen als Pendant zu Oberhausen</t>
    </r>
  </si>
  <si>
    <t>48.71867588038242, 11.092760262827563</t>
  </si>
  <si>
    <t>BP-28a</t>
  </si>
  <si>
    <t>Bahnhofspaar mit Höllenthal</t>
  </si>
  <si>
    <t>47.958710903383206, 7.991769952949748</t>
  </si>
  <si>
    <t>BP-28b</t>
  </si>
  <si>
    <t>Bahnhofspaar mit Himmelreich</t>
  </si>
  <si>
    <t>50.364093695722445, 11.684375185593192</t>
  </si>
  <si>
    <t>BP-29a</t>
  </si>
  <si>
    <t xml:space="preserve">Bhf Paar mit Grafling-Arzting
</t>
  </si>
  <si>
    <t>47.79647563960233, 12.638301781535096</t>
  </si>
  <si>
    <t>BP-29b</t>
  </si>
  <si>
    <t xml:space="preserve">Bhf Paar mit Eisenärzt
</t>
  </si>
  <si>
    <t>48.889644000000004, 12.973429252358288</t>
  </si>
  <si>
    <t>BP-30a</t>
  </si>
  <si>
    <t>Bahnhofspaar mit Cloppenburg</t>
  </si>
  <si>
    <t>49.20122918705826, 7.830383917109802</t>
  </si>
  <si>
    <t>BP-30b</t>
  </si>
  <si>
    <t>Bahnhofspaar mit Hauenstein</t>
  </si>
  <si>
    <t>52.84412175317512, 8.055730871064286</t>
  </si>
  <si>
    <t>Bhf Paar mit Halle(Westf)</t>
  </si>
  <si>
    <t>51.47718828541606, 11.98751809563482</t>
  </si>
  <si>
    <t>Bhf Paar mit Halle(Saale)Hbf</t>
  </si>
  <si>
    <t>52.057227807411515, 8.357710327662042</t>
  </si>
  <si>
    <r>
      <t xml:space="preserve">Bhf Paar mit Plochingen
</t>
    </r>
    <r>
      <rPr>
        <b/>
        <sz val="11"/>
        <color theme="1"/>
        <rFont val="Calibri"/>
        <family val="2"/>
        <scheme val="minor"/>
      </rPr>
      <t xml:space="preserve">Info: </t>
    </r>
    <r>
      <rPr>
        <sz val="11"/>
        <color theme="1"/>
        <rFont val="Calibri"/>
        <family val="2"/>
        <scheme val="minor"/>
      </rPr>
      <t>Verbunden durch Hundertwasser bauten "Wohnen unterm Regenturm" in Plochingen (von der Bahn aus sichtbar) und dem Bahnhof Uelzen</t>
    </r>
  </si>
  <si>
    <t>52.96992223121909, 10.552857766663488</t>
  </si>
  <si>
    <r>
      <t xml:space="preserve">Bhf Paar mit Uelzen
</t>
    </r>
    <r>
      <rPr>
        <b/>
        <sz val="11"/>
        <color theme="1"/>
        <rFont val="Calibri"/>
        <family val="2"/>
        <scheme val="minor"/>
      </rPr>
      <t>Info:</t>
    </r>
    <r>
      <rPr>
        <sz val="11"/>
        <color theme="1"/>
        <rFont val="Calibri"/>
        <family val="2"/>
        <scheme val="minor"/>
      </rPr>
      <t xml:space="preserve"> Verbunden durch Hundertwasser bauten "Wohnen unterm Regenturm" in Plochingen (von der Bahn aus sichtbar) und dem Bahnhof Uelzen</t>
    </r>
  </si>
  <si>
    <t>48.710222991573474, 9.416260547742695</t>
  </si>
  <si>
    <t>BP-33a</t>
  </si>
  <si>
    <t>Bhf Paar mit Essen-Werden</t>
  </si>
  <si>
    <t>51.492881070019244, 9.163831294254116</t>
  </si>
  <si>
    <t>BP-33b</t>
  </si>
  <si>
    <t>Bhf Paar mit Warburg(Westf)</t>
  </si>
  <si>
    <t>51.38699523187919, 6.997893805987524</t>
  </si>
  <si>
    <t>BP-34a</t>
  </si>
  <si>
    <t>Bhf Paar mit Buchenhain</t>
  </si>
  <si>
    <t>BP-34b</t>
  </si>
  <si>
    <t>Bhf Paar mit Eichwalde</t>
  </si>
  <si>
    <t>BP-35a</t>
  </si>
  <si>
    <r>
      <rPr>
        <b/>
        <sz val="11"/>
        <color theme="1"/>
        <rFont val="Calibri"/>
        <family val="2"/>
        <scheme val="minor"/>
      </rPr>
      <t xml:space="preserve">Info: </t>
    </r>
    <r>
      <rPr>
        <sz val="11"/>
        <color theme="1"/>
        <rFont val="Calibri"/>
        <family val="2"/>
        <scheme val="minor"/>
      </rPr>
      <t>Das Reisemagazin Tripz kürt den schönsten Hauptbahnhof. Im letzten Jahr wurde der schönste Bahnhof Magdeburg Hbf.</t>
    </r>
  </si>
  <si>
    <t>52.130517526099126, 11.628275155430003</t>
  </si>
  <si>
    <t>BP-35b</t>
  </si>
  <si>
    <r>
      <rPr>
        <b/>
        <sz val="11"/>
        <rFont val="Calibri"/>
        <family val="2"/>
        <scheme val="minor"/>
      </rPr>
      <t>Info:</t>
    </r>
    <r>
      <rPr>
        <sz val="11"/>
        <rFont val="Calibri"/>
        <family val="2"/>
        <scheme val="minor"/>
      </rPr>
      <t xml:space="preserve"> Das Reisemagazin Tripz kürt den schönsten und den hässlichsten Hauptbahnhof. Im letzten Jahr wurde Hof Hbf an letzter von 388 Stellen gewählt.</t>
    </r>
  </si>
  <si>
    <t>50.308560469822, 11.92378295262262</t>
  </si>
  <si>
    <t>BP-36a</t>
  </si>
  <si>
    <r>
      <rPr>
        <b/>
        <sz val="11"/>
        <color theme="1"/>
        <rFont val="Calibri"/>
        <family val="2"/>
        <scheme val="minor"/>
      </rPr>
      <t>Info:</t>
    </r>
    <r>
      <rPr>
        <sz val="11"/>
        <color theme="1"/>
        <rFont val="Calibri"/>
        <family val="2"/>
        <scheme val="minor"/>
      </rPr>
      <t xml:space="preserve"> Rüsselsheim am Main hat internationale Bekanntheit erlangt durch den Automobilhersteller Opel, der seinen Hauptsitz in der Stadt hat. Angefangen hat Opel jedoch mit Nähmaschinen und Fahrrädern.</t>
    </r>
  </si>
  <si>
    <t>49.99600414290987, 8.411742420540925</t>
  </si>
  <si>
    <t>BP-36b</t>
  </si>
  <si>
    <r>
      <rPr>
        <b/>
        <sz val="11"/>
        <color theme="1"/>
        <rFont val="Calibri"/>
        <family val="2"/>
        <scheme val="minor"/>
      </rPr>
      <t>Info:</t>
    </r>
    <r>
      <rPr>
        <sz val="11"/>
        <color theme="1"/>
        <rFont val="Calibri"/>
        <family val="2"/>
        <scheme val="minor"/>
      </rPr>
      <t xml:space="preserve"> Der Bahnhof Rüsselbach liegt irgendwo mitten im Nirgendwo. Passt aber trotzdem zu Rüsselsheim (Bahnhofspaar).</t>
    </r>
  </si>
  <si>
    <t>49.61039976517898, 11.232364620346583</t>
  </si>
  <si>
    <t>BP-37a</t>
  </si>
  <si>
    <t>Bhf Paar mit Wolfhagen</t>
  </si>
  <si>
    <t>BP-37b</t>
  </si>
  <si>
    <t>Bhf Paar mit Wolfsburg</t>
  </si>
  <si>
    <t>BP-38a</t>
  </si>
  <si>
    <t>Bahnhofspaar mit Wüstenbrand</t>
  </si>
  <si>
    <t>52.02996948658586, 13.721494174634165</t>
  </si>
  <si>
    <t>BP-38b</t>
  </si>
  <si>
    <t>Bahnhofspaar mit Brand Tropical Islands</t>
  </si>
  <si>
    <t>50.80584238269764, 12.756229974314218</t>
  </si>
  <si>
    <t>Bhf Paar mit Unkel</t>
  </si>
  <si>
    <t>Bhf Paar mit Runkel</t>
  </si>
  <si>
    <t>BP-3a</t>
  </si>
  <si>
    <t xml:space="preserve">Bhf Paar mit Strullendorf
</t>
  </si>
  <si>
    <t>49.416054449460034, 7.565248506767726</t>
  </si>
  <si>
    <t>BP-3b</t>
  </si>
  <si>
    <t xml:space="preserve">Bhf Paar mit Landstuhl
</t>
  </si>
  <si>
    <t>49.84549097968958, 10.962303893204238</t>
  </si>
  <si>
    <t>Bhf Paar mit Kaarst IKEA</t>
  </si>
  <si>
    <t>53.911237064550384, 10.734885323667111</t>
  </si>
  <si>
    <t>Bhf Paar mit Lübeck-Dänischburg IKEA</t>
  </si>
  <si>
    <t>51.21732785490282, 6.62964397406277</t>
  </si>
  <si>
    <t>BP-4a</t>
  </si>
  <si>
    <t>Bhf Paar mit Rückersdorf(Mfr)</t>
  </si>
  <si>
    <t>51.567525355254034, 13.574886441592362</t>
  </si>
  <si>
    <t>BP-4b</t>
  </si>
  <si>
    <t>Bhf Paar mit Rückersdorf</t>
  </si>
  <si>
    <t>49.49133242220795, 11.232135103281207</t>
  </si>
  <si>
    <t>49.01261508898422, 12.09900882644628</t>
  </si>
  <si>
    <t>50.35584583987796, 11.168742513019819</t>
  </si>
  <si>
    <t>BP-6a</t>
  </si>
  <si>
    <t xml:space="preserve">Bhf Paar mit Heilsbronn
</t>
  </si>
  <si>
    <t>BP-6b</t>
  </si>
  <si>
    <t xml:space="preserve">Bhf Paar mit Heilbronn Hbf
</t>
  </si>
  <si>
    <t>BP-7a</t>
  </si>
  <si>
    <r>
      <rPr>
        <b/>
        <sz val="11"/>
        <rFont val="Calibri"/>
        <family val="2"/>
        <scheme val="minor"/>
      </rPr>
      <t>Info</t>
    </r>
    <r>
      <rPr>
        <sz val="11"/>
        <rFont val="Calibri"/>
        <family val="2"/>
        <scheme val="minor"/>
      </rPr>
      <t>: Bahnhofspaar mit Schnabelwaid</t>
    </r>
  </si>
  <si>
    <t>48.983063676096336, 8.78164181354584</t>
  </si>
  <si>
    <t>BP-7b</t>
  </si>
  <si>
    <r>
      <rPr>
        <b/>
        <sz val="11"/>
        <rFont val="Calibri"/>
        <family val="2"/>
        <scheme val="minor"/>
      </rPr>
      <t>Info</t>
    </r>
    <r>
      <rPr>
        <sz val="11"/>
        <rFont val="Calibri"/>
        <family val="2"/>
        <scheme val="minor"/>
      </rPr>
      <t>: Bahnhofspaar mit Maulbronn West</t>
    </r>
  </si>
  <si>
    <t>49.81097242659704, 11.595990335270866</t>
  </si>
  <si>
    <t>BP-8a</t>
  </si>
  <si>
    <t>Bahnhofspaar mit Bamberg</t>
  </si>
  <si>
    <t>49.44520059868098, 11.85277305767214</t>
  </si>
  <si>
    <t>BP-8b</t>
  </si>
  <si>
    <t>Bahnhofspaar mit Amberg</t>
  </si>
  <si>
    <t>49.891834463848156, 10.886685581442464</t>
  </si>
  <si>
    <t>BP-9a</t>
  </si>
  <si>
    <t xml:space="preserve">Bhf Paar mit Zweibrücken Hbf
</t>
  </si>
  <si>
    <t>BP-9b</t>
  </si>
  <si>
    <t xml:space="preserve">Bhf Paar mit Viersen
</t>
  </si>
  <si>
    <t>E-1</t>
  </si>
  <si>
    <t>Hole Dir ein Eis in der Eisdiele Veneto in Rödermark.
Alternative: Stellt mit euren Körpern eine Eiswaffel vor der Eisdiele dar und macht ein Foto davon oder erstellt einen 15-sekündigen Werbespot für die Eisdiele.</t>
  </si>
  <si>
    <t>Breidertring 2A, 63322 Rödermark</t>
  </si>
  <si>
    <t>49.96823194850043, 8.837821310266497</t>
  </si>
  <si>
    <r>
      <rPr>
        <b/>
        <sz val="11"/>
        <color theme="1"/>
        <rFont val="Calibri"/>
        <family val="2"/>
        <scheme val="minor"/>
      </rPr>
      <t>Info:</t>
    </r>
    <r>
      <rPr>
        <sz val="11"/>
        <color theme="1"/>
        <rFont val="Calibri"/>
        <family val="2"/>
        <scheme val="minor"/>
      </rPr>
      <t xml:space="preserve"> Lommerzheim, oder auch "Lommi" genannt, ist die Kult-Gaststätte in Köln op dr Schäl Sick. Da muss ma ma jewesen sinn.
</t>
    </r>
    <r>
      <rPr>
        <b/>
        <sz val="11"/>
        <color theme="1"/>
        <rFont val="Calibri"/>
        <family val="2"/>
        <scheme val="minor"/>
      </rPr>
      <t xml:space="preserve">Aufgabe: </t>
    </r>
    <r>
      <rPr>
        <sz val="11"/>
        <color theme="1"/>
        <rFont val="Calibri"/>
        <family val="2"/>
        <scheme val="minor"/>
      </rPr>
      <t xml:space="preserve">bestellt euch und trinkt ein Kölsch, Wasser oder ein anderes Getränk im Lommi. Solltet ihr außerhalb der Öffnungszeiten dort sein, macht ein Gruppenbild davor mit dem DAB-Schild.
</t>
    </r>
    <r>
      <rPr>
        <b/>
        <sz val="11"/>
        <color theme="1"/>
        <rFont val="Calibri"/>
        <family val="2"/>
        <scheme val="minor"/>
      </rPr>
      <t>Bonusaufgabe:</t>
    </r>
    <r>
      <rPr>
        <sz val="11"/>
        <color theme="1"/>
        <rFont val="Calibri"/>
        <family val="2"/>
        <scheme val="minor"/>
      </rPr>
      <t xml:space="preserve"> Dokumentiert euren Besuch mit einem Bild, in dem mindestens eine Person eine saure Gurke bestellt hat und in die Kamera zeigt</t>
    </r>
  </si>
  <si>
    <t>Siegesstraße 18, 50679 Köln</t>
  </si>
  <si>
    <t>50.9387152623044, 6.974353453161265</t>
  </si>
  <si>
    <r>
      <rPr>
        <b/>
        <sz val="11"/>
        <color theme="1"/>
        <rFont val="Calibri"/>
        <family val="2"/>
        <scheme val="minor"/>
      </rPr>
      <t xml:space="preserve">
Info: </t>
    </r>
    <r>
      <rPr>
        <sz val="11"/>
        <color theme="1"/>
        <rFont val="Calibri"/>
        <family val="2"/>
        <scheme val="minor"/>
      </rPr>
      <t>Madeleine sagt von sich selbst, dass sie schon als Kind ein Café eröffnen wollte - es wurde dann ein Eis-Café. Überzeugt Euch davon, ob es die richtige Entscheidung war.</t>
    </r>
    <r>
      <rPr>
        <b/>
        <sz val="11"/>
        <color theme="1"/>
        <rFont val="Calibri"/>
        <family val="2"/>
        <scheme val="minor"/>
      </rPr>
      <t xml:space="preserve">
Aufgabe: </t>
    </r>
    <r>
      <rPr>
        <sz val="11"/>
        <color theme="1"/>
        <rFont val="Calibri"/>
        <family val="2"/>
        <scheme val="minor"/>
      </rPr>
      <t xml:space="preserve">Geht zu "Madeleine's homemade Ice Cream" und macht ein Gruppenbild vor der Eisdiele.
</t>
    </r>
    <r>
      <rPr>
        <b/>
        <sz val="11"/>
        <color theme="1"/>
        <rFont val="Calibri"/>
        <family val="2"/>
        <scheme val="minor"/>
      </rPr>
      <t xml:space="preserve">Bonus: </t>
    </r>
    <r>
      <rPr>
        <sz val="11"/>
        <color theme="1"/>
        <rFont val="Calibri"/>
        <family val="2"/>
        <scheme val="minor"/>
      </rPr>
      <t>Esst ein Eis (Öffnungszeiten Sa, 13-21 Uhr, So 13-19 Uhr).</t>
    </r>
  </si>
  <si>
    <t>Klosterpl. 5, 33602 Bielefeld</t>
  </si>
  <si>
    <t>52.02222823830265, 8.529230948037073</t>
  </si>
  <si>
    <t>E-12</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</si>
  <si>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eGeloSia; alternativ: Gruppenfoto in der gleich Pose wie und neben der Skulptur des Koblenzer Originals "Dä Gummi" (Gemüsegasse 13)
</t>
    </r>
    <r>
      <rPr>
        <b/>
        <sz val="11"/>
        <color theme="1"/>
        <rFont val="Calibri"/>
        <family val="2"/>
        <scheme val="minor"/>
      </rPr>
      <t>Bonus:</t>
    </r>
    <r>
      <rPr>
        <sz val="11"/>
        <color theme="1"/>
        <rFont val="Calibri"/>
        <family val="2"/>
        <scheme val="minor"/>
      </rPr>
      <t xml:space="preserve"> Eine Portion Sahne auf dem Eis</t>
    </r>
  </si>
  <si>
    <t>Braugasse 6, 56068 Koblenz</t>
  </si>
  <si>
    <t>50.360800, 7.596630</t>
  </si>
  <si>
    <t>E-13</t>
  </si>
  <si>
    <r>
      <rPr>
        <b/>
        <sz val="11"/>
        <color theme="1"/>
        <rFont val="Calibri"/>
        <family val="2"/>
        <scheme val="minor"/>
      </rPr>
      <t>Info:</t>
    </r>
    <r>
      <rPr>
        <sz val="11"/>
        <color theme="1"/>
        <rFont val="Calibri"/>
        <family val="2"/>
        <scheme val="minor"/>
      </rPr>
      <t xml:space="preserve"> Von der Saffenburg aus gibt es eine schöne Aussicht auf das Ahrtal und die wieder aufgebaute Ahrtalbahn. 
</t>
    </r>
    <r>
      <rPr>
        <b/>
        <sz val="11"/>
        <color theme="1"/>
        <rFont val="Calibri"/>
        <family val="2"/>
        <scheme val="minor"/>
      </rPr>
      <t>Aufgabe</t>
    </r>
    <r>
      <rPr>
        <sz val="11"/>
        <color theme="1"/>
        <rFont val="Calibri"/>
        <family val="2"/>
        <scheme val="minor"/>
      </rPr>
      <t>: Macht ein Gruppenbild wie ihr in der Saffenburghütte etwas essbares oder trinkbares konsumiert. Solltet ihr außerhalb der Öffnungszeiten dort sein, macht ein Gruppenbild vor der Saffenburg und erholt euch 5 min.</t>
    </r>
  </si>
  <si>
    <t>Ahr-Rotweinstraße, 53508 Mayschoß</t>
  </si>
  <si>
    <t>50.519570507332354, 7.023919320673975</t>
  </si>
  <si>
    <r>
      <rPr>
        <b/>
        <sz val="11"/>
        <color theme="1"/>
        <rFont val="Calibri"/>
        <family val="2"/>
        <scheme val="minor"/>
      </rPr>
      <t>Info:</t>
    </r>
    <r>
      <rPr>
        <sz val="11"/>
        <color theme="1"/>
        <rFont val="Calibri"/>
        <family val="2"/>
        <scheme val="minor"/>
      </rPr>
      <t xml:space="preserve"> Die "Fraa Rauscher" ist eine typische Äppelwoiwirtschaft im Frankfurter Stadtteil Sachsenhausen.
</t>
    </r>
    <r>
      <rPr>
        <b/>
        <sz val="11"/>
        <color theme="1"/>
        <rFont val="Calibri"/>
        <family val="2"/>
        <scheme val="minor"/>
      </rPr>
      <t>Aufgabe:</t>
    </r>
    <r>
      <rPr>
        <sz val="11"/>
        <color theme="1"/>
        <rFont val="Calibri"/>
        <family val="2"/>
        <scheme val="minor"/>
      </rPr>
      <t xml:space="preserve"> Macht ein Teamfoto mit Frau Rauscher.
</t>
    </r>
    <r>
      <rPr>
        <b/>
        <sz val="11"/>
        <color theme="1"/>
        <rFont val="Calibri"/>
        <family val="2"/>
        <scheme val="minor"/>
      </rPr>
      <t xml:space="preserve">Bonus: </t>
    </r>
    <r>
      <rPr>
        <sz val="11"/>
        <color theme="1"/>
        <rFont val="Calibri"/>
        <family val="2"/>
        <scheme val="minor"/>
      </rPr>
      <t>Macht ein Teamfoto mit der Ampel, auf der Frau Rauscher als Ampelmännchen erscheint.</t>
    </r>
  </si>
  <si>
    <t>Klappergasse 8, 60594 Frankfurt am Main</t>
  </si>
  <si>
    <t>50.10525291250062, 8.691505273102958</t>
  </si>
  <si>
    <t>E-15</t>
  </si>
  <si>
    <t xml:space="preserve">Schmales Budget: Hole Dir einen Döner bei First-Kebap in Duisburg Rheinhausen. Bonus: Nimm trotz des schmalen Talers extra Käse
Alternative: Führt eine Passanten-/Straßenumfrage durch nach dem besten Dönerladen von Duisburg mit mindestens 10 Teilnehmern. Dokumentiert die Umfrage mit meheren Fotos (mind. 1 Foto pro Passantenbefragung). </t>
  </si>
  <si>
    <t>Atroper Str. 16, 47226 Duisburg</t>
  </si>
  <si>
    <t>51.41001826442193, 6.720346442089039</t>
  </si>
  <si>
    <t>E-16</t>
  </si>
  <si>
    <r>
      <rPr>
        <b/>
        <sz val="11"/>
        <color rgb="FF000000"/>
        <rFont val="Calibri"/>
        <family val="2"/>
        <scheme val="minor"/>
      </rPr>
      <t>Info:</t>
    </r>
    <r>
      <rPr>
        <sz val="11"/>
        <color rgb="FF000000"/>
        <rFont val="Calibri"/>
        <family val="2"/>
        <scheme val="minor"/>
      </rPr>
      <t xml:space="preserve"> Ein Café in einem ehemaligen Stellwerk. Mit Stellwerk.
Samstag 11:00–18:00
Sonntag 11:00–18:00
</t>
    </r>
    <r>
      <rPr>
        <b/>
        <sz val="11"/>
        <color rgb="FF000000"/>
        <rFont val="Calibri"/>
        <family val="2"/>
        <scheme val="minor"/>
      </rPr>
      <t>Aufgabe:</t>
    </r>
    <r>
      <rPr>
        <sz val="11"/>
        <color rgb="FF000000"/>
        <rFont val="Calibri"/>
        <family val="2"/>
        <scheme val="minor"/>
      </rPr>
      <t xml:space="preserve"> Macht ein Gruppenfoto im Café vor dem Stellwerk. Alternative, falls das Café geschlossen hat: Macht ein Gruppenfoto vor dem Café. 
</t>
    </r>
    <r>
      <rPr>
        <b/>
        <sz val="11"/>
        <color rgb="FF000000"/>
        <rFont val="Calibri"/>
        <family val="2"/>
        <scheme val="minor"/>
      </rPr>
      <t>Bonus:</t>
    </r>
    <r>
      <rPr>
        <sz val="11"/>
        <color rgb="FF000000"/>
        <rFont val="Calibri"/>
        <family val="2"/>
        <scheme val="minor"/>
      </rPr>
      <t xml:space="preserve"> Gruppenfoto auf dem mindestens 2 Teammitglieder eine Tasse Kaffee in der Hand halten</t>
    </r>
  </si>
  <si>
    <t>Bahnhofstraße 19, 65558 Balduinstein-Hausen</t>
  </si>
  <si>
    <t>50.346757876978, 7.9680735563759395</t>
  </si>
  <si>
    <r>
      <rPr>
        <b/>
        <sz val="11"/>
        <color theme="1"/>
        <rFont val="Calibri"/>
        <family val="2"/>
        <scheme val="minor"/>
      </rPr>
      <t>Aufgabe</t>
    </r>
    <r>
      <rPr>
        <sz val="11"/>
        <color theme="1"/>
        <rFont val="Calibri"/>
        <family val="2"/>
        <scheme val="minor"/>
      </rPr>
      <t xml:space="preserve">: Tischt am Kochbrunnen ein feines "Kurschatten-Dinner" auf inkl. erfundenem Edel-Trinkspruch auf das Wiesbadener Wasser. Video des Trinkspruchs. </t>
    </r>
    <r>
      <rPr>
        <b/>
        <sz val="11"/>
        <color theme="1"/>
        <rFont val="Calibri"/>
        <family val="2"/>
        <scheme val="minor"/>
      </rPr>
      <t>Bonus</t>
    </r>
    <r>
      <rPr>
        <sz val="11"/>
        <color theme="1"/>
        <rFont val="Calibri"/>
        <family val="2"/>
        <scheme val="minor"/>
      </rPr>
      <t>: Eine regionale Spezialitaet (z.B. "Handkaes") im Video probieren.</t>
    </r>
  </si>
  <si>
    <t>Kranzpl., 65183 Wiesbaden</t>
  </si>
  <si>
    <t>50.086323911540816, 8.242165231853116</t>
  </si>
  <si>
    <r>
      <rPr>
        <b/>
        <sz val="11"/>
        <color theme="1"/>
        <rFont val="Calibri"/>
        <family val="2"/>
        <scheme val="minor"/>
      </rPr>
      <t>Info:</t>
    </r>
    <r>
      <rPr>
        <sz val="11"/>
        <color theme="1"/>
        <rFont val="Calibri"/>
        <family val="2"/>
        <scheme val="minor"/>
      </rPr>
      <t xml:space="preserve"> Das Becken der Binnenalster enthält so viel Wasser, wie alle Hamburger zusammen täglich an Trinkwasser verbrauchen
</t>
    </r>
    <r>
      <rPr>
        <b/>
        <sz val="11"/>
        <color theme="1"/>
        <rFont val="Calibri"/>
        <family val="2"/>
        <scheme val="minor"/>
      </rPr>
      <t>Aufgabe:</t>
    </r>
    <r>
      <rPr>
        <sz val="11"/>
        <color theme="1"/>
        <rFont val="Calibri"/>
        <family val="2"/>
        <scheme val="minor"/>
      </rPr>
      <t xml:space="preserve"> Macht ein Bild am Jungfernstieg-Anleger mit mindestens einem Eis
</t>
    </r>
    <r>
      <rPr>
        <b/>
        <sz val="11"/>
        <color theme="1"/>
        <rFont val="Calibri"/>
        <family val="2"/>
        <scheme val="minor"/>
      </rPr>
      <t>Bonus:</t>
    </r>
    <r>
      <rPr>
        <sz val="11"/>
        <color theme="1"/>
        <rFont val="Calibri"/>
        <family val="2"/>
        <scheme val="minor"/>
      </rPr>
      <t xml:space="preserve"> Die Alsterfontäne ist eingeschaltet und ebenfalls zu sehen</t>
    </r>
  </si>
  <si>
    <t>Jungfernstieg 54, 20354 Hamburg</t>
  </si>
  <si>
    <t>53.55350982338374, 9.993046851639681</t>
  </si>
  <si>
    <t>E-19</t>
  </si>
  <si>
    <r>
      <rPr>
        <b/>
        <sz val="11"/>
        <color theme="1"/>
        <rFont val="Calibri"/>
        <family val="2"/>
        <scheme val="minor"/>
      </rPr>
      <t>Info</t>
    </r>
    <r>
      <rPr>
        <sz val="11"/>
        <color theme="1"/>
        <rFont val="Calibri"/>
        <family val="2"/>
        <scheme val="minor"/>
      </rPr>
      <t xml:space="preserve">: Bei Eis Christina (10-22:30 Uhr) gibt es m.E. das beste Eis in Frankfurt. 
</t>
    </r>
    <r>
      <rPr>
        <b/>
        <sz val="11"/>
        <color theme="1"/>
        <rFont val="Calibri"/>
        <family val="2"/>
        <scheme val="minor"/>
      </rPr>
      <t xml:space="preserve">Aufgabe: </t>
    </r>
    <r>
      <rPr>
        <sz val="11"/>
        <color theme="1"/>
        <rFont val="Calibri"/>
        <family val="2"/>
        <scheme val="minor"/>
      </rPr>
      <t xml:space="preserve">Esst hier eine Kugel Eis aus der sehr großen Auswahl. Hinweis 15 Min Aufgabenzeit ist wegen der ggf. auftretenedenden Wartezeit. 
Wenn Lokalität geschlossen: Macht ein Bild vom Eschenheimer Tor (großer Turm an der gleichnamigen U-Bahn-Station)
</t>
    </r>
  </si>
  <si>
    <t>Oeder Weg 44, 60318 Frankfurt am Main</t>
  </si>
  <si>
    <t>50.1208576007735, 8.680763935969969</t>
  </si>
  <si>
    <r>
      <rPr>
        <b/>
        <sz val="11"/>
        <color theme="1"/>
        <rFont val="Calibri"/>
        <family val="2"/>
        <scheme val="minor"/>
      </rPr>
      <t>Info:</t>
    </r>
    <r>
      <rPr>
        <sz val="11"/>
        <color theme="1"/>
        <rFont val="Calibri"/>
        <family val="2"/>
        <scheme val="minor"/>
      </rPr>
      <t xml:space="preserve"> Eiscafé San Marco Eschborn
Samstag 10:00–19:00
Sonntag 12:00–19:00
</t>
    </r>
    <r>
      <rPr>
        <b/>
        <sz val="11"/>
        <color theme="1"/>
        <rFont val="Calibri"/>
        <family val="2"/>
        <scheme val="minor"/>
      </rPr>
      <t>Aufgabe:</t>
    </r>
    <r>
      <rPr>
        <sz val="11"/>
        <color theme="1"/>
        <rFont val="Calibri"/>
        <family val="2"/>
        <scheme val="minor"/>
      </rPr>
      <t xml:space="preserve"> Macht ein Gruppenfoto vor der Eisdiele
</t>
    </r>
    <r>
      <rPr>
        <b/>
        <sz val="11"/>
        <color theme="1"/>
        <rFont val="Calibri"/>
        <family val="2"/>
        <scheme val="minor"/>
      </rPr>
      <t>Bonus:</t>
    </r>
    <r>
      <rPr>
        <sz val="11"/>
        <color theme="1"/>
        <rFont val="Calibri"/>
        <family val="2"/>
        <scheme val="minor"/>
      </rPr>
      <t xml:space="preserve"> Gruppenfoto mit Eis</t>
    </r>
  </si>
  <si>
    <t>Götzenstraße 44, 65760 Eschborn</t>
  </si>
  <si>
    <t>50.14151674791812, 8.566499784654567</t>
  </si>
  <si>
    <t>E-20</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</si>
  <si>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Gelatiamo; alternativ: Macht ein Foto vorm Bad Berzabener Zinnfigurenmuseum (Marktstraße 14)
</t>
    </r>
    <r>
      <rPr>
        <b/>
        <sz val="11"/>
        <color theme="1"/>
        <rFont val="Calibri"/>
        <family val="2"/>
        <scheme val="minor"/>
      </rPr>
      <t>Bonus:</t>
    </r>
    <r>
      <rPr>
        <sz val="11"/>
        <color theme="1"/>
        <rFont val="Calibri"/>
        <family val="2"/>
        <scheme val="minor"/>
      </rPr>
      <t xml:space="preserve"> Eine Portion Sahne auf dem Eis</t>
    </r>
  </si>
  <si>
    <t>Marktstraße 22, 76887 Bad Bergzabern</t>
  </si>
  <si>
    <t>49.101060, 7.996690</t>
  </si>
  <si>
    <r>
      <rPr>
        <b/>
        <sz val="11"/>
        <color rgb="FF000000"/>
        <rFont val="Calibri"/>
        <family val="2"/>
        <scheme val="minor"/>
      </rPr>
      <t xml:space="preserve">Info: </t>
    </r>
    <r>
      <rPr>
        <sz val="11"/>
        <color rgb="FF000000"/>
        <rFont val="Calibri"/>
        <family val="2"/>
        <scheme val="minor"/>
      </rPr>
      <t xml:space="preserve">Aachener Printen sind ein würziges, festes Lebkuchen-Gebäck aus Honig, das ursprünglich als Weihnachtsgebäck entstand und heute ganzjährig angeboten wird.
</t>
    </r>
    <r>
      <rPr>
        <b/>
        <sz val="11"/>
        <color rgb="FF000000"/>
        <rFont val="Calibri"/>
        <family val="2"/>
        <scheme val="minor"/>
      </rPr>
      <t>Aufgabe:</t>
    </r>
    <r>
      <rPr>
        <sz val="11"/>
        <color rgb="FF000000"/>
        <rFont val="Calibri"/>
        <family val="2"/>
        <scheme val="minor"/>
      </rPr>
      <t xml:space="preserve"> Macht ein Foto vor dem Printen-Geschäft "Nobis Printen E. K."
</t>
    </r>
    <r>
      <rPr>
        <b/>
        <sz val="11"/>
        <color rgb="FF000000"/>
        <rFont val="Calibri"/>
        <family val="2"/>
        <scheme val="minor"/>
      </rPr>
      <t>Bonus:</t>
    </r>
    <r>
      <rPr>
        <sz val="11"/>
        <color rgb="FF000000"/>
        <rFont val="Calibri"/>
        <family val="2"/>
        <scheme val="minor"/>
      </rPr>
      <t xml:space="preserve"> Ihr habt alle eine Printe in der Hand!</t>
    </r>
  </si>
  <si>
    <t>Löhergraben 1-3, 52064 Aachen</t>
  </si>
  <si>
    <t>50.77240426959359, 6.08020402934493</t>
  </si>
  <si>
    <r>
      <rPr>
        <b/>
        <sz val="11"/>
        <color theme="1"/>
        <rFont val="Calibri"/>
        <family val="2"/>
        <scheme val="minor"/>
      </rPr>
      <t>Info:</t>
    </r>
    <r>
      <rPr>
        <sz val="11"/>
        <color theme="1"/>
        <rFont val="Calibri"/>
        <family val="2"/>
        <scheme val="minor"/>
      </rPr>
      <t xml:space="preserve"> Die leckerste Eisdiele Mannheims ist die "Eismanufaktur zeitgEISt".
</t>
    </r>
    <r>
      <rPr>
        <b/>
        <sz val="11"/>
        <color theme="1"/>
        <rFont val="Calibri"/>
        <family val="2"/>
        <scheme val="minor"/>
      </rPr>
      <t>Aufgabe:</t>
    </r>
    <r>
      <rPr>
        <sz val="11"/>
        <color theme="1"/>
        <rFont val="Calibri"/>
        <family val="2"/>
        <scheme val="minor"/>
      </rPr>
      <t xml:space="preserve"> Bestellt euch eine Eiskugel eurer Wahl und esst es;
Öffnungszeiten: Sa+So 12-20h
Falls geschlossen: Foto vor der Eisdiele reicht</t>
    </r>
  </si>
  <si>
    <t>Meerfeldstraße 45, 68163 Mannheim</t>
  </si>
  <si>
    <t>49.47388027493414, 8.469133619124161</t>
  </si>
  <si>
    <r>
      <rPr>
        <b/>
        <sz val="11"/>
        <color theme="1"/>
        <rFont val="Calibri"/>
        <family val="2"/>
        <scheme val="minor"/>
      </rPr>
      <t>Info:</t>
    </r>
    <r>
      <rPr>
        <sz val="11"/>
        <color theme="1"/>
        <rFont val="Calibri"/>
        <family val="2"/>
        <scheme val="minor"/>
      </rPr>
      <t xml:space="preserve"> Der Kult Penny hatte diverse Dokumentationen im TV. Bekannt vor allem für die Chararcterdarsteller und Originale: https://youtu.be/ifoQ_f3-IFU?si=Gqi1BLu94LoT6wAI 
</t>
    </r>
    <r>
      <rPr>
        <b/>
        <sz val="11"/>
        <color theme="1"/>
        <rFont val="Calibri"/>
        <family val="2"/>
        <scheme val="minor"/>
      </rPr>
      <t>Aufgabe:</t>
    </r>
    <r>
      <rPr>
        <sz val="11"/>
        <color theme="1"/>
        <rFont val="Calibri"/>
        <family val="2"/>
        <scheme val="minor"/>
      </rPr>
      <t xml:space="preserve"> Macht ein Video vor dem Eingang, wie einer/eine lallend eure Schiffspatente, nach Kapitän zur See, Harald Krull, aufzählt. 
</t>
    </r>
    <r>
      <rPr>
        <b/>
        <sz val="11"/>
        <color theme="1"/>
        <rFont val="Calibri"/>
        <family val="2"/>
        <scheme val="minor"/>
      </rPr>
      <t>Bonus:</t>
    </r>
    <r>
      <rPr>
        <sz val="11"/>
        <color theme="1"/>
        <rFont val="Calibri"/>
        <family val="2"/>
        <scheme val="minor"/>
      </rPr>
      <t xml:space="preserve"> trinkt dabei aus dem billigsten Penny-Bier.</t>
    </r>
  </si>
  <si>
    <t>Reeperbahn 108-114, 20359 Hamburg</t>
  </si>
  <si>
    <t>53.549733830758555, 9.960524366663691</t>
  </si>
  <si>
    <t>E-24</t>
  </si>
  <si>
    <r>
      <rPr>
        <b/>
        <sz val="11"/>
        <color theme="1"/>
        <rFont val="Calibri"/>
        <family val="2"/>
        <scheme val="minor"/>
      </rPr>
      <t>Info</t>
    </r>
    <r>
      <rPr>
        <sz val="11"/>
        <color theme="1"/>
        <rFont val="Calibri"/>
        <family val="2"/>
        <scheme val="minor"/>
      </rPr>
      <t xml:space="preserve">: Der Ilse Schreiber Wurstimbiss in der Kleinmarkthalle von Frankfurt ist Kult. Die namensgebende Dame arbeitet dort seit 1974.
</t>
    </r>
    <r>
      <rPr>
        <b/>
        <sz val="11"/>
        <color theme="1"/>
        <rFont val="Calibri"/>
        <family val="2"/>
        <scheme val="minor"/>
      </rPr>
      <t>Aufgabe</t>
    </r>
    <r>
      <rPr>
        <sz val="11"/>
        <color theme="1"/>
        <rFont val="Calibri"/>
        <family val="2"/>
        <scheme val="minor"/>
      </rPr>
      <t xml:space="preserve">: Esst eine Wurst bei ihrem Imbiss. Vegetarier können sich alternativ auch eine Focaccia oder ähnliches in der Kleinmarkthalle kaufen.
</t>
    </r>
    <r>
      <rPr>
        <b/>
        <sz val="11"/>
        <color theme="1"/>
        <rFont val="Calibri"/>
        <family val="2"/>
        <scheme val="minor"/>
      </rPr>
      <t>Alternative</t>
    </r>
    <r>
      <rPr>
        <sz val="11"/>
        <color theme="1"/>
        <rFont val="Calibri"/>
        <family val="2"/>
        <scheme val="minor"/>
      </rPr>
      <t>: Yok Yok Kiosk ist auch Kult. Ist jetzt Am Hauptbahnhof 6. Wenn offen, da was kaufen. Wenn geschlossen, holt euch im Hauptbahnhof etwas aus einem Automaten und konsumiert es vor dem Yok Yok. Mit Beweisbild ;)</t>
    </r>
  </si>
  <si>
    <t>Hasengasse 5-7, 60311 Frankfurt am Main</t>
  </si>
  <si>
    <t>50.11269723034517, 8.683380606606471</t>
  </si>
  <si>
    <r>
      <rPr>
        <b/>
        <sz val="11"/>
        <color theme="1"/>
        <rFont val="Calibri"/>
        <family val="2"/>
        <scheme val="minor"/>
      </rPr>
      <t>Info:</t>
    </r>
    <r>
      <rPr>
        <sz val="11"/>
        <color theme="1"/>
        <rFont val="Calibri"/>
        <family val="2"/>
        <scheme val="minor"/>
      </rPr>
      <t xml:space="preserve"> "Himmel &amp; Ähd" (gebratene Blutwurst, Kartoffelpüree und Zwiebeln), hier namensgebend für die aufzusuchende gastronomische Lokalität (Öffnungszeiten Sa, So 11:30-0 Uhr), ist ein typisch rheinisches Gericht.
</t>
    </r>
    <r>
      <rPr>
        <b/>
        <sz val="11"/>
        <color theme="1"/>
        <rFont val="Calibri"/>
        <family val="2"/>
        <scheme val="minor"/>
      </rPr>
      <t xml:space="preserve">Aufgabe: </t>
    </r>
    <r>
      <rPr>
        <sz val="11"/>
        <color theme="1"/>
        <rFont val="Calibri"/>
        <family val="2"/>
        <scheme val="minor"/>
      </rPr>
      <t xml:space="preserve">Macht ein Gruppenfoto vor dem "Himmel &amp; Ähd". Stellt dabei pantomimisch typische Bewohner von "Himmel &amp; Ähd" dar.
</t>
    </r>
    <r>
      <rPr>
        <b/>
        <sz val="11"/>
        <color theme="1"/>
        <rFont val="Calibri"/>
        <family val="2"/>
        <scheme val="minor"/>
      </rPr>
      <t xml:space="preserve">Bonus: </t>
    </r>
    <r>
      <rPr>
        <sz val="11"/>
        <color theme="1"/>
        <rFont val="Calibri"/>
        <family val="2"/>
        <scheme val="minor"/>
      </rPr>
      <t>Gönnt Euch mindestens ein "Füchschen" im "Himmel &amp; Ähd" (gerne um weitere rheinische Spezialitäten von der Speisekarte ergänzt).</t>
    </r>
  </si>
  <si>
    <t>Nordstraße 53, 40477 Düsseldorf-Stadtbezirk 1</t>
  </si>
  <si>
    <t>51.23816612602301, 6.779768458727837</t>
  </si>
  <si>
    <t>E-3</t>
  </si>
  <si>
    <r>
      <rPr>
        <b/>
        <sz val="11"/>
        <color theme="1"/>
        <rFont val="Calibri"/>
        <family val="2"/>
      </rPr>
      <t>Info</t>
    </r>
    <r>
      <rPr>
        <sz val="11"/>
        <color theme="1"/>
        <rFont val="Calibri"/>
        <family val="2"/>
      </rPr>
      <t xml:space="preserve">: Salzwedel in der Altmark (Sachsen-Anhalt) ist DIE Baumkuchen-Stadt Deutschlands. </t>
    </r>
    <r>
      <rPr>
        <b/>
        <sz val="11"/>
        <color theme="1"/>
        <rFont val="Calibri"/>
        <family val="2"/>
      </rPr>
      <t>Aufgabe</t>
    </r>
    <r>
      <rPr>
        <sz val="11"/>
        <color theme="1"/>
        <rFont val="Calibri"/>
        <family val="2"/>
      </rPr>
      <t>: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t>
    </r>
    <r>
      <rPr>
        <b/>
        <sz val="11"/>
        <color theme="1"/>
        <rFont val="Calibri"/>
        <family val="2"/>
      </rPr>
      <t>Bonus</t>
    </r>
    <r>
      <rPr>
        <sz val="11"/>
        <color theme="1"/>
        <rFont val="Calibri"/>
        <family val="2"/>
      </rPr>
      <t>: Ringe im echten Kuchen zählen ODER die Anzahl eurer "Menschenschichten" auf ein Schild schreiben.</t>
    </r>
  </si>
  <si>
    <t>Burgstraße 6, 29410 Salzwedel</t>
  </si>
  <si>
    <t>52.852736617532955, 11.152739070905977</t>
  </si>
  <si>
    <t>E-4</t>
  </si>
  <si>
    <t>Holt euch ein Eis im Eiscafé Costa
Alternativ macht ein lustiges Bild auf/an einer der Bänke in der Straße</t>
  </si>
  <si>
    <t>Fahrstraße 14a, 63450 Hanau</t>
  </si>
  <si>
    <t>50.13429247463994, 8.918133400443633</t>
  </si>
  <si>
    <t>E-5</t>
  </si>
  <si>
    <r>
      <rPr>
        <b/>
        <sz val="11"/>
        <color theme="1"/>
        <rFont val="Calibri"/>
        <family val="2"/>
        <scheme val="minor"/>
      </rPr>
      <t>Info</t>
    </r>
    <r>
      <rPr>
        <sz val="11"/>
        <color theme="1"/>
        <rFont val="Calibri"/>
        <family val="2"/>
        <scheme val="minor"/>
      </rPr>
      <t xml:space="preserve">: Das N'Eis am Rhein (12-20 Uhr) ist für seine unkonventionellen Eissorten bekannt. (Die meisten Sorten sind sogar ganz lecker)
</t>
    </r>
    <r>
      <rPr>
        <b/>
        <sz val="11"/>
        <color theme="1"/>
        <rFont val="Calibri"/>
        <family val="2"/>
        <scheme val="minor"/>
      </rPr>
      <t>Aufgabe</t>
    </r>
    <r>
      <rPr>
        <sz val="11"/>
        <color theme="1"/>
        <rFont val="Calibri"/>
        <family val="2"/>
        <scheme val="minor"/>
      </rPr>
      <t xml:space="preserve">: Macht ein kurzes Video (10-30 Sek.), in dem ihr der neutralen Tourbegleitung eure Reaktion auf das Probieren einer Eissorte möglichst anschaulich darstellt. Falls die Eisdiele geschlossen hat, erledigt stattdessen die Bonus-Aufgabe (für diese gibt es dann allerdings "nur" 20 Punkte).
</t>
    </r>
    <r>
      <rPr>
        <b/>
        <sz val="11"/>
        <color theme="1"/>
        <rFont val="Calibri"/>
        <family val="2"/>
        <scheme val="minor"/>
      </rPr>
      <t>Bonus</t>
    </r>
    <r>
      <rPr>
        <sz val="11"/>
        <color theme="1"/>
        <rFont val="Calibri"/>
        <family val="2"/>
        <scheme val="minor"/>
      </rPr>
      <t>: Von dort ist es nicht weit zur Mainzer Südbrücke. Diese wurde nach dem 2. Weltkrieg aus ursprünglich für Ukraine bestimmten Brückenteilen, die im angrenzenden Gustavsburg lagerten, wiederaufgebaut. Die Brücke sowie die Tafel der Rheinkilometrierung inkl. Kilometerangabe sind im Hintergrund des Videos zu sehen: Tipp: Victor-Hugo-Ufer.</t>
    </r>
  </si>
  <si>
    <t>Dagobertstraße 24, 55116 Mainz</t>
  </si>
  <si>
    <t>49.995655435411415, 8.282248755988316</t>
  </si>
  <si>
    <t>E-6</t>
  </si>
  <si>
    <t>Aufgabe: Eine(r) aus dem Team gönnt euch ein essbares Produkt aus Gino's Caffe Rösterei, alle anderen beneiden sie/ihn sichtbar darum.</t>
  </si>
  <si>
    <t>Klingenhagen 20, 49377 Vechta</t>
  </si>
  <si>
    <t>52.73008365011372, 8.289897619822232</t>
  </si>
  <si>
    <t>E-7</t>
  </si>
  <si>
    <r>
      <rPr>
        <b/>
        <sz val="11"/>
        <color theme="1"/>
        <rFont val="Calibri"/>
        <family val="2"/>
        <scheme val="minor"/>
      </rPr>
      <t>Info</t>
    </r>
    <r>
      <rPr>
        <sz val="11"/>
        <color theme="1"/>
        <rFont val="Calibri"/>
        <family val="2"/>
        <scheme val="minor"/>
      </rPr>
      <t xml:space="preserve">: Selbstgemachtes Eis aus hochwertigen Zutaten gibt es in der "Eismanufaktur Soest".
</t>
    </r>
    <r>
      <rPr>
        <b/>
        <sz val="11"/>
        <color theme="1"/>
        <rFont val="Calibri"/>
        <family val="2"/>
        <scheme val="minor"/>
      </rPr>
      <t>Aufgabe</t>
    </r>
    <r>
      <rPr>
        <sz val="11"/>
        <color theme="1"/>
        <rFont val="Calibri"/>
        <family val="2"/>
        <scheme val="minor"/>
      </rPr>
      <t xml:space="preserve">: Macht ein Foto vor der Eisdiele.
</t>
    </r>
    <r>
      <rPr>
        <b/>
        <sz val="11"/>
        <color theme="1"/>
        <rFont val="Calibri"/>
        <family val="2"/>
        <scheme val="minor"/>
      </rPr>
      <t>Bonus</t>
    </r>
    <r>
      <rPr>
        <sz val="11"/>
        <color theme="1"/>
        <rFont val="Calibri"/>
        <family val="2"/>
        <scheme val="minor"/>
      </rPr>
      <t>: gönnt euch eine Kugel Eis an diesem aufregenden Tag.</t>
    </r>
  </si>
  <si>
    <t>Brüdertor 4, 59494 Soest</t>
  </si>
  <si>
    <t>51.57690543927078, 8.103639595766609</t>
  </si>
  <si>
    <t>E-8</t>
  </si>
  <si>
    <r>
      <rPr>
        <b/>
        <sz val="11"/>
        <color theme="1"/>
        <rFont val="Calibri"/>
        <family val="2"/>
        <scheme val="minor"/>
      </rPr>
      <t xml:space="preserve">Info: </t>
    </r>
    <r>
      <rPr>
        <sz val="11"/>
        <color theme="1"/>
        <rFont val="Calibri"/>
        <family val="2"/>
        <scheme val="minor"/>
      </rPr>
      <t xml:space="preserve">Pommes Gold Gelb ist eine evangelistische Pommesbude. Das Motto ist: „Begegne Jesus - ER sättigt dich“.
</t>
    </r>
    <r>
      <rPr>
        <b/>
        <sz val="11"/>
        <color theme="1"/>
        <rFont val="Calibri"/>
        <family val="2"/>
        <scheme val="minor"/>
      </rPr>
      <t xml:space="preserve">Aufgabe: </t>
    </r>
    <r>
      <rPr>
        <sz val="11"/>
        <color theme="1"/>
        <rFont val="Calibri"/>
        <family val="2"/>
        <scheme val="minor"/>
      </rPr>
      <t>Macht ein Foto mit der Pommesbude.
Bonus: Teilt euch geschwisterlich eine Portion Pommes und rezitiert dabei den Psalm "Der Herr ist mein Hirte" bis "...trösten mich". Haltet das in einem Video fest.</t>
    </r>
  </si>
  <si>
    <t>Bernhard-Warnecke-Straße 18, 27283 Verden (Aller)</t>
  </si>
  <si>
    <t>52.91445977167085, 9.248475473692764</t>
  </si>
  <si>
    <t>E-9</t>
  </si>
  <si>
    <r>
      <rPr>
        <b/>
        <sz val="11"/>
        <color theme="1"/>
        <rFont val="Calibri"/>
        <family val="2"/>
        <scheme val="minor"/>
      </rPr>
      <t xml:space="preserve">Infos: </t>
    </r>
    <r>
      <rPr>
        <sz val="11"/>
        <color theme="1"/>
        <rFont val="Calibri"/>
        <family val="2"/>
        <scheme val="minor"/>
      </rPr>
      <t>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t>
    </r>
    <r>
      <rPr>
        <b/>
        <sz val="11"/>
        <color theme="1"/>
        <rFont val="Calibri"/>
        <family val="2"/>
        <scheme val="minor"/>
      </rPr>
      <t xml:space="preserve">
Aufgabe:</t>
    </r>
    <r>
      <rPr>
        <sz val="11"/>
        <color theme="1"/>
        <rFont val="Calibri"/>
        <family val="2"/>
        <scheme val="minor"/>
      </rPr>
      <t xml:space="preserve"> Esse eine Currywurst bei Curry Baude Gesundbrunnen beim Reina. Außerhalb der Öffnungszeiten: Esst eine Pommes vor der Bude (zb von McD) und verweilt die 15min  </t>
    </r>
  </si>
  <si>
    <t>Badstraße 1-5, 13357 Berlin</t>
  </si>
  <si>
    <t>52.54951871341352, 13.38696350694233</t>
  </si>
  <si>
    <r>
      <rPr>
        <b/>
        <sz val="11"/>
        <color theme="1"/>
        <rFont val="Calibri"/>
        <family val="2"/>
        <scheme val="minor"/>
      </rPr>
      <t>Info:</t>
    </r>
    <r>
      <rPr>
        <sz val="11"/>
        <color theme="1"/>
        <rFont val="Calibri"/>
        <family val="2"/>
        <scheme val="minor"/>
      </rPr>
      <t xml:space="preserve"> Tübingen Hbf war ein ehemaliger FV-Bahnhof. Hier hat der IC 2010 / IC 2011 IC „Loreley“ gehalten
</t>
    </r>
    <r>
      <rPr>
        <b/>
        <sz val="11"/>
        <color theme="1"/>
        <rFont val="Calibri"/>
        <family val="2"/>
        <scheme val="minor"/>
      </rPr>
      <t>Aufgabe:</t>
    </r>
    <r>
      <rPr>
        <sz val="11"/>
        <color theme="1"/>
        <rFont val="Calibri"/>
        <family val="2"/>
        <scheme val="minor"/>
      </rPr>
      <t xml:space="preserve"> Schaut euch jeden Bahnsteig im Tübingen Hauptbahnhof an und macht jeweils ein Gruppenfoto vom Anfang und Ende jeden Bahnsteigs und schätzt an welchem Gleis der ehemalige Loreley gehalten haben könnte. 
</t>
    </r>
    <r>
      <rPr>
        <b/>
        <sz val="11"/>
        <color theme="1"/>
        <rFont val="Calibri"/>
        <family val="2"/>
        <scheme val="minor"/>
      </rPr>
      <t>Bonus:</t>
    </r>
    <r>
      <rPr>
        <sz val="11"/>
        <color theme="1"/>
        <rFont val="Calibri"/>
        <family val="2"/>
        <scheme val="minor"/>
      </rPr>
      <t xml:space="preserve"> Wenn ihr eine IC1-Ganitur in der Nähe findet gibt es 20 Bonuspunkte</t>
    </r>
  </si>
  <si>
    <t>Europapl. 19, 72072 Tübingen</t>
  </si>
  <si>
    <t>48.5161384988154, 9.055184373985876</t>
  </si>
  <si>
    <r>
      <rPr>
        <b/>
        <sz val="11"/>
        <color theme="1"/>
        <rFont val="Calibri"/>
        <family val="2"/>
        <scheme val="minor"/>
      </rPr>
      <t xml:space="preserve">Info: </t>
    </r>
    <r>
      <rPr>
        <sz val="11"/>
        <color theme="1"/>
        <rFont val="Calibri"/>
        <family val="2"/>
        <scheme val="minor"/>
      </rPr>
      <t xml:space="preserve">Unna ist seit 2025 kein Fernverkehrs-Halt mehr (Hellweger Anzeiger vom 22.1.2025).
</t>
    </r>
    <r>
      <rPr>
        <b/>
        <sz val="11"/>
        <color theme="1"/>
        <rFont val="Calibri"/>
        <family val="2"/>
        <scheme val="minor"/>
      </rPr>
      <t xml:space="preserve">Aufgabe: </t>
    </r>
    <r>
      <rPr>
        <sz val="11"/>
        <color theme="1"/>
        <rFont val="Calibri"/>
        <family val="2"/>
        <scheme val="minor"/>
      </rPr>
      <t xml:space="preserve">Der Windpumpe am Friedrichsborn fehlt leider das Windrad. Stellt dieses szenisch nach.
</t>
    </r>
    <r>
      <rPr>
        <b/>
        <sz val="11"/>
        <color theme="1"/>
        <rFont val="Calibri"/>
        <family val="2"/>
        <scheme val="minor"/>
      </rPr>
      <t xml:space="preserve">Bonus: </t>
    </r>
    <r>
      <rPr>
        <sz val="11"/>
        <color theme="1"/>
        <rFont val="Calibri"/>
        <family val="2"/>
        <scheme val="minor"/>
      </rPr>
      <t>Pustet vor der Windpumpe einen Gegenstand an, weg oder aus (z. B. Windrad, Löwenzahn, Kerze - was Euch einfällt).</t>
    </r>
  </si>
  <si>
    <t>Friedrich-Ebert-Straße 97, 59425 Unna</t>
  </si>
  <si>
    <t>51.55091455654539, 7.682614223732886</t>
  </si>
  <si>
    <t xml:space="preserve">Info: Alfeld(Leine) ist seit 2024 kein FV-Halt mehr.
Aufgabe: Lauft zum (ggf. noch zweifarbigen) Wohnhaus vor dem FAGUS-Werk (UNESO-Weltkulturerbe; heute GreCon) und macht ein Foto, das sowohl das Wohnhaus als auch die Fabrik zeigt. </t>
  </si>
  <si>
    <t>Hannoversche Str. 54A, 31061 Alfeld (Leine)</t>
  </si>
  <si>
    <t>51.98396528737077, 9.809597000634707</t>
  </si>
  <si>
    <r>
      <rPr>
        <b/>
        <sz val="11"/>
        <color theme="1"/>
        <rFont val="Calibri"/>
        <family val="2"/>
        <scheme val="minor"/>
      </rPr>
      <t xml:space="preserve">Info: </t>
    </r>
    <r>
      <rPr>
        <sz val="11"/>
        <color theme="1"/>
        <rFont val="Calibri"/>
        <family val="2"/>
        <scheme val="minor"/>
      </rPr>
      <t xml:space="preserve">Bayreuth Hbf war von 2001 bis 2004 mit dem ICE-TD auf der Franken-Sachsen-Magstrale ans deutsche Fernverkehrsnetz angebuden </t>
    </r>
    <r>
      <rPr>
        <b/>
        <sz val="11"/>
        <color theme="1"/>
        <rFont val="Calibri"/>
        <family val="2"/>
        <scheme val="minor"/>
      </rPr>
      <t xml:space="preserve">Aufgabe: </t>
    </r>
    <r>
      <rPr>
        <sz val="11"/>
        <color theme="1"/>
        <rFont val="Calibri"/>
        <family val="2"/>
        <scheme val="minor"/>
      </rPr>
      <t>Macht ein Foto mit dem Bayreuther Festspielhaus</t>
    </r>
    <r>
      <rPr>
        <b/>
        <sz val="11"/>
        <color theme="1"/>
        <rFont val="Calibri"/>
        <family val="2"/>
        <scheme val="minor"/>
      </rPr>
      <t xml:space="preserve"> Bonus: </t>
    </r>
    <r>
      <rPr>
        <sz val="11"/>
        <color theme="1"/>
        <rFont val="Calibri"/>
        <family val="2"/>
        <scheme val="minor"/>
      </rPr>
      <t>Die Büste von Richard Wagner ist mit auf dem Foto</t>
    </r>
  </si>
  <si>
    <t>Festspielhügel 1- 2, 95445 Bayreuth</t>
  </si>
  <si>
    <t>49.95939441029317, 11.579481166195889</t>
  </si>
  <si>
    <t>EB-13</t>
  </si>
  <si>
    <r>
      <rPr>
        <b/>
        <sz val="11"/>
        <color theme="1"/>
        <rFont val="Calibri"/>
        <family val="2"/>
        <scheme val="minor"/>
      </rPr>
      <t>Info:</t>
    </r>
    <r>
      <rPr>
        <sz val="11"/>
        <color theme="1"/>
        <rFont val="Calibri"/>
        <family val="2"/>
        <scheme val="minor"/>
      </rPr>
      <t xml:space="preserve"> Berlin Anhalter Bahnhof: Der Bahnhof war vor dem Zweiten Weltkrieg wichtigste Station für die Verbindungen nach Mittel- und Süddeutschland, Österreich und Italien.
</t>
    </r>
    <r>
      <rPr>
        <b/>
        <sz val="11"/>
        <color theme="1"/>
        <rFont val="Calibri"/>
        <family val="2"/>
        <scheme val="minor"/>
      </rPr>
      <t>Aufgabe:</t>
    </r>
    <r>
      <rPr>
        <sz val="11"/>
        <color theme="1"/>
        <rFont val="Calibri"/>
        <family val="2"/>
        <scheme val="minor"/>
      </rPr>
      <t xml:space="preserve"> Dreht ein Video auf der Brücke unter der Brücke, in dem Ihr das Wort "Brückenzug" nachstellt.
</t>
    </r>
    <r>
      <rPr>
        <b/>
        <sz val="11"/>
        <color theme="1"/>
        <rFont val="Calibri"/>
        <family val="2"/>
        <scheme val="minor"/>
      </rPr>
      <t xml:space="preserve">Bonus: </t>
    </r>
    <r>
      <rPr>
        <sz val="11"/>
        <color theme="1"/>
        <rFont val="Calibri"/>
        <family val="2"/>
        <scheme val="minor"/>
      </rPr>
      <t>Wenn Ihr von der Brücke aus Fahrzeuge aller 4 Verkehrsarten (Straße, Schiene, Wasser, Luft) fotografiert (können auch mehrere Fotos sein), gibt es 10 Bonuspunkte.</t>
    </r>
  </si>
  <si>
    <t>Anhalter Steg, Tempelhofer Ufer 27, 10963 Berlin</t>
  </si>
  <si>
    <t>52.49936335417714, 13.379230257864814</t>
  </si>
  <si>
    <t>EB-14</t>
  </si>
  <si>
    <t>Lege einen Halt in Schwerte (Ruhr) ein. Bonus: Mache ein Foto mit einem Bus der Linie 430 (Ri. Dortmund-Hörde)</t>
  </si>
  <si>
    <t>Bahnhofstr. 35, 58239 Schwerte</t>
  </si>
  <si>
    <t>51.442164424498955, 7.559461741400124</t>
  </si>
  <si>
    <t>EB-15</t>
  </si>
  <si>
    <r>
      <rPr>
        <b/>
        <sz val="11"/>
        <color theme="1"/>
        <rFont val="Calibri"/>
        <family val="2"/>
        <scheme val="minor"/>
      </rPr>
      <t>Info:</t>
    </r>
    <r>
      <rPr>
        <sz val="11"/>
        <color theme="1"/>
        <rFont val="Calibri"/>
        <family val="2"/>
        <scheme val="minor"/>
      </rPr>
      <t xml:space="preserve"> Trier Hbf war ein ehemaliger FV-Bahnhof. Hier hatte früher sogar ein ICE gehalten, die Jahre danach noch die IC-Linie 35 Norddeich Mole - Luxemburg 
</t>
    </r>
    <r>
      <rPr>
        <b/>
        <sz val="11"/>
        <color theme="1"/>
        <rFont val="Calibri"/>
        <family val="2"/>
        <scheme val="minor"/>
      </rPr>
      <t>Aufgabe:</t>
    </r>
    <r>
      <rPr>
        <sz val="11"/>
        <color theme="1"/>
        <rFont val="Calibri"/>
        <family val="2"/>
        <scheme val="minor"/>
      </rPr>
      <t xml:space="preserve"> Schaut euch jeden Bahnsteig im Trier Hauptbahnhof an und macht jeweils ein Gruppenfoto vom Anfang und Ende jeden Bahnsteigs und schätzt an welchem Gleis der ehemalige ICE 1 gehalten haben könnte. 
</t>
    </r>
    <r>
      <rPr>
        <b/>
        <sz val="11"/>
        <color theme="1"/>
        <rFont val="Calibri"/>
        <family val="2"/>
        <scheme val="minor"/>
      </rPr>
      <t>Bonus:</t>
    </r>
    <r>
      <rPr>
        <sz val="11"/>
        <color theme="1"/>
        <rFont val="Calibri"/>
        <family val="2"/>
        <scheme val="minor"/>
      </rPr>
      <t xml:space="preserve"> Wenn ihr eine CFL-Ganitur (Pseudo-Fernverkehr) in der Nähe findet gibt es 20 Bonuspunkte</t>
    </r>
  </si>
  <si>
    <t>Bahnhofspl. 1, 54292 Trier</t>
  </si>
  <si>
    <t>49.757186323215016, 6.651517011956472</t>
  </si>
  <si>
    <r>
      <rPr>
        <b/>
        <sz val="11"/>
        <color theme="1"/>
        <rFont val="Calibri"/>
        <family val="2"/>
        <scheme val="minor"/>
      </rPr>
      <t>Info</t>
    </r>
    <r>
      <rPr>
        <sz val="11"/>
        <color theme="1"/>
        <rFont val="Calibri"/>
        <family val="2"/>
        <scheme val="minor"/>
      </rPr>
      <t xml:space="preserve">: Goslar am Harz ist UNESCO-Weltkulturerbe und hatte bis 2002 FV-Halte; heute nur noch Regionalverkehr. Am Marktplatz gibt es ein beruehmtes Glockenspiel: mehrmals taeglich kommen kleine Bergmann-Figuren heraus und stellen den historischen Bergbau am Rammelsberg nach. </t>
    </r>
    <r>
      <rPr>
        <b/>
        <sz val="11"/>
        <color theme="1"/>
        <rFont val="Calibri"/>
        <family val="2"/>
        <scheme val="minor"/>
      </rPr>
      <t>Aufgabe</t>
    </r>
    <r>
      <rPr>
        <sz val="11"/>
        <color theme="1"/>
        <rFont val="Calibri"/>
        <family val="2"/>
        <scheme val="minor"/>
      </rPr>
      <t xml:space="preserve">: Macht ein Gruppenfoto am Goslarer Marktplatz mit dem Glockenspiel-Haus im Hintergrund. Teammitglieder posieren als Bergmaenner (pantomimisch
hacken/schaufeln) (n-1, mind. 2). </t>
    </r>
    <r>
      <rPr>
        <b/>
        <sz val="11"/>
        <color theme="1"/>
        <rFont val="Calibri"/>
        <family val="2"/>
        <scheme val="minor"/>
      </rPr>
      <t>Bonus</t>
    </r>
    <r>
      <rPr>
        <sz val="11"/>
        <color theme="1"/>
        <rFont val="Calibri"/>
        <family val="2"/>
        <scheme val="minor"/>
      </rPr>
      <t>: Filmt das Glockenspiel LIVE in Aktion - die Figuren muessen sichtbar draussen sein, Team mit im Bild. Spielzeiten: 09:00, 12:00, 15:00 und 18:00 Uhr.</t>
    </r>
  </si>
  <si>
    <t>Markt 6, 38640 Goslar</t>
  </si>
  <si>
    <t>51.90611799399399, 10.429386334084127</t>
  </si>
  <si>
    <r>
      <rPr>
        <b/>
        <sz val="11"/>
        <color theme="1"/>
        <rFont val="Calibri"/>
        <family val="2"/>
        <scheme val="minor"/>
      </rPr>
      <t>Info:</t>
    </r>
    <r>
      <rPr>
        <sz val="11"/>
        <color theme="1"/>
        <rFont val="Calibri"/>
        <family val="2"/>
        <scheme val="minor"/>
      </rPr>
      <t xml:space="preserve"> Lennestadt-Altenhundem ist eine alte Eisenbahnerstadt am Nordende der Steilstrecke der Ruhr-Sieg-Bahn. Bis vor ein paar Montaten hielen hier wieder für ein paar Jahre Fernzüge (IC-Linie 34)
</t>
    </r>
    <r>
      <rPr>
        <b/>
        <sz val="11"/>
        <color theme="1"/>
        <rFont val="Calibri"/>
        <family val="2"/>
        <scheme val="minor"/>
      </rPr>
      <t xml:space="preserve">Aufgabe: </t>
    </r>
    <r>
      <rPr>
        <sz val="11"/>
        <color theme="1"/>
        <rFont val="Calibri"/>
        <family val="2"/>
        <scheme val="minor"/>
      </rPr>
      <t>Macht ein Foto wie ihr die die Hunde auf der Aussenseite der Zoohandlung anbellt.</t>
    </r>
  </si>
  <si>
    <t>Hundemstraße 46, 57368 Lennestadt-Altenhundem</t>
  </si>
  <si>
    <t>51.10113073833856, 8.070652046358173</t>
  </si>
  <si>
    <r>
      <rPr>
        <b/>
        <sz val="11"/>
        <color theme="1"/>
        <rFont val="Calibri"/>
        <family val="2"/>
        <scheme val="minor"/>
      </rPr>
      <t>Info:</t>
    </r>
    <r>
      <rPr>
        <sz val="11"/>
        <color theme="1"/>
        <rFont val="Calibri"/>
        <family val="2"/>
        <scheme val="minor"/>
      </rPr>
      <t xml:space="preserve"> In Forst(Lausitz) hat der EC Wawel auf seinem früheren Weg von Hamburg nach Krakow gehalten.
</t>
    </r>
    <r>
      <rPr>
        <b/>
        <sz val="11"/>
        <color theme="1"/>
        <rFont val="Calibri"/>
        <family val="2"/>
        <scheme val="minor"/>
      </rPr>
      <t>Aufgabe:</t>
    </r>
    <r>
      <rPr>
        <sz val="11"/>
        <color theme="1"/>
        <rFont val="Calibri"/>
        <family val="2"/>
        <scheme val="minor"/>
      </rPr>
      <t xml:space="preserve"> Besucht den Ostdeutschen Rosengarten und macht ein Gruppenfoto vor dem Eingang.
</t>
    </r>
    <r>
      <rPr>
        <b/>
        <sz val="11"/>
        <color theme="1"/>
        <rFont val="Calibri"/>
        <family val="2"/>
        <scheme val="minor"/>
      </rPr>
      <t>Bonus:</t>
    </r>
    <r>
      <rPr>
        <sz val="11"/>
        <color theme="1"/>
        <rFont val="Calibri"/>
        <family val="2"/>
        <scheme val="minor"/>
      </rPr>
      <t xml:space="preserve"> Ein Gruppenmitglied hält eine blühende Rose in der Hand.</t>
    </r>
  </si>
  <si>
    <t>Wehrinselstraße 42, 03149 Forst (Lausitz)</t>
  </si>
  <si>
    <t>51.73253436675504, 14.660665127420467</t>
  </si>
  <si>
    <t>EB-19</t>
  </si>
  <si>
    <t>Info: Osterholz-Scharmbeck wurde wiederkehrend von Fernverkehrszügen v/n Bremerhaven bedient.
Aufgabe: Gruppenfoto vor der Skulptur "Onkel Hermann".</t>
  </si>
  <si>
    <t>Hafenstraße 26, 27711 Osterholz-Scharmbeck</t>
  </si>
  <si>
    <t>53.21721381369201, 8.808701222705313</t>
  </si>
  <si>
    <t>EB-2</t>
  </si>
  <si>
    <r>
      <rPr>
        <b/>
        <sz val="11"/>
        <color theme="1"/>
        <rFont val="Calibri"/>
        <family val="2"/>
        <scheme val="minor"/>
      </rPr>
      <t>Info</t>
    </r>
    <r>
      <rPr>
        <sz val="11"/>
        <color theme="1"/>
        <rFont val="Calibri"/>
        <family val="2"/>
        <scheme val="minor"/>
      </rPr>
      <t xml:space="preserve">: Probstzella war an der Strecke Berlin-Muenchen ein bedeutender Fernverkehrs- und innerdeutscher GRENZBAHNHOF der DDR ("Tor zum Westen"); heute halten dort keine IC/ICE mehr regulaer. Das denkmalgeschuetzte </t>
    </r>
    <r>
      <rPr>
        <b/>
        <sz val="11"/>
        <color theme="1"/>
        <rFont val="Calibri"/>
        <family val="2"/>
        <scheme val="minor"/>
      </rPr>
      <t>Aufgabe</t>
    </r>
    <r>
      <rPr>
        <sz val="11"/>
        <color theme="1"/>
        <rFont val="Calibri"/>
        <family val="2"/>
        <scheme val="minor"/>
      </rPr>
      <t xml:space="preserve">: Stellt am Bahnhof die alte Grenzkontrolle nach - einer mimt den strengen Grenzer, der die "Ausweise" (irgendein Kaertchen) der anderen misstrauisch prueft. Video der Kontrolle </t>
    </r>
    <r>
      <rPr>
        <b/>
        <sz val="11"/>
        <color theme="1"/>
        <rFont val="Calibri"/>
        <family val="2"/>
        <scheme val="minor"/>
      </rPr>
      <t>Bonus</t>
    </r>
    <r>
      <rPr>
        <sz val="11"/>
        <color theme="1"/>
        <rFont val="Calibri"/>
        <family val="2"/>
        <scheme val="minor"/>
      </rPr>
      <t>: Selbst gebasteltes Schild "Herzlich willkommen im Westen!"
hochhalten und gemeinsam jubelnd die imaginaere Grenze ueberqueren.</t>
    </r>
  </si>
  <si>
    <t>Bahnhofstraße 2, 07330 Probstzella</t>
  </si>
  <si>
    <t>50.52820856240973, 11.384679256523931</t>
  </si>
  <si>
    <t>EB-20</t>
  </si>
  <si>
    <r>
      <rPr>
        <b/>
        <sz val="11"/>
        <color rgb="FF000000"/>
        <rFont val="Calibri"/>
        <family val="2"/>
      </rPr>
      <t>Info:</t>
    </r>
    <r>
      <rPr>
        <sz val="11"/>
        <color rgb="FF000000"/>
        <rFont val="Calibri"/>
        <family val="2"/>
      </rPr>
      <t xml:space="preserve"> Carl Leverkus war ein deutscher Apotheker, Firmengründer und Chemieunternehmer
</t>
    </r>
    <r>
      <rPr>
        <b/>
        <sz val="11"/>
        <color rgb="FF000000"/>
        <rFont val="Calibri"/>
        <family val="2"/>
      </rPr>
      <t>Aufgabe:</t>
    </r>
    <r>
      <rPr>
        <sz val="11"/>
        <color rgb="FF000000"/>
        <rFont val="Calibri"/>
        <family val="2"/>
      </rPr>
      <t xml:space="preserve"> Macht ein Foto in der Carl-Leverkus-Straße
</t>
    </r>
    <r>
      <rPr>
        <b/>
        <sz val="11"/>
        <color rgb="FF000000"/>
        <rFont val="Calibri"/>
        <family val="2"/>
      </rPr>
      <t>Bonus:</t>
    </r>
    <r>
      <rPr>
        <sz val="11"/>
        <color rgb="FF000000"/>
        <rFont val="Calibri"/>
        <family val="2"/>
      </rPr>
      <t xml:space="preserve"> Auf dem Foto ist irgendwo das Logo von Bayer Leverkusen zu sehen</t>
    </r>
  </si>
  <si>
    <t>Carl-Leverkus-Straße 1, 51373 Leverkusen</t>
  </si>
  <si>
    <t>51.0325992775836, 6.981838290837334</t>
  </si>
  <si>
    <t>EB-21</t>
  </si>
  <si>
    <r>
      <rPr>
        <b/>
        <sz val="11"/>
        <color rgb="FF000000"/>
        <rFont val="Calibri"/>
        <family val="2"/>
        <scheme val="minor"/>
      </rPr>
      <t>Info:</t>
    </r>
    <r>
      <rPr>
        <sz val="11"/>
        <color rgb="FF000000"/>
        <rFont val="Calibri"/>
        <family val="2"/>
        <scheme val="minor"/>
      </rPr>
      <t xml:space="preserve"> Gemünden war bis 2010 noch Halt für verschiedene IC. 
</t>
    </r>
    <r>
      <rPr>
        <b/>
        <sz val="11"/>
        <color rgb="FF000000"/>
        <rFont val="Calibri"/>
        <family val="2"/>
        <scheme val="minor"/>
      </rPr>
      <t>Aufgabe:</t>
    </r>
    <r>
      <rPr>
        <sz val="11"/>
        <color rgb="FF000000"/>
        <rFont val="Calibri"/>
        <family val="2"/>
        <scheme val="minor"/>
      </rPr>
      <t xml:space="preserve"> Geht an den Main mit euren Papierbooten (mindestens 3, https://wunderbunt.de/papierboot-falten/) und veranstaltet ein Rennen auf dem Wasser über mindestens 10 m. Die Boote müssen danach wieder aus dem Wasser genommen werden. Ihr könnt jedes beliebige Gewässer in Gemünden nutzen.</t>
    </r>
  </si>
  <si>
    <t>Parkplatz, 97737 Gemünden am Main</t>
  </si>
  <si>
    <t>50.05486264962635, 9.690088837258351</t>
  </si>
  <si>
    <t>EB-22</t>
  </si>
  <si>
    <r>
      <rPr>
        <b/>
        <sz val="11"/>
        <color theme="1"/>
        <rFont val="Calibri"/>
        <family val="2"/>
        <scheme val="minor"/>
      </rPr>
      <t>Info:</t>
    </r>
    <r>
      <rPr>
        <sz val="11"/>
        <color theme="1"/>
        <rFont val="Calibri"/>
        <family val="2"/>
        <scheme val="minor"/>
      </rPr>
      <t xml:space="preserve"> Linie 34 wurde wegen Brückenschäden zum April 2026 eingestellt. 
</t>
    </r>
    <r>
      <rPr>
        <b/>
        <sz val="11"/>
        <color theme="1"/>
        <rFont val="Calibri"/>
        <family val="2"/>
        <scheme val="minor"/>
      </rPr>
      <t xml:space="preserve">Aufgabe: </t>
    </r>
    <r>
      <rPr>
        <sz val="11"/>
        <color theme="1"/>
        <rFont val="Calibri"/>
        <family val="2"/>
        <scheme val="minor"/>
      </rPr>
      <t>Begutachtet die nächste Brücke, über die Nenne, von unten. Wenn möglich findet ein Bezeichnungschild und das Alter heraus.</t>
    </r>
  </si>
  <si>
    <t>Vosslohstraße 4, 58791 Werdohl</t>
  </si>
  <si>
    <t>51.2598935992606, 7.759961025016603</t>
  </si>
  <si>
    <r>
      <rPr>
        <b/>
        <sz val="11"/>
        <color theme="1"/>
        <rFont val="Calibri"/>
        <family val="2"/>
        <scheme val="minor"/>
      </rPr>
      <t xml:space="preserve">Info: </t>
    </r>
    <r>
      <rPr>
        <sz val="11"/>
        <color theme="1"/>
        <rFont val="Calibri"/>
        <family val="2"/>
        <scheme val="minor"/>
      </rPr>
      <t xml:space="preserve">Linie 34 fährt nicht mehr nach Siegen, deswegen ist der IC -Halt leider weggefallen.                                                                                  </t>
    </r>
    <r>
      <rPr>
        <b/>
        <sz val="11"/>
        <color theme="1"/>
        <rFont val="Calibri"/>
        <family val="2"/>
        <scheme val="minor"/>
      </rPr>
      <t>Aufgabe</t>
    </r>
    <r>
      <rPr>
        <sz val="11"/>
        <color theme="1"/>
        <rFont val="Calibri"/>
        <family val="2"/>
        <scheme val="minor"/>
      </rPr>
      <t xml:space="preserve">: Geht zum Apollo-Theater Siegen und spielt eine Zähne von Thomas und die Lokomotive nach, macht davon ein Bild. </t>
    </r>
  </si>
  <si>
    <t>Morleystraße 1, 57072 Siegen</t>
  </si>
  <si>
    <t>50.874102744781844, 8.017660469958251</t>
  </si>
  <si>
    <t>EB-24</t>
  </si>
  <si>
    <r>
      <rPr>
        <b/>
        <sz val="11"/>
        <color theme="1"/>
        <rFont val="Calibri"/>
        <family val="2"/>
        <scheme val="minor"/>
      </rPr>
      <t xml:space="preserve">Info: </t>
    </r>
    <r>
      <rPr>
        <sz val="11"/>
        <color theme="1"/>
        <rFont val="Calibri"/>
        <family val="2"/>
        <scheme val="minor"/>
      </rPr>
      <t xml:space="preserve">Lübeck ist bekannt für Marzipan. 
</t>
    </r>
    <r>
      <rPr>
        <b/>
        <sz val="11"/>
        <color theme="1"/>
        <rFont val="Calibri"/>
        <family val="2"/>
        <scheme val="minor"/>
      </rPr>
      <t xml:space="preserve">Aufgabe: </t>
    </r>
    <r>
      <rPr>
        <sz val="11"/>
        <color theme="1"/>
        <rFont val="Calibri"/>
        <family val="2"/>
        <scheme val="minor"/>
      </rPr>
      <t xml:space="preserve">Geht zum Marzipanmuseum und macht ein Foto davor.
</t>
    </r>
    <r>
      <rPr>
        <b/>
        <sz val="11"/>
        <color theme="1"/>
        <rFont val="Calibri"/>
        <family val="2"/>
        <scheme val="minor"/>
      </rPr>
      <t xml:space="preserve">Bonus: </t>
    </r>
    <r>
      <rPr>
        <sz val="11"/>
        <color theme="1"/>
        <rFont val="Calibri"/>
        <family val="2"/>
        <scheme val="minor"/>
      </rPr>
      <t>Mindestens ein Team-Mitglied isst auf dem Foto eine Marzipan-Spezialität.</t>
    </r>
  </si>
  <si>
    <t>Hüxstraße 4, 23552 Lübeck-Lübecker Altstadt</t>
  </si>
  <si>
    <t>53.867037844556904, 10.686108122102056</t>
  </si>
  <si>
    <t>Info: Bad Oldesloe war lange Zeit Halt für einige FV-Züge.
Aufgabe: Beweisfoto, dass Bad Oldesloe die Beste-Trave-Stadt ist.
Bonus: Füße im Wasser der Beste UND der Trave.</t>
  </si>
  <si>
    <t>Hude 5, 23843 Bad Oldesloe</t>
  </si>
  <si>
    <t>53.80947544136254, 10.37737099958945</t>
  </si>
  <si>
    <t>EB-26</t>
  </si>
  <si>
    <r>
      <rPr>
        <b/>
        <sz val="11"/>
        <color theme="1"/>
        <rFont val="Calibri"/>
        <family val="2"/>
        <scheme val="minor"/>
      </rPr>
      <t xml:space="preserve">Info: </t>
    </r>
    <r>
      <rPr>
        <sz val="11"/>
        <color theme="1"/>
        <rFont val="Calibri"/>
        <family val="2"/>
        <scheme val="minor"/>
      </rPr>
      <t xml:space="preserve">Bestwig wurde bis 1991 von einem D-Zug der Relation Amsterdam - Bad Wildungen bedient 
</t>
    </r>
    <r>
      <rPr>
        <b/>
        <sz val="11"/>
        <color theme="1"/>
        <rFont val="Calibri"/>
        <family val="2"/>
        <scheme val="minor"/>
      </rPr>
      <t>Aufgabe:</t>
    </r>
    <r>
      <rPr>
        <sz val="11"/>
        <color theme="1"/>
        <rFont val="Calibri"/>
        <family val="2"/>
        <scheme val="minor"/>
      </rPr>
      <t xml:space="preserve">  Findet das historische Bahnsignal und den Wasserkran und macht dort ein Foto 
</t>
    </r>
    <r>
      <rPr>
        <b/>
        <sz val="11"/>
        <color theme="1"/>
        <rFont val="Calibri"/>
        <family val="2"/>
        <scheme val="minor"/>
      </rPr>
      <t xml:space="preserve">Bonus: </t>
    </r>
    <r>
      <rPr>
        <sz val="11"/>
        <color theme="1"/>
        <rFont val="Calibri"/>
        <family val="2"/>
        <scheme val="minor"/>
      </rPr>
      <t>Auf dem Foto ist ein Zug zu erkennen.</t>
    </r>
  </si>
  <si>
    <t>59909 Bestwig</t>
  </si>
  <si>
    <t>51.36172582080357, 8.398086119910412</t>
  </si>
  <si>
    <t>EB-27</t>
  </si>
  <si>
    <r>
      <rPr>
        <b/>
        <sz val="11"/>
        <color theme="1"/>
        <rFont val="Calibri"/>
        <family val="2"/>
        <scheme val="minor"/>
      </rPr>
      <t xml:space="preserve">Info: </t>
    </r>
    <r>
      <rPr>
        <sz val="11"/>
        <color theme="1"/>
        <rFont val="Calibri"/>
        <family val="2"/>
        <scheme val="minor"/>
      </rPr>
      <t xml:space="preserve">Bis zum Fpl-Wechsel im Dezember 2025 fuhren saisonale IC-Kurswagen nach Dagebüll Mole. In Dagebüll beginnt die Halligbahn Dagebüll–Oland–Langeneß, die Dagebüll mit den Halligen in 900 m-Spurweite verbindet und von Loren befahren wird.
</t>
    </r>
    <r>
      <rPr>
        <b/>
        <sz val="11"/>
        <color theme="1"/>
        <rFont val="Calibri"/>
        <family val="2"/>
        <scheme val="minor"/>
      </rPr>
      <t xml:space="preserve">Aufgabe: </t>
    </r>
    <r>
      <rPr>
        <sz val="11"/>
        <color theme="1"/>
        <rFont val="Calibri"/>
        <family val="2"/>
        <scheme val="minor"/>
      </rPr>
      <t xml:space="preserve">Macht ein Team-Selfie vor einem Bahnübergang der Halligbahn. Der Bahnübergang muss im Hintergrund sichtbar sein.
</t>
    </r>
    <r>
      <rPr>
        <b/>
        <sz val="11"/>
        <color theme="1"/>
        <rFont val="Calibri"/>
        <family val="2"/>
        <scheme val="minor"/>
      </rPr>
      <t xml:space="preserve">Bonus: </t>
    </r>
    <r>
      <rPr>
        <sz val="11"/>
        <color theme="1"/>
        <rFont val="Calibri"/>
        <family val="2"/>
        <scheme val="minor"/>
      </rPr>
      <t>Nehmt ein Video einer Lore auf, die die Steigung zwischen dem Bahnübergang und dem Deich befährt (egal ob bergauf oder bergab). Alle anwesenden Teammitglieder müssen auf dem Video zu sehen sein.</t>
    </r>
  </si>
  <si>
    <t>Osewoldter Sielzug, 25899 Dagebüll</t>
  </si>
  <si>
    <t>54.725290304830345, 8.699904234228915</t>
  </si>
  <si>
    <r>
      <rPr>
        <b/>
        <sz val="11"/>
        <color theme="1"/>
        <rFont val="Calibri"/>
        <family val="2"/>
        <scheme val="minor"/>
      </rPr>
      <t>Info</t>
    </r>
    <r>
      <rPr>
        <sz val="11"/>
        <color theme="1"/>
        <rFont val="Calibri"/>
        <family val="2"/>
        <scheme val="minor"/>
      </rPr>
      <t xml:space="preserve">: Der einst als Stettiner Bahnhof eröffnete Berliner Nordbahnhof war in die 1950er Jahre der Ausgangspunkt für den Zugbetrieb von und zur Ostsee. Heute besteht nur noch ein Teil der einst umfangreichen Zuganlagen für den S-Bahn-Betrieb, der durch die Deutsche Teilung zudem lange nicht mehr bedient wurde. 
</t>
    </r>
    <r>
      <rPr>
        <b/>
        <sz val="11"/>
        <color theme="1"/>
        <rFont val="Calibri"/>
        <family val="2"/>
        <scheme val="minor"/>
      </rPr>
      <t>Aufgabe</t>
    </r>
    <r>
      <rPr>
        <sz val="11"/>
        <color theme="1"/>
        <rFont val="Calibri"/>
        <family val="2"/>
        <scheme val="minor"/>
      </rPr>
      <t>: Geht zur Gedenkstätte Berliner Mauer und zeigt euch ratlos, wie ihr dieses Hindernis überwinden wollt</t>
    </r>
  </si>
  <si>
    <t>Bernauer Str. 111, 13355 Berlin</t>
  </si>
  <si>
    <t>52.53509272966815, 13.390183483417818</t>
  </si>
  <si>
    <t>EB-4</t>
  </si>
  <si>
    <r>
      <rPr>
        <b/>
        <sz val="11"/>
        <color theme="1"/>
        <rFont val="Calibri"/>
        <family val="2"/>
        <scheme val="minor"/>
      </rPr>
      <t>Info</t>
    </r>
    <r>
      <rPr>
        <sz val="11"/>
        <color theme="1"/>
        <rFont val="Calibri"/>
        <family val="2"/>
        <scheme val="minor"/>
      </rPr>
      <t xml:space="preserve">: In Altena hielt bis Sommer 2026 noch die IC-Linie 34. Zudem befindet sich dort die erste Jugendherberge der Welt
</t>
    </r>
    <r>
      <rPr>
        <b/>
        <sz val="11"/>
        <color theme="1"/>
        <rFont val="Calibri"/>
        <family val="2"/>
        <scheme val="minor"/>
      </rPr>
      <t xml:space="preserve">Aufgabe: </t>
    </r>
    <r>
      <rPr>
        <sz val="11"/>
        <color theme="1"/>
        <rFont val="Calibri"/>
        <family val="2"/>
        <scheme val="minor"/>
      </rPr>
      <t>Mache ein Bild vor dem Torbogen der Jugendherberge (=Burg) Altena</t>
    </r>
  </si>
  <si>
    <t>Fritz-Thomee-Straße 80, 58762 Altena</t>
  </si>
  <si>
    <t>51.29906055399403, 7.675665636901779</t>
  </si>
  <si>
    <t>EB-5</t>
  </si>
  <si>
    <t>Info: Bad Bevensen fiel der "Fahrplan-Harmonisierung" zum Opfer.
Aufgabe: Findet das Schild mit zwei deutschen, einer isländischen, einer kanadischen und einer US-amerikanischen Stadt und macht von dort ein Gruppenfoto mit der Sonnenuhr.</t>
  </si>
  <si>
    <t>Dahlenburger Str. 5, 29549 Bad Bevensen</t>
  </si>
  <si>
    <t>53.08004651688442, 10.587806861899905</t>
  </si>
  <si>
    <t>EB-6</t>
  </si>
  <si>
    <r>
      <rPr>
        <b/>
        <sz val="11"/>
        <color rgb="FF000000"/>
        <rFont val="Calibri"/>
        <family val="2"/>
      </rPr>
      <t>Info:</t>
    </r>
    <r>
      <rPr>
        <sz val="11"/>
        <color rgb="FF000000"/>
        <rFont val="Calibri"/>
        <family val="2"/>
      </rPr>
      <t xml:space="preserve"> Langen liegt südlich von Frankfurt a.M. und ist Hauptsitz der Deutschen Flugsicherung und des Paul-Ehrlich-Institutes. Mit Langen am Arlberg hat es wenig gemein außer bis vor kurzem auch einen FV-Halt bei der Direktverbindung von Wien über beiden Langen nach Frankfurt.
</t>
    </r>
    <r>
      <rPr>
        <b/>
        <sz val="11"/>
        <color rgb="FF000000"/>
        <rFont val="Calibri"/>
        <family val="2"/>
      </rPr>
      <t>Aufgabe:</t>
    </r>
    <r>
      <rPr>
        <sz val="11"/>
        <color rgb="FF000000"/>
        <rFont val="Calibri"/>
        <family val="2"/>
      </rPr>
      <t xml:space="preserve"> Mache ein Foto vor dem Haupteingang des Paul-Ehrlich-Institutes.
</t>
    </r>
    <r>
      <rPr>
        <b/>
        <sz val="11"/>
        <color rgb="FF000000"/>
        <rFont val="Calibri"/>
        <family val="2"/>
      </rPr>
      <t>Bonus:</t>
    </r>
    <r>
      <rPr>
        <sz val="11"/>
        <color rgb="FF000000"/>
        <rFont val="Calibri"/>
        <family val="2"/>
      </rPr>
      <t xml:space="preserve"> Mache auch ein Foto vor dem Haupteingang des Campus der Deutschen Flugsicherung.</t>
    </r>
  </si>
  <si>
    <t>Paul-Ehrlich-Straße 51-59, 63225 Langen (Hessen)
Bonus: Am DFS-Campus 1-3</t>
  </si>
  <si>
    <t>50.00561135113223, 8.649778307300439</t>
  </si>
  <si>
    <r>
      <rPr>
        <b/>
        <sz val="11"/>
        <color theme="1"/>
        <rFont val="Calibri"/>
        <family val="2"/>
        <scheme val="minor"/>
      </rPr>
      <t>Info:</t>
    </r>
    <r>
      <rPr>
        <sz val="11"/>
        <color theme="1"/>
        <rFont val="Calibri"/>
        <family val="2"/>
        <scheme val="minor"/>
      </rPr>
      <t xml:space="preserve"> Bis 2007 haben in Klais ICs gehalten, sodass Klais mit 933 m Höhe der höchstgelegene IC-Bahnhof Deutschlands war.
</t>
    </r>
    <r>
      <rPr>
        <b/>
        <sz val="11"/>
        <color theme="1"/>
        <rFont val="Calibri"/>
        <family val="2"/>
        <scheme val="minor"/>
      </rPr>
      <t>Aufgabe:</t>
    </r>
    <r>
      <rPr>
        <sz val="11"/>
        <color theme="1"/>
        <rFont val="Calibri"/>
        <family val="2"/>
        <scheme val="minor"/>
      </rPr>
      <t xml:space="preserve"> Geht zur Via Raetia (Roemerstraße) und macht dort ein Foto.</t>
    </r>
  </si>
  <si>
    <t>Elmauer Weg 18, 82493 Krün</t>
  </si>
  <si>
    <t>47.479412257698556, 11.239749169507922</t>
  </si>
  <si>
    <t>EB-8</t>
  </si>
  <si>
    <r>
      <rPr>
        <b/>
        <sz val="11"/>
        <color theme="1"/>
        <rFont val="Calibri"/>
        <family val="2"/>
        <scheme val="minor"/>
      </rPr>
      <t>Info:</t>
    </r>
    <r>
      <rPr>
        <sz val="11"/>
        <color theme="1"/>
        <rFont val="Calibri"/>
        <family val="2"/>
        <scheme val="minor"/>
      </rPr>
      <t xml:space="preserve"> Früher hielt hier der "IR" Rennsteig  https://www.ice-treff.de/index.php
</t>
    </r>
    <r>
      <rPr>
        <b/>
        <sz val="11"/>
        <color theme="1"/>
        <rFont val="Calibri"/>
        <family val="2"/>
        <scheme val="minor"/>
      </rPr>
      <t xml:space="preserve">Aufgabe: </t>
    </r>
    <r>
      <rPr>
        <sz val="11"/>
        <color theme="1"/>
        <rFont val="Calibri"/>
        <family val="2"/>
        <scheme val="minor"/>
      </rPr>
      <t>Den Herzog Nachäffen,  Suche dir eine Statue und Possiere daneben in gleicher Haltung</t>
    </r>
  </si>
  <si>
    <t>48.897548, 9.191563</t>
  </si>
  <si>
    <t>EB-9</t>
  </si>
  <si>
    <r>
      <rPr>
        <b/>
        <sz val="11"/>
        <color theme="1"/>
        <rFont val="Calibri"/>
        <family val="2"/>
        <scheme val="minor"/>
      </rPr>
      <t>Info</t>
    </r>
    <r>
      <rPr>
        <sz val="11"/>
        <color theme="1"/>
        <rFont val="Calibri"/>
        <family val="2"/>
        <scheme val="minor"/>
      </rPr>
      <t xml:space="preserve">: In Castrop-Rauxel hat schon lange kein Fernverkehrszug mehr gehalten, trotzdem war die Stadt ein Internetstar.                  </t>
    </r>
    <r>
      <rPr>
        <b/>
        <sz val="11"/>
        <color theme="1"/>
        <rFont val="Calibri"/>
        <family val="2"/>
        <scheme val="minor"/>
      </rPr>
      <t xml:space="preserve">Aufgabe: </t>
    </r>
    <r>
      <rPr>
        <sz val="11"/>
        <color theme="1"/>
        <rFont val="Calibri"/>
        <family val="2"/>
        <scheme val="minor"/>
      </rPr>
      <t>Geht zur Europahalle und nehmt das Gefühl von Catrop-Rauxel wahr indem ihr ein Gruppefoto vor der Europahalle macht</t>
    </r>
  </si>
  <si>
    <t>Europapl. 6, 44575 Castrop-Rauxel</t>
  </si>
  <si>
    <t>51.56482811589321, 7.311670801327128</t>
  </si>
  <si>
    <t>EM-1</t>
  </si>
  <si>
    <r>
      <rPr>
        <b/>
        <sz val="11"/>
        <color theme="1"/>
        <rFont val="Calibri"/>
        <family val="2"/>
        <scheme val="minor"/>
      </rPr>
      <t>Info</t>
    </r>
    <r>
      <rPr>
        <sz val="11"/>
        <color theme="1"/>
        <rFont val="Calibri"/>
        <family val="2"/>
        <scheme val="minor"/>
      </rPr>
      <t xml:space="preserve">:
das Eisenbahnmuseum 'Alter Bahnhof Lette' zeigt einen repräsentativen Querschnitt der Eisenbahngeschichte im Westmünsterland inklusive der Technik eines mechanischen Stellwerkes.
</t>
    </r>
    <r>
      <rPr>
        <b/>
        <sz val="11"/>
        <color theme="1"/>
        <rFont val="Calibri"/>
        <family val="2"/>
        <scheme val="minor"/>
      </rPr>
      <t>Aufgabe</t>
    </r>
    <r>
      <rPr>
        <sz val="11"/>
        <color theme="1"/>
        <rFont val="Calibri"/>
        <family val="2"/>
        <scheme val="minor"/>
      </rPr>
      <t>:
Macht einen Spaziergang vom Eisenbahnmuseum zum Heimatmuseum und vergesst nicht ein Gruppenfoto vor dem Heimatmuseum und im Museumsgarten des Eisenbahnmuseeums mit seinen Formsignalen.</t>
    </r>
  </si>
  <si>
    <t>Bahnhofsallee 10, 48653 Coesfeld-Lette</t>
  </si>
  <si>
    <t>51.895696132958236, 7.190053218830432</t>
  </si>
  <si>
    <t>EM-10</t>
  </si>
  <si>
    <r>
      <rPr>
        <b/>
        <sz val="11"/>
        <color theme="1"/>
        <rFont val="Calibri"/>
        <family val="2"/>
        <scheme val="minor"/>
      </rPr>
      <t>Info:</t>
    </r>
    <r>
      <rPr>
        <sz val="11"/>
        <color theme="1"/>
        <rFont val="Calibri"/>
        <family val="2"/>
        <scheme val="minor"/>
      </rPr>
      <t xml:space="preserve"> DB Museum Koblenz-Lützel (geöffnet Samstag 10:00 bis 16:00 Uhr)
</t>
    </r>
    <r>
      <rPr>
        <b/>
        <sz val="11"/>
        <color theme="1"/>
        <rFont val="Calibri"/>
        <family val="2"/>
        <scheme val="minor"/>
      </rPr>
      <t>Aufgabe:</t>
    </r>
    <r>
      <rPr>
        <sz val="11"/>
        <color theme="1"/>
        <rFont val="Calibri"/>
        <family val="2"/>
        <scheme val="minor"/>
      </rPr>
      <t xml:space="preserve"> Macht ein Gruppenfoto vor dem Eingang
</t>
    </r>
    <r>
      <rPr>
        <b/>
        <sz val="11"/>
        <color theme="1"/>
        <rFont val="Calibri"/>
        <family val="2"/>
        <scheme val="minor"/>
      </rPr>
      <t>Bonus:</t>
    </r>
    <r>
      <rPr>
        <sz val="11"/>
        <color theme="1"/>
        <rFont val="Calibri"/>
        <family val="2"/>
        <scheme val="minor"/>
      </rPr>
      <t xml:space="preserve"> Gruppenfoto im Museum vor der E03 - 20 Punkte</t>
    </r>
  </si>
  <si>
    <t>Schönbornsluster Str. 14, 56070 Koblenz</t>
  </si>
  <si>
    <t>50.37744960726861, 7.592857356628145</t>
  </si>
  <si>
    <t>EM-11</t>
  </si>
  <si>
    <r>
      <rPr>
        <b/>
        <sz val="11"/>
        <color theme="1"/>
        <rFont val="Calibri"/>
        <family val="2"/>
        <scheme val="minor"/>
      </rPr>
      <t>Info</t>
    </r>
    <r>
      <rPr>
        <sz val="11"/>
        <color theme="1"/>
        <rFont val="Calibri"/>
        <family val="2"/>
        <scheme val="minor"/>
      </rPr>
      <t xml:space="preserve">: das Bayerische Eisenbahnmuseum am Bahnhof zeigt historische Dampfloks.
</t>
    </r>
    <r>
      <rPr>
        <b/>
        <sz val="11"/>
        <color theme="1"/>
        <rFont val="Calibri"/>
        <family val="2"/>
        <scheme val="minor"/>
      </rPr>
      <t>Aufgabe</t>
    </r>
    <r>
      <rPr>
        <sz val="11"/>
        <color theme="1"/>
        <rFont val="Calibri"/>
        <family val="2"/>
        <scheme val="minor"/>
      </rPr>
      <t xml:space="preserve">: Macht in der Naehe des Eisenbahnmuseums ein "Dampflok-Video": ahmt eine anfahrende Dampflok nach - Kolbenarme kreisen, Dampfgeraeusche ("Tsch-tsch-tsch"), langsam beschleunigen. Video (mind. 30s). </t>
    </r>
    <r>
      <rPr>
        <b/>
        <sz val="11"/>
        <color theme="1"/>
        <rFont val="Calibri"/>
        <family val="2"/>
        <scheme val="minor"/>
      </rPr>
      <t>Bonus</t>
    </r>
    <r>
      <rPr>
        <sz val="11"/>
        <color theme="1"/>
        <rFont val="Calibri"/>
        <family val="2"/>
        <scheme val="minor"/>
      </rPr>
      <t>: Eine ECHTE Dampflok ist im Video zu sehen.</t>
    </r>
  </si>
  <si>
    <t>Am Hohen Weg 6a, 86720 Nördlingen-Wemdinger Viertel</t>
  </si>
  <si>
    <t>48.85044176762389, 10.499475018408496</t>
  </si>
  <si>
    <t>EM-12</t>
  </si>
  <si>
    <r>
      <rPr>
        <b/>
        <sz val="11"/>
        <color theme="1"/>
        <rFont val="Calibri"/>
        <family val="2"/>
        <scheme val="minor"/>
      </rPr>
      <t>Info:</t>
    </r>
    <r>
      <rPr>
        <sz val="11"/>
        <color theme="1"/>
        <rFont val="Calibri"/>
        <family val="2"/>
        <scheme val="minor"/>
      </rPr>
      <t xml:space="preserve"> Die Emder Modell Dampffreunde e.V. präsentieren ihre selbstgebauten Eisenbahnmodelle in den Maßstäben 1:11 bis 1:8
</t>
    </r>
    <r>
      <rPr>
        <b/>
        <sz val="11"/>
        <color theme="1"/>
        <rFont val="Calibri"/>
        <family val="2"/>
        <scheme val="minor"/>
      </rPr>
      <t xml:space="preserve">Aufgabe: </t>
    </r>
    <r>
      <rPr>
        <sz val="11"/>
        <color theme="1"/>
        <rFont val="Calibri"/>
        <family val="2"/>
        <scheme val="minor"/>
      </rPr>
      <t xml:space="preserve">Macht ein Bild mit der Denkmallok 043 903-4 vor der Minibahn Emden
</t>
    </r>
    <r>
      <rPr>
        <b/>
        <sz val="11"/>
        <color theme="1"/>
        <rFont val="Calibri"/>
        <family val="2"/>
        <scheme val="minor"/>
      </rPr>
      <t xml:space="preserve">Bonus: </t>
    </r>
    <r>
      <rPr>
        <sz val="11"/>
        <color theme="1"/>
        <rFont val="Calibri"/>
        <family val="2"/>
        <scheme val="minor"/>
      </rPr>
      <t>Fahrt eine Runde auf der Minibahn (sonntags 10:00-17:00) + Foto</t>
    </r>
  </si>
  <si>
    <t>Minibahn Emden, Bahnhofsplatz 11b, 26721 Emden</t>
  </si>
  <si>
    <t>53.36841591995626, 7.196194838632747</t>
  </si>
  <si>
    <t>EM-13</t>
  </si>
  <si>
    <r>
      <rPr>
        <b/>
        <sz val="11"/>
        <color theme="1"/>
        <rFont val="Calibri"/>
        <family val="2"/>
        <scheme val="minor"/>
      </rPr>
      <t>Info</t>
    </r>
    <r>
      <rPr>
        <sz val="11"/>
        <color theme="1"/>
        <rFont val="Calibri"/>
        <family val="2"/>
        <scheme val="minor"/>
      </rPr>
      <t xml:space="preserve">: In Neustadt an der Weinstraße befindet sich das Eisenbahnmuseum der Pfalz von wo aus die Kuckucksbähnel abfährt.
</t>
    </r>
    <r>
      <rPr>
        <b/>
        <sz val="11"/>
        <color theme="1"/>
        <rFont val="Calibri"/>
        <family val="2"/>
        <scheme val="minor"/>
      </rPr>
      <t>Aufgabe</t>
    </r>
    <r>
      <rPr>
        <sz val="11"/>
        <color theme="1"/>
        <rFont val="Calibri"/>
        <family val="2"/>
        <scheme val="minor"/>
      </rPr>
      <t xml:space="preserve">: stimmt ein kurzes Lied an oder sagt ein Gedicht über die Kuckucksbähnel auf (real existierend oder frei erfunden)
</t>
    </r>
    <r>
      <rPr>
        <b/>
        <sz val="11"/>
        <color theme="1"/>
        <rFont val="Calibri"/>
        <family val="2"/>
        <scheme val="minor"/>
      </rPr>
      <t>Bonus</t>
    </r>
    <r>
      <rPr>
        <sz val="11"/>
        <color theme="1"/>
        <rFont val="Calibri"/>
        <family val="2"/>
        <scheme val="minor"/>
      </rPr>
      <t>: im Video ist eine Lok oder ein Wagen der Kuckucksbähnel zu sehen</t>
    </r>
  </si>
  <si>
    <t>Schillerstraße 3, 67434 Neustadt an der Weinstraße</t>
  </si>
  <si>
    <t>49.34947551332521, 8.139920782776084</t>
  </si>
  <si>
    <t>EM-14</t>
  </si>
  <si>
    <t>Das Eisenbahnmuseum Letschin hat leider nur Samstagvormittags geöffnet.
Aufgabe: Gruppenfoto mit möglichst vielen Schrankenbäumen im Hintergrund.</t>
  </si>
  <si>
    <t>Bahnhofstraße 15A, 15324 Letschin</t>
  </si>
  <si>
    <t>52.6301760949825, 14.35514415293208</t>
  </si>
  <si>
    <t>EM-15</t>
  </si>
  <si>
    <r>
      <rPr>
        <b/>
        <sz val="11"/>
        <color rgb="FF000000"/>
        <rFont val="Calibri"/>
        <family val="2"/>
        <scheme val="minor"/>
      </rPr>
      <t>Info:</t>
    </r>
    <r>
      <rPr>
        <sz val="11"/>
        <color rgb="FF000000"/>
        <rFont val="Calibri"/>
        <family val="2"/>
        <scheme val="minor"/>
      </rPr>
      <t xml:space="preserve"> Der Lokschuppen Bielefeld ist ein Veranstaltungs- und Kulturzentrum in einem historischen Bahnbetriebswerk, das gelegentlich Eisenbahnausstellungen und Events bietet.
</t>
    </r>
    <r>
      <rPr>
        <b/>
        <sz val="11"/>
        <color rgb="FF000000"/>
        <rFont val="Calibri"/>
        <family val="2"/>
        <scheme val="minor"/>
      </rPr>
      <t>Aufgabe:</t>
    </r>
    <r>
      <rPr>
        <sz val="11"/>
        <color rgb="FF000000"/>
        <rFont val="Calibri"/>
        <family val="2"/>
        <scheme val="minor"/>
      </rPr>
      <t xml:space="preserve"> Macht ein Foto mit der Drehscheibe im Hintergrund (Vorsicht: Privatgelände, aber öffentlich zugänglich!)
</t>
    </r>
    <r>
      <rPr>
        <b/>
        <sz val="11"/>
        <color rgb="FF000000"/>
        <rFont val="Calibri"/>
        <family val="2"/>
        <scheme val="minor"/>
      </rPr>
      <t>Bonus:</t>
    </r>
    <r>
      <rPr>
        <sz val="11"/>
        <color rgb="FF000000"/>
        <rFont val="Calibri"/>
        <family val="2"/>
        <scheme val="minor"/>
      </rPr>
      <t xml:space="preserve"> Auf der Drehscheibe steht ein beliebiges Schienenfahrzeug</t>
    </r>
  </si>
  <si>
    <t>Stadtheider Str. 11, 33609 Bielefeld</t>
  </si>
  <si>
    <t>52.0367616489927, 8.550875963090629</t>
  </si>
  <si>
    <t>EM-16</t>
  </si>
  <si>
    <r>
      <rPr>
        <b/>
        <sz val="11"/>
        <color theme="1"/>
        <rFont val="Calibri"/>
        <family val="2"/>
        <scheme val="minor"/>
      </rPr>
      <t>Info:</t>
    </r>
    <r>
      <rPr>
        <sz val="11"/>
        <color theme="1"/>
        <rFont val="Calibri"/>
        <family val="2"/>
        <scheme val="minor"/>
      </rPr>
      <t xml:space="preserve"> Vor dem Mueseum ist eine historische Dampflock der Baureihe 52 zu finden.
</t>
    </r>
    <r>
      <rPr>
        <b/>
        <sz val="11"/>
        <color theme="1"/>
        <rFont val="Calibri"/>
        <family val="2"/>
        <scheme val="minor"/>
      </rPr>
      <t>Aufgabe:</t>
    </r>
    <r>
      <rPr>
        <sz val="11"/>
        <color theme="1"/>
        <rFont val="Calibri"/>
        <family val="2"/>
        <scheme val="minor"/>
      </rPr>
      <t xml:space="preserve">Spielt Verstecken. Alle Teammitglieder -1 verstecken sich an, um, unter usw. der Dampflock. Zwischen jedem Mitglied müssen min. 2 m Abstand sein und es darf nicht mehr als 50% von jeder Person sichtbar sein und gleichzeitig muss du im Bild eindeutig auffindbar sein.
</t>
    </r>
    <r>
      <rPr>
        <b/>
        <sz val="11"/>
        <color theme="1"/>
        <rFont val="Calibri"/>
        <family val="2"/>
        <scheme val="minor"/>
      </rPr>
      <t xml:space="preserve">Bonus: </t>
    </r>
    <r>
      <rPr>
        <sz val="11"/>
        <color theme="1"/>
        <rFont val="Calibri"/>
        <family val="2"/>
        <scheme val="minor"/>
      </rPr>
      <t>Macht ein kurzes Erklärvideo zu einer der Signale vor Ort, in dem ihr beschreibt, wie es funktioniert und welche Stellung/Lichtsignal Fahrt, bzw. Halt bedeuten.</t>
    </r>
  </si>
  <si>
    <t>Schwarzer Weg, 04895 Falkenberg/Elster</t>
  </si>
  <si>
    <t>51.58857808170099, 13.245968220949942</t>
  </si>
  <si>
    <t>EM-17</t>
  </si>
  <si>
    <r>
      <rPr>
        <b/>
        <sz val="11"/>
        <color theme="1"/>
        <rFont val="Calibri"/>
        <family val="2"/>
        <scheme val="minor"/>
      </rPr>
      <t xml:space="preserve">Info: </t>
    </r>
    <r>
      <rPr>
        <sz val="11"/>
        <color theme="1"/>
        <rFont val="Calibri"/>
        <family val="2"/>
        <scheme val="minor"/>
      </rPr>
      <t>Das Musseum ist ggü vom Bahnhof. Der Bü kann teils 20 min am Stück geschlossen sein beachte dies, vorallem für den Rückweg.</t>
    </r>
    <r>
      <rPr>
        <b/>
        <sz val="11"/>
        <color theme="1"/>
        <rFont val="Calibri"/>
        <family val="2"/>
        <scheme val="minor"/>
      </rPr>
      <t xml:space="preserve">
Aufgabe:</t>
    </r>
    <r>
      <rPr>
        <sz val="11"/>
        <color theme="1"/>
        <rFont val="Calibri"/>
        <family val="2"/>
        <scheme val="minor"/>
      </rPr>
      <t xml:space="preserve"> Singt vor dem Musseum das Lied: Auf der Schwäbischen eissenbahne mit Hessischem Aktzent ;-) https://www.youtube.com/watch?v=3vYoL_qLsXA&amp;t=38s</t>
    </r>
  </si>
  <si>
    <t>Steinstraße 7, 64291 Darmstadt</t>
  </si>
  <si>
    <t>49.907909, 8.679794</t>
  </si>
  <si>
    <t>EM-18</t>
  </si>
  <si>
    <r>
      <t xml:space="preserve">Info: </t>
    </r>
    <r>
      <rPr>
        <sz val="11"/>
        <color theme="1"/>
        <rFont val="Calibri"/>
        <family val="2"/>
        <scheme val="minor"/>
      </rPr>
      <t xml:space="preserve">Mitten im schönen Oberfranken, am Fuße der Schiefen Ebene, liegt das Eisenbahnerdorf Neuenmarkt. Das dort angesiedelte Deutsche Dampflokomotiv Museum bietet Ihnen ein Eisenbahnerlebnis der besonderen Art.         
</t>
    </r>
    <r>
      <rPr>
        <b/>
        <sz val="11"/>
        <color theme="1"/>
        <rFont val="Calibri"/>
        <family val="2"/>
        <scheme val="minor"/>
      </rPr>
      <t>Aufgabe</t>
    </r>
    <r>
      <rPr>
        <sz val="11"/>
        <color theme="1"/>
        <rFont val="Calibri"/>
        <family val="2"/>
        <scheme val="minor"/>
      </rPr>
      <t xml:space="preserve">: Macht ein Bild vor dem gelben Infoschild </t>
    </r>
  </si>
  <si>
    <t>Birkenstraße 5, 95339 Neuenmarkt</t>
  </si>
  <si>
    <t>50.09421945155412, 11.581813812078643</t>
  </si>
  <si>
    <t>EM-19</t>
  </si>
  <si>
    <r>
      <rPr>
        <b/>
        <sz val="11"/>
        <color theme="1"/>
        <rFont val="Calibri"/>
        <family val="2"/>
        <scheme val="minor"/>
      </rPr>
      <t xml:space="preserve">Info: </t>
    </r>
    <r>
      <rPr>
        <sz val="11"/>
        <color theme="1"/>
        <rFont val="Calibri"/>
        <family val="2"/>
        <scheme val="minor"/>
      </rPr>
      <t>Im Eisenbahnmuseum Jünkerath geht es vor allem um die Eisenbahngeschichte im Eifel- und Moselraum. Es wurde in der Aartal Überflutung teilweise zerstört und an anderer Stelle wieder aufgebaut. Öffnungszeiten sind Sa 14-16 Uhr.</t>
    </r>
    <r>
      <rPr>
        <b/>
        <sz val="11"/>
        <color theme="1"/>
        <rFont val="Calibri"/>
        <family val="2"/>
        <scheme val="minor"/>
      </rPr>
      <t xml:space="preserve">
Aufgabe: </t>
    </r>
    <r>
      <rPr>
        <sz val="11"/>
        <color theme="1"/>
        <rFont val="Calibri"/>
        <family val="2"/>
        <scheme val="minor"/>
      </rPr>
      <t xml:space="preserve">Findet den Roheisenpfannenwagen am Bahnhof. Macht ein Foto mit dem Roheisenpfannenwagen. Findet anschließend das neue Eisenbahnmuseum und macht ein Foto mit euch drauf. Euer (digitales) Bild mit dem Roheisenpfannenwagen muss hier auch zu sehen sein. 
</t>
    </r>
    <r>
      <rPr>
        <b/>
        <sz val="11"/>
        <color theme="1"/>
        <rFont val="Calibri"/>
        <family val="2"/>
        <scheme val="minor"/>
      </rPr>
      <t xml:space="preserve">Bonus: </t>
    </r>
    <r>
      <rPr>
        <sz val="11"/>
        <color theme="1"/>
        <rFont val="Calibri"/>
        <family val="2"/>
        <scheme val="minor"/>
      </rPr>
      <t>Besucht das Eisenbahnmuseum.</t>
    </r>
  </si>
  <si>
    <t>Mühlengasse 3a, 54584 Jünkerath</t>
  </si>
  <si>
    <t>50.35001066757447, 6.5707629919055295</t>
  </si>
  <si>
    <t>EM-2</t>
  </si>
  <si>
    <r>
      <rPr>
        <b/>
        <sz val="11"/>
        <color theme="1"/>
        <rFont val="Calibri"/>
        <family val="2"/>
        <scheme val="minor"/>
      </rPr>
      <t>Info:</t>
    </r>
    <r>
      <rPr>
        <sz val="11"/>
        <color theme="1"/>
        <rFont val="Calibri"/>
        <family val="2"/>
        <scheme val="minor"/>
      </rPr>
      <t xml:space="preserve"> Eisenbahnen wirken aus unterschiedlichen Blickwinkeln völlig verschieden – monumental, technisch oder nostalgisch.
</t>
    </r>
    <r>
      <rPr>
        <b/>
        <sz val="11"/>
        <color theme="1"/>
        <rFont val="Calibri"/>
        <family val="2"/>
        <scheme val="minor"/>
      </rPr>
      <t>Aufgabe:</t>
    </r>
    <r>
      <rPr>
        <sz val="11"/>
        <color theme="1"/>
        <rFont val="Calibri"/>
        <family val="2"/>
        <scheme val="minor"/>
      </rPr>
      <t xml:space="preserve">Erstellt eine kleine Foto-Serie mit:
einer Nahaufnahme eines technischen Details
einer symmetrischen Aufnahme von Gleisen oder Wagen
einer „epischen“ Perspektive, bei der etwas besonders groß wirkt
Alle drei Bilder müssen unterschiedliche Perspektiven verwenden. In den Bildern muss jedes Teammitglied mindestens einmal enthalten sein.
</t>
    </r>
    <r>
      <rPr>
        <b/>
        <sz val="11"/>
        <color theme="1"/>
        <rFont val="Calibri"/>
        <family val="2"/>
        <scheme val="minor"/>
      </rPr>
      <t xml:space="preserve">Bonus: </t>
    </r>
    <r>
      <rPr>
        <sz val="11"/>
        <color theme="1"/>
        <rFont val="Calibri"/>
        <family val="2"/>
        <scheme val="minor"/>
      </rPr>
      <t>Macht die Bilder im Museum (Sa+So 10-18h) Eintritt für DB Mitarbeiter frei</t>
    </r>
  </si>
  <si>
    <t>49.44544725540531, 11.074542498632512</t>
  </si>
  <si>
    <t>EM-20</t>
  </si>
  <si>
    <t>Info: Schönberger Strand
Aufgabe: Macht ein Foto vor einer historischen Straßenbahn</t>
  </si>
  <si>
    <t>Am Schierbek 1, 24217 Schönberg (Holstein)-Schönberger Strand</t>
  </si>
  <si>
    <t>54.41110309406395, 10.412848502840726</t>
  </si>
  <si>
    <t>nur mit Linienbus erreichbar</t>
  </si>
  <si>
    <t>EM-21</t>
  </si>
  <si>
    <t>Halle Steintorbrücke - DB Museum Halle, macht ein Foto am Eingang auf Bahnsteig 1, Es muss das Zwischensignal ZR21 und das Schild des Eisenbahnmuseums auf dem Foto zu sehen sein.</t>
  </si>
  <si>
    <t>Halle Steintorbrücke, 06112 Halle (Saale)</t>
  </si>
  <si>
    <t>51.490466408863576, 11.987569421587699</t>
  </si>
  <si>
    <t>EM-22</t>
  </si>
  <si>
    <r>
      <rPr>
        <b/>
        <sz val="11"/>
        <color theme="1"/>
        <rFont val="Calibri"/>
        <family val="2"/>
        <scheme val="minor"/>
      </rPr>
      <t>Info</t>
    </r>
    <r>
      <rPr>
        <sz val="11"/>
        <color theme="1"/>
        <rFont val="Calibri"/>
        <family val="2"/>
        <scheme val="minor"/>
      </rPr>
      <t xml:space="preserve">: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t>
    </r>
    <r>
      <rPr>
        <b/>
        <sz val="11"/>
        <color theme="1"/>
        <rFont val="Calibri"/>
        <family val="2"/>
        <scheme val="minor"/>
      </rPr>
      <t>Aufgabe</t>
    </r>
    <r>
      <rPr>
        <sz val="11"/>
        <color theme="1"/>
        <rFont val="Calibri"/>
        <family val="2"/>
        <scheme val="minor"/>
      </rPr>
      <t xml:space="preserv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t>
    </r>
    <r>
      <rPr>
        <b/>
        <sz val="11"/>
        <color theme="1"/>
        <rFont val="Calibri"/>
        <family val="2"/>
        <scheme val="minor"/>
      </rPr>
      <t>Bonus</t>
    </r>
    <r>
      <rPr>
        <sz val="11"/>
        <color theme="1"/>
        <rFont val="Calibri"/>
        <family val="2"/>
        <scheme val="minor"/>
      </rPr>
      <t>: Mindestens eine der Drehscheiben ist im Hintergrund sichtbar.</t>
    </r>
  </si>
  <si>
    <t>Heideäcker 1, 63457 Hanau</t>
  </si>
  <si>
    <t>50.11499273053085, 8.941966497663747</t>
  </si>
  <si>
    <t>EM-23</t>
  </si>
  <si>
    <t>Mache am Eisenbahnmuseum Bochum Dahlhausen ein Foto mit einem historischen Fahrzeug</t>
  </si>
  <si>
    <t>Dr.-C.-Otto-Straße 191, 44879 Bochum</t>
  </si>
  <si>
    <t>51.4328736490309, 7.126409577794792</t>
  </si>
  <si>
    <t>EM-24</t>
  </si>
  <si>
    <r>
      <rPr>
        <b/>
        <sz val="11"/>
        <color theme="1"/>
        <rFont val="Calibri"/>
        <family val="2"/>
        <scheme val="minor"/>
      </rPr>
      <t xml:space="preserve">Info: </t>
    </r>
    <r>
      <rPr>
        <sz val="11"/>
        <color theme="1"/>
        <rFont val="Calibri"/>
        <family val="2"/>
        <scheme val="minor"/>
      </rPr>
      <t xml:space="preserve">Der Lokschuppen Rosenheim ist ein Ausstellungszentrum in Rosenheim gegenüber vom alten Rosenheimer Bahnhof (der nicht lang nach seiner Eröffnung in das Rathhaus umgewandelt wurde).
</t>
    </r>
    <r>
      <rPr>
        <b/>
        <sz val="11"/>
        <color theme="1"/>
        <rFont val="Calibri"/>
        <family val="2"/>
        <scheme val="minor"/>
      </rPr>
      <t>Aufgabe:</t>
    </r>
    <r>
      <rPr>
        <sz val="11"/>
        <color theme="1"/>
        <rFont val="Calibri"/>
        <family val="2"/>
        <scheme val="minor"/>
      </rPr>
      <t xml:space="preserve"> Foto von einem Teammitglied liegend auf dem Boden zwischen die "Gleise" im Hof vorm Lokschuppen.
</t>
    </r>
    <r>
      <rPr>
        <b/>
        <sz val="11"/>
        <color theme="1"/>
        <rFont val="Calibri"/>
        <family val="2"/>
        <scheme val="minor"/>
      </rPr>
      <t>Bonus</t>
    </r>
    <r>
      <rPr>
        <sz val="11"/>
        <color theme="1"/>
        <rFont val="Calibri"/>
        <family val="2"/>
        <scheme val="minor"/>
      </rPr>
      <t>: Kaufe und versende eine Postkarte vom Lokschuppen. Foto mit der Postkarte mit Adresse &amp; Briefmarke am Briefkasten reicht. Der nächste Briefkasten ist in der Königstr. 23, mit der längere Route zürück zum Bahnhof über die Bahnhofsstraße läuft man auch den großen Postfilial vorbei.</t>
    </r>
  </si>
  <si>
    <t>Rathausstraße 24, 83022 Rosenheim</t>
  </si>
  <si>
    <t>47.852735, 12.128282</t>
  </si>
  <si>
    <t>EM-25</t>
  </si>
  <si>
    <r>
      <rPr>
        <b/>
        <sz val="11"/>
        <color theme="1"/>
        <rFont val="Calibri"/>
        <family val="2"/>
        <scheme val="minor"/>
      </rPr>
      <t>Info</t>
    </r>
    <r>
      <rPr>
        <sz val="11"/>
        <color theme="1"/>
        <rFont val="Calibri"/>
        <family val="2"/>
        <scheme val="minor"/>
      </rPr>
      <t xml:space="preserve">: In Dieringhausen liegt das Eisenbahnmuseum auf dem denkmalgeschuetzten Gelaende des ehemaligen Bahnbetriebswerks (seit 1905). Frueher fuhr die Bahn mitten durch den Ort; rund ums Museum stehen noch die alten Eisenbahner-Dienstwohnungen aus der Kaiserzeit. </t>
    </r>
    <r>
      <rPr>
        <b/>
        <sz val="11"/>
        <color theme="1"/>
        <rFont val="Calibri"/>
        <family val="2"/>
        <scheme val="minor"/>
      </rPr>
      <t>Aufgabe</t>
    </r>
    <r>
      <rPr>
        <sz val="11"/>
        <color theme="1"/>
        <rFont val="Calibri"/>
        <family val="2"/>
        <scheme val="minor"/>
      </rPr>
      <t xml:space="preserve">: Sucht in der Naehe des Museums ein Ueberbleibsel der alten Eisenbahnzeit (alte Dienstwohnung, Strassenname mit Bahn-Bezug, sichtbare Gleise, Prellbock, Signal o.ae.) und posiert davor als Eisenbahner von 1905, die stolz ihr Bahnbetriebswerk eroeffnen. Foto.
</t>
    </r>
    <r>
      <rPr>
        <b/>
        <sz val="11"/>
        <color theme="1"/>
        <rFont val="Calibri"/>
        <family val="2"/>
        <scheme val="minor"/>
      </rPr>
      <t>Bonus</t>
    </r>
    <r>
      <rPr>
        <sz val="11"/>
        <color theme="1"/>
        <rFont val="Calibri"/>
        <family val="2"/>
        <scheme val="minor"/>
      </rPr>
      <t>: Eine echte Lok ist im Foto sichtbar</t>
    </r>
  </si>
  <si>
    <t>Hohler Str. 2, 51645 Gummersbach-Dieringhausen</t>
  </si>
  <si>
    <t>50.98368304534468, 7.5327597240624335</t>
  </si>
  <si>
    <t>EM-3</t>
  </si>
  <si>
    <r>
      <rPr>
        <b/>
        <sz val="11"/>
        <color theme="1"/>
        <rFont val="Calibri"/>
        <family val="2"/>
        <scheme val="minor"/>
      </rPr>
      <t xml:space="preserve">Info: </t>
    </r>
    <r>
      <rPr>
        <sz val="11"/>
        <color theme="1"/>
        <rFont val="Calibri"/>
        <family val="2"/>
        <scheme val="minor"/>
      </rPr>
      <t>Die Schienenverkehrsgesellschaft mbH (SVG) ist ein privates Eisenbahnverkehrs- und Infrastrukturunternehmen (EVU/EIU) mit Sitz in Stuttgart und einer Niederlassung mit Museum in Horb am Neckar. Die SVG betreibt vor allem Sonderzüge im Personenverkehr.</t>
    </r>
    <r>
      <rPr>
        <b/>
        <sz val="11"/>
        <color theme="1"/>
        <rFont val="Calibri"/>
        <family val="2"/>
        <scheme val="minor"/>
      </rPr>
      <t xml:space="preserve">
Aufgabe:</t>
    </r>
    <r>
      <rPr>
        <sz val="11"/>
        <color theme="1"/>
        <rFont val="Calibri"/>
        <family val="2"/>
        <scheme val="minor"/>
      </rPr>
      <t xml:space="preserve"> Macht ein Foto mit oder auf einem Wagen / Prellbock</t>
    </r>
  </si>
  <si>
    <t>Rangierbahnhof 8, 72160 Horb am Neckar</t>
  </si>
  <si>
    <t>48.43551468991275, 8.676633045439113</t>
  </si>
  <si>
    <t>EM-4</t>
  </si>
  <si>
    <r>
      <t xml:space="preserve">Info: </t>
    </r>
    <r>
      <rPr>
        <sz val="11"/>
        <color theme="1"/>
        <rFont val="Calibri"/>
        <family val="2"/>
        <scheme val="minor"/>
      </rPr>
      <t xml:space="preserve">Das Bahnbetriebswerk Dresden-Altstadt ist ein ehemaliges Bahnbetriebswerk in Dresden. Es beheimatete hauptsächlich Personen- und Schnellzuglokomotiven.
</t>
    </r>
    <r>
      <rPr>
        <b/>
        <sz val="11"/>
        <color theme="1"/>
        <rFont val="Calibri"/>
        <family val="2"/>
        <scheme val="minor"/>
      </rPr>
      <t xml:space="preserve">Aufgabe: </t>
    </r>
    <r>
      <rPr>
        <sz val="11"/>
        <color theme="1"/>
        <rFont val="Calibri"/>
        <family val="2"/>
        <scheme val="minor"/>
      </rPr>
      <t>Steigt auf die Nossener Brücke und blickt auf die Drehscheibe und die Dampflokomotiven herunter. Schießt ein Gruppenfoto.</t>
    </r>
  </si>
  <si>
    <t>Zwickauer Str. 86, 01187 Dresden-Plauen</t>
  </si>
  <si>
    <t>51.03959562580623, 13.71167550461509</t>
  </si>
  <si>
    <t>EM-5</t>
  </si>
  <si>
    <r>
      <rPr>
        <b/>
        <sz val="11"/>
        <color theme="1"/>
        <rFont val="Calibri"/>
        <family val="2"/>
        <scheme val="minor"/>
      </rPr>
      <t xml:space="preserve">Info: </t>
    </r>
    <r>
      <rPr>
        <sz val="11"/>
        <color theme="1"/>
        <rFont val="Calibri"/>
        <family val="2"/>
        <scheme val="minor"/>
      </rPr>
      <t xml:space="preserve">Die Museumseisenbahn Hamm verfügt neben einem Bahnbetriebswerk in der Schumannstraße sogar auch über eine eigene Strecke mit 3,7 km Länge.
</t>
    </r>
    <r>
      <rPr>
        <b/>
        <sz val="11"/>
        <color theme="1"/>
        <rFont val="Calibri"/>
        <family val="2"/>
        <scheme val="minor"/>
      </rPr>
      <t xml:space="preserve">Aufgabe: </t>
    </r>
    <r>
      <rPr>
        <sz val="11"/>
        <color theme="1"/>
        <rFont val="Calibri"/>
        <family val="2"/>
        <scheme val="minor"/>
      </rPr>
      <t xml:space="preserve">Macht ein schönes Foto mit historischer Eisenbahn im Hintergrund (und hinter dem Zaun).
</t>
    </r>
    <r>
      <rPr>
        <b/>
        <sz val="11"/>
        <color theme="1"/>
        <rFont val="Calibri"/>
        <family val="2"/>
        <scheme val="minor"/>
      </rPr>
      <t xml:space="preserve">Bonus: </t>
    </r>
    <r>
      <rPr>
        <sz val="11"/>
        <color theme="1"/>
        <rFont val="Calibri"/>
        <family val="2"/>
        <scheme val="minor"/>
      </rPr>
      <t>Besucht das Bahnbetriebswerk (Öffnungszeiten laut Google Sa 11-17:30 Uhr; laut Website Betriebszeit Sa 12-18 Uhr).</t>
    </r>
  </si>
  <si>
    <t>Schumannstraße 35, 59063 Hamm</t>
  </si>
  <si>
    <t>51.67034567509963, 7.816690237717495</t>
  </si>
  <si>
    <t>EM-6</t>
  </si>
  <si>
    <t>Info: Eisenbahnfreunde Wismar e.V.
Aufgabe: Macht ein Foto vom Lokschuppen und ein Foto vom Gebäude mit der Aufschrift "Bahnbetriebswerk Wismar". Die Aufschrift muss gut lesbar sein!</t>
  </si>
  <si>
    <t>Poeler Str. 3, 23970 Wismar</t>
  </si>
  <si>
    <t>53.89777273287153, 11.467907394789098</t>
  </si>
  <si>
    <t>EM-7</t>
  </si>
  <si>
    <r>
      <rPr>
        <b/>
        <sz val="11"/>
        <color theme="1"/>
        <rFont val="Calibri"/>
        <family val="2"/>
        <scheme val="minor"/>
      </rPr>
      <t>Info</t>
    </r>
    <r>
      <rPr>
        <sz val="11"/>
        <color theme="1"/>
        <rFont val="Calibri"/>
        <family val="2"/>
        <scheme val="minor"/>
      </rPr>
      <t xml:space="preserve">: Das Eisenbahnmuseum in Hochdahl hat an diesem Sonntag (23.08.26) geöffnet. 
</t>
    </r>
    <r>
      <rPr>
        <b/>
        <sz val="11"/>
        <color theme="1"/>
        <rFont val="Calibri"/>
        <family val="2"/>
        <scheme val="minor"/>
      </rPr>
      <t>Aufgabe</t>
    </r>
    <r>
      <rPr>
        <sz val="11"/>
        <color theme="1"/>
        <rFont val="Calibri"/>
        <family val="2"/>
        <scheme val="minor"/>
      </rPr>
      <t xml:space="preserve">: Macht vor dem Gelände ein Gruppenbild mit sovielen Fahrzeugen und dem Formsignal des Museums.
</t>
    </r>
    <r>
      <rPr>
        <b/>
        <sz val="11"/>
        <color theme="1"/>
        <rFont val="Calibri"/>
        <family val="2"/>
        <scheme val="minor"/>
      </rPr>
      <t>Bonus</t>
    </r>
    <r>
      <rPr>
        <sz val="11"/>
        <color theme="1"/>
        <rFont val="Calibri"/>
        <family val="2"/>
        <scheme val="minor"/>
      </rPr>
      <t>: Laut der Website hat das Museum am Sonntag geöffnet, macht im Museum ein Gruppenbild zusammen mit der Schleuderstelle.</t>
    </r>
  </si>
  <si>
    <t>Ziegeleiweg 1-3, 40699 Erkrath</t>
  </si>
  <si>
    <t>51.21807772364744, 6.947841727813331</t>
  </si>
  <si>
    <t>EM-8</t>
  </si>
  <si>
    <r>
      <rPr>
        <b/>
        <sz val="11"/>
        <color theme="1"/>
        <rFont val="Calibri"/>
        <family val="2"/>
        <scheme val="minor"/>
      </rPr>
      <t>Info:</t>
    </r>
    <r>
      <rPr>
        <sz val="11"/>
        <color theme="1"/>
        <rFont val="Calibri"/>
        <family val="2"/>
        <scheme val="minor"/>
      </rPr>
      <t xml:space="preserve"> Berliner U-Bahn-Museum
</t>
    </r>
    <r>
      <rPr>
        <b/>
        <sz val="11"/>
        <color theme="1"/>
        <rFont val="Calibri"/>
        <family val="2"/>
        <scheme val="minor"/>
      </rPr>
      <t>Aufgabe:</t>
    </r>
    <r>
      <rPr>
        <sz val="11"/>
        <color theme="1"/>
        <rFont val="Calibri"/>
        <family val="2"/>
        <scheme val="minor"/>
      </rPr>
      <t xml:space="preserve"> Macht ein Teamfoto vor dem Eingang zum Museum
</t>
    </r>
    <r>
      <rPr>
        <b/>
        <sz val="11"/>
        <color theme="1"/>
        <rFont val="Calibri"/>
        <family val="2"/>
        <scheme val="minor"/>
      </rPr>
      <t xml:space="preserve">Bonus: </t>
    </r>
    <r>
      <rPr>
        <sz val="11"/>
        <color theme="1"/>
        <rFont val="Calibri"/>
        <family val="2"/>
        <scheme val="minor"/>
      </rPr>
      <t>Macht ein Foto mit Eurem Team, auf dem mindestens 4 U-Bahnzüge gleichzeitig zu sehen sind (4 Züge, nicht 4 Triebwagen in einem Zug!)</t>
    </r>
  </si>
  <si>
    <t>Rossitter Weg 1, 14053 Berlin</t>
  </si>
  <si>
    <t>52.51737538803782, 13.249982867975035</t>
  </si>
  <si>
    <t>EM-9</t>
  </si>
  <si>
    <r>
      <rPr>
        <b/>
        <sz val="11"/>
        <color theme="1"/>
        <rFont val="Calibri"/>
        <family val="2"/>
        <scheme val="minor"/>
      </rPr>
      <t>Info:</t>
    </r>
    <r>
      <rPr>
        <sz val="11"/>
        <color theme="1"/>
        <rFont val="Calibri"/>
        <family val="2"/>
        <scheme val="minor"/>
      </rPr>
      <t xml:space="preserve"> Das Eisenbahnmuseum ist im Juli 2023 zu einem großen Teil abgebrannt und wird seit dem aufwändig wieder Instand gesetzt.
</t>
    </r>
    <r>
      <rPr>
        <b/>
        <sz val="11"/>
        <color theme="1"/>
        <rFont val="Calibri"/>
        <family val="2"/>
        <scheme val="minor"/>
      </rPr>
      <t>Aufgabe:</t>
    </r>
    <r>
      <rPr>
        <sz val="11"/>
        <color theme="1"/>
        <rFont val="Calibri"/>
        <family val="2"/>
        <scheme val="minor"/>
      </rPr>
      <t xml:space="preserve"> Macht ein Teamfoto mit der Dampfschneeschleuder im Hintergrund. (Diese steht auf dem Außengelände und kann von Bahnsteig 4 aus gesehen werden; entsprechend ist kein Eintritt notwendig!)</t>
    </r>
  </si>
  <si>
    <t>Zum Bahnhof 13, 19053 Schwerin</t>
  </si>
  <si>
    <t>53.63611271406268, 11.406135203172074</t>
  </si>
  <si>
    <t>Aufgabe: Macht ein Teamfoto vor dem Eingang zum Museum</t>
  </si>
  <si>
    <t>50.2235555, 8.6217555</t>
  </si>
  <si>
    <t>F-10</t>
  </si>
  <si>
    <t>Bonus: Macht ein Foto mit Eurem Team, auf dem mindestens 4 U-Bahnzüge gleichzeitig zu sehen sind (4 Züge, nicht 4 Triebwagen in einem Zug!)</t>
  </si>
  <si>
    <t>Waldspirale, 64289 Darmstadt</t>
  </si>
  <si>
    <t>49.88515536089991, 8.655751861528488</t>
  </si>
  <si>
    <t>F-11</t>
  </si>
  <si>
    <t xml:space="preserve">Foto vor dem Schloss auf der Brücke
</t>
  </si>
  <si>
    <t>Schloßpl. 4, 63739 Aschaffenburg</t>
  </si>
  <si>
    <t>49.97560767620096, 9.14212883203692</t>
  </si>
  <si>
    <t>F-12</t>
  </si>
  <si>
    <r>
      <rPr>
        <b/>
        <sz val="11"/>
        <color theme="1"/>
        <rFont val="Calibri"/>
        <family val="2"/>
        <scheme val="minor"/>
      </rPr>
      <t>Info:</t>
    </r>
    <r>
      <rPr>
        <sz val="11"/>
        <color theme="1"/>
        <rFont val="Calibri"/>
        <family val="2"/>
        <scheme val="minor"/>
      </rPr>
      <t xml:space="preserve"> In Seligenstadt finden Spielbegeisterte des Flipper- und Arcademuseum
</t>
    </r>
    <r>
      <rPr>
        <b/>
        <sz val="11"/>
        <color theme="1"/>
        <rFont val="Calibri"/>
        <family val="2"/>
        <scheme val="minor"/>
      </rPr>
      <t>Aufgabe:</t>
    </r>
    <r>
      <rPr>
        <sz val="11"/>
        <color theme="1"/>
        <rFont val="Calibri"/>
        <family val="2"/>
        <scheme val="minor"/>
      </rPr>
      <t xml:space="preserve"> Foto vor dem Flipper- und Arcademuseum
</t>
    </r>
    <r>
      <rPr>
        <b/>
        <sz val="11"/>
        <color theme="1"/>
        <rFont val="Calibri"/>
        <family val="2"/>
        <scheme val="minor"/>
      </rPr>
      <t>Bonus:</t>
    </r>
    <r>
      <rPr>
        <sz val="11"/>
        <color theme="1"/>
        <rFont val="Calibri"/>
        <family val="2"/>
        <scheme val="minor"/>
      </rPr>
      <t xml:space="preserve"> Spielt eine Runde Flipper oder Arcade</t>
    </r>
  </si>
  <si>
    <t>Wilhelm-Leuschner-Straße 6, 63500 Seligenstadt</t>
  </si>
  <si>
    <t>50.052843657608676, 8.968900626805421</t>
  </si>
  <si>
    <t>50.3891555, 8.067555</t>
  </si>
  <si>
    <t>F-14</t>
  </si>
  <si>
    <t xml:space="preserve">Foto vom Flakhäuschen
</t>
  </si>
  <si>
    <t>Nähe Kreuzung Abenheimer Hohl/ An der Bergkirche, 67574 Osthofen</t>
  </si>
  <si>
    <t>49.6996555, 8.3133555</t>
  </si>
  <si>
    <t>F-15</t>
  </si>
  <si>
    <r>
      <rPr>
        <b/>
        <sz val="11"/>
        <color theme="1"/>
        <rFont val="Calibri"/>
        <family val="2"/>
        <scheme val="minor"/>
      </rPr>
      <t>Info</t>
    </r>
    <r>
      <rPr>
        <sz val="11"/>
        <color theme="1"/>
        <rFont val="Calibri"/>
        <family val="2"/>
        <scheme val="minor"/>
      </rPr>
      <t xml:space="preserve">: Schloss Philippsruh errichtet zwischen 1700 und 1725 vom Grafen Philipp Reinhard von Hanau.
</t>
    </r>
    <r>
      <rPr>
        <b/>
        <sz val="11"/>
        <color theme="1"/>
        <rFont val="Calibri"/>
        <family val="2"/>
        <scheme val="minor"/>
      </rPr>
      <t>Aufgabe</t>
    </r>
    <r>
      <rPr>
        <sz val="11"/>
        <color theme="1"/>
        <rFont val="Calibri"/>
        <family val="2"/>
        <scheme val="minor"/>
      </rPr>
      <t>: Macht ein Bild, in dem mindestens ein Teammitglied eine Krone trägt.</t>
    </r>
  </si>
  <si>
    <t>Philippsruher Allee 47, 63454 Hanau</t>
  </si>
  <si>
    <t>50.12786576146751, 8.893888945594984</t>
  </si>
  <si>
    <t>F-16</t>
  </si>
  <si>
    <r>
      <rPr>
        <b/>
        <sz val="11"/>
        <color theme="1"/>
        <rFont val="Calibri"/>
        <family val="2"/>
        <scheme val="minor"/>
      </rPr>
      <t>Info:</t>
    </r>
    <r>
      <rPr>
        <sz val="11"/>
        <color theme="1"/>
        <rFont val="Calibri"/>
        <family val="2"/>
        <scheme val="minor"/>
      </rPr>
      <t xml:space="preserve"> Beliebt bei Planespotter: Dort könnt Ihr Starts und Landungen beobachten. 
</t>
    </r>
    <r>
      <rPr>
        <b/>
        <sz val="11"/>
        <color theme="1"/>
        <rFont val="Calibri"/>
        <family val="2"/>
        <scheme val="minor"/>
      </rPr>
      <t>Aufgabe:</t>
    </r>
    <r>
      <rPr>
        <sz val="11"/>
        <color theme="1"/>
        <rFont val="Calibri"/>
        <family val="2"/>
        <scheme val="minor"/>
      </rPr>
      <t xml:space="preserve"> Beobachtet ein Start oder Landung davon und macht ein Gruppenbild mit dem Flieger in der Luft.
</t>
    </r>
    <r>
      <rPr>
        <b/>
        <sz val="11"/>
        <color theme="1"/>
        <rFont val="Calibri"/>
        <family val="2"/>
        <scheme val="minor"/>
      </rPr>
      <t>Bonus:</t>
    </r>
    <r>
      <rPr>
        <sz val="11"/>
        <color theme="1"/>
        <rFont val="Calibri"/>
        <family val="2"/>
        <scheme val="minor"/>
      </rPr>
      <t xml:space="preserve"> Es ist eine besondere Maschiene, lasst euch die Besonderheit von einem Planespotter erklären!</t>
    </r>
  </si>
  <si>
    <t>60549 Frankfurt am Main</t>
  </si>
  <si>
    <t>50.03956419181508, 8.596913382266044</t>
  </si>
  <si>
    <t>F-17</t>
  </si>
  <si>
    <t>F-18</t>
  </si>
  <si>
    <r>
      <rPr>
        <b/>
        <sz val="11"/>
        <color theme="1"/>
        <rFont val="Calibri"/>
        <family val="2"/>
        <scheme val="minor"/>
      </rPr>
      <t xml:space="preserve">Info: </t>
    </r>
    <r>
      <rPr>
        <sz val="11"/>
        <color theme="1"/>
        <rFont val="Calibri"/>
        <family val="2"/>
        <scheme val="minor"/>
      </rPr>
      <t xml:space="preserve">Im Ostend gibt es eine Grafittikunst von Artmos4. Im Mittelpunkt steht eine orange-weiße S-Bahn, die den Frankfurter Nahverkehr jahrzehntelang geprägt hat. Zwar ist die Baureihe seit Ende 2014 aus dem Betrieb verschwunden, aber ihr typischer Look bleibt unvergessen. Die Bahn hält an der fiktiven Station „Sonnemannstraße“. </t>
    </r>
    <r>
      <rPr>
        <b/>
        <sz val="11"/>
        <color theme="1"/>
        <rFont val="Calibri"/>
        <family val="2"/>
        <scheme val="minor"/>
      </rPr>
      <t xml:space="preserve">
Aufgabe:</t>
    </r>
    <r>
      <rPr>
        <sz val="11"/>
        <color theme="1"/>
        <rFont val="Calibri"/>
        <family val="2"/>
        <scheme val="minor"/>
      </rPr>
      <t xml:space="preserve"> Macht ein Foto von mindestens zwei Teammitgliedern vor der S-Bahn Station und bildet den Namen der Baureihe mit Handzeichen, so dass er auf dem Foto erkennbar ist.
</t>
    </r>
    <r>
      <rPr>
        <b/>
        <sz val="11"/>
        <color theme="1"/>
        <rFont val="Calibri"/>
        <family val="2"/>
        <scheme val="minor"/>
      </rPr>
      <t xml:space="preserve">Bonus: </t>
    </r>
    <r>
      <rPr>
        <sz val="11"/>
        <color theme="1"/>
        <rFont val="Calibri"/>
        <family val="2"/>
        <scheme val="minor"/>
      </rPr>
      <t>N Schobbe (Ebbelwoi) is aach druff uffm Foddo.</t>
    </r>
  </si>
  <si>
    <t>Sonnemannstraße 1, 60314 Frankfurt am Main</t>
  </si>
  <si>
    <t>50.10931101063285, 8.696382731399904</t>
  </si>
  <si>
    <t>F-19</t>
  </si>
  <si>
    <t>Info: Die Wasserburg Bad Vilbel.
Aufgabe: Foto vor der Wasserburg Bad Vilbel, der Wassergraben sollte gut zu sehen sein.</t>
  </si>
  <si>
    <t>Klaus-Havenstein-Weg 2, 61118 Bad Vilbel</t>
  </si>
  <si>
    <t>50.18510360340571, 8.744543842878276</t>
  </si>
  <si>
    <t>F-2</t>
  </si>
  <si>
    <r>
      <rPr>
        <b/>
        <sz val="11"/>
        <color theme="1"/>
        <rFont val="Calibri"/>
        <family val="2"/>
        <scheme val="minor"/>
      </rPr>
      <t>Info</t>
    </r>
    <r>
      <rPr>
        <sz val="11"/>
        <color theme="1"/>
        <rFont val="Calibri"/>
        <family val="2"/>
        <scheme val="minor"/>
      </rPr>
      <t xml:space="preserve">: Michelstadt hat eine über 1000 Jahre alte Geschichte und ist das Zentrum des Odenwaldes.
</t>
    </r>
    <r>
      <rPr>
        <b/>
        <sz val="11"/>
        <color theme="1"/>
        <rFont val="Calibri"/>
        <family val="2"/>
        <scheme val="minor"/>
      </rPr>
      <t>Aufgabe</t>
    </r>
    <r>
      <rPr>
        <sz val="11"/>
        <color theme="1"/>
        <rFont val="Calibri"/>
        <family val="2"/>
        <scheme val="minor"/>
      </rPr>
      <t xml:space="preserve">: Finde drei Gebäude die 500 Jahre oder älter sind (angeschrieben oder nachweisbar).
</t>
    </r>
    <r>
      <rPr>
        <b/>
        <sz val="11"/>
        <color theme="1"/>
        <rFont val="Calibri"/>
        <family val="2"/>
        <scheme val="minor"/>
      </rPr>
      <t>Bonus</t>
    </r>
    <r>
      <rPr>
        <sz val="11"/>
        <color theme="1"/>
        <rFont val="Calibri"/>
        <family val="2"/>
        <scheme val="minor"/>
      </rPr>
      <t>: Ihr findet 1 Gebäude das 1000 Jahre oder älter ist.</t>
    </r>
  </si>
  <si>
    <t>Marktpl., 64720 Michelstadt</t>
  </si>
  <si>
    <t>49.67865699380798, 9.004149162934644</t>
  </si>
  <si>
    <t>Info: Der Held der Steine ist ein deutscher Webvideopruduzent und Einzelhändler 
Aufgabe: Macht ein Foto vorm Geschäft vom Held der Steine Bonus: Ihr habt dabei Klemmbausteine in der Hand</t>
  </si>
  <si>
    <t>Laubestraße 26, 60594 Frankfurt am Main</t>
  </si>
  <si>
    <t>50.10306011796792, 8.68516129724871</t>
  </si>
  <si>
    <t>F-21</t>
  </si>
  <si>
    <r>
      <rPr>
        <b/>
        <sz val="11"/>
        <color theme="1"/>
        <rFont val="Calibri"/>
        <family val="2"/>
        <scheme val="minor"/>
      </rPr>
      <t>Info:</t>
    </r>
    <r>
      <rPr>
        <sz val="11"/>
        <color theme="1"/>
        <rFont val="Calibri"/>
        <family val="2"/>
        <scheme val="minor"/>
      </rPr>
      <t xml:space="preserve"> Auf nach Nizza!
</t>
    </r>
    <r>
      <rPr>
        <b/>
        <sz val="11"/>
        <color theme="1"/>
        <rFont val="Calibri"/>
        <family val="2"/>
        <scheme val="minor"/>
      </rPr>
      <t>Aufgabe:</t>
    </r>
    <r>
      <rPr>
        <sz val="11"/>
        <color theme="1"/>
        <rFont val="Calibri"/>
        <family val="2"/>
        <scheme val="minor"/>
      </rPr>
      <t xml:space="preserve"> Dreht ein Video, auf dem mindestens 2 Teammitglieder über den roten Teppich des Filmfestivals von Nizza flanieren. Der Schriftzug "Nizza" muss in dem Video zu sehen sein.
</t>
    </r>
    <r>
      <rPr>
        <b/>
        <sz val="11"/>
        <color theme="1"/>
        <rFont val="Calibri"/>
        <family val="2"/>
        <scheme val="minor"/>
      </rPr>
      <t xml:space="preserve">Bonus: </t>
    </r>
    <r>
      <rPr>
        <sz val="11"/>
        <color theme="1"/>
        <rFont val="Calibri"/>
        <family val="2"/>
        <scheme val="minor"/>
      </rPr>
      <t>Macht ein Foto mit Eurem Team und einer österreichischen Flagge (muss in der Nähe sein).</t>
    </r>
  </si>
  <si>
    <t>Untermainkai, 60329 Frankfurt am Main</t>
  </si>
  <si>
    <t>50.10695535177289, 8.674952625099872</t>
  </si>
  <si>
    <t>F-22</t>
  </si>
  <si>
    <t>Fahre am Frankfurter Flughafen mit dem Skytrain zu Terminal 3</t>
  </si>
  <si>
    <t>Kapitän-Lehmann-Straße, 60549 Frankfurt am Main</t>
  </si>
  <si>
    <t>50.051603937295695, 8.585853707122158</t>
  </si>
  <si>
    <r>
      <rPr>
        <b/>
        <sz val="11"/>
        <color theme="1"/>
        <rFont val="Calibri"/>
        <family val="2"/>
        <scheme val="minor"/>
      </rPr>
      <t>Info:</t>
    </r>
    <r>
      <rPr>
        <sz val="11"/>
        <color theme="1"/>
        <rFont val="Calibri"/>
        <family val="2"/>
        <scheme val="minor"/>
      </rPr>
      <t xml:space="preserve"> In Frankfurt gibt es nicht nur hohe Gebäude, sondern auch teure Autos.
</t>
    </r>
    <r>
      <rPr>
        <b/>
        <sz val="11"/>
        <color theme="1"/>
        <rFont val="Calibri"/>
        <family val="2"/>
        <scheme val="minor"/>
      </rPr>
      <t>Aufgabe:</t>
    </r>
    <r>
      <rPr>
        <sz val="11"/>
        <color theme="1"/>
        <rFont val="Calibri"/>
        <family val="2"/>
        <scheme val="minor"/>
      </rPr>
      <t xml:space="preserve"> Macht ein Gruppenfoto vor dem Lamborghini Autohaus an der Klassikstadt. 
</t>
    </r>
    <r>
      <rPr>
        <b/>
        <sz val="11"/>
        <color theme="1"/>
        <rFont val="Calibri"/>
        <family val="2"/>
        <scheme val="minor"/>
      </rPr>
      <t>Bonus:</t>
    </r>
    <r>
      <rPr>
        <sz val="11"/>
        <color theme="1"/>
        <rFont val="Calibri"/>
        <family val="2"/>
        <scheme val="minor"/>
      </rPr>
      <t xml:space="preserve"> Macht ein Foto von einem Gruppenmitglied in einem Lamborghini.</t>
    </r>
  </si>
  <si>
    <t>Cassellastraße 30-32, 60386 Frankfurt-Ost</t>
  </si>
  <si>
    <t>50.130842, 8.756596</t>
  </si>
  <si>
    <t>F-24</t>
  </si>
  <si>
    <r>
      <t xml:space="preserve">Frankfurt(M)Taunusanlage - Alte Oper Frankfurt
</t>
    </r>
    <r>
      <rPr>
        <b/>
        <sz val="11"/>
        <color theme="1"/>
        <rFont val="Calibri"/>
        <family val="2"/>
        <scheme val="minor"/>
      </rPr>
      <t xml:space="preserve">Info: </t>
    </r>
    <r>
      <rPr>
        <sz val="11"/>
        <color theme="1"/>
        <rFont val="Calibri"/>
        <family val="2"/>
        <scheme val="minor"/>
      </rPr>
      <t xml:space="preserve">Nach Kriegszerstörung lange als 'schönste Ruine Deutschlands' diskutiert, erst 1981 wiedereröffnet.
</t>
    </r>
    <r>
      <rPr>
        <b/>
        <sz val="11"/>
        <color theme="1"/>
        <rFont val="Calibri"/>
        <family val="2"/>
        <scheme val="minor"/>
      </rPr>
      <t>Aufgabe</t>
    </r>
    <r>
      <rPr>
        <sz val="11"/>
        <color theme="1"/>
        <rFont val="Calibri"/>
        <family val="2"/>
        <scheme val="minor"/>
      </rPr>
      <t xml:space="preserve">: Posiert auf der Freitreppe der Alten Oper wie für ein Albumcover - macht ein Gruppenfoto.
</t>
    </r>
    <r>
      <rPr>
        <b/>
        <sz val="11"/>
        <color theme="1"/>
        <rFont val="Calibri"/>
        <family val="2"/>
        <scheme val="minor"/>
      </rPr>
      <t xml:space="preserve">Bonus: </t>
    </r>
    <r>
      <rPr>
        <sz val="11"/>
        <color theme="1"/>
        <rFont val="Calibri"/>
        <family val="2"/>
        <scheme val="minor"/>
      </rPr>
      <t>Findet die Giebel-Inschrift 'Dem Wahren Schönen Guten' und fotografiert sie.</t>
    </r>
  </si>
  <si>
    <t>Opernplatz 1, 60313 Frankfurt am Main</t>
  </si>
  <si>
    <t>50.115830, 8.671390</t>
  </si>
  <si>
    <r>
      <rPr>
        <b/>
        <sz val="11"/>
        <color theme="1"/>
        <rFont val="Calibri"/>
        <family val="2"/>
        <scheme val="minor"/>
      </rPr>
      <t xml:space="preserve">Info: </t>
    </r>
    <r>
      <rPr>
        <sz val="11"/>
        <color theme="1"/>
        <rFont val="Calibri"/>
        <family val="2"/>
        <scheme val="minor"/>
      </rPr>
      <t xml:space="preserve">Elvis Presley leistete seinen Militärdienst in der Kaserne von Friedberg
</t>
    </r>
    <r>
      <rPr>
        <b/>
        <sz val="11"/>
        <color theme="1"/>
        <rFont val="Calibri"/>
        <family val="2"/>
        <scheme val="minor"/>
      </rPr>
      <t xml:space="preserve">Aufgabe: </t>
    </r>
    <r>
      <rPr>
        <sz val="11"/>
        <color theme="1"/>
        <rFont val="Calibri"/>
        <family val="2"/>
        <scheme val="minor"/>
      </rPr>
      <t>Macht ein Foto von euch mit dem Elvis Presley Denkmal</t>
    </r>
  </si>
  <si>
    <t>Frankfurter Straße 33, 61169 Friedberg (Hessen)</t>
  </si>
  <si>
    <t>50.32208038739454, 8.747313455728275</t>
  </si>
  <si>
    <t>F-3</t>
  </si>
  <si>
    <r>
      <rPr>
        <b/>
        <sz val="11"/>
        <color theme="1"/>
        <rFont val="Calibri"/>
        <family val="2"/>
        <scheme val="minor"/>
      </rPr>
      <t>Info</t>
    </r>
    <r>
      <rPr>
        <sz val="11"/>
        <color theme="1"/>
        <rFont val="Calibri"/>
        <family val="2"/>
        <scheme val="minor"/>
      </rPr>
      <t xml:space="preserve">: Der Fastnachtsbrunnen in Mainz ist 1967 erbaut und ist von über 200 Bronzefiguren verziert.
</t>
    </r>
    <r>
      <rPr>
        <b/>
        <sz val="11"/>
        <color theme="1"/>
        <rFont val="Calibri"/>
        <family val="2"/>
        <scheme val="minor"/>
      </rPr>
      <t>Aufgabe</t>
    </r>
    <r>
      <rPr>
        <sz val="11"/>
        <color theme="1"/>
        <rFont val="Calibri"/>
        <family val="2"/>
        <scheme val="minor"/>
      </rPr>
      <t xml:space="preserve">: Ein Teammitglied muss sich verkleiden, die dargestellte Verkleidung muss erkennbar sein als solche
</t>
    </r>
    <r>
      <rPr>
        <b/>
        <sz val="11"/>
        <color theme="1"/>
        <rFont val="Calibri"/>
        <family val="2"/>
        <scheme val="minor"/>
      </rPr>
      <t>Bonus</t>
    </r>
    <r>
      <rPr>
        <sz val="11"/>
        <color theme="1"/>
        <rFont val="Calibri"/>
        <family val="2"/>
        <scheme val="minor"/>
      </rPr>
      <t>: Mehrere Teammitglieder verkleiden sich</t>
    </r>
  </si>
  <si>
    <t>Schillerpl., 55116 Mainz</t>
  </si>
  <si>
    <t>49.99803049899155, 8.268116609981417</t>
  </si>
  <si>
    <r>
      <rPr>
        <b/>
        <sz val="11"/>
        <color theme="1"/>
        <rFont val="Calibri"/>
        <family val="2"/>
        <scheme val="minor"/>
      </rPr>
      <t>Info</t>
    </r>
    <r>
      <rPr>
        <sz val="11"/>
        <color theme="1"/>
        <rFont val="Calibri"/>
        <family val="2"/>
        <scheme val="minor"/>
      </rPr>
      <t xml:space="preserve">: Der Sprudelhof ist eine Kuranlage in Bad Nauheim, welche zwischen 1905 und 1911 im Jugendstil entstand. Er gilt zusammen als ein hervorragendes Beispiel dieses Stils und ist zugleich eines der gelungensten und geschlossensten Bauwerke dieser Epoche. 
</t>
    </r>
    <r>
      <rPr>
        <b/>
        <sz val="11"/>
        <color theme="1"/>
        <rFont val="Calibri"/>
        <family val="2"/>
        <scheme val="minor"/>
      </rPr>
      <t>Aufgabe</t>
    </r>
    <r>
      <rPr>
        <sz val="11"/>
        <color theme="1"/>
        <rFont val="Calibri"/>
        <family val="2"/>
        <scheme val="minor"/>
      </rPr>
      <t>: Trinkt Sprudel im Sprudelhof vor einem Sprudel</t>
    </r>
  </si>
  <si>
    <t>50.3674555, 8.7435555</t>
  </si>
  <si>
    <t>50.0197555, 8.7843555</t>
  </si>
  <si>
    <t>F-6</t>
  </si>
  <si>
    <t>Foto zwischen den beiden Autoverladerampen von DB Autozug in Neu-Isenburg oder von der Ostseite auf die Rampen Bonus: es ist ein Zug auf dem Foto zu erkennen</t>
  </si>
  <si>
    <t>Bahnhofstraße 227, 63263 Neu-Isenburg</t>
  </si>
  <si>
    <t>50.053028851069236, 8.66610914778614</t>
  </si>
  <si>
    <t>50.08485555, 8.2469555</t>
  </si>
  <si>
    <t>F-8</t>
  </si>
  <si>
    <t>Mache ein Foto mit einem Wasserstoffzug in Friedrichsdorf-Köppern</t>
  </si>
  <si>
    <t>Pfingstweidstraße 49, 61381 Friedrichsdorf-Köppern</t>
  </si>
  <si>
    <t>50.27017796748335, 8.646492342451948</t>
  </si>
  <si>
    <t>50.22220238686615, 8.268603983166374</t>
  </si>
  <si>
    <r>
      <rPr>
        <b/>
        <sz val="11"/>
        <color theme="1"/>
        <rFont val="Calibri"/>
        <family val="2"/>
        <scheme val="minor"/>
      </rPr>
      <t xml:space="preserve">Info: </t>
    </r>
    <r>
      <rPr>
        <sz val="11"/>
        <color theme="1"/>
        <rFont val="Calibri"/>
        <family val="2"/>
        <scheme val="minor"/>
      </rPr>
      <t xml:space="preserve">Die Ostfalia Hochschule hat ihren Standort im "Stadtteil" SZ-Calbecht (285 Einwohner!). Leider ist es bis dahin zu weit. 
</t>
    </r>
    <r>
      <rPr>
        <b/>
        <sz val="11"/>
        <color theme="1"/>
        <rFont val="Calibri"/>
        <family val="2"/>
        <scheme val="minor"/>
      </rPr>
      <t>Aufgabe</t>
    </r>
    <r>
      <rPr>
        <sz val="11"/>
        <color theme="1"/>
        <rFont val="Calibri"/>
        <family val="2"/>
        <scheme val="minor"/>
      </rPr>
      <t xml:space="preserve">: Macht ein Bild vor dem Klesmerbrunnen am Klesmerplatz
Bonus: Holt euch was leckeres von der Ümit-Bäckerei in der  Vorsalzer Straße (Fotobeweis)
</t>
    </r>
  </si>
  <si>
    <t>Klesmerplatz 10, 38259 Salzgitter</t>
  </si>
  <si>
    <t>52.048221353102626, 10.371587051240605</t>
  </si>
  <si>
    <t>H-10</t>
  </si>
  <si>
    <t>Macht ein Teamfoto vor dem kapellenähnlichen Gebäude der Ostfalia Hochschule für angewandte Wissenschaften Campus Suderburg Asta.</t>
  </si>
  <si>
    <t>In den Twieten 1, 29556 Suderburg</t>
  </si>
  <si>
    <t>52.89857052105926, 10.446428739952106</t>
  </si>
  <si>
    <t>H-11</t>
  </si>
  <si>
    <r>
      <rPr>
        <b/>
        <sz val="11"/>
        <color theme="1"/>
        <rFont val="Calibri"/>
        <family val="2"/>
        <scheme val="minor"/>
      </rPr>
      <t>Info</t>
    </r>
    <r>
      <rPr>
        <sz val="11"/>
        <color theme="1"/>
        <rFont val="Calibri"/>
        <family val="2"/>
        <scheme val="minor"/>
      </rPr>
      <t xml:space="preserve">: Kronach – Heimatstadt von Lucas Cranach dem Älteren.
</t>
    </r>
    <r>
      <rPr>
        <b/>
        <sz val="11"/>
        <color theme="1"/>
        <rFont val="Calibri"/>
        <family val="2"/>
        <scheme val="minor"/>
      </rPr>
      <t>Aufgabe</t>
    </r>
    <r>
      <rPr>
        <sz val="11"/>
        <color theme="1"/>
        <rFont val="Calibri"/>
        <family val="2"/>
        <scheme val="minor"/>
      </rPr>
      <t xml:space="preserve">: Erfindet ein neues Gemälde des berühmten Malers und stellt es als lebendes Kunstwerk nach und haltet es fotografisch.
</t>
    </r>
    <r>
      <rPr>
        <b/>
        <sz val="11"/>
        <color theme="1"/>
        <rFont val="Calibri"/>
        <family val="2"/>
        <scheme val="minor"/>
      </rPr>
      <t>Bonus</t>
    </r>
    <r>
      <rPr>
        <sz val="11"/>
        <color theme="1"/>
        <rFont val="Calibri"/>
        <family val="2"/>
        <scheme val="minor"/>
      </rPr>
      <t>: Vergebt eurem Werk einen möglichst pompösen Museumstitel.</t>
    </r>
  </si>
  <si>
    <t>Güterstraße 7, 96317 Kronach</t>
  </si>
  <si>
    <t>50.24103345116961, 11.320905088127159</t>
  </si>
  <si>
    <t>H-12</t>
  </si>
  <si>
    <r>
      <rPr>
        <b/>
        <sz val="11"/>
        <color theme="1"/>
        <rFont val="Calibri"/>
        <family val="2"/>
        <scheme val="minor"/>
      </rPr>
      <t>Info:</t>
    </r>
    <r>
      <rPr>
        <sz val="11"/>
        <color theme="1"/>
        <rFont val="Calibri"/>
        <family val="2"/>
        <scheme val="minor"/>
      </rPr>
      <t xml:space="preserve"> Schmalkalden - Stahl und Eisen
</t>
    </r>
    <r>
      <rPr>
        <b/>
        <sz val="11"/>
        <color theme="1"/>
        <rFont val="Calibri"/>
        <family val="2"/>
        <scheme val="minor"/>
      </rPr>
      <t>Aufgabe:</t>
    </r>
    <r>
      <rPr>
        <sz val="11"/>
        <color theme="1"/>
        <rFont val="Calibri"/>
        <family val="2"/>
        <scheme val="minor"/>
      </rPr>
      <t xml:space="preserve"> Geht zum Bach "Stille" und macht eine Meditationsrunde. Haltet dies fotographisch mit dem Bach im Hintergrund fest.
</t>
    </r>
    <r>
      <rPr>
        <b/>
        <sz val="11"/>
        <color theme="1"/>
        <rFont val="Calibri"/>
        <family val="2"/>
        <scheme val="minor"/>
      </rPr>
      <t>Bonus:</t>
    </r>
    <r>
      <rPr>
        <sz val="11"/>
        <color theme="1"/>
        <rFont val="Calibri"/>
        <family val="2"/>
        <scheme val="minor"/>
      </rPr>
      <t xml:space="preserve"> bringt einen Stahlgegenstand mit aufs Bild.</t>
    </r>
  </si>
  <si>
    <t>96317 Kronach</t>
  </si>
  <si>
    <t>50.71851760235137, 10.463216326664671</t>
  </si>
  <si>
    <t>H-13</t>
  </si>
  <si>
    <r>
      <rPr>
        <b/>
        <sz val="11"/>
        <color theme="1"/>
        <rFont val="Calibri"/>
        <family val="2"/>
        <scheme val="minor"/>
      </rPr>
      <t xml:space="preserve">Info: </t>
    </r>
    <r>
      <rPr>
        <sz val="11"/>
        <color theme="1"/>
        <rFont val="Calibri"/>
        <family val="2"/>
        <scheme val="minor"/>
      </rPr>
      <t xml:space="preserve">Die Internationale Hochschule Liebenzell ging aus dem Theologischen Seminar Liebenzell hervor. Die Hochschule hat ca. 300 Studierende, der Ort 9300 Einwohner
</t>
    </r>
    <r>
      <rPr>
        <b/>
        <sz val="11"/>
        <color theme="1"/>
        <rFont val="Calibri"/>
        <family val="2"/>
        <scheme val="minor"/>
      </rPr>
      <t>Aufgabe:</t>
    </r>
    <r>
      <rPr>
        <sz val="11"/>
        <color theme="1"/>
        <rFont val="Calibri"/>
        <family val="2"/>
        <scheme val="minor"/>
      </rPr>
      <t xml:space="preserve"> Macht ein Foto, auf dem eine*r von euch als Professor*in eine Vorlesung hält, während die anderen gebannt lauschen oder schlafen.
</t>
    </r>
    <r>
      <rPr>
        <b/>
        <sz val="11"/>
        <color theme="1"/>
        <rFont val="Calibri"/>
        <family val="2"/>
        <scheme val="minor"/>
      </rPr>
      <t>Bonus:</t>
    </r>
    <r>
      <rPr>
        <sz val="11"/>
        <color theme="1"/>
        <rFont val="Calibri"/>
        <family val="2"/>
        <scheme val="minor"/>
      </rPr>
      <t xml:space="preserve"> Macht Fotos vor 3 Kirchen in Bad Liebenzell</t>
    </r>
  </si>
  <si>
    <t>Deutschland</t>
  </si>
  <si>
    <t>48.773259900102786, 8.727452837514958</t>
  </si>
  <si>
    <t>H-14</t>
  </si>
  <si>
    <t>Es geht bergab für kleine Hochschulen. Macht ein Foto der Waldkugelbahn. Bonus: Lasst eine Kugel rollen</t>
  </si>
  <si>
    <t>Im Heienbach, 36199 Rotenburg an der Fulda</t>
  </si>
  <si>
    <t>51.005947594807914, 9.744636583229132</t>
  </si>
  <si>
    <r>
      <rPr>
        <b/>
        <sz val="11"/>
        <color theme="1"/>
        <rFont val="Calibri"/>
        <family val="2"/>
        <scheme val="minor"/>
      </rPr>
      <t>Info</t>
    </r>
    <r>
      <rPr>
        <sz val="11"/>
        <color theme="1"/>
        <rFont val="Calibri"/>
        <family val="2"/>
        <scheme val="minor"/>
      </rPr>
      <t xml:space="preserve">: Wer sich dem Weinbau näher widmen möchte, kann in Geisenheim Önologie studieren. 
</t>
    </r>
    <r>
      <rPr>
        <b/>
        <sz val="11"/>
        <color theme="1"/>
        <rFont val="Calibri"/>
        <family val="2"/>
        <scheme val="minor"/>
      </rPr>
      <t>Aufgabe</t>
    </r>
    <r>
      <rPr>
        <sz val="11"/>
        <color theme="1"/>
        <rFont val="Calibri"/>
        <family val="2"/>
        <scheme val="minor"/>
      </rPr>
      <t xml:space="preserve">: Begebt euch zur schönsten Weinsicht im Rheingau 2012 und macht ein Foto mit allen Mitgliedern (n-1) auf der Bank sitzend. 
</t>
    </r>
    <r>
      <rPr>
        <b/>
        <sz val="11"/>
        <color theme="1"/>
        <rFont val="Calibri"/>
        <family val="2"/>
        <scheme val="minor"/>
      </rPr>
      <t>Bonus</t>
    </r>
    <r>
      <rPr>
        <sz val="11"/>
        <color theme="1"/>
        <rFont val="Calibri"/>
        <family val="2"/>
        <scheme val="minor"/>
      </rPr>
      <t>: ihr stoßt auf dem Foto mit einem Getränk (passenderweise: Wein/Traubensaft) an.</t>
    </r>
  </si>
  <si>
    <t>Mühlstraße 8, 65366 Geisenheim</t>
  </si>
  <si>
    <t>49.98846074658655, 7.962486123715767</t>
  </si>
  <si>
    <t>H-16</t>
  </si>
  <si>
    <t>Die Jade Hochschule hat neben Wilhelmshaven und Oldenburg(Oldb) auch einen Standort in Elsfleth.
Aufgabe: Macht ein Foto vor dem Gebäude, das optisch einem "Bauklotz" gleicht. Die Hunte sollte dabei auch erkennbar sein.</t>
  </si>
  <si>
    <t>Weserstraße 52, 26931 Elsfleth</t>
  </si>
  <si>
    <t>53.242864952900334, 8.466508800036381</t>
  </si>
  <si>
    <t>H-17</t>
  </si>
  <si>
    <r>
      <rPr>
        <b/>
        <sz val="11"/>
        <color rgb="FF000000"/>
        <rFont val="Calibri"/>
        <family val="2"/>
      </rPr>
      <t>Info:</t>
    </r>
    <r>
      <rPr>
        <sz val="11"/>
        <color rgb="FF000000"/>
        <rFont val="Calibri"/>
        <family val="2"/>
      </rPr>
      <t xml:space="preserve"> Der Campus Witzenhausen ist ein international bekannter Standort der Universität Kassel, an dem der Fachbereich Ökologische Agrarwissenschaften angesiedelt ist. Er ist der einzige universitäre Campus in Deutschland, der sich vollständig auf den Ökolandbau, nachhaltige Landwirtschaft und Tropenagrarwissenschaften spezialisiert hat
</t>
    </r>
    <r>
      <rPr>
        <b/>
        <sz val="11"/>
        <color rgb="FF000000"/>
        <rFont val="Calibri"/>
        <family val="2"/>
      </rPr>
      <t>Aufgabe:</t>
    </r>
    <r>
      <rPr>
        <sz val="11"/>
        <color rgb="FF000000"/>
        <rFont val="Calibri"/>
        <family val="2"/>
      </rPr>
      <t xml:space="preserve"> Mache ein Foto vor dem Eingang des Tropengewächshauses</t>
    </r>
  </si>
  <si>
    <t>Tropengewächshaus, An d. Fährgasse 1, 37213 Witzenhausen</t>
  </si>
  <si>
    <t>51.3442005, 9.8613753</t>
  </si>
  <si>
    <t>H-18</t>
  </si>
  <si>
    <r>
      <rPr>
        <b/>
        <sz val="11"/>
        <color theme="1"/>
        <rFont val="Calibri"/>
        <family val="2"/>
        <scheme val="minor"/>
      </rPr>
      <t>Info:</t>
    </r>
    <r>
      <rPr>
        <sz val="11"/>
        <color theme="1"/>
        <rFont val="Calibri"/>
        <family val="2"/>
        <scheme val="minor"/>
      </rPr>
      <t xml:space="preserve"> Mittweida soll zu fast 50% aus Studenten bestehen. Die Hochschule hat einen Schwerpunkt auf Technik.
</t>
    </r>
    <r>
      <rPr>
        <b/>
        <sz val="11"/>
        <color theme="1"/>
        <rFont val="Calibri"/>
        <family val="2"/>
        <scheme val="minor"/>
      </rPr>
      <t>Aufgabe:</t>
    </r>
    <r>
      <rPr>
        <sz val="11"/>
        <color theme="1"/>
        <rFont val="Calibri"/>
        <family val="2"/>
        <scheme val="minor"/>
      </rPr>
      <t xml:space="preserve"> Baut mit Materialien, die ihr findet eine Brücke. Spannweite mindestens 20 cm. Macht ein Bild mit dieser, eurem Team und dem Gebäude der Hochschule im Hintergrund.
</t>
    </r>
    <r>
      <rPr>
        <b/>
        <sz val="11"/>
        <color theme="1"/>
        <rFont val="Calibri"/>
        <family val="2"/>
        <scheme val="minor"/>
      </rPr>
      <t>Bonus</t>
    </r>
    <r>
      <rPr>
        <sz val="11"/>
        <color theme="1"/>
        <rFont val="Calibri"/>
        <family val="2"/>
        <scheme val="minor"/>
      </rPr>
      <t>: Die Brücke trägt mehr 2 kg für mindestens 15 Sekunden.</t>
    </r>
  </si>
  <si>
    <t>Technikumpl. 17, 09648 Mittweida</t>
  </si>
  <si>
    <t>50.98715643829772, 12.973060042276682</t>
  </si>
  <si>
    <t>H-19</t>
  </si>
  <si>
    <r>
      <rPr>
        <b/>
        <sz val="11"/>
        <color theme="1"/>
        <rFont val="Calibri"/>
        <family val="2"/>
        <scheme val="minor"/>
      </rPr>
      <t>Info:</t>
    </r>
    <r>
      <rPr>
        <sz val="11"/>
        <color theme="1"/>
        <rFont val="Calibri"/>
        <family val="2"/>
        <scheme val="minor"/>
      </rPr>
      <t xml:space="preserve"> Die Katholische Universität Eichstätt-Ingolstadt (KU), von 1980 bis 2001 Katholische Universität Eichstätt, ist die einzige katholische Universität im deutschsprachigen Raum und eine von über 200 katholischen Universitäten weltweit. Sie liegt in kirchlicher Trägerschaft, ist zugleich staatlich anerkannt und steht Studierenden aller Religionen und Weltanschauungen offen.
</t>
    </r>
    <r>
      <rPr>
        <b/>
        <sz val="11"/>
        <color theme="1"/>
        <rFont val="Calibri"/>
        <family val="2"/>
        <scheme val="minor"/>
      </rPr>
      <t>Aufgabe:</t>
    </r>
    <r>
      <rPr>
        <sz val="11"/>
        <color theme="1"/>
        <rFont val="Calibri"/>
        <family val="2"/>
        <scheme val="minor"/>
      </rPr>
      <t xml:space="preserve"> Legt mit eurem Team euch in das "H" des Helipads und bildet es mit eurem Team lendig nach.</t>
    </r>
  </si>
  <si>
    <t>Ostenstraße 26, 85072 Eichstätt</t>
  </si>
  <si>
    <t>48.887677066102555, 11.18821516249662</t>
  </si>
  <si>
    <t>Die HAWK hat neben Hildesheim und Göttingen auch einen Standort in Holzminden.
Aufgabe: Foto vor dem HAWK-Gebäude, der Untere Teich sollte ebenfalls erkennbar sein.</t>
  </si>
  <si>
    <t>Haarmannpl. 3, 37603 Holzminden</t>
  </si>
  <si>
    <t>51.82721056893408, 9.4509198706418</t>
  </si>
  <si>
    <r>
      <t xml:space="preserve">Info: </t>
    </r>
    <r>
      <rPr>
        <sz val="11"/>
        <color theme="1"/>
        <rFont val="Calibri"/>
        <family val="2"/>
        <scheme val="minor"/>
      </rPr>
      <t xml:space="preserve">In der schönen Pfalz kann man im idyllischen Hoppstädten am Umwelt-Campus Birkenfeld studieren.
</t>
    </r>
    <r>
      <rPr>
        <b/>
        <sz val="11"/>
        <color theme="1"/>
        <rFont val="Calibri"/>
        <family val="2"/>
        <scheme val="minor"/>
      </rPr>
      <t xml:space="preserve">Aufgabe: </t>
    </r>
    <r>
      <rPr>
        <sz val="11"/>
        <color theme="1"/>
        <rFont val="Calibri"/>
        <family val="2"/>
        <scheme val="minor"/>
      </rPr>
      <t>Findet einen Platz für ein schönes Gruppenfoto und trinkt auf das Glück der Studierenden bei ihren nächsten Klausuren.</t>
    </r>
  </si>
  <si>
    <t>Campusallee, 55768 Hoppstädten-Weiersbach</t>
  </si>
  <si>
    <t>49.60764051845263, 7.168789422106346</t>
  </si>
  <si>
    <t>H-21</t>
  </si>
  <si>
    <r>
      <rPr>
        <b/>
        <sz val="11"/>
        <color theme="1"/>
        <rFont val="Calibri"/>
        <family val="2"/>
        <scheme val="minor"/>
      </rPr>
      <t xml:space="preserve">Info: </t>
    </r>
    <r>
      <rPr>
        <sz val="11"/>
        <color theme="1"/>
        <rFont val="Calibri"/>
        <family val="2"/>
        <scheme val="minor"/>
      </rPr>
      <t xml:space="preserve">In Hattenheim befindet sich die EBS Universität für Wirtschaft und Recht.
</t>
    </r>
    <r>
      <rPr>
        <b/>
        <sz val="11"/>
        <color theme="1"/>
        <rFont val="Calibri"/>
        <family val="2"/>
        <scheme val="minor"/>
      </rPr>
      <t xml:space="preserve">Aufgabe: </t>
    </r>
    <r>
      <rPr>
        <sz val="11"/>
        <color theme="1"/>
        <rFont val="Calibri"/>
        <family val="2"/>
        <scheme val="minor"/>
      </rPr>
      <t xml:space="preserve">Macht ein Foto vom Birmanischen Teehaus neben dem Campus der EBS.
</t>
    </r>
    <r>
      <rPr>
        <b/>
        <sz val="11"/>
        <color theme="1"/>
        <rFont val="Calibri"/>
        <family val="2"/>
        <scheme val="minor"/>
      </rPr>
      <t xml:space="preserve">Bonus: </t>
    </r>
    <r>
      <rPr>
        <sz val="11"/>
        <color theme="1"/>
        <rFont val="Calibri"/>
        <family val="2"/>
        <scheme val="minor"/>
      </rPr>
      <t>Trinkt ein Heißgetränk (es muss nicht unbedingt Tee sein) vor dem Birmanischen Teehaus.</t>
    </r>
  </si>
  <si>
    <t>65375 Oestrich-Winkel</t>
  </si>
  <si>
    <t>50.012315860281156, 8.048283971297339</t>
  </si>
  <si>
    <t>Info: In Gengenbach kann aus 7 Studiengängen gewählt werden.
Aufgabe: Foto von der Blackforest Business School</t>
  </si>
  <si>
    <t>Klosterstraße 14, 77723 Gengenbach</t>
  </si>
  <si>
    <t>48.40420528079024, 8.016830393092041</t>
  </si>
  <si>
    <t>H-23</t>
  </si>
  <si>
    <t>Hochschule Hof - Ast Münchberg. Macht ein Foto vor dem historischen Gebäude in der Kulmbacher Str.</t>
  </si>
  <si>
    <t>Kulmbacher Str. 76, 95213 Münchberg</t>
  </si>
  <si>
    <t>50.19241265210601, 11.7807122787813</t>
  </si>
  <si>
    <t>H-24</t>
  </si>
  <si>
    <r>
      <t xml:space="preserve">Info: </t>
    </r>
    <r>
      <rPr>
        <sz val="11"/>
        <color theme="1"/>
        <rFont val="Calibri"/>
        <family val="2"/>
        <scheme val="minor"/>
      </rPr>
      <t xml:space="preserve">Benediktbeuern ist ein Pfarrdorf und eine gleichnamige Gemeinde im oberbayerischen Landkreis Bad Tölz-Wolfratshausen im Alpenvorland am Fuße der 1801 Meter hohen Benediktenwand mit 3768 Einwohnern. Hier befindet sich in einer denkmalgeschützten Klosteranalge der Campus Benediktbeuern der Katholischen Stiftungshochschule München, an dem man Soziale Arbeit, Religionspädagogik und kirchliche Bildungsarbeit studieren kann.
</t>
    </r>
    <r>
      <rPr>
        <b/>
        <sz val="11"/>
        <color theme="1"/>
        <rFont val="Calibri"/>
        <family val="2"/>
        <scheme val="minor"/>
      </rPr>
      <t xml:space="preserve">Aufgabe: </t>
    </r>
    <r>
      <rPr>
        <sz val="11"/>
        <color theme="1"/>
        <rFont val="Calibri"/>
        <family val="2"/>
        <scheme val="minor"/>
      </rPr>
      <t xml:space="preserve">Apropos soziale Arbeit: Macht ein Foto vom sozialen Engagement eures Teams vor Ort. Z.B. indem ihr Müll sammelt, am Bahnhof aufräumt oder Unkraut beseitigt. Seid gerne kreativ!
</t>
    </r>
    <r>
      <rPr>
        <b/>
        <sz val="11"/>
        <color theme="1"/>
        <rFont val="Calibri"/>
        <family val="2"/>
        <scheme val="minor"/>
      </rPr>
      <t xml:space="preserve">Bonus: </t>
    </r>
    <r>
      <rPr>
        <sz val="11"/>
        <color theme="1"/>
        <rFont val="Calibri"/>
        <family val="2"/>
        <scheme val="minor"/>
      </rPr>
      <t>Belohnt euch für euer soziales Engagment mit einer Runde Bier (oder Apfelschorle) in der Klosterbräustüberl. Und dokumentiert das selbstverständlich mit einem Foto.</t>
    </r>
  </si>
  <si>
    <t>Don-Bosco-Straße 3, 83671 Benediktbeuern</t>
  </si>
  <si>
    <t>47.70824103970159, 11.398178687778403</t>
  </si>
  <si>
    <t>H-25</t>
  </si>
  <si>
    <r>
      <rPr>
        <b/>
        <sz val="11"/>
        <color theme="1"/>
        <rFont val="Calibri"/>
        <family val="2"/>
        <scheme val="minor"/>
      </rPr>
      <t>Info</t>
    </r>
    <r>
      <rPr>
        <sz val="11"/>
        <color theme="1"/>
        <rFont val="Calibri"/>
        <family val="2"/>
        <scheme val="minor"/>
      </rPr>
      <t xml:space="preserve">: In Neuendettelsau befindet sich die Augustana-Hochschule, eine der kleineren theologischen Hochschulen Deutschlands.
</t>
    </r>
    <r>
      <rPr>
        <b/>
        <sz val="11"/>
        <color theme="1"/>
        <rFont val="Calibri"/>
        <family val="2"/>
        <scheme val="minor"/>
      </rPr>
      <t>Aufgabe</t>
    </r>
    <r>
      <rPr>
        <sz val="11"/>
        <color theme="1"/>
        <rFont val="Calibri"/>
        <family val="2"/>
        <scheme val="minor"/>
      </rPr>
      <t xml:space="preserve">: Haltet vor der Hochschule eine 30-sekündige Vorlesung über ein völlig frei erfundenes wissenschaftliches Fachgebiet.
</t>
    </r>
    <r>
      <rPr>
        <b/>
        <sz val="11"/>
        <color theme="1"/>
        <rFont val="Calibri"/>
        <family val="2"/>
        <scheme val="minor"/>
      </rPr>
      <t>Bonus</t>
    </r>
    <r>
      <rPr>
        <sz val="11"/>
        <color theme="1"/>
        <rFont val="Calibri"/>
        <family val="2"/>
        <scheme val="minor"/>
      </rPr>
      <t>: Verwendet dabei mindestens drei erfundene Fachbegriffe.</t>
    </r>
  </si>
  <si>
    <t>91564 Neuendettelsau</t>
  </si>
  <si>
    <t>49.2833014, 10.7758643,16</t>
  </si>
  <si>
    <r>
      <rPr>
        <b/>
        <sz val="11"/>
        <color rgb="FF000000"/>
        <rFont val="Calibri"/>
        <family val="2"/>
      </rPr>
      <t>Info:</t>
    </r>
    <r>
      <rPr>
        <sz val="11"/>
        <color rgb="FF000000"/>
        <rFont val="Calibri"/>
        <family val="2"/>
      </rPr>
      <t xml:space="preserve"> Die Stadt Vallendar ist ein Mittelzentrum im Landkreis Mayen-Koblenz in Rheinland-Pfalz. Sie liegt 5,7 km nördlich von Koblenz.
</t>
    </r>
    <r>
      <rPr>
        <b/>
        <sz val="11"/>
        <color rgb="FF000000"/>
        <rFont val="Calibri"/>
        <family val="2"/>
      </rPr>
      <t>Aufgabe:</t>
    </r>
    <r>
      <rPr>
        <sz val="11"/>
        <color rgb="FF000000"/>
        <rFont val="Calibri"/>
        <family val="2"/>
      </rPr>
      <t xml:space="preserve"> Mache ein Foto vor der Vinzenz Pallotti Universität.</t>
    </r>
  </si>
  <si>
    <t>Vinzenz Pallotti University, Pallottistraße 3, 56179 Vallendar</t>
  </si>
  <si>
    <t>50.401625313772286, 7.626797484007272</t>
  </si>
  <si>
    <r>
      <rPr>
        <b/>
        <sz val="11"/>
        <color theme="1"/>
        <rFont val="Calibri"/>
        <family val="2"/>
        <scheme val="minor"/>
      </rPr>
      <t>Info:</t>
    </r>
    <r>
      <rPr>
        <sz val="11"/>
        <color theme="1"/>
        <rFont val="Calibri"/>
        <family val="2"/>
        <scheme val="minor"/>
      </rPr>
      <t xml:space="preserve"> Die TH Wildau entstand auf einem historischen Industriegelände und verbindet alte Backsteinarchitektur mit modernen Hochschulgebäuden.
</t>
    </r>
    <r>
      <rPr>
        <b/>
        <sz val="11"/>
        <color theme="1"/>
        <rFont val="Calibri"/>
        <family val="2"/>
        <scheme val="minor"/>
      </rPr>
      <t>Aufgabe:</t>
    </r>
    <r>
      <rPr>
        <sz val="11"/>
        <color theme="1"/>
        <rFont val="Calibri"/>
        <family val="2"/>
        <scheme val="minor"/>
      </rPr>
      <t xml:space="preserve"> Auf dem Hochschul Gelände steht eine Dampflok der Baureihe 52. Haltet eine Präsentation über die Baureihe, bei der ihr Anhand einer Zeichnung (selbsterstellt und nicht digital) etwas erklärt. Dokumentiert dies mit Bildern oder einem Video.  
</t>
    </r>
    <r>
      <rPr>
        <b/>
        <sz val="11"/>
        <color theme="1"/>
        <rFont val="Calibri"/>
        <family val="2"/>
        <scheme val="minor"/>
      </rPr>
      <t>Bonus</t>
    </r>
    <r>
      <rPr>
        <sz val="11"/>
        <color theme="1"/>
        <rFont val="Calibri"/>
        <family val="2"/>
        <scheme val="minor"/>
      </rPr>
      <t>: Ihr erklärt auch noch wie eine Dampfmaschine funktioniert in bester "Feuerzangenbowle" manier.</t>
    </r>
  </si>
  <si>
    <t>Technische Hochschule Wildau [FH], 15745 Wildau</t>
  </si>
  <si>
    <t>52.31820618366778, 13.632312125150063</t>
  </si>
  <si>
    <t>H-5</t>
  </si>
  <si>
    <r>
      <rPr>
        <b/>
        <sz val="11"/>
        <color theme="1"/>
        <rFont val="Calibri"/>
        <family val="2"/>
        <scheme val="minor"/>
      </rPr>
      <t>Info:</t>
    </r>
    <r>
      <rPr>
        <sz val="11"/>
        <color theme="1"/>
        <rFont val="Calibri"/>
        <family val="2"/>
        <scheme val="minor"/>
      </rPr>
      <t xml:space="preserve"> Bis zur Hochschule ist es leider zu weit 
</t>
    </r>
    <r>
      <rPr>
        <b/>
        <sz val="11"/>
        <color theme="1"/>
        <rFont val="Calibri"/>
        <family val="2"/>
        <scheme val="minor"/>
      </rPr>
      <t>Aufgabe:</t>
    </r>
    <r>
      <rPr>
        <sz val="11"/>
        <color theme="1"/>
        <rFont val="Calibri"/>
        <family val="2"/>
        <scheme val="minor"/>
      </rPr>
      <t xml:space="preserve"> Geht daher zur Donaubühne und spielt ein kleines Theaterstück (2min)</t>
    </r>
  </si>
  <si>
    <t>Burgstraße, 72488 Sigmaringen</t>
  </si>
  <si>
    <t>48.088923374055874, 9.21442554964528</t>
  </si>
  <si>
    <r>
      <rPr>
        <b/>
        <sz val="11"/>
        <color theme="1"/>
        <rFont val="Calibri"/>
        <family val="2"/>
        <scheme val="minor"/>
      </rPr>
      <t>Info</t>
    </r>
    <r>
      <rPr>
        <sz val="11"/>
        <color theme="1"/>
        <rFont val="Calibri"/>
        <family val="2"/>
        <scheme val="minor"/>
      </rPr>
      <t xml:space="preserve">: Der Standort der Uni Kassel ist bekannt für seinen Fachbereich Ökologische Agrarwissenschaften und bekannt für sein Forschungsgewächshaus.
</t>
    </r>
    <r>
      <rPr>
        <b/>
        <sz val="11"/>
        <color theme="1"/>
        <rFont val="Calibri"/>
        <family val="2"/>
        <scheme val="minor"/>
      </rPr>
      <t>Aufgabe</t>
    </r>
    <r>
      <rPr>
        <sz val="11"/>
        <color theme="1"/>
        <rFont val="Calibri"/>
        <family val="2"/>
        <scheme val="minor"/>
      </rPr>
      <t xml:space="preserve">: Geht zum alten Hörsaalgebäude und macht ein witziges Foto </t>
    </r>
  </si>
  <si>
    <t>37213 Witzenhausen</t>
  </si>
  <si>
    <t>51.34994996843711, 9.855173468223336</t>
  </si>
  <si>
    <t>H-7</t>
  </si>
  <si>
    <r>
      <rPr>
        <b/>
        <sz val="11"/>
        <color theme="1"/>
        <rFont val="Calibri"/>
        <family val="2"/>
        <scheme val="minor"/>
      </rPr>
      <t xml:space="preserve">Info: </t>
    </r>
    <r>
      <rPr>
        <sz val="11"/>
        <color theme="1"/>
        <rFont val="Calibri"/>
        <family val="2"/>
        <scheme val="minor"/>
      </rPr>
      <t xml:space="preserve">In Bad Sooden-Allendorf gibt es ein liebevoll gestaltetes Salzmuseum mit vielen Infos zur Salzgeschichte des Ortes.
</t>
    </r>
    <r>
      <rPr>
        <b/>
        <sz val="11"/>
        <color theme="1"/>
        <rFont val="Calibri"/>
        <family val="2"/>
        <scheme val="minor"/>
      </rPr>
      <t xml:space="preserve">Aufgabe: </t>
    </r>
    <r>
      <rPr>
        <sz val="11"/>
        <color theme="1"/>
        <rFont val="Calibri"/>
        <family val="2"/>
        <scheme val="minor"/>
      </rPr>
      <t xml:space="preserve">Schürft Salz unter dem Torbogen direkt neben dem Salzmuseum, der Euch dabei als Behelfs-Salzstollen dient.
</t>
    </r>
    <r>
      <rPr>
        <b/>
        <sz val="11"/>
        <color theme="1"/>
        <rFont val="Calibri"/>
        <family val="2"/>
        <scheme val="minor"/>
      </rPr>
      <t xml:space="preserve">Bonus: </t>
    </r>
    <r>
      <rPr>
        <sz val="11"/>
        <color theme="1"/>
        <rFont val="Calibri"/>
        <family val="2"/>
        <scheme val="minor"/>
      </rPr>
      <t>Ihr esst eine Salzbrezel, habt einen Salzstreuer mit im Bild oder fotografiert Euch in einem Kreis aus Salz (10 Punkte). Ihr besucht das Salzmuseum (Öffnungszeiten Sa+So 14-17 Uhr) (30 Punkte).</t>
    </r>
  </si>
  <si>
    <t>Rosenstraße 1-3, 37242 Bad Sooden-Allendorf</t>
  </si>
  <si>
    <t>51.26920024222841, 9.965571941599851</t>
  </si>
  <si>
    <t>Info: In Riedlingen kann aus über 40 Studienfächern gewählt werden.
Aufgabe: Foto vor dem Lichtspielhaus</t>
  </si>
  <si>
    <t>Lange Str. 4-6, 88499 Riedlingen</t>
  </si>
  <si>
    <t>48.153451019035565, 9.47502844180592</t>
  </si>
  <si>
    <r>
      <rPr>
        <b/>
        <sz val="11"/>
        <color theme="1"/>
        <rFont val="Calibri"/>
        <family val="2"/>
        <scheme val="minor"/>
      </rPr>
      <t>Info:</t>
    </r>
    <r>
      <rPr>
        <sz val="11"/>
        <color theme="1"/>
        <rFont val="Calibri"/>
        <family val="2"/>
        <scheme val="minor"/>
      </rPr>
      <t xml:space="preserve"> In der Eisenbahnersiedlung Elstal befindet sich die Theologische Hochschule Elstal. In unmittelbarer Nähe befindet sich das Cafe Zwischenhalt in einem alten Reisezugwagen. </t>
    </r>
    <r>
      <rPr>
        <b/>
        <sz val="11"/>
        <color theme="1"/>
        <rFont val="Calibri"/>
        <family val="2"/>
        <scheme val="minor"/>
      </rPr>
      <t>Aufgabe</t>
    </r>
    <r>
      <rPr>
        <sz val="11"/>
        <color theme="1"/>
        <rFont val="Calibri"/>
        <family val="2"/>
        <scheme val="minor"/>
      </rPr>
      <t>: Macht vor dem Cafe ein Gruppenfoto.</t>
    </r>
  </si>
  <si>
    <t>Rosa-Luxemburg-Allee 35, 14641 Wustermark-Elstal</t>
  </si>
  <si>
    <t>52.54070575763223, 13.002413536666008</t>
  </si>
  <si>
    <r>
      <rPr>
        <b/>
        <sz val="11"/>
        <color theme="1"/>
        <rFont val="Calibri"/>
        <family val="2"/>
        <scheme val="minor"/>
      </rPr>
      <t>Info:</t>
    </r>
    <r>
      <rPr>
        <sz val="11"/>
        <color theme="1"/>
        <rFont val="Calibri"/>
        <family val="2"/>
        <scheme val="minor"/>
      </rPr>
      <t xml:space="preserve"> In Wismar befindet sich das Stammhaus einer der - wenn nicht der - bekanntesten Kaufhauskette Deutschlands: Karstadt.
</t>
    </r>
    <r>
      <rPr>
        <b/>
        <sz val="11"/>
        <color theme="1"/>
        <rFont val="Calibri"/>
        <family val="2"/>
        <scheme val="minor"/>
      </rPr>
      <t>Aufgabe:</t>
    </r>
    <r>
      <rPr>
        <sz val="11"/>
        <color theme="1"/>
        <rFont val="Calibri"/>
        <family val="2"/>
        <scheme val="minor"/>
      </rPr>
      <t xml:space="preserve"> Macht ein Gruppenfoto vor dem Stammhaus von Karstadt</t>
    </r>
  </si>
  <si>
    <t>Rudolph-Karstadt-Platz 1, 23966 Wismar</t>
  </si>
  <si>
    <t>53.892441, 11.4620356</t>
  </si>
  <si>
    <r>
      <rPr>
        <b/>
        <sz val="11"/>
        <color theme="1"/>
        <rFont val="Calibri"/>
        <family val="2"/>
        <scheme val="minor"/>
      </rPr>
      <t xml:space="preserve">Info: </t>
    </r>
    <r>
      <rPr>
        <sz val="11"/>
        <color theme="1"/>
        <rFont val="Calibri"/>
        <family val="2"/>
        <scheme val="minor"/>
      </rPr>
      <t xml:space="preserve">Heini Holtenbeen hat es wahrlich nicht leicht. Aber trotz aller Widrigkeiten ist er ein findiger Bursche und hält sich mit seinem ganz eigenen Geschäftsmodell über Wasser  - er ist im Tabak- bzw. Pferde(mist)geschäft.
</t>
    </r>
    <r>
      <rPr>
        <b/>
        <sz val="11"/>
        <color theme="1"/>
        <rFont val="Calibri"/>
        <family val="2"/>
        <scheme val="minor"/>
      </rPr>
      <t xml:space="preserve">Aufgabe: </t>
    </r>
    <r>
      <rPr>
        <sz val="11"/>
        <color theme="1"/>
        <rFont val="Calibri"/>
        <family val="2"/>
        <scheme val="minor"/>
      </rPr>
      <t xml:space="preserve">Stattet ihm einen Besuch in der "Schnoor" ab.
</t>
    </r>
    <r>
      <rPr>
        <b/>
        <sz val="11"/>
        <color theme="1"/>
        <rFont val="Calibri"/>
        <family val="2"/>
        <scheme val="minor"/>
      </rPr>
      <t xml:space="preserve">Bonus: </t>
    </r>
    <r>
      <rPr>
        <sz val="11"/>
        <color theme="1"/>
        <rFont val="Calibri"/>
        <family val="2"/>
        <scheme val="minor"/>
      </rPr>
      <t>Bringt ihm (und Euch) ein paar "Schnoorkuller" mit.</t>
    </r>
  </si>
  <si>
    <t>Wüstestätte 1, 28195 Bremen</t>
  </si>
  <si>
    <t>53.07250854878253, 8.809627568332235</t>
  </si>
  <si>
    <t>Info: Büsum ist eine Reise wert.
Aufgabe: Foto vor dem Büsumer Leuchtturm, der ganz zu sehen sein sollte.</t>
  </si>
  <si>
    <t>Südstrand 7A, 25761 Büsum</t>
  </si>
  <si>
    <t>54.126998327455, 8.858264655738713</t>
  </si>
  <si>
    <t>HM-12</t>
  </si>
  <si>
    <r>
      <rPr>
        <b/>
        <sz val="11"/>
        <color theme="1"/>
        <rFont val="Calibri"/>
        <family val="2"/>
        <scheme val="minor"/>
      </rPr>
      <t>Info</t>
    </r>
    <r>
      <rPr>
        <sz val="11"/>
        <color theme="1"/>
        <rFont val="Calibri"/>
        <family val="2"/>
        <scheme val="minor"/>
      </rPr>
      <t xml:space="preserve">: Ueckermünde ist das jüngste deutsche Seebad </t>
    </r>
    <r>
      <rPr>
        <b/>
        <sz val="11"/>
        <color theme="1"/>
        <rFont val="Calibri"/>
        <family val="2"/>
        <scheme val="minor"/>
      </rPr>
      <t>Aufgabe</t>
    </r>
    <r>
      <rPr>
        <sz val="11"/>
        <color theme="1"/>
        <rFont val="Calibri"/>
        <family val="2"/>
        <scheme val="minor"/>
      </rPr>
      <t xml:space="preserve">: macht ein Foto vorm Fischkutter UEK-12 Bergen </t>
    </r>
    <r>
      <rPr>
        <b/>
        <sz val="11"/>
        <color theme="1"/>
        <rFont val="Calibri"/>
        <family val="2"/>
        <scheme val="minor"/>
      </rPr>
      <t>Bonus:</t>
    </r>
    <r>
      <rPr>
        <sz val="11"/>
        <color theme="1"/>
        <rFont val="Calibri"/>
        <family val="2"/>
        <scheme val="minor"/>
      </rPr>
      <t xml:space="preserve"> Esst auf dem Bild ein Fischbrötchen</t>
    </r>
  </si>
  <si>
    <t>Neues Bollwerk, 17373 Ueckermünde</t>
  </si>
  <si>
    <t>53.73666961597405, 14.052025064025566</t>
  </si>
  <si>
    <t>HM-13</t>
  </si>
  <si>
    <r>
      <rPr>
        <b/>
        <sz val="11"/>
        <color theme="1"/>
        <rFont val="Calibri"/>
        <family val="2"/>
        <scheme val="minor"/>
      </rPr>
      <t>Info</t>
    </r>
    <r>
      <rPr>
        <sz val="11"/>
        <color theme="1"/>
        <rFont val="Calibri"/>
        <family val="2"/>
        <scheme val="minor"/>
      </rPr>
      <t xml:space="preserve">: Stralsund erhielt 1234 das Stadtrecht und gilt damit als älteste Stadt Pommerns. Sie war Gründungsmitglied der Hanse. Die Kneipe "Zur Fähre" geht auf das Jahr 1332 zurück und ist damit die älteste ihrer Art in Stralsund und zählt zu den ältesten in Europa.
</t>
    </r>
    <r>
      <rPr>
        <b/>
        <sz val="11"/>
        <color theme="1"/>
        <rFont val="Calibri"/>
        <family val="2"/>
        <scheme val="minor"/>
      </rPr>
      <t>Aufgabe</t>
    </r>
    <r>
      <rPr>
        <sz val="11"/>
        <color theme="1"/>
        <rFont val="Calibri"/>
        <family val="2"/>
        <scheme val="minor"/>
      </rPr>
      <t xml:space="preserve">: Macht mal wie echte Seemänner und singt ein paar Strofen des Shantys "Soon May the Wellerman Come". Dreht ein Video, das mindestens 60 Sekunden lang ist und auf dem ihr beim Singen zu sehen seid. Hier mehr Infos zum Lied: https://de.wikipedia.org/wiki/Soon_May_the_Wellerman_Come
</t>
    </r>
    <r>
      <rPr>
        <b/>
        <sz val="11"/>
        <color theme="1"/>
        <rFont val="Calibri"/>
        <family val="2"/>
        <scheme val="minor"/>
      </rPr>
      <t>Bonus</t>
    </r>
    <r>
      <rPr>
        <sz val="11"/>
        <color theme="1"/>
        <rFont val="Calibri"/>
        <family val="2"/>
        <scheme val="minor"/>
      </rPr>
      <t>: Besucht die Kneipe und trinkt passend zum Shanty eine Runde "Shandy" (Englisch für Radler). Dokumentiert das mit einem Foto.</t>
    </r>
  </si>
  <si>
    <t>Fährstraße 17, 18439 Stralsund</t>
  </si>
  <si>
    <t>54.316717882212714, 13.09367968180138</t>
  </si>
  <si>
    <t>Mache ein Foto auf der Seebrücke Haffkrug und genieße die Seeluft. Bonus: Auf dem Foto ist eine fliegende Möwe zu sehen</t>
  </si>
  <si>
    <t>Seebrücke Haffkrug, 23683 Scharbeutz</t>
  </si>
  <si>
    <t>54.05191973165157, 10.753891617796143</t>
  </si>
  <si>
    <t>HM-15</t>
  </si>
  <si>
    <r>
      <rPr>
        <b/>
        <sz val="11"/>
        <color theme="1"/>
        <rFont val="Calibri"/>
        <family val="2"/>
        <scheme val="minor"/>
      </rPr>
      <t>Info:</t>
    </r>
    <r>
      <rPr>
        <sz val="11"/>
        <color theme="1"/>
        <rFont val="Calibri"/>
        <family val="2"/>
        <scheme val="minor"/>
      </rPr>
      <t xml:space="preserve"> HafenCity Aussichtspunkt
</t>
    </r>
    <r>
      <rPr>
        <b/>
        <sz val="11"/>
        <color theme="1"/>
        <rFont val="Calibri"/>
        <family val="2"/>
        <scheme val="minor"/>
      </rPr>
      <t>Aufgabe:</t>
    </r>
    <r>
      <rPr>
        <sz val="11"/>
        <color theme="1"/>
        <rFont val="Calibri"/>
        <family val="2"/>
        <scheme val="minor"/>
      </rPr>
      <t xml:space="preserve"> Steigt auf den Turm und macht ein Gruppenfoto mit der Elnphilharmonie im Hintergrund
</t>
    </r>
    <r>
      <rPr>
        <b/>
        <sz val="11"/>
        <color theme="1"/>
        <rFont val="Calibri"/>
        <family val="2"/>
        <scheme val="minor"/>
      </rPr>
      <t>Bonus:</t>
    </r>
    <r>
      <rPr>
        <sz val="11"/>
        <color theme="1"/>
        <rFont val="Calibri"/>
        <family val="2"/>
        <scheme val="minor"/>
      </rPr>
      <t xml:space="preserve"> Gruppenfoto mit der Decatur-Brücke im Hintergrund</t>
    </r>
  </si>
  <si>
    <t>Grandeswerderstraße, 20457 Hamburg</t>
  </si>
  <si>
    <t>53.538671425084125, 10.008004746992041</t>
  </si>
  <si>
    <r>
      <t xml:space="preserve">Lüneburg (Hansestadt, Salzstadt) - Platz 'Am Sande'
</t>
    </r>
    <r>
      <rPr>
        <b/>
        <sz val="11"/>
        <color theme="1"/>
        <rFont val="Calibri"/>
        <family val="2"/>
        <scheme val="minor"/>
      </rPr>
      <t>Info</t>
    </r>
    <r>
      <rPr>
        <sz val="11"/>
        <color theme="1"/>
        <rFont val="Calibri"/>
        <family val="2"/>
        <scheme val="minor"/>
      </rPr>
      <t xml:space="preserve">: Die schiefen Giebelhäuser entstehen durch Bodensenkungen vom jahrhundertelangen Salzabbau ('Lüneburg versinkt').
</t>
    </r>
    <r>
      <rPr>
        <b/>
        <sz val="11"/>
        <color theme="1"/>
        <rFont val="Calibri"/>
        <family val="2"/>
        <scheme val="minor"/>
      </rPr>
      <t>Aufgabe</t>
    </r>
    <r>
      <rPr>
        <sz val="11"/>
        <color theme="1"/>
        <rFont val="Calibri"/>
        <family val="2"/>
        <scheme val="minor"/>
      </rPr>
      <t xml:space="preserve">: Findet ein schiefes Giebelhaus und stellt euch so davor, dass ihr genauso schief steht wie das Haus.
</t>
    </r>
    <r>
      <rPr>
        <b/>
        <sz val="11"/>
        <color theme="1"/>
        <rFont val="Calibri"/>
        <family val="2"/>
        <scheme val="minor"/>
      </rPr>
      <t>Bonus</t>
    </r>
    <r>
      <rPr>
        <sz val="11"/>
        <color theme="1"/>
        <rFont val="Calibri"/>
        <family val="2"/>
        <scheme val="minor"/>
      </rPr>
      <t>: Findet das Giebelhaus 'Brausebad' (mit goldenem Mörser) am Platz und fotografiert es.</t>
    </r>
  </si>
  <si>
    <t>Am Sande, 21335 Lüneburg</t>
  </si>
  <si>
    <t>53.249170, 10.414170</t>
  </si>
  <si>
    <t>HM-17</t>
  </si>
  <si>
    <r>
      <rPr>
        <b/>
        <sz val="11"/>
        <color theme="1"/>
        <rFont val="Calibri"/>
        <family val="2"/>
        <scheme val="minor"/>
      </rPr>
      <t>Info:</t>
    </r>
    <r>
      <rPr>
        <sz val="11"/>
        <color theme="1"/>
        <rFont val="Calibri"/>
        <family val="2"/>
        <scheme val="minor"/>
      </rPr>
      <t xml:space="preserve"> Buxtehude - bekannt für den Wettlauf zwischen Hase und Igel - verlor den Status einer Hansestadt im Jahr 1591, bekam ihn aber 2014 wieder zugesprochen.
</t>
    </r>
    <r>
      <rPr>
        <b/>
        <sz val="11"/>
        <color theme="1"/>
        <rFont val="Calibri"/>
        <family val="2"/>
        <scheme val="minor"/>
      </rPr>
      <t xml:space="preserve">Aufgabe: </t>
    </r>
    <r>
      <rPr>
        <sz val="11"/>
        <color theme="1"/>
        <rFont val="Calibri"/>
        <family val="2"/>
        <scheme val="minor"/>
      </rPr>
      <t>Macht ein Bild vor der Hansekogge</t>
    </r>
  </si>
  <si>
    <t>Schützenhofweg 2, 21614 Buxtehude</t>
  </si>
  <si>
    <t>53.47881171829972, 9.700509861386628</t>
  </si>
  <si>
    <t>HM-18</t>
  </si>
  <si>
    <r>
      <rPr>
        <b/>
        <sz val="11"/>
        <color theme="1"/>
        <rFont val="Calibri"/>
        <family val="2"/>
        <scheme val="minor"/>
      </rPr>
      <t>Info:</t>
    </r>
    <r>
      <rPr>
        <sz val="11"/>
        <color theme="1"/>
        <rFont val="Calibri"/>
        <family val="2"/>
        <scheme val="minor"/>
      </rPr>
      <t xml:space="preserve"> Die Rats- und Universitätsbuchhandlung der Hansestadt Greifswald ist ein wunsderschönes Beispiel für die Backsteingotik der Hansestädte
</t>
    </r>
    <r>
      <rPr>
        <b/>
        <sz val="11"/>
        <color theme="1"/>
        <rFont val="Calibri"/>
        <family val="2"/>
        <scheme val="minor"/>
      </rPr>
      <t>Aufgabe:</t>
    </r>
    <r>
      <rPr>
        <sz val="11"/>
        <color theme="1"/>
        <rFont val="Calibri"/>
        <family val="2"/>
        <scheme val="minor"/>
      </rPr>
      <t xml:space="preserve"> Macht ein Gruppenfoto mit der Rats- und Universitätsbuchhandlung im Hintergrund.
</t>
    </r>
    <r>
      <rPr>
        <b/>
        <sz val="11"/>
        <color theme="1"/>
        <rFont val="Calibri"/>
        <family val="2"/>
        <scheme val="minor"/>
      </rPr>
      <t>Bonus:</t>
    </r>
    <r>
      <rPr>
        <sz val="11"/>
        <color theme="1"/>
        <rFont val="Calibri"/>
        <family val="2"/>
        <scheme val="minor"/>
      </rPr>
      <t xml:space="preserve"> Alle Gruppenmitglieder lesen ein Buch.</t>
    </r>
  </si>
  <si>
    <t>Lange Str. 77, 17489 Greifswald</t>
  </si>
  <si>
    <t>54.09615316088042, 13.378652784274577</t>
  </si>
  <si>
    <t>HM-19</t>
  </si>
  <si>
    <t>Sucht alle deutschen Städte, die in der Kompassrose aufgeführt sind und zeigt das Ergebnis auf dem Foto (mit den Fingern).</t>
  </si>
  <si>
    <t>27568 Bremerhaven</t>
  </si>
  <si>
    <t>53.539493504762504, 8.579511926925363</t>
  </si>
  <si>
    <t>HM-2</t>
  </si>
  <si>
    <r>
      <t xml:space="preserve">Cuxhaven (Nordsee, Elbmündung) - Alte Liebe
</t>
    </r>
    <r>
      <rPr>
        <b/>
        <sz val="11"/>
        <color theme="1"/>
        <rFont val="Calibri"/>
        <family val="2"/>
        <scheme val="minor"/>
      </rPr>
      <t>Info</t>
    </r>
    <r>
      <rPr>
        <sz val="11"/>
        <color theme="1"/>
        <rFont val="Calibri"/>
        <family val="2"/>
        <scheme val="minor"/>
      </rPr>
      <t xml:space="preserve">: Die 'Alte Liebe' ist ein historisches Aussichts-/Anlegerbauwerk; beliebter Schiffsbeobachtungspunkt an der Elbmündung.
</t>
    </r>
    <r>
      <rPr>
        <b/>
        <sz val="11"/>
        <color theme="1"/>
        <rFont val="Calibri"/>
        <family val="2"/>
        <scheme val="minor"/>
      </rPr>
      <t>Aufgabe</t>
    </r>
    <r>
      <rPr>
        <sz val="11"/>
        <color theme="1"/>
        <rFont val="Calibri"/>
        <family val="2"/>
        <scheme val="minor"/>
      </rPr>
      <t xml:space="preserve">: Entdeckt an der 'Alten Liebe' ein vorbeifahrendes Schiff, winkt ihm gemeinsam und ruft 'Gute Reise!' - Foto im Moment des Winkens.
</t>
    </r>
    <r>
      <rPr>
        <b/>
        <sz val="11"/>
        <color theme="1"/>
        <rFont val="Calibri"/>
        <family val="2"/>
        <scheme val="minor"/>
      </rPr>
      <t>Bonus</t>
    </r>
    <r>
      <rPr>
        <sz val="11"/>
        <color theme="1"/>
        <rFont val="Calibri"/>
        <family val="2"/>
        <scheme val="minor"/>
      </rPr>
      <t>: Lauft zur nahen Kugelbake (nördlichster Punkt Niedersachsens) und macht dort ein zweites Foto.</t>
    </r>
  </si>
  <si>
    <t>Alte Liebe, 27472 Cuxhaven</t>
  </si>
  <si>
    <t>53.870560, 8.717500</t>
  </si>
  <si>
    <t>HM-20</t>
  </si>
  <si>
    <r>
      <rPr>
        <b/>
        <sz val="11"/>
        <color rgb="FF000000"/>
        <rFont val="Calibri"/>
        <family val="2"/>
      </rPr>
      <t>Info:</t>
    </r>
    <r>
      <rPr>
        <sz val="11"/>
        <color rgb="FF000000"/>
        <rFont val="Calibri"/>
        <family val="2"/>
      </rPr>
      <t xml:space="preserve"> Lünen gehörte ab 1476 als sogenannte Beistadt dem mittelalterlichen Hansebund an und ist heute Mitglied im Hansebund der Neuzeit.
</t>
    </r>
    <r>
      <rPr>
        <b/>
        <sz val="11"/>
        <color rgb="FF000000"/>
        <rFont val="Calibri"/>
        <family val="2"/>
      </rPr>
      <t>Aufgabe:</t>
    </r>
    <r>
      <rPr>
        <sz val="11"/>
        <color rgb="FF000000"/>
        <rFont val="Calibri"/>
        <family val="2"/>
      </rPr>
      <t xml:space="preserve"> Gehe zur Treppenkaskade an der Lippe und mache ein Foto vom Fluß.
</t>
    </r>
    <r>
      <rPr>
        <b/>
        <sz val="11"/>
        <color rgb="FF000000"/>
        <rFont val="Calibri"/>
        <family val="2"/>
      </rPr>
      <t>Bonus:</t>
    </r>
    <r>
      <rPr>
        <sz val="11"/>
        <color rgb="FF000000"/>
        <rFont val="Calibri"/>
        <family val="2"/>
      </rPr>
      <t xml:space="preserve"> ein oder mehrere Boote sind auf dem Foto</t>
    </r>
  </si>
  <si>
    <t>Treppenkaskade an der Lippe, Münsterstraße 1I, 44534 Lünen</t>
  </si>
  <si>
    <t>51.615628525382476, 7.523043581116417</t>
  </si>
  <si>
    <r>
      <rPr>
        <b/>
        <sz val="11"/>
        <color theme="1"/>
        <rFont val="Calibri"/>
        <family val="2"/>
        <scheme val="minor"/>
      </rPr>
      <t>Info</t>
    </r>
    <r>
      <rPr>
        <sz val="11"/>
        <color theme="1"/>
        <rFont val="Calibri"/>
        <family val="2"/>
        <scheme val="minor"/>
      </rPr>
      <t xml:space="preserve">: Korbach trat 1469 der Hanse bei. Sie ist eine der südlichsten Hansestädte und die einzige in Hessen.
</t>
    </r>
    <r>
      <rPr>
        <b/>
        <sz val="11"/>
        <color theme="1"/>
        <rFont val="Calibri"/>
        <family val="2"/>
        <scheme val="minor"/>
      </rPr>
      <t>Aufgabe</t>
    </r>
    <r>
      <rPr>
        <sz val="11"/>
        <color theme="1"/>
        <rFont val="Calibri"/>
        <family val="2"/>
        <scheme val="minor"/>
      </rPr>
      <t xml:space="preserve">: Sucht etwas mit eindeutigem Hanse Bezug (Schriftzug Hanse, Denkmal, ect.).  </t>
    </r>
  </si>
  <si>
    <t>Kirchpl. 2, 34497 Korbach</t>
  </si>
  <si>
    <t>51.27136319841348, 8.872623094593449</t>
  </si>
  <si>
    <t>HM-23</t>
  </si>
  <si>
    <r>
      <rPr>
        <b/>
        <sz val="11"/>
        <color theme="1"/>
        <rFont val="Calibri"/>
        <family val="2"/>
        <scheme val="minor"/>
      </rPr>
      <t>Info</t>
    </r>
    <r>
      <rPr>
        <sz val="11"/>
        <color theme="1"/>
        <rFont val="Calibri"/>
        <family val="2"/>
        <scheme val="minor"/>
      </rPr>
      <t xml:space="preserve">: Das Molenfeuer Travemünde ist ein kleiner Leuchtturm auf der Nordermole in Lübeck-Travemünde.
</t>
    </r>
    <r>
      <rPr>
        <b/>
        <sz val="11"/>
        <color theme="1"/>
        <rFont val="Calibri"/>
        <family val="2"/>
        <scheme val="minor"/>
      </rPr>
      <t>Aufgabe</t>
    </r>
    <r>
      <rPr>
        <sz val="11"/>
        <color theme="1"/>
        <rFont val="Calibri"/>
        <family val="2"/>
        <scheme val="minor"/>
      </rPr>
      <t xml:space="preserve">: Macht ein Selfie vor dem Leuchtturm.
</t>
    </r>
    <r>
      <rPr>
        <b/>
        <sz val="11"/>
        <color theme="1"/>
        <rFont val="Calibri"/>
        <family val="2"/>
        <scheme val="minor"/>
      </rPr>
      <t>Bonusaufgabe</t>
    </r>
    <r>
      <rPr>
        <sz val="11"/>
        <color theme="1"/>
        <rFont val="Calibri"/>
        <family val="2"/>
        <scheme val="minor"/>
      </rPr>
      <t>: Esst dabei ein Fischbrötchen</t>
    </r>
  </si>
  <si>
    <t>S-Bahn Stuttgart</t>
  </si>
  <si>
    <t>53.96198933977828, 10.889111000593278</t>
  </si>
  <si>
    <t>HM-24</t>
  </si>
  <si>
    <r>
      <rPr>
        <b/>
        <sz val="11"/>
        <color theme="1"/>
        <rFont val="Calibri"/>
        <family val="2"/>
        <scheme val="minor"/>
      </rPr>
      <t xml:space="preserve">Info: </t>
    </r>
    <r>
      <rPr>
        <sz val="11"/>
        <color theme="1"/>
        <rFont val="Calibri"/>
        <family val="2"/>
        <scheme val="minor"/>
      </rPr>
      <t xml:space="preserve">In Hamburg sagt man, dass sich die Kapitäne in Blankenese zur Ruhe gesetzt haben. Von hier aus kann man die gigantischen Containerschiffe beobachten, die im Hamburger Hafen verkehren.
</t>
    </r>
    <r>
      <rPr>
        <b/>
        <sz val="11"/>
        <color theme="1"/>
        <rFont val="Calibri"/>
        <family val="2"/>
        <scheme val="minor"/>
      </rPr>
      <t xml:space="preserve">Aufgabe: </t>
    </r>
    <r>
      <rPr>
        <sz val="11"/>
        <color theme="1"/>
        <rFont val="Calibri"/>
        <family val="2"/>
        <scheme val="minor"/>
      </rPr>
      <t xml:space="preserve">Macht ein Bild, bei der mindestens eine Person die nackten Füße im Sand hat und im Hintergrund ein großes Schiff zu sehen ist.
</t>
    </r>
    <r>
      <rPr>
        <b/>
        <sz val="11"/>
        <color theme="1"/>
        <rFont val="Calibri"/>
        <family val="2"/>
        <scheme val="minor"/>
      </rPr>
      <t xml:space="preserve">Bonus: </t>
    </r>
    <r>
      <rPr>
        <sz val="11"/>
        <color theme="1"/>
        <rFont val="Calibri"/>
        <family val="2"/>
        <scheme val="minor"/>
      </rPr>
      <t>Lauft auf dem Weg zum Strand durch das Treppenviertel. Macht ein Foto auf einer langen Treppe, auf dem alle Teammitglieder zu sehen sind.</t>
    </r>
  </si>
  <si>
    <t>Strandweg 38, 22587 Altona</t>
  </si>
  <si>
    <t>53.556258001726874, 9.804847721329082</t>
  </si>
  <si>
    <t>Info: Nordenham hat den größten privaten Hafen Europas.
Aufgabe: Macht ein Foto auf dem Union Pier.</t>
  </si>
  <si>
    <t>Müllerstraße 46, 26954 Nordenham</t>
  </si>
  <si>
    <t>53.481878443575376, 8.488051675923002</t>
  </si>
  <si>
    <r>
      <rPr>
        <b/>
        <sz val="11"/>
        <color theme="1"/>
        <rFont val="Calibri"/>
        <family val="2"/>
        <scheme val="minor"/>
      </rPr>
      <t>Info:</t>
    </r>
    <r>
      <rPr>
        <sz val="11"/>
        <color theme="1"/>
        <rFont val="Calibri"/>
        <family val="2"/>
        <scheme val="minor"/>
      </rPr>
      <t xml:space="preserve"> Soest war trotz der Entfernung vom Meer eine der wichtigsten Hansestädte und sein Geld dabei vor allem mit Salz verdient.
</t>
    </r>
    <r>
      <rPr>
        <b/>
        <sz val="11"/>
        <color theme="1"/>
        <rFont val="Calibri"/>
        <family val="2"/>
        <scheme val="minor"/>
      </rPr>
      <t xml:space="preserve">Aufgabe: </t>
    </r>
    <r>
      <rPr>
        <sz val="11"/>
        <color theme="1"/>
        <rFont val="Calibri"/>
        <family val="2"/>
        <scheme val="minor"/>
      </rPr>
      <t xml:space="preserve">Macht ein Foto von euch, wie ihr im Kungelgäßchen zwielichtige Geschäfte abschließt.
</t>
    </r>
    <r>
      <rPr>
        <b/>
        <sz val="11"/>
        <color theme="1"/>
        <rFont val="Calibri"/>
        <family val="2"/>
        <scheme val="minor"/>
      </rPr>
      <t xml:space="preserve">Bonus: </t>
    </r>
    <r>
      <rPr>
        <sz val="11"/>
        <color theme="1"/>
        <rFont val="Calibri"/>
        <family val="2"/>
        <scheme val="minor"/>
      </rPr>
      <t>Die gehandelte Ware ist tatsächlich Salz</t>
    </r>
  </si>
  <si>
    <t>Kungelgäßchen 2, 59494 Soest</t>
  </si>
  <si>
    <t>51.57193068466907, 8.106754237440853</t>
  </si>
  <si>
    <t>HM-4</t>
  </si>
  <si>
    <r>
      <rPr>
        <b/>
        <sz val="11"/>
        <color theme="1"/>
        <rFont val="Calibri"/>
        <family val="2"/>
        <scheme val="minor"/>
      </rPr>
      <t>Info</t>
    </r>
    <r>
      <rPr>
        <sz val="11"/>
        <color theme="1"/>
        <rFont val="Calibri"/>
        <family val="2"/>
        <scheme val="minor"/>
      </rPr>
      <t xml:space="preserve">: Die Bäderbahn an der SH-Ostküste ist nach Eröffnung der FBQ dem Untergang geweiht. Nutzt diese Chance um Scharbeutz einen Besuch abzustatten
</t>
    </r>
    <r>
      <rPr>
        <b/>
        <sz val="11"/>
        <color theme="1"/>
        <rFont val="Calibri"/>
        <family val="2"/>
        <scheme val="minor"/>
      </rPr>
      <t>Aufgabe</t>
    </r>
    <r>
      <rPr>
        <sz val="11"/>
        <color theme="1"/>
        <rFont val="Calibri"/>
        <family val="2"/>
        <scheme val="minor"/>
      </rPr>
      <t xml:space="preserve">: Geht zur Seebrücke und macht ein Bild am Ende der Brücke
</t>
    </r>
    <r>
      <rPr>
        <b/>
        <sz val="11"/>
        <color theme="1"/>
        <rFont val="Calibri"/>
        <family val="2"/>
        <scheme val="minor"/>
      </rPr>
      <t>Bonus</t>
    </r>
    <r>
      <rPr>
        <sz val="11"/>
        <color theme="1"/>
        <rFont val="Calibri"/>
        <family val="2"/>
        <scheme val="minor"/>
      </rPr>
      <t>: Mit min. einem Fischbrötchen in der Hand (Achtung auf die Möwen)</t>
    </r>
  </si>
  <si>
    <t>Seebrücke Scharbeutz, Scharbeutz</t>
  </si>
  <si>
    <t>54.02822353521559, 10.759687377049014</t>
  </si>
  <si>
    <t>HM-5</t>
  </si>
  <si>
    <t>Aufgabe: Foto im Innenhof der Bonbonkocherei. Macht ein bedröppeltes Gesicht, wenn ihr außerhalb der Öffnungszeiten (Samstags bis 18 Uhr und Sonntags 11-17 Uhr) dort aufkreuzt.
Bonus: Gönnt euch eine Tüte Bruchware aus dem Automaten.</t>
  </si>
  <si>
    <t>Frau-Clara-Straße 22, 24340 Eckernförde</t>
  </si>
  <si>
    <t>54.47403590386076, 9.83677131775238</t>
  </si>
  <si>
    <r>
      <rPr>
        <b/>
        <sz val="11"/>
        <color rgb="FF000000"/>
        <rFont val="Calibri"/>
        <family val="2"/>
      </rPr>
      <t>Info:</t>
    </r>
    <r>
      <rPr>
        <sz val="11"/>
        <color rgb="FF000000"/>
        <rFont val="Calibri"/>
        <family val="2"/>
      </rPr>
      <t xml:space="preserve"> Magdeburg war im Mittelalter eine der bedeutendsten Handels- und Hansestädte Mitteleuropas.
</t>
    </r>
    <r>
      <rPr>
        <b/>
        <sz val="11"/>
        <color rgb="FF000000"/>
        <rFont val="Calibri"/>
        <family val="2"/>
      </rPr>
      <t>Aufgabe:</t>
    </r>
    <r>
      <rPr>
        <sz val="11"/>
        <color rgb="FF000000"/>
        <rFont val="Calibri"/>
        <family val="2"/>
      </rPr>
      <t xml:space="preserve"> Mache ein Foto vor dem Magdeburger Dom.</t>
    </r>
  </si>
  <si>
    <t>Domplatz 12-13, 39104 Magdeburg</t>
  </si>
  <si>
    <t>52.12480399460217, 11.633467593588161</t>
  </si>
  <si>
    <t>HM-7</t>
  </si>
  <si>
    <r>
      <rPr>
        <b/>
        <sz val="11"/>
        <color theme="1"/>
        <rFont val="Calibri"/>
        <family val="2"/>
        <scheme val="minor"/>
      </rPr>
      <t>Info</t>
    </r>
    <r>
      <rPr>
        <sz val="11"/>
        <color theme="1"/>
        <rFont val="Calibri"/>
        <family val="2"/>
        <scheme val="minor"/>
      </rPr>
      <t xml:space="preserve">: Wer kennt sie nicht, die Züge nach Norddeich Mole. Nun habt ihr die Chance den Ort kennen zu lernen.
</t>
    </r>
    <r>
      <rPr>
        <b/>
        <sz val="11"/>
        <color theme="1"/>
        <rFont val="Calibri"/>
        <family val="2"/>
        <scheme val="minor"/>
      </rPr>
      <t>Aufgabe</t>
    </r>
    <r>
      <rPr>
        <sz val="11"/>
        <color theme="1"/>
        <rFont val="Calibri"/>
        <family val="2"/>
        <scheme val="minor"/>
      </rPr>
      <t xml:space="preserve">: Ins Watt mit den Landratten! Macht eine Wattwanderung, bei der min. ein Teammitglied Barfuß im Watt steht. Nicht in geschützten Bereichen! Ansonsten kann es überall in Norddeich sein.
</t>
    </r>
    <r>
      <rPr>
        <b/>
        <sz val="11"/>
        <color theme="1"/>
        <rFont val="Calibri"/>
        <family val="2"/>
        <scheme val="minor"/>
      </rPr>
      <t>Bonus:</t>
    </r>
    <r>
      <rPr>
        <sz val="11"/>
        <color theme="1"/>
        <rFont val="Calibri"/>
        <family val="2"/>
        <scheme val="minor"/>
      </rPr>
      <t xml:space="preserve"> Das gesamte Team steht Barfuß im Watt.</t>
    </r>
  </si>
  <si>
    <t>Strandstraße 1, 26506 Norden</t>
  </si>
  <si>
    <t>53.618376914168, 7.149687299276132</t>
  </si>
  <si>
    <t>HM-8</t>
  </si>
  <si>
    <r>
      <rPr>
        <b/>
        <sz val="11"/>
        <color theme="1"/>
        <rFont val="Calibri"/>
        <family val="2"/>
        <scheme val="minor"/>
      </rPr>
      <t xml:space="preserve">Info: </t>
    </r>
    <r>
      <rPr>
        <sz val="11"/>
        <color theme="1"/>
        <rFont val="Calibri"/>
        <family val="2"/>
        <scheme val="minor"/>
      </rPr>
      <t xml:space="preserve">1601 wurde Stade zum zweiten Mal und nun dauerhaft „verhanst“, d. h. aus der Hanse ausgeschlossen, da die Stadt 1587 englische Tuchkaufleute der Merchant Adventurer aufgenommen hatte. Zählt aber irgendwie trotzdem dazu :)
</t>
    </r>
    <r>
      <rPr>
        <b/>
        <sz val="11"/>
        <color theme="1"/>
        <rFont val="Calibri"/>
        <family val="2"/>
        <scheme val="minor"/>
      </rPr>
      <t xml:space="preserve">Aufgabe: </t>
    </r>
    <r>
      <rPr>
        <sz val="11"/>
        <color theme="1"/>
        <rFont val="Calibri"/>
        <family val="2"/>
        <scheme val="minor"/>
      </rPr>
      <t>Geht zum Rathauseingang und positioniert euch so, dass Ihr ein Gruppenbild von unten erstellt. Die Figuren auf dem Tor werden zu zusätzlichen "Teammitgliedern"</t>
    </r>
  </si>
  <si>
    <t>Hökerstraße 2, 21682 Stade</t>
  </si>
  <si>
    <t>53.601201490932546, 9.476834565473279</t>
  </si>
  <si>
    <r>
      <rPr>
        <b/>
        <sz val="11"/>
        <rFont val="Calibri"/>
        <family val="2"/>
        <scheme val="minor"/>
      </rPr>
      <t>Info</t>
    </r>
    <r>
      <rPr>
        <sz val="11"/>
        <rFont val="Calibri"/>
        <family val="2"/>
        <scheme val="minor"/>
      </rPr>
      <t xml:space="preserve">: ab an den Strand heißt es in Warnemünde. 
</t>
    </r>
    <r>
      <rPr>
        <b/>
        <sz val="11"/>
        <rFont val="Calibri"/>
        <family val="2"/>
        <scheme val="minor"/>
      </rPr>
      <t>Aufgabe:</t>
    </r>
    <r>
      <rPr>
        <sz val="11"/>
        <rFont val="Calibri"/>
        <family val="2"/>
        <scheme val="minor"/>
      </rPr>
      <t xml:space="preserve"> Fahrt zur Strandbar WAL und macht ein Foto mit einer Palme der Strandbar im Hintergrund
</t>
    </r>
    <r>
      <rPr>
        <b/>
        <sz val="11"/>
        <rFont val="Calibri"/>
        <family val="2"/>
        <scheme val="minor"/>
      </rPr>
      <t xml:space="preserve">Bonus: </t>
    </r>
    <r>
      <rPr>
        <sz val="11"/>
        <rFont val="Calibri"/>
        <family val="2"/>
        <scheme val="minor"/>
      </rPr>
      <t>Bringt nach Frankfurt/Münster mindestens 100g Strandsand mit.</t>
    </r>
  </si>
  <si>
    <t>Strandaufgang 2, 18119 Rostock</t>
  </si>
  <si>
    <t>54.18327003084121, 12.084485937370209</t>
  </si>
  <si>
    <r>
      <rPr>
        <b/>
        <sz val="11"/>
        <color theme="1"/>
        <rFont val="Calibri"/>
        <family val="2"/>
        <scheme val="minor"/>
      </rPr>
      <t>Info</t>
    </r>
    <r>
      <rPr>
        <sz val="11"/>
        <color theme="1"/>
        <rFont val="Calibri"/>
        <family val="2"/>
        <scheme val="minor"/>
      </rPr>
      <t xml:space="preserve">: Der Ortsteil Aha am Schluchsee im Schwarzwald wurde erstmals 1352 unter dem Namen „In der Ache“ erwähnt und war ursprünglich eine kleine Siedlung mit Kapelle und landwirtschaftlicher Nutzung. Im 20. Jahrhundert veränderte sich der Ort stark, als 1933 der Schluchsee aufgestaut wurde.
</t>
    </r>
    <r>
      <rPr>
        <b/>
        <sz val="11"/>
        <color theme="1"/>
        <rFont val="Calibri"/>
        <family val="2"/>
        <scheme val="minor"/>
      </rPr>
      <t>Aufgabe</t>
    </r>
    <r>
      <rPr>
        <sz val="11"/>
        <color theme="1"/>
        <rFont val="Calibri"/>
        <family val="2"/>
        <scheme val="minor"/>
      </rPr>
      <t xml:space="preserve">: Macht ein Gruppenbild am Schiffsanleger des Schluchsees (See im Hintergrund)
</t>
    </r>
  </si>
  <si>
    <t>47.83307963767624, 8.132605326120217</t>
  </si>
  <si>
    <t>50.96279745101804, 6.122523353452272</t>
  </si>
  <si>
    <r>
      <rPr>
        <b/>
        <sz val="11"/>
        <color theme="1"/>
        <rFont val="Calibri"/>
        <family val="2"/>
        <scheme val="minor"/>
      </rPr>
      <t>Aufgabe:</t>
    </r>
    <r>
      <rPr>
        <sz val="11"/>
        <color theme="1"/>
        <rFont val="Calibri"/>
        <family val="2"/>
        <scheme val="minor"/>
      </rPr>
      <t xml:space="preserve"> macht ein Bild von der Eisenbahnüberführung im Ort (mit Bahnübergangsschild im Hintergrund)
erst 2004 stillgelegter Abschnitt der Wetzlarer Bahn</t>
    </r>
  </si>
  <si>
    <t>51.99275634246797, 11.985386172097433</t>
  </si>
  <si>
    <r>
      <rPr>
        <b/>
        <sz val="11"/>
        <color theme="1"/>
        <rFont val="Calibri"/>
        <family val="2"/>
        <scheme val="minor"/>
      </rPr>
      <t xml:space="preserve">Info: </t>
    </r>
    <r>
      <rPr>
        <sz val="11"/>
        <color theme="1"/>
        <rFont val="Calibri"/>
        <family val="2"/>
        <scheme val="minor"/>
      </rPr>
      <t xml:space="preserve">Die historische Brikettpresse wurde als Industriedenkmal aufgestellt.
</t>
    </r>
    <r>
      <rPr>
        <b/>
        <sz val="11"/>
        <color theme="1"/>
        <rFont val="Calibri"/>
        <family val="2"/>
        <scheme val="minor"/>
      </rPr>
      <t xml:space="preserve">Aufgabe: </t>
    </r>
    <r>
      <rPr>
        <sz val="11"/>
        <color theme="1"/>
        <rFont val="Calibri"/>
        <family val="2"/>
        <scheme val="minor"/>
      </rPr>
      <t xml:space="preserve">Macht ein Bild von der historischen Brikettpresse.
</t>
    </r>
  </si>
  <si>
    <t>50.93661184215159, 6.695878316841652</t>
  </si>
  <si>
    <t>K-13</t>
  </si>
  <si>
    <t xml:space="preserve">Mach ein Bild von der Draisinentour
</t>
  </si>
  <si>
    <t>Bahnhofstraße, 67742 Lauterecken</t>
  </si>
  <si>
    <t>49.653495030689264, 7.590575081667932</t>
  </si>
  <si>
    <t>K-14</t>
  </si>
  <si>
    <r>
      <rPr>
        <b/>
        <sz val="11"/>
        <color theme="1"/>
        <rFont val="Calibri"/>
        <family val="2"/>
        <scheme val="minor"/>
      </rPr>
      <t xml:space="preserve">Aufgabe: </t>
    </r>
    <r>
      <rPr>
        <sz val="11"/>
        <color theme="1"/>
        <rFont val="Calibri"/>
        <family val="2"/>
        <scheme val="minor"/>
      </rPr>
      <t>Mache ein Foto vom Narrenbrunnen Lauda</t>
    </r>
  </si>
  <si>
    <t>Josef-Schmitt-Straße 2, 97922 Lauda-Königshofen</t>
  </si>
  <si>
    <t>49.569848664187965, 9.703358933219098</t>
  </si>
  <si>
    <t>K-15</t>
  </si>
  <si>
    <t xml:space="preserve">Lauft zur Wasserskianlage. Dreht ein Video, auf dem Ihr das Wasserskifahren nachstellt (mind. 1 min lang). Bonus: Füße vom Team in Wasser
</t>
  </si>
  <si>
    <t>Lohfelder Weg 91, 47239 Duisburg</t>
  </si>
  <si>
    <t>51.40748131384924, 6.670273950609471</t>
  </si>
  <si>
    <t>K-16</t>
  </si>
  <si>
    <t xml:space="preserve">Mache ein Foto von der Burg Hayn
</t>
  </si>
  <si>
    <t>Fahrgasse 52, 63303 Dreieich</t>
  </si>
  <si>
    <t>50.00185137712854, 8.716155158677356</t>
  </si>
  <si>
    <t>50.0121405239282, 7.061290757155431</t>
  </si>
  <si>
    <t>K-18</t>
  </si>
  <si>
    <r>
      <t xml:space="preserve">Elend (Harz) - kranker Ortsname, Harzquerbahn
</t>
    </r>
    <r>
      <rPr>
        <b/>
        <sz val="11"/>
        <color theme="1"/>
        <rFont val="Calibri"/>
        <family val="2"/>
        <scheme val="minor"/>
      </rPr>
      <t>Info:</t>
    </r>
    <r>
      <rPr>
        <sz val="11"/>
        <color theme="1"/>
        <rFont val="Calibri"/>
        <family val="2"/>
        <scheme val="minor"/>
      </rPr>
      <t xml:space="preserve"> 'Elend' kommt von mittelhochdeutsch 'ellende' = Fremde/Ausland - nicht von Jammer.
</t>
    </r>
    <r>
      <rPr>
        <b/>
        <sz val="11"/>
        <color theme="1"/>
        <rFont val="Calibri"/>
        <family val="2"/>
        <scheme val="minor"/>
      </rPr>
      <t>Aufgabe:</t>
    </r>
    <r>
      <rPr>
        <sz val="11"/>
        <color theme="1"/>
        <rFont val="Calibri"/>
        <family val="2"/>
        <scheme val="minor"/>
      </rPr>
      <t xml:space="preserve"> Macht ein Gruppenfoto am Ortsschild 'Elend' mit dem theatralisch-traurigsten Gesichtsausdruck - einer mimt das 'größte Elend'.
</t>
    </r>
    <r>
      <rPr>
        <b/>
        <sz val="11"/>
        <color theme="1"/>
        <rFont val="Calibri"/>
        <family val="2"/>
        <scheme val="minor"/>
      </rPr>
      <t>Bonus:</t>
    </r>
    <r>
      <rPr>
        <sz val="11"/>
        <color theme="1"/>
        <rFont val="Calibri"/>
        <family val="2"/>
        <scheme val="minor"/>
      </rPr>
      <t xml:space="preserve"> Wenn ihr auch den Nachbarort 'Sorge' anfahrt, montiert beide Fotos als Diptychon 'Von der Sorge ins Elend' im Logbuch.</t>
    </r>
  </si>
  <si>
    <t>Ortsschild Elend, 38875 Oberharz am Brocken</t>
  </si>
  <si>
    <t>51.744000, 10.694000</t>
  </si>
  <si>
    <t>K-19</t>
  </si>
  <si>
    <r>
      <rPr>
        <b/>
        <sz val="11"/>
        <color theme="1"/>
        <rFont val="Calibri"/>
        <family val="2"/>
        <scheme val="minor"/>
      </rPr>
      <t xml:space="preserve">Aufgabe: </t>
    </r>
    <r>
      <rPr>
        <sz val="11"/>
        <color theme="1"/>
        <rFont val="Calibri"/>
        <family val="2"/>
        <scheme val="minor"/>
      </rPr>
      <t>Macht ein Foto mit dem Schriftzug "Lütt Dörp School"</t>
    </r>
  </si>
  <si>
    <t>Dorfschule, Kirchenweg 2, 25889 Witzwort</t>
  </si>
  <si>
    <t>54.398533436448645, 8.986041673789854</t>
  </si>
  <si>
    <t>51.578496808284235, 6.51796409961473</t>
  </si>
  <si>
    <t>K-20</t>
  </si>
  <si>
    <r>
      <rPr>
        <b/>
        <sz val="11"/>
        <color theme="1"/>
        <rFont val="Calibri"/>
        <family val="2"/>
        <scheme val="minor"/>
      </rPr>
      <t>Info</t>
    </r>
    <r>
      <rPr>
        <sz val="11"/>
        <color theme="1"/>
        <rFont val="Calibri"/>
        <family val="2"/>
        <scheme val="minor"/>
      </rPr>
      <t xml:space="preserve">: Oberbillig ist eng mit dem luxemburgischen Ort Wasserbillig auf der anderen Flussseite verknüpft. Daher herrscht reger Verkehr zwischen beiden Orten. 
</t>
    </r>
    <r>
      <rPr>
        <b/>
        <sz val="11"/>
        <color theme="1"/>
        <rFont val="Calibri"/>
        <family val="2"/>
        <scheme val="minor"/>
      </rPr>
      <t>Aufgabe</t>
    </r>
    <r>
      <rPr>
        <sz val="11"/>
        <color theme="1"/>
        <rFont val="Calibri"/>
        <family val="2"/>
        <scheme val="minor"/>
      </rPr>
      <t xml:space="preserve">: begebt euch zum Fähranleger und macht ein Gruppenfoto. 
</t>
    </r>
    <r>
      <rPr>
        <b/>
        <sz val="11"/>
        <color theme="1"/>
        <rFont val="Calibri"/>
        <family val="2"/>
        <scheme val="minor"/>
      </rPr>
      <t>Bonus</t>
    </r>
    <r>
      <rPr>
        <sz val="11"/>
        <color theme="1"/>
        <rFont val="Calibri"/>
        <family val="2"/>
        <scheme val="minor"/>
      </rPr>
      <t>: zeigt der neutralen Tourbegleitung eure weltgewandte Seite und schippert auf die andere Moselseite (1€ je Fahrt) und macht dort einen Schnappschuss, der erkennen lässt, dass ihr euch auf der luxemburgischen Seite befindet.</t>
    </r>
  </si>
  <si>
    <t>49.712554193599736, 6.50417817601674</t>
  </si>
  <si>
    <t>K-21</t>
  </si>
  <si>
    <t>Foto vor dem bunten Signal des Kulturbahnhofs Holm-Seppensen.</t>
  </si>
  <si>
    <t>Bahnhofsweg 4, 21244 Buchholz in der Nordheide-Holm-Seppensen</t>
  </si>
  <si>
    <t>53.28490881918764, 9.870200031043497</t>
  </si>
  <si>
    <t>K-22</t>
  </si>
  <si>
    <r>
      <rPr>
        <b/>
        <sz val="11"/>
        <color theme="1"/>
        <rFont val="Calibri"/>
        <family val="2"/>
        <scheme val="minor"/>
      </rPr>
      <t xml:space="preserve">Info: </t>
    </r>
    <r>
      <rPr>
        <sz val="11"/>
        <color theme="1"/>
        <rFont val="Calibri"/>
        <family val="2"/>
        <scheme val="minor"/>
      </rPr>
      <t>Der frühere, althochdeutsche Ortsname „Hasalaha“ bedeutet so viel wie „durch Haselgebüsch fließendes Gewässer“. „Hasal“ ist die althochdeutsche Bezeichnung für den Haselstrauch, „aha“ heißt so viel wie „Wasser“ oder „Bach“.</t>
    </r>
    <r>
      <rPr>
        <b/>
        <sz val="11"/>
        <color theme="1"/>
        <rFont val="Calibri"/>
        <family val="2"/>
        <scheme val="minor"/>
      </rPr>
      <t xml:space="preserve">
Aufgabe</t>
    </r>
    <r>
      <rPr>
        <sz val="11"/>
        <color theme="1"/>
        <rFont val="Calibri"/>
        <family val="2"/>
        <scheme val="minor"/>
      </rPr>
      <t>: Lasst ein wenig Liebe da. Macht ein Gruppenfoto mit einem (gerne selbstgebastelten Herz) auf dem Rathausplatz vor den Brunnenskulturen.</t>
    </r>
  </si>
  <si>
    <t>Rathauspl. 3, 67454 Haßloch</t>
  </si>
  <si>
    <t>49.36288963759774, 8.256278697432842</t>
  </si>
  <si>
    <r>
      <rPr>
        <b/>
        <sz val="11"/>
        <color theme="1"/>
        <rFont val="Calibri"/>
        <family val="2"/>
        <scheme val="minor"/>
      </rPr>
      <t xml:space="preserve">Info: </t>
    </r>
    <r>
      <rPr>
        <sz val="11"/>
        <color theme="1"/>
        <rFont val="Calibri"/>
        <family val="2"/>
        <scheme val="minor"/>
      </rPr>
      <t xml:space="preserve">Der Legende nach starb hier an der Kinzigquelle das tapfere Pferd "Fritz" eines Soldaten, nach langer und anstrengender Reise.
</t>
    </r>
    <r>
      <rPr>
        <b/>
        <sz val="11"/>
        <color theme="1"/>
        <rFont val="Calibri"/>
        <family val="2"/>
        <scheme val="minor"/>
      </rPr>
      <t>Aufgabe:</t>
    </r>
    <r>
      <rPr>
        <sz val="11"/>
        <color theme="1"/>
        <rFont val="Calibri"/>
        <family val="2"/>
        <scheme val="minor"/>
      </rPr>
      <t xml:space="preserve"> Gedenkt seiner Strapazen und erfrischt euch an der Quelle. Macht ein Foto davon. 
</t>
    </r>
    <r>
      <rPr>
        <b/>
        <sz val="11"/>
        <color theme="1"/>
        <rFont val="Calibri"/>
        <family val="2"/>
        <scheme val="minor"/>
      </rPr>
      <t>Bonus:</t>
    </r>
    <r>
      <rPr>
        <sz val="11"/>
        <color theme="1"/>
        <rFont val="Calibri"/>
        <family val="2"/>
        <scheme val="minor"/>
      </rPr>
      <t xml:space="preserve"> Spielt die Szene mit dem Pferd und die Namensgeschichte von Sterbfritz nach. Haltet dies in einem Video fest.</t>
    </r>
  </si>
  <si>
    <t>36391 Sinntal</t>
  </si>
  <si>
    <t>50.304875815819244, 9.62506681081526</t>
  </si>
  <si>
    <t>K-24</t>
  </si>
  <si>
    <r>
      <rPr>
        <b/>
        <sz val="11"/>
        <color theme="1"/>
        <rFont val="Calibri"/>
        <family val="2"/>
        <scheme val="minor"/>
      </rPr>
      <t>Infos:</t>
    </r>
    <r>
      <rPr>
        <sz val="11"/>
        <color theme="1"/>
        <rFont val="Calibri"/>
        <family val="2"/>
        <scheme val="minor"/>
      </rPr>
      <t xml:space="preserve"> nur Stunden Takt am WE 2h takt.  Es gibt ein Peitschen Museum, das hat Sonntags geöffnet.
</t>
    </r>
    <r>
      <rPr>
        <b/>
        <sz val="11"/>
        <color theme="1"/>
        <rFont val="Calibri"/>
        <family val="2"/>
        <scheme val="minor"/>
      </rPr>
      <t>Aufgabe:</t>
    </r>
    <r>
      <rPr>
        <sz val="11"/>
        <color theme="1"/>
        <rFont val="Calibri"/>
        <family val="2"/>
        <scheme val="minor"/>
      </rPr>
      <t xml:space="preserve"> Singt i Shot the Sheriff von Bob Marley vor dem Museum und geht danach entspannt was essen (2h takt ;-))</t>
    </r>
  </si>
  <si>
    <t>Am Peitschenmuseum 1, 72393 Burladingen</t>
  </si>
  <si>
    <t>48.31591293013036, 9.060907669791597</t>
  </si>
  <si>
    <t>K-25</t>
  </si>
  <si>
    <r>
      <rPr>
        <b/>
        <sz val="11"/>
        <color theme="1"/>
        <rFont val="Calibri"/>
        <family val="2"/>
        <scheme val="minor"/>
      </rPr>
      <t xml:space="preserve">Info: </t>
    </r>
    <r>
      <rPr>
        <sz val="11"/>
        <color theme="1"/>
        <rFont val="Calibri"/>
        <family val="2"/>
        <scheme val="minor"/>
      </rPr>
      <t xml:space="preserve">Ein neuer Modebegriff ist "Ick" und kommt im Dating-Kontext vor, wenn jemand durch bestimmte Eigenschaften, Verhaltensweisen oder Eigenarten eines Partners plötzlich das Interesse verliert. Witzigerweise gibt es in Bayern den Ort "Icking", unweit von München.
</t>
    </r>
    <r>
      <rPr>
        <b/>
        <sz val="11"/>
        <color theme="1"/>
        <rFont val="Calibri"/>
        <family val="2"/>
        <scheme val="minor"/>
      </rPr>
      <t xml:space="preserve">Aufgabe: </t>
    </r>
    <r>
      <rPr>
        <sz val="11"/>
        <color theme="1"/>
        <rFont val="Calibri"/>
        <family val="2"/>
        <scheme val="minor"/>
      </rPr>
      <t xml:space="preserve">Fahrt zum Bahnhof Icking, geht zur Straße "Dickweg" und macht ein Bild vom Straßenschild.
</t>
    </r>
    <r>
      <rPr>
        <b/>
        <sz val="11"/>
        <color theme="1"/>
        <rFont val="Calibri"/>
        <family val="2"/>
        <scheme val="minor"/>
      </rPr>
      <t>Bonusaufgabe:</t>
    </r>
    <r>
      <rPr>
        <sz val="11"/>
        <color theme="1"/>
        <rFont val="Calibri"/>
        <family val="2"/>
        <scheme val="minor"/>
      </rPr>
      <t xml:space="preserve"> Das Bild bearbeiten und den Teil "ick" farblich highlighten. ohne den Erstbuchstaben ;)</t>
    </r>
  </si>
  <si>
    <t>Dickweg 3-9, 82057 Icking</t>
  </si>
  <si>
    <t>47.96021927485314, 11.435444110476672</t>
  </si>
  <si>
    <t>K-3</t>
  </si>
  <si>
    <t xml:space="preserve">Mache ein Bild unter dem Schwanz vom Korker Stier
</t>
  </si>
  <si>
    <t>Auf dem Bühl 6-14, 77694 Kehl</t>
  </si>
  <si>
    <t>48.566578989858534, 7.868758426795653</t>
  </si>
  <si>
    <t>K-4</t>
  </si>
  <si>
    <r>
      <t xml:space="preserve">Busenberg-Schindhard (Pfalz) - kranker Ortsname
</t>
    </r>
    <r>
      <rPr>
        <b/>
        <sz val="11"/>
        <color theme="1"/>
        <rFont val="Calibri"/>
        <family val="2"/>
        <scheme val="minor"/>
      </rPr>
      <t>Aufgabe:</t>
    </r>
    <r>
      <rPr>
        <sz val="11"/>
        <color theme="1"/>
        <rFont val="Calibri"/>
        <family val="2"/>
        <scheme val="minor"/>
      </rPr>
      <t xml:space="preserve"> Dreht am Ortsschild 'Busenberg' einen kurzen Werbespot à la Dessous-Kampagne: alle posieren übertrieben selbstbewusst mit herausgestreckter Brust und Model-Blick (Video, mind. 15s).</t>
    </r>
  </si>
  <si>
    <t>Ortsschild Busenberg, 76891 Busenberg</t>
  </si>
  <si>
    <t>49.140500, 7.802500</t>
  </si>
  <si>
    <t>51.311298388191446, 13.105080223303409</t>
  </si>
  <si>
    <t>K-6</t>
  </si>
  <si>
    <r>
      <rPr>
        <b/>
        <sz val="11"/>
        <color theme="1"/>
        <rFont val="Calibri"/>
        <family val="2"/>
        <scheme val="minor"/>
      </rPr>
      <t>Info:</t>
    </r>
    <r>
      <rPr>
        <sz val="11"/>
        <color theme="1"/>
        <rFont val="Calibri"/>
        <family val="2"/>
        <scheme val="minor"/>
      </rPr>
      <t xml:space="preserve"> Wie wäre es mit einem Kuchen in Kuchen? Dann besucht doch die Bäckerei Germania, Öffnungszeiten tgl. 6-20 Uhr
</t>
    </r>
    <r>
      <rPr>
        <b/>
        <sz val="11"/>
        <color theme="1"/>
        <rFont val="Calibri"/>
        <family val="2"/>
        <scheme val="minor"/>
      </rPr>
      <t>Aufgabe:</t>
    </r>
    <r>
      <rPr>
        <sz val="11"/>
        <color theme="1"/>
        <rFont val="Calibri"/>
        <family val="2"/>
        <scheme val="minor"/>
      </rPr>
      <t xml:space="preserve"> Macht ein Bild von euch vor der Bäckerei Germania und tut so als würded ihr genüsslich einen Kuchen essen
</t>
    </r>
    <r>
      <rPr>
        <b/>
        <sz val="11"/>
        <color theme="1"/>
        <rFont val="Calibri"/>
        <family val="2"/>
        <scheme val="minor"/>
      </rPr>
      <t>Bonus:</t>
    </r>
    <r>
      <rPr>
        <sz val="11"/>
        <color theme="1"/>
        <rFont val="Calibri"/>
        <family val="2"/>
        <scheme val="minor"/>
      </rPr>
      <t xml:space="preserve"> Erledige die Aufgabe mit einem echten Kuchen im Bild</t>
    </r>
  </si>
  <si>
    <t>Hauptstraße 66, 73329 Kuchen</t>
  </si>
  <si>
    <t>48.635032073689885, 9.801923765823085</t>
  </si>
  <si>
    <t>49.60078073764951, 11.343457262075743</t>
  </si>
  <si>
    <t>49.50529914508383, 11.73605053060084</t>
  </si>
  <si>
    <t>K-9</t>
  </si>
  <si>
    <t xml:space="preserve">Mache ein Bild vom Zeidlerschloss Feucht
</t>
  </si>
  <si>
    <t>Mittlerer Zeidlerweg 8, 90537 Feucht</t>
  </si>
  <si>
    <t>49.37679052003477, 11.213893153165698</t>
  </si>
  <si>
    <t>M-1</t>
  </si>
  <si>
    <r>
      <rPr>
        <b/>
        <sz val="11"/>
        <rFont val="Calibri"/>
        <family val="2"/>
        <scheme val="minor"/>
      </rPr>
      <t>Info</t>
    </r>
    <r>
      <rPr>
        <sz val="11"/>
        <rFont val="Calibri"/>
        <family val="2"/>
        <scheme val="minor"/>
      </rPr>
      <t xml:space="preserve">: Münster hat eine Vielzahl von Yogastudios. </t>
    </r>
    <r>
      <rPr>
        <b/>
        <sz val="11"/>
        <rFont val="Calibri"/>
        <family val="2"/>
        <scheme val="minor"/>
      </rPr>
      <t>Aufgabe:</t>
    </r>
    <r>
      <rPr>
        <sz val="11"/>
        <rFont val="Calibri"/>
        <family val="2"/>
        <scheme val="minor"/>
      </rPr>
      <t xml:space="preserve"> Geht in den Park in der Nähe vom Hauptbahnhof und macht den herabschauenden Hund und ein Foto davon. </t>
    </r>
  </si>
  <si>
    <t>Windthorststraße, 48143 Münster</t>
  </si>
  <si>
    <t>51.95749540487257, 7.630882635543324</t>
  </si>
  <si>
    <t>M-10</t>
  </si>
  <si>
    <r>
      <rPr>
        <b/>
        <sz val="11"/>
        <color theme="1"/>
        <rFont val="Calibri"/>
        <family val="2"/>
        <scheme val="minor"/>
      </rPr>
      <t>Info</t>
    </r>
    <r>
      <rPr>
        <sz val="11"/>
        <color theme="1"/>
        <rFont val="Calibri"/>
        <family val="2"/>
        <scheme val="minor"/>
      </rPr>
      <t xml:space="preserve">: Der See staut das Wasser der Aa (was ein blöder Name für einen Fluss)
</t>
    </r>
    <r>
      <rPr>
        <b/>
        <sz val="11"/>
        <color theme="1"/>
        <rFont val="Calibri"/>
        <family val="2"/>
        <scheme val="minor"/>
      </rPr>
      <t>Aufgabe</t>
    </r>
    <r>
      <rPr>
        <sz val="11"/>
        <color theme="1"/>
        <rFont val="Calibri"/>
        <family val="2"/>
        <scheme val="minor"/>
      </rPr>
      <t xml:space="preserve">: Macht ein Bild vom Rondell mit dem See im Hintergrund 
</t>
    </r>
    <r>
      <rPr>
        <b/>
        <sz val="11"/>
        <color theme="1"/>
        <rFont val="Calibri"/>
        <family val="2"/>
        <scheme val="minor"/>
      </rPr>
      <t>Bonus</t>
    </r>
    <r>
      <rPr>
        <sz val="11"/>
        <color theme="1"/>
        <rFont val="Calibri"/>
        <family val="2"/>
        <scheme val="minor"/>
      </rPr>
      <t>: Die "Giant Pool-Balls" und der See sind gleichzeitig im Bild zu sehen</t>
    </r>
  </si>
  <si>
    <t>Adenauerallee, 48149 Münster</t>
  </si>
  <si>
    <t>51.95682004690475, 7.617589001720361</t>
  </si>
  <si>
    <t>M-11</t>
  </si>
  <si>
    <t>M-12</t>
  </si>
  <si>
    <r>
      <rPr>
        <b/>
        <sz val="11"/>
        <color rgb="FF000000"/>
        <rFont val="Calibri"/>
        <family val="2"/>
      </rPr>
      <t>Info:</t>
    </r>
    <r>
      <rPr>
        <sz val="11"/>
        <color rgb="FF000000"/>
        <rFont val="Calibri"/>
        <family val="2"/>
      </rPr>
      <t xml:space="preserve"> Im Friedenssaal in Münster wurde 1648 der Westfälische Frieden geschlossen.
</t>
    </r>
    <r>
      <rPr>
        <b/>
        <sz val="11"/>
        <color rgb="FF000000"/>
        <rFont val="Calibri"/>
        <family val="2"/>
      </rPr>
      <t>Aufgabe:</t>
    </r>
    <r>
      <rPr>
        <sz val="11"/>
        <color rgb="FF000000"/>
        <rFont val="Calibri"/>
        <family val="2"/>
      </rPr>
      <t xml:space="preserve"> Mache ein Foto vor dem Historischen Rathaus.
</t>
    </r>
    <r>
      <rPr>
        <b/>
        <sz val="11"/>
        <color rgb="FF000000"/>
        <rFont val="Calibri"/>
        <family val="2"/>
      </rPr>
      <t>Bonus:</t>
    </r>
    <r>
      <rPr>
        <sz val="11"/>
        <color rgb="FF000000"/>
        <rFont val="Calibri"/>
        <family val="2"/>
      </rPr>
      <t xml:space="preserve"> Mache ein Foto im Friedenssaal (evtl. ist dies nur im Rahmen einer Führung möglich).</t>
    </r>
  </si>
  <si>
    <t>Prinzipalmarkt 10, 48143 Münster</t>
  </si>
  <si>
    <t>51.96180839297552, 7.627966833935015</t>
  </si>
  <si>
    <t>Besichtige den Matchasee und schreibe eine Google Maps Rezension dazu</t>
  </si>
  <si>
    <t>Schorlemerstraße 15, 48143 Münster</t>
  </si>
  <si>
    <t>51.956476, 7.629967</t>
  </si>
  <si>
    <t>0,4</t>
  </si>
  <si>
    <r>
      <rPr>
        <b/>
        <sz val="11"/>
        <color theme="1"/>
        <rFont val="Calibri"/>
        <family val="2"/>
        <scheme val="minor"/>
      </rPr>
      <t>Infos:</t>
    </r>
    <r>
      <rPr>
        <sz val="11"/>
        <color theme="1"/>
        <rFont val="Calibri"/>
        <family val="2"/>
        <scheme val="minor"/>
      </rPr>
      <t xml:space="preserve"> Hier ist der Name Programm, erholt euch von den Strapazen der Kranken Tour auf dem Spielplatz.
</t>
    </r>
    <r>
      <rPr>
        <b/>
        <sz val="11"/>
        <color theme="1"/>
        <rFont val="Calibri"/>
        <family val="2"/>
        <scheme val="minor"/>
      </rPr>
      <t>Aufgabe:</t>
    </r>
    <r>
      <rPr>
        <sz val="11"/>
        <color theme="1"/>
        <rFont val="Calibri"/>
        <family val="2"/>
        <scheme val="minor"/>
      </rPr>
      <t xml:space="preserve"> Rutscht einmal aus dem Flugzeug (50% des Teams)</t>
    </r>
  </si>
  <si>
    <t>Breul 16B, 48143 Münster</t>
  </si>
  <si>
    <t>51.96763043484911, 7.62955725607841</t>
  </si>
  <si>
    <r>
      <rPr>
        <b/>
        <sz val="11"/>
        <color theme="1"/>
        <rFont val="Calibri"/>
        <family val="2"/>
        <scheme val="minor"/>
      </rPr>
      <t xml:space="preserve">Info: </t>
    </r>
    <r>
      <rPr>
        <sz val="11"/>
        <color theme="1"/>
        <rFont val="Calibri"/>
        <family val="2"/>
        <scheme val="minor"/>
      </rPr>
      <t xml:space="preserve">Münster beherbergt ein Pablo Picasso Kunstmuseum
</t>
    </r>
    <r>
      <rPr>
        <b/>
        <sz val="11"/>
        <color theme="1"/>
        <rFont val="Calibri"/>
        <family val="2"/>
        <scheme val="minor"/>
      </rPr>
      <t xml:space="preserve">Aufgabe: </t>
    </r>
    <r>
      <rPr>
        <sz val="11"/>
        <color theme="1"/>
        <rFont val="Calibri"/>
        <family val="2"/>
        <scheme val="minor"/>
      </rPr>
      <t>Fahrt zum Haupteingang des Museums und macht ein Gruppenbild am Eingang. Sollte das Museum offen sein, mit einem Prospekt/Fyler des Museums in die Kamera zeigend.</t>
    </r>
  </si>
  <si>
    <t>Picassoplatz 1, 48143 Münster</t>
  </si>
  <si>
    <t>51.96024922402904, 7.626451467188306</t>
  </si>
  <si>
    <t>M-16</t>
  </si>
  <si>
    <r>
      <rPr>
        <b/>
        <sz val="11"/>
        <color theme="1"/>
        <rFont val="Calibri"/>
        <family val="2"/>
        <scheme val="minor"/>
      </rPr>
      <t xml:space="preserve">Info: </t>
    </r>
    <r>
      <rPr>
        <sz val="11"/>
        <color theme="1"/>
        <rFont val="Calibri"/>
        <family val="2"/>
        <scheme val="minor"/>
      </rPr>
      <t xml:space="preserve">Der Brunnen "Sketch for a fountain" wurde durch Bürgerinnen und Bürger der Stadt Münster angekauft und nach der "Skulptur Projekte 2017" an seinen Ursprungsort zurückgebracht.
</t>
    </r>
    <r>
      <rPr>
        <b/>
        <sz val="11"/>
        <color theme="1"/>
        <rFont val="Calibri"/>
        <family val="2"/>
        <scheme val="minor"/>
      </rPr>
      <t xml:space="preserve">Aufgabe: </t>
    </r>
    <r>
      <rPr>
        <sz val="11"/>
        <color theme="1"/>
        <rFont val="Calibri"/>
        <family val="2"/>
        <scheme val="minor"/>
      </rPr>
      <t xml:space="preserve">Gesellt Euch zum Brunnen dazu.
</t>
    </r>
    <r>
      <rPr>
        <b/>
        <sz val="11"/>
        <color theme="1"/>
        <rFont val="Calibri"/>
        <family val="2"/>
        <scheme val="minor"/>
      </rPr>
      <t xml:space="preserve">Bonus: </t>
    </r>
    <r>
      <rPr>
        <sz val="11"/>
        <color theme="1"/>
        <rFont val="Calibri"/>
        <family val="2"/>
        <scheme val="minor"/>
      </rPr>
      <t>Für Badebekleidung</t>
    </r>
  </si>
  <si>
    <t>Am Kreuztor, 48143 Münster</t>
  </si>
  <si>
    <t>51.967280919315016, 7.622258117196779</t>
  </si>
  <si>
    <t>M-17</t>
  </si>
  <si>
    <t>Info: Hier hängen die ältesten Mettwürste Westfalens.
Aufgabe: Foto vor dem Museum für Kunst und Kultur</t>
  </si>
  <si>
    <t>Dompl. 10, 48143 Münster</t>
  </si>
  <si>
    <t>51.96162940295664, 7.624166667757955</t>
  </si>
  <si>
    <t>M-18</t>
  </si>
  <si>
    <t>Gasometer Münster - Macht ein Foto mit dem Gasometer Münster, das Gasometer und das Eingangstor müssen auf dem Bild sein</t>
  </si>
  <si>
    <t>Boelckeweg 3, 48155 Münster</t>
  </si>
  <si>
    <t>51.942981396632376, 7.648668689773982</t>
  </si>
  <si>
    <r>
      <rPr>
        <b/>
        <sz val="11"/>
        <color theme="1"/>
        <rFont val="Calibri"/>
        <family val="2"/>
        <scheme val="minor"/>
      </rPr>
      <t>Info</t>
    </r>
    <r>
      <rPr>
        <sz val="11"/>
        <color theme="1"/>
        <rFont val="Calibri"/>
        <family val="2"/>
        <scheme val="minor"/>
      </rPr>
      <t xml:space="preserve">: An diesem Ort starten bei gutem Wetter Heißluftballons.
</t>
    </r>
    <r>
      <rPr>
        <b/>
        <sz val="11"/>
        <color theme="1"/>
        <rFont val="Calibri"/>
        <family val="2"/>
        <scheme val="minor"/>
      </rPr>
      <t>Aufgabe</t>
    </r>
    <r>
      <rPr>
        <sz val="11"/>
        <color theme="1"/>
        <rFont val="Calibri"/>
        <family val="2"/>
        <scheme val="minor"/>
      </rPr>
      <t xml:space="preserve">: Beobachtet die Wiese und macht dabei eine kurze Meditation von 10 Minuten. Dokumentiert eure innere Ruhe mit einem Foto.
</t>
    </r>
    <r>
      <rPr>
        <b/>
        <sz val="11"/>
        <color theme="1"/>
        <rFont val="Calibri"/>
        <family val="2"/>
        <scheme val="minor"/>
      </rPr>
      <t>Bonus</t>
    </r>
    <r>
      <rPr>
        <sz val="11"/>
        <color theme="1"/>
        <rFont val="Calibri"/>
        <family val="2"/>
        <scheme val="minor"/>
      </rPr>
      <t>: Ein Heißluftballon ist auf dem Foto zu sehen.</t>
    </r>
  </si>
  <si>
    <t>Emstor 5-7, 48291 Telgte</t>
  </si>
  <si>
    <t>51.985526039720135, 7.790336114340877</t>
  </si>
  <si>
    <r>
      <rPr>
        <b/>
        <sz val="11"/>
        <color theme="1"/>
        <rFont val="Calibri"/>
        <family val="2"/>
        <scheme val="minor"/>
      </rPr>
      <t xml:space="preserve">Info: </t>
    </r>
    <r>
      <rPr>
        <sz val="11"/>
        <color theme="1"/>
        <rFont val="Calibri"/>
        <family val="2"/>
        <scheme val="minor"/>
      </rPr>
      <t xml:space="preserve">Es gibt in Münster eine alte Lok, mit der Bombentrümmer aus der Stadt transportiert wurden.
</t>
    </r>
    <r>
      <rPr>
        <b/>
        <sz val="11"/>
        <color theme="1"/>
        <rFont val="Calibri"/>
        <family val="2"/>
        <scheme val="minor"/>
      </rPr>
      <t xml:space="preserve">Aufgabe: </t>
    </r>
    <r>
      <rPr>
        <sz val="11"/>
        <color theme="1"/>
        <rFont val="Calibri"/>
        <family val="2"/>
        <scheme val="minor"/>
      </rPr>
      <t>Macht ein Foto von der Lok.</t>
    </r>
  </si>
  <si>
    <t>48143 Promenade, 48143 Münster</t>
  </si>
  <si>
    <t>51.96792587068301, 7.6168832197526015</t>
  </si>
  <si>
    <t>M-20</t>
  </si>
  <si>
    <t>Besucht den Kinderspielplatz Heroldstraße (Heidbusch) und macht ein Gruppenfoto von euch auf der Spieleisenbahn. Einer aus dem Team darf in der Lok sitzen, der Rest findet seinen Platz im Reisezugwagen.</t>
  </si>
  <si>
    <t>Heroldstraße, 48163 Münster</t>
  </si>
  <si>
    <t>51.92012480718979, 7.573847524308015</t>
  </si>
  <si>
    <t>M-21</t>
  </si>
  <si>
    <r>
      <rPr>
        <b/>
        <sz val="11"/>
        <color theme="1"/>
        <rFont val="Calibri"/>
        <family val="2"/>
        <scheme val="minor"/>
      </rPr>
      <t xml:space="preserve">Info: </t>
    </r>
    <r>
      <rPr>
        <sz val="11"/>
        <color theme="1"/>
        <rFont val="Calibri"/>
        <family val="2"/>
        <scheme val="minor"/>
      </rPr>
      <t xml:space="preserve">Der legendäre Ludgerikreisel wurde durch Social Media in Zeiten der Covid-19 Pandemie sehr bekannt. Man munkelt es liefen dort schon einige Leute einen Marathon im Kreis
</t>
    </r>
    <r>
      <rPr>
        <b/>
        <sz val="11"/>
        <color theme="1"/>
        <rFont val="Calibri"/>
        <family val="2"/>
        <scheme val="minor"/>
      </rPr>
      <t>Aufgabe:</t>
    </r>
    <r>
      <rPr>
        <sz val="11"/>
        <color theme="1"/>
        <rFont val="Calibri"/>
        <family val="2"/>
        <scheme val="minor"/>
      </rPr>
      <t xml:space="preserve"> Mind. eine Person umrundet den Kreisverkehr so schnell wie möglich. Die anderen machen ein Video. 
</t>
    </r>
    <r>
      <rPr>
        <b/>
        <sz val="11"/>
        <color theme="1"/>
        <rFont val="Calibri"/>
        <family val="2"/>
        <scheme val="minor"/>
      </rPr>
      <t xml:space="preserve">Bonus: </t>
    </r>
    <r>
      <rPr>
        <sz val="11"/>
        <color theme="1"/>
        <rFont val="Calibri"/>
        <family val="2"/>
        <scheme val="minor"/>
      </rPr>
      <t>Kommentiert das Video, als ob der Läufer/die Läuferin einen Marathon rennt.</t>
    </r>
  </si>
  <si>
    <t>Ludgerikreisel Münster, 48142 Münster</t>
  </si>
  <si>
    <t>51.955791, 7.626453</t>
  </si>
  <si>
    <t>M-22</t>
  </si>
  <si>
    <r>
      <t xml:space="preserve">Münster - St.-Paulus-Dom (astronomische Uhr)
</t>
    </r>
    <r>
      <rPr>
        <b/>
        <sz val="11"/>
        <color theme="1"/>
        <rFont val="Calibri"/>
        <family val="2"/>
        <scheme val="minor"/>
      </rPr>
      <t>Info</t>
    </r>
    <r>
      <rPr>
        <sz val="11"/>
        <color theme="1"/>
        <rFont val="Calibri"/>
        <family val="2"/>
        <scheme val="minor"/>
      </rPr>
      <t xml:space="preserve">: Die astronomische Uhr von 1540 läuft entgegen dem Uhrzeigersinn; täglich um 12 Uhr (So 12:30) spielt ein Glockenspiel.
</t>
    </r>
    <r>
      <rPr>
        <b/>
        <sz val="11"/>
        <color theme="1"/>
        <rFont val="Calibri"/>
        <family val="2"/>
        <scheme val="minor"/>
      </rPr>
      <t>Aufgabe:</t>
    </r>
    <r>
      <rPr>
        <sz val="11"/>
        <color theme="1"/>
        <rFont val="Calibri"/>
        <family val="2"/>
        <scheme val="minor"/>
      </rPr>
      <t xml:space="preserve"> Findet im Dom die astronomische Uhr und stellt als Team die Zeigerstellung mit euren Körpern/Armen nach - einer ist der Stundenzeiger, einer der Minutenzeiger.
</t>
    </r>
    <r>
      <rPr>
        <b/>
        <sz val="11"/>
        <color theme="1"/>
        <rFont val="Calibri"/>
        <family val="2"/>
        <scheme val="minor"/>
      </rPr>
      <t>Bonus:</t>
    </r>
    <r>
      <rPr>
        <sz val="11"/>
        <color theme="1"/>
        <rFont val="Calibri"/>
        <family val="2"/>
        <scheme val="minor"/>
      </rPr>
      <t xml:space="preserve"> Seid um 12:00 Uhr (So 12:30) da und filmt das Glockenspiel live.</t>
    </r>
  </si>
  <si>
    <t>Domplatz 28, 48143 Münster</t>
  </si>
  <si>
    <t>51.963330, 7.625560</t>
  </si>
  <si>
    <t>Mache ein Foto vor dem Schulze Frenkings-Hof</t>
  </si>
  <si>
    <t>Schulze-Frenkings-Hof 40, 48301 Nottuln-Appelhülsen</t>
  </si>
  <si>
    <t>51.898162377400205, 7.421931894485853</t>
  </si>
  <si>
    <r>
      <rPr>
        <b/>
        <sz val="11"/>
        <color theme="1"/>
        <rFont val="Calibri"/>
        <family val="2"/>
        <scheme val="minor"/>
      </rPr>
      <t>Info</t>
    </r>
    <r>
      <rPr>
        <sz val="11"/>
        <color theme="1"/>
        <rFont val="Calibri"/>
        <family val="2"/>
        <scheme val="minor"/>
      </rPr>
      <t xml:space="preserve">: Das Krameramtshaus gehört zu den ältesten und besterhaltenen Gildehäusern der Stadt. Errichtet im Jahr 1589, diente es als Versammlungs- und Verwaltungssitz des Krameramts, der Zunft der Kaufleute. Heutzutage ist dort ein deutsch-niederländisches Kultur- und Forschungszentrum. 
</t>
    </r>
    <r>
      <rPr>
        <b/>
        <sz val="11"/>
        <color theme="1"/>
        <rFont val="Calibri"/>
        <family val="2"/>
        <scheme val="minor"/>
      </rPr>
      <t>Aufgabe</t>
    </r>
    <r>
      <rPr>
        <sz val="11"/>
        <color theme="1"/>
        <rFont val="Calibri"/>
        <family val="2"/>
        <scheme val="minor"/>
      </rPr>
      <t xml:space="preserve">: macht ein Foto/Video, wie 2 Personen eures Teams Tandem fahren - ob dieses geborgt ist, imaginär, oder sonst wie ist eurer Kreativität überlassen. </t>
    </r>
  </si>
  <si>
    <t>Alter Steinweg 6/7, 48143 Münster</t>
  </si>
  <si>
    <t>51.962990705619404, 7.629862204107148</t>
  </si>
  <si>
    <t>M-3</t>
  </si>
  <si>
    <t>Aufgabe: Macht ein Bild vor dem Kiepenkerl-Denkmal und habt dabei möglichst viele Gepäckstücke dabei!
Bonus: Für jedes sichtbare Gepäckstück auf dem Rücken gibt es 5 Bonuspunkte, maximal gibt es 30 Bonuspunkte</t>
  </si>
  <si>
    <t>Bergstraße 3, 48143 Münster</t>
  </si>
  <si>
    <t>51.96427657351781, 7.626182267758123</t>
  </si>
  <si>
    <t>M-4</t>
  </si>
  <si>
    <r>
      <rPr>
        <b/>
        <sz val="11"/>
        <color theme="1"/>
        <rFont val="Calibri"/>
        <family val="2"/>
        <scheme val="minor"/>
      </rPr>
      <t>Aufgabe</t>
    </r>
    <r>
      <rPr>
        <sz val="11"/>
        <color theme="1"/>
        <rFont val="Calibri"/>
        <family val="2"/>
        <scheme val="minor"/>
      </rPr>
      <t>: Macht ein Bild auf der Schillerbrücke</t>
    </r>
  </si>
  <si>
    <t>Schillerstraße, 48155 Münster</t>
  </si>
  <si>
    <t>51.95135180988387, 7.650664520701478</t>
  </si>
  <si>
    <t>Macht ein Foto des Teams mit den 3 Wiedertäuferkäfigen</t>
  </si>
  <si>
    <t>Lambertikirchpl. 1, 48143 Münster</t>
  </si>
  <si>
    <t>51.96295470431239, 7.628903996772993</t>
  </si>
  <si>
    <t>M-6</t>
  </si>
  <si>
    <t>Mache ein Foto mit dem Kriegsveteranen, der nach dem zweiten Weltkrieg Trümmer aus der Stadt befördert hat.</t>
  </si>
  <si>
    <t>Jüdefelder Eck Kiosk, Münzstraße 1 a, 48143 Münster</t>
  </si>
  <si>
    <t>51.967123153935766, 7.617273294488349</t>
  </si>
  <si>
    <t>M-7</t>
  </si>
  <si>
    <r>
      <rPr>
        <b/>
        <sz val="11"/>
        <color theme="1"/>
        <rFont val="Calibri"/>
        <family val="2"/>
        <scheme val="minor"/>
      </rPr>
      <t>Info</t>
    </r>
    <r>
      <rPr>
        <sz val="11"/>
        <color theme="1"/>
        <rFont val="Calibri"/>
        <family val="2"/>
        <scheme val="minor"/>
      </rPr>
      <t xml:space="preserve">: Münster liegt mitten im Inland und trotzdem gibt es einen schönen Stadthafen in der Stadt
</t>
    </r>
    <r>
      <rPr>
        <b/>
        <sz val="11"/>
        <color theme="1"/>
        <rFont val="Calibri"/>
        <family val="2"/>
        <scheme val="minor"/>
      </rPr>
      <t>Aufgabe:</t>
    </r>
    <r>
      <rPr>
        <sz val="11"/>
        <color theme="1"/>
        <rFont val="Calibri"/>
        <family val="2"/>
        <scheme val="minor"/>
      </rPr>
      <t xml:space="preserve"> Geht zum Stadthafen und macht ein Foto mit mind 3 Fahrrädern im Bild
</t>
    </r>
    <r>
      <rPr>
        <b/>
        <sz val="11"/>
        <color theme="1"/>
        <rFont val="Calibri"/>
        <family val="2"/>
        <scheme val="minor"/>
      </rPr>
      <t>Bonus:</t>
    </r>
    <r>
      <rPr>
        <sz val="11"/>
        <color theme="1"/>
        <rFont val="Calibri"/>
        <family val="2"/>
        <scheme val="minor"/>
      </rPr>
      <t xml:space="preserve"> Findet die Spelunke und macht auch davon ein Foto.</t>
    </r>
  </si>
  <si>
    <t>Hafenplatz, 48155 Münster</t>
  </si>
  <si>
    <t>51.950934, 7.63689</t>
  </si>
  <si>
    <t>M-8</t>
  </si>
  <si>
    <r>
      <t xml:space="preserve">Münster - Erbdrostenhof (Barockpalais von J.C. Schlaun)
</t>
    </r>
    <r>
      <rPr>
        <b/>
        <sz val="11"/>
        <color theme="1"/>
        <rFont val="Calibri"/>
        <family val="2"/>
        <scheme val="minor"/>
      </rPr>
      <t>Info:</t>
    </r>
    <r>
      <rPr>
        <sz val="11"/>
        <color theme="1"/>
        <rFont val="Calibri"/>
        <family val="2"/>
        <scheme val="minor"/>
      </rPr>
      <t xml:space="preserve"> Von Johann Conrad Schlaun, 1757 vollendet; im Krieg zerstört und originalgetreu wiederaufgebaut.
</t>
    </r>
    <r>
      <rPr>
        <b/>
        <sz val="11"/>
        <color theme="1"/>
        <rFont val="Calibri"/>
        <family val="2"/>
        <scheme val="minor"/>
      </rPr>
      <t>Aufgabe</t>
    </r>
    <r>
      <rPr>
        <sz val="11"/>
        <color theme="1"/>
        <rFont val="Calibri"/>
        <family val="2"/>
        <scheme val="minor"/>
      </rPr>
      <t xml:space="preserve">: Stellt euch vor dem barocken Erbdrostenhof in Pose wie adelige Hofgesellschaft des 18. Jh. - mit angedeuteter Perücke, Fächer und vornehmer Verbeugung.
</t>
    </r>
    <r>
      <rPr>
        <b/>
        <sz val="11"/>
        <color theme="1"/>
        <rFont val="Calibri"/>
        <family val="2"/>
        <scheme val="minor"/>
      </rPr>
      <t>Bonus</t>
    </r>
    <r>
      <rPr>
        <sz val="11"/>
        <color theme="1"/>
        <rFont val="Calibri"/>
        <family val="2"/>
        <scheme val="minor"/>
      </rPr>
      <t>: Findet eine Info-/Gedenktafel mit dem Baujahr und fotografiert sie.</t>
    </r>
  </si>
  <si>
    <t>Salzstraße 38, 48143 Münster</t>
  </si>
  <si>
    <t>51.960830, 7.630000</t>
  </si>
  <si>
    <t>Bonus: Gruppenfoto mit einer Minigolfbahn im Hintergrund</t>
  </si>
  <si>
    <t>Brock 7, 48308 Senden</t>
  </si>
  <si>
    <t>51.91116374489682, 7.500201133231718</t>
  </si>
  <si>
    <r>
      <rPr>
        <b/>
        <sz val="11"/>
        <color theme="1"/>
        <rFont val="Calibri"/>
        <family val="2"/>
        <scheme val="minor"/>
      </rPr>
      <t>Info</t>
    </r>
    <r>
      <rPr>
        <sz val="11"/>
        <color theme="1"/>
        <rFont val="Calibri"/>
        <family val="2"/>
        <scheme val="minor"/>
      </rPr>
      <t xml:space="preserve">: Das Eiskaffee und Minigolf Blaurock befindet sich im Ortsteil Woffleben der mit 432 Einwohner der drittgrößte Ortsteil der Stadt Ellrich ist. 
</t>
    </r>
    <r>
      <rPr>
        <b/>
        <sz val="11"/>
        <color theme="1"/>
        <rFont val="Calibri"/>
        <family val="2"/>
        <scheme val="minor"/>
      </rPr>
      <t>Aufgabe:</t>
    </r>
    <r>
      <rPr>
        <sz val="11"/>
        <color theme="1"/>
        <rFont val="Calibri"/>
        <family val="2"/>
        <scheme val="minor"/>
      </rPr>
      <t xml:space="preserve"> Macht ein Foto vor dem Eiskaffee
</t>
    </r>
    <r>
      <rPr>
        <b/>
        <sz val="11"/>
        <color theme="1"/>
        <rFont val="Calibri"/>
        <family val="2"/>
        <scheme val="minor"/>
      </rPr>
      <t>Bonus:</t>
    </r>
    <r>
      <rPr>
        <sz val="11"/>
        <color theme="1"/>
        <rFont val="Calibri"/>
        <family val="2"/>
        <scheme val="minor"/>
      </rPr>
      <t xml:space="preserve"> Ein Bus ist auf dem Foto</t>
    </r>
  </si>
  <si>
    <t>Schulstraße 15, 99755 Ellrich-Woffleben</t>
  </si>
  <si>
    <t>51.5562575618583, 10.723233819623497</t>
  </si>
  <si>
    <t>MG-10</t>
  </si>
  <si>
    <r>
      <rPr>
        <b/>
        <sz val="11"/>
        <color theme="1"/>
        <rFont val="Calibri"/>
        <family val="2"/>
        <scheme val="minor"/>
      </rPr>
      <t>Info</t>
    </r>
    <r>
      <rPr>
        <sz val="11"/>
        <color theme="1"/>
        <rFont val="Calibri"/>
        <family val="2"/>
        <scheme val="minor"/>
      </rPr>
      <t xml:space="preserve">: Der Minigolfplatz in Alzey bietet Freizeitvergnügen für Jung und Alt. 
</t>
    </r>
    <r>
      <rPr>
        <b/>
        <sz val="11"/>
        <color theme="1"/>
        <rFont val="Calibri"/>
        <family val="2"/>
        <scheme val="minor"/>
      </rPr>
      <t>Aufgabe</t>
    </r>
    <r>
      <rPr>
        <sz val="11"/>
        <color theme="1"/>
        <rFont val="Calibri"/>
        <family val="2"/>
        <scheme val="minor"/>
      </rPr>
      <t xml:space="preserve">: 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11-18h</t>
    </r>
  </si>
  <si>
    <t>Kettenheimer Weg, 55232 Alzey</t>
  </si>
  <si>
    <t>49.738575, 8.114408</t>
  </si>
  <si>
    <t>MG-11</t>
  </si>
  <si>
    <r>
      <rPr>
        <b/>
        <sz val="11"/>
        <color theme="1"/>
        <rFont val="Calibri"/>
        <family val="2"/>
        <scheme val="minor"/>
      </rPr>
      <t>Info:</t>
    </r>
    <r>
      <rPr>
        <sz val="11"/>
        <color theme="1"/>
        <rFont val="Calibri"/>
        <family val="2"/>
        <scheme val="minor"/>
      </rPr>
      <t xml:space="preserve"> Direkt am Dreiländereck gelegen, wo die Diemel in die Weser mündet, liegt dieser kleine Minigolfplatz.
</t>
    </r>
    <r>
      <rPr>
        <b/>
        <sz val="11"/>
        <color theme="1"/>
        <rFont val="Calibri"/>
        <family val="2"/>
        <scheme val="minor"/>
      </rPr>
      <t>Aufgabe:</t>
    </r>
    <r>
      <rPr>
        <sz val="11"/>
        <color theme="1"/>
        <rFont val="Calibri"/>
        <family val="2"/>
        <scheme val="minor"/>
      </rPr>
      <t xml:space="preserve"> Spielt pantomimisch Pit-Pat mit mindestens drei Bildern (Konzentration zum Schlag, Ausführung, Freude bei einem Hole-in-One). Dabei soll das Prinzip der Minigolf-Variante klar werden.
</t>
    </r>
    <r>
      <rPr>
        <b/>
        <sz val="11"/>
        <color theme="1"/>
        <rFont val="Calibri"/>
        <family val="2"/>
        <scheme val="minor"/>
      </rPr>
      <t>Bonus:</t>
    </r>
    <r>
      <rPr>
        <sz val="11"/>
        <color theme="1"/>
        <rFont val="Calibri"/>
        <family val="2"/>
        <scheme val="minor"/>
      </rPr>
      <t xml:space="preserve"> Nutzt das original Equipment </t>
    </r>
  </si>
  <si>
    <t>An d. Schlagd 4, 34385 Bad Karlshafen</t>
  </si>
  <si>
    <t>51.6422941270767, 9.449357293741977</t>
  </si>
  <si>
    <t>MG-12</t>
  </si>
  <si>
    <r>
      <rPr>
        <b/>
        <sz val="11"/>
        <color theme="1"/>
        <rFont val="Calibri"/>
        <family val="2"/>
        <scheme val="minor"/>
      </rPr>
      <t>Info</t>
    </r>
    <r>
      <rPr>
        <sz val="11"/>
        <color theme="1"/>
        <rFont val="Calibri"/>
        <family val="2"/>
        <scheme val="minor"/>
      </rPr>
      <t xml:space="preserve">: Winterberg ist ein Urlaubsparadies in NRW, ob Sommer oder Winter, es ist für alle etwas dabei. </t>
    </r>
    <r>
      <rPr>
        <b/>
        <sz val="11"/>
        <color theme="1"/>
        <rFont val="Calibri"/>
        <family val="2"/>
        <scheme val="minor"/>
      </rPr>
      <t>Aufgabe</t>
    </r>
    <r>
      <rPr>
        <sz val="11"/>
        <color theme="1"/>
        <rFont val="Calibri"/>
        <family val="2"/>
        <scheme val="minor"/>
      </rPr>
      <t>: Geht zum Minigolfplatz und stellt eine Skisprungszene nach, macht davon ein Foto.</t>
    </r>
  </si>
  <si>
    <t>Am Kurpark 2, 59955 Winterberg</t>
  </si>
  <si>
    <t>51.19600165780889, 8.534366912118447</t>
  </si>
  <si>
    <t>MG-13</t>
  </si>
  <si>
    <r>
      <rPr>
        <b/>
        <sz val="11"/>
        <color theme="1"/>
        <rFont val="Calibri"/>
        <family val="2"/>
        <scheme val="minor"/>
      </rPr>
      <t xml:space="preserve">Info: </t>
    </r>
    <r>
      <rPr>
        <sz val="11"/>
        <color theme="1"/>
        <rFont val="Calibri"/>
        <family val="2"/>
        <scheme val="minor"/>
      </rPr>
      <t xml:space="preserve">Der Minigolfplatz rund um die "Kahler Sandhasen" freut sich über Euren Besuch. Hier wurde sogar schon um die Hessische Meisterschaft gespielt.
</t>
    </r>
    <r>
      <rPr>
        <b/>
        <sz val="11"/>
        <color theme="1"/>
        <rFont val="Calibri"/>
        <family val="2"/>
        <scheme val="minor"/>
      </rPr>
      <t xml:space="preserve">Aufgabe: </t>
    </r>
    <r>
      <rPr>
        <sz val="11"/>
        <color theme="1"/>
        <rFont val="Calibri"/>
        <family val="2"/>
        <scheme val="minor"/>
      </rPr>
      <t xml:space="preserve">Macht ein Foto vor dem Minigolfplatz (oder noch besser auf dem Minigolfplatz) und tut dabei so, als hättet Ihr alle gleichzeitig einen Ball abbekommen.
</t>
    </r>
    <r>
      <rPr>
        <b/>
        <sz val="11"/>
        <color theme="1"/>
        <rFont val="Calibri"/>
        <family val="2"/>
        <scheme val="minor"/>
      </rPr>
      <t xml:space="preserve">Bonus: </t>
    </r>
    <r>
      <rPr>
        <sz val="11"/>
        <color theme="1"/>
        <rFont val="Calibri"/>
        <family val="2"/>
        <scheme val="minor"/>
      </rPr>
      <t>Spielt eine Runde Minigolf (Öffnungszeiten Sa 14-20, So 11-20 Uhr)</t>
    </r>
  </si>
  <si>
    <t>Campingplatz 1, 63796 Kahl am Main</t>
  </si>
  <si>
    <t>50.08181795660792, 9.00828112649819</t>
  </si>
  <si>
    <t>MG-14</t>
  </si>
  <si>
    <t>Aufgabe: Macht ein Foto vor dem Minigolfplatz am Rantzauer See</t>
  </si>
  <si>
    <t>Seestraße 0, 25355 Barmstedt</t>
  </si>
  <si>
    <t>53.78651439184873, 9.76356130424668</t>
  </si>
  <si>
    <t>MG-15</t>
  </si>
  <si>
    <r>
      <rPr>
        <b/>
        <sz val="11"/>
        <color theme="1"/>
        <rFont val="Calibri"/>
        <family val="2"/>
        <scheme val="minor"/>
      </rPr>
      <t>Info</t>
    </r>
    <r>
      <rPr>
        <sz val="11"/>
        <color theme="1"/>
        <rFont val="Calibri"/>
        <family val="2"/>
        <scheme val="minor"/>
      </rPr>
      <t>: Heute wird auf der städtischen Minigolfanlage gespielt!</t>
    </r>
    <r>
      <rPr>
        <b/>
        <sz val="11"/>
        <color theme="1"/>
        <rFont val="Calibri"/>
        <family val="2"/>
        <scheme val="minor"/>
      </rPr>
      <t>Aufgabe:</t>
    </r>
    <r>
      <rPr>
        <sz val="11"/>
        <color theme="1"/>
        <rFont val="Calibri"/>
        <family val="2"/>
        <scheme val="minor"/>
      </rPr>
      <t xml:space="preserve"> Macht ein Foto vor der Minigolfanlage
</t>
    </r>
    <r>
      <rPr>
        <b/>
        <sz val="11"/>
        <color theme="1"/>
        <rFont val="Calibri"/>
        <family val="2"/>
        <scheme val="minor"/>
      </rPr>
      <t>Bonus:</t>
    </r>
    <r>
      <rPr>
        <sz val="11"/>
        <color theme="1"/>
        <rFont val="Calibri"/>
        <family val="2"/>
        <scheme val="minor"/>
      </rPr>
      <t xml:space="preserve"> Wir befinden uns im Regental - wenn es auf dem Foto regnet gibt’s Extrapunkte!</t>
    </r>
  </si>
  <si>
    <t>Dr.-Schellerer-Straße 19, 94234 Viechtach</t>
  </si>
  <si>
    <t>49.077130150507664, 12.891388903912919</t>
  </si>
  <si>
    <r>
      <rPr>
        <b/>
        <sz val="11"/>
        <color theme="1"/>
        <rFont val="Calibri"/>
        <family val="2"/>
        <scheme val="minor"/>
      </rPr>
      <t>Info</t>
    </r>
    <r>
      <rPr>
        <sz val="11"/>
        <color theme="1"/>
        <rFont val="Calibri"/>
        <family val="2"/>
        <scheme val="minor"/>
      </rPr>
      <t xml:space="preserve">: Neben dem Minigolfplatz gibt es eine Freizeitanlage mit Bewegungsparcour.
</t>
    </r>
    <r>
      <rPr>
        <b/>
        <sz val="11"/>
        <color theme="1"/>
        <rFont val="Calibri"/>
        <family val="2"/>
        <scheme val="minor"/>
      </rPr>
      <t>Aufgabe</t>
    </r>
    <r>
      <rPr>
        <sz val="11"/>
        <color theme="1"/>
        <rFont val="Calibri"/>
        <family val="2"/>
        <scheme val="minor"/>
      </rPr>
      <t xml:space="preserve">: Macht ein bisschen Sport, ihr faule Säcke! Jedes Teammitglied muss mindestens drei der Geräte ausprobieren und ihr musst jede Kombination von Person und Gerät fotografieren.
</t>
    </r>
    <r>
      <rPr>
        <b/>
        <sz val="11"/>
        <color theme="1"/>
        <rFont val="Calibri"/>
        <family val="2"/>
        <scheme val="minor"/>
      </rPr>
      <t>Bonus</t>
    </r>
    <r>
      <rPr>
        <sz val="11"/>
        <color theme="1"/>
        <rFont val="Calibri"/>
        <family val="2"/>
        <scheme val="minor"/>
      </rPr>
      <t>: Spielt mindestens eine Bahn Minigolf.</t>
    </r>
  </si>
  <si>
    <t>Kirchberg 9, 79297 Winden im Elztal, Germany</t>
  </si>
  <si>
    <t>48.15473305403383, 8.045701571147143</t>
  </si>
  <si>
    <t>Besuche die Bahn "Minigolf an der Talstation" in Thale. Bonus: Tut so, als würdet ihr Minigolf spielen und lasst euch dabei fotografieren.</t>
  </si>
  <si>
    <t>Goetheweg 4, 06502 Thale</t>
  </si>
  <si>
    <t>51.74164970254499, 11.02671995701393</t>
  </si>
  <si>
    <r>
      <rPr>
        <b/>
        <sz val="11"/>
        <color theme="1"/>
        <rFont val="Calibri"/>
        <family val="2"/>
        <scheme val="minor"/>
      </rPr>
      <t>Info</t>
    </r>
    <r>
      <rPr>
        <sz val="11"/>
        <color theme="1"/>
        <rFont val="Calibri"/>
        <family val="2"/>
        <scheme val="minor"/>
      </rPr>
      <t xml:space="preserve">: Minigolf im (Wester-)Wald, eine belebende Aktivität an einem heißen Sommertag...
</t>
    </r>
    <r>
      <rPr>
        <b/>
        <sz val="11"/>
        <color theme="1"/>
        <rFont val="Calibri"/>
        <family val="2"/>
        <scheme val="minor"/>
      </rPr>
      <t>Aufgabe:</t>
    </r>
    <r>
      <rPr>
        <sz val="11"/>
        <color theme="1"/>
        <rFont val="Calibri"/>
        <family val="2"/>
        <scheme val="minor"/>
      </rPr>
      <t xml:space="preserve"> Gruppenfoto mit der Minigolfbahn im Hintergrund</t>
    </r>
  </si>
  <si>
    <t>Christiansweg, 65582 Diez</t>
  </si>
  <si>
    <t>50.372934, 8.0119519</t>
  </si>
  <si>
    <t>MG-19</t>
  </si>
  <si>
    <r>
      <t xml:space="preserve">Bad Berleburg - Minigolf
</t>
    </r>
    <r>
      <rPr>
        <b/>
        <sz val="11"/>
        <color theme="1"/>
        <rFont val="Calibri"/>
        <family val="2"/>
        <scheme val="minor"/>
      </rPr>
      <t>Aufgabe</t>
    </r>
    <r>
      <rPr>
        <sz val="11"/>
        <color theme="1"/>
        <rFont val="Calibri"/>
        <family val="2"/>
        <scheme val="minor"/>
      </rPr>
      <t>: Macht ein Foto an der Minigolf-Anlage und spielt eine imaginäre Runde mit einem Stock als Schläger - einer kommentiert wie ein Sportreporter (Video erlaubt).</t>
    </r>
  </si>
  <si>
    <t>Minigolfanlage, 57319 Bad Berleburg</t>
  </si>
  <si>
    <t>51.052780, 8.394440</t>
  </si>
  <si>
    <r>
      <rPr>
        <b/>
        <sz val="11"/>
        <color theme="1"/>
        <rFont val="Calibri"/>
        <family val="2"/>
        <scheme val="minor"/>
      </rPr>
      <t>Info</t>
    </r>
    <r>
      <rPr>
        <sz val="11"/>
        <color theme="1"/>
        <rFont val="Calibri"/>
        <family val="2"/>
        <scheme val="minor"/>
      </rPr>
      <t xml:space="preserve">: Keine normale Minigolf-Anlage, sondern "Adventure-Golf". "Adventure Minigolf ist eine Mischung auf klassischem Golf und Minigolf. Das Green und die hügelige Landschaft aus dem Golf werden mit den kurzen Laufwegen und den Hinternissen des Minigolf kombiniert, was noch mehr Spaß für Jung und Alt bietet." Nebenan steht die Märklin World Titisee; es gibt auch Kombikarten für Minigolf und die Märklin World.
</t>
    </r>
    <r>
      <rPr>
        <b/>
        <sz val="11"/>
        <color theme="1"/>
        <rFont val="Calibri"/>
        <family val="2"/>
        <scheme val="minor"/>
      </rPr>
      <t>Aufgabe</t>
    </r>
    <r>
      <rPr>
        <sz val="11"/>
        <color theme="1"/>
        <rFont val="Calibri"/>
        <family val="2"/>
        <scheme val="minor"/>
      </rPr>
      <t xml:space="preserve">: Foto des Teams vor der Minigolf-Anlage.
</t>
    </r>
    <r>
      <rPr>
        <b/>
        <sz val="11"/>
        <color theme="1"/>
        <rFont val="Calibri"/>
        <family val="2"/>
        <scheme val="minor"/>
      </rPr>
      <t>Bonus</t>
    </r>
    <r>
      <rPr>
        <sz val="11"/>
        <color theme="1"/>
        <rFont val="Calibri"/>
        <family val="2"/>
        <scheme val="minor"/>
      </rPr>
      <t>: Besucht die Märklin World Titisee, die neben dem Minigolfplatz steht.</t>
    </r>
  </si>
  <si>
    <t>Seestraße 21/1, 79822 Titisee-Neustadt, Germany</t>
  </si>
  <si>
    <t>47.90077702797149, 8.15235342658017</t>
  </si>
  <si>
    <t>MG-20</t>
  </si>
  <si>
    <r>
      <rPr>
        <b/>
        <sz val="11"/>
        <color theme="1"/>
        <rFont val="Calibri"/>
        <family val="2"/>
        <scheme val="minor"/>
      </rPr>
      <t xml:space="preserve">Info: </t>
    </r>
    <r>
      <rPr>
        <sz val="11"/>
        <color theme="1"/>
        <rFont val="Calibri"/>
        <family val="2"/>
        <scheme val="minor"/>
      </rPr>
      <t xml:space="preserve">Bad Laasphe hat 13.148 Einwohner und liegt im Wittgensteiner Land. 
</t>
    </r>
    <r>
      <rPr>
        <b/>
        <sz val="11"/>
        <color theme="1"/>
        <rFont val="Calibri"/>
        <family val="2"/>
        <scheme val="minor"/>
      </rPr>
      <t xml:space="preserve">Aufgabe: </t>
    </r>
    <r>
      <rPr>
        <sz val="11"/>
        <color theme="1"/>
        <rFont val="Calibri"/>
        <family val="2"/>
        <scheme val="minor"/>
      </rPr>
      <t>Mache ein Foto vor der Minigolf-Anlage</t>
    </r>
  </si>
  <si>
    <t xml:space="preserve"> Sebastian-Kneipp-Straße 20, 57334 Bad Laasphe</t>
  </si>
  <si>
    <t>50.93029390174909, 8.407336894164498</t>
  </si>
  <si>
    <r>
      <rPr>
        <b/>
        <sz val="11"/>
        <color theme="1"/>
        <rFont val="Calibri"/>
        <family val="2"/>
        <scheme val="minor"/>
      </rPr>
      <t>Info:</t>
    </r>
    <r>
      <rPr>
        <sz val="11"/>
        <color theme="1"/>
        <rFont val="Calibri"/>
        <family val="2"/>
        <scheme val="minor"/>
      </rPr>
      <t xml:space="preserve"> Die Gemeinde Metelen liegt in der Münsterländer Parklandschaft und hat 6539 Einwohner. Die naturbelassene Minigolfanlage in der Metelener Heide ist ein Riesenspaß für Familien und Minigolffans von Nah und Fern. Öffnungszeiten: Samstag 11:00-22:00, Sonntag 11:00-19:00.
</t>
    </r>
    <r>
      <rPr>
        <b/>
        <sz val="11"/>
        <color theme="1"/>
        <rFont val="Calibri"/>
        <family val="2"/>
        <scheme val="minor"/>
      </rPr>
      <t>Aufgabe:</t>
    </r>
    <r>
      <rPr>
        <sz val="11"/>
        <color theme="1"/>
        <rFont val="Calibri"/>
        <family val="2"/>
        <scheme val="minor"/>
      </rPr>
      <t xml:space="preserve"> Macht ein Gruppenfoto mit einer Minigolfbahn im Hintergrund und stellt dabei die Hindernisse nach.
</t>
    </r>
    <r>
      <rPr>
        <b/>
        <sz val="11"/>
        <color theme="1"/>
        <rFont val="Calibri"/>
        <family val="2"/>
        <scheme val="minor"/>
      </rPr>
      <t>Bonus:</t>
    </r>
    <r>
      <rPr>
        <sz val="11"/>
        <color theme="1"/>
        <rFont val="Calibri"/>
        <family val="2"/>
        <scheme val="minor"/>
      </rPr>
      <t xml:space="preserve"> Spielt eine Runde Minigolf und macht ein Foto beim Einlochen.</t>
    </r>
  </si>
  <si>
    <t>Samberg 61, 48629 Metelen</t>
  </si>
  <si>
    <t>52.150380665838064, 7.251984239718629</t>
  </si>
  <si>
    <t>MG-22</t>
  </si>
  <si>
    <t>Aufgabe: Foto vor der Minigolf-Anlage (Blickrichtung Jugendherberge)</t>
  </si>
  <si>
    <t>Winklersgang 2A, 23795 Bad Segeberg</t>
  </si>
  <si>
    <t>53.93937271899269, 10.31433560632523</t>
  </si>
  <si>
    <t>MG-23</t>
  </si>
  <si>
    <r>
      <rPr>
        <b/>
        <sz val="11"/>
        <color theme="1"/>
        <rFont val="Calibri"/>
        <family val="2"/>
        <scheme val="minor"/>
      </rPr>
      <t>Aufgabe</t>
    </r>
    <r>
      <rPr>
        <sz val="11"/>
        <color theme="1"/>
        <rFont val="Calibri"/>
        <family val="2"/>
        <scheme val="minor"/>
      </rPr>
      <t xml:space="preserve">:
Macht ein Gruppenfoto vor der Anlage "Minigolf - Aries am Rhein".
</t>
    </r>
    <r>
      <rPr>
        <b/>
        <sz val="11"/>
        <color theme="1"/>
        <rFont val="Calibri"/>
        <family val="2"/>
        <scheme val="minor"/>
      </rPr>
      <t>Bonus</t>
    </r>
    <r>
      <rPr>
        <sz val="11"/>
        <color theme="1"/>
        <rFont val="Calibri"/>
        <family val="2"/>
        <scheme val="minor"/>
      </rPr>
      <t>: findet eine Lore auf dem nahen Spielplatz und macht dort ein Gruppenfoto.</t>
    </r>
  </si>
  <si>
    <t>Am Hafen 1, 56329 St. Goar</t>
  </si>
  <si>
    <t>50.15287650715136, 7.711544493003066</t>
  </si>
  <si>
    <t>MG-24</t>
  </si>
  <si>
    <r>
      <rPr>
        <b/>
        <sz val="11"/>
        <color theme="1"/>
        <rFont val="Calibri"/>
        <family val="2"/>
        <scheme val="minor"/>
      </rPr>
      <t>Info:</t>
    </r>
    <r>
      <rPr>
        <sz val="11"/>
        <color theme="1"/>
        <rFont val="Calibri"/>
        <family val="2"/>
        <scheme val="minor"/>
      </rPr>
      <t xml:space="preserve"> In Bad Liebenwerda gibt es einen Minigolfplatz im Stadtpark. Ausleihen kann man sich Equipment im Restaurant "Villa Nuova"
</t>
    </r>
    <r>
      <rPr>
        <b/>
        <sz val="11"/>
        <color theme="1"/>
        <rFont val="Calibri"/>
        <family val="2"/>
        <scheme val="minor"/>
      </rPr>
      <t xml:space="preserve">Aufgabe: </t>
    </r>
    <r>
      <rPr>
        <sz val="11"/>
        <color theme="1"/>
        <rFont val="Calibri"/>
        <family val="2"/>
        <scheme val="minor"/>
      </rPr>
      <t xml:space="preserve">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11-23h</t>
    </r>
  </si>
  <si>
    <t>Am Kurpark 1, 04924 Bad Liebenwerda</t>
  </si>
  <si>
    <t>51.5159306032025, 13.402116664674294</t>
  </si>
  <si>
    <r>
      <rPr>
        <b/>
        <sz val="11"/>
        <color theme="1"/>
        <rFont val="Calibri"/>
        <family val="2"/>
        <scheme val="minor"/>
      </rPr>
      <t>Info:</t>
    </r>
    <r>
      <rPr>
        <sz val="11"/>
        <color theme="1"/>
        <rFont val="Calibri"/>
        <family val="2"/>
        <scheme val="minor"/>
      </rPr>
      <t xml:space="preserve"> Eines der wenigen Naherholungsseen in der Region. Ausgestattet mit Spielmöglichkeiten und einem großen Fest im Sommer
</t>
    </r>
    <r>
      <rPr>
        <b/>
        <sz val="11"/>
        <color theme="1"/>
        <rFont val="Calibri"/>
        <family val="2"/>
        <scheme val="minor"/>
      </rPr>
      <t xml:space="preserve">Aufgabe: </t>
    </r>
    <r>
      <rPr>
        <sz val="11"/>
        <color theme="1"/>
        <rFont val="Calibri"/>
        <family val="2"/>
        <scheme val="minor"/>
      </rPr>
      <t xml:space="preserve">Neben dem Minigolf ist eine Rutsche entlang der Staumauer, macht ein Video, wie Ihr rutscht :) </t>
    </r>
  </si>
  <si>
    <t>Am Waldsee 9, 71540 Murrhardt</t>
  </si>
  <si>
    <t>48.97654217018583, 9.663497006928186</t>
  </si>
  <si>
    <t>MG-3</t>
  </si>
  <si>
    <t>Besuche die Bahn "Minigolfanlage im Park" in Burgstädt</t>
  </si>
  <si>
    <t>Hainstraße 19, 09249 Burgstädt</t>
  </si>
  <si>
    <t>50.915387449487405, 12.822683077432451</t>
  </si>
  <si>
    <r>
      <rPr>
        <b/>
        <sz val="11"/>
        <color theme="1"/>
        <rFont val="Calibri"/>
        <family val="2"/>
        <scheme val="minor"/>
      </rPr>
      <t xml:space="preserve">Info: </t>
    </r>
    <r>
      <rPr>
        <sz val="11"/>
        <color theme="1"/>
        <rFont val="Calibri"/>
        <family val="2"/>
        <scheme val="minor"/>
      </rPr>
      <t xml:space="preserve">Die Miniaturgolfbahn ist die erste Anlage der Bundesrepublik Deutschland an der Ostsee.
</t>
    </r>
    <r>
      <rPr>
        <b/>
        <sz val="11"/>
        <color theme="1"/>
        <rFont val="Calibri"/>
        <family val="2"/>
        <scheme val="minor"/>
      </rPr>
      <t>Aufgabe:</t>
    </r>
    <r>
      <rPr>
        <sz val="11"/>
        <color theme="1"/>
        <rFont val="Calibri"/>
        <family val="2"/>
        <scheme val="minor"/>
      </rPr>
      <t xml:space="preserve"> Findet raus, wann sie eröffnet wurde und macht ein Bild von der Informationstafel, auf der die Info zu finden ist.
</t>
    </r>
    <r>
      <rPr>
        <b/>
        <sz val="11"/>
        <color theme="1"/>
        <rFont val="Calibri"/>
        <family val="2"/>
        <scheme val="minor"/>
      </rPr>
      <t xml:space="preserve">Bonus: </t>
    </r>
    <r>
      <rPr>
        <sz val="11"/>
        <color theme="1"/>
        <rFont val="Calibri"/>
        <family val="2"/>
        <scheme val="minor"/>
      </rPr>
      <t>Gruppenfoto mit einer Minigolfbahn im Hintergrund</t>
    </r>
  </si>
  <si>
    <t>Kurparkstraße 2, 23669 Timmendorfer Strand</t>
  </si>
  <si>
    <t>53.99974611043121, 10.778266900645109</t>
  </si>
  <si>
    <t>MG-5</t>
  </si>
  <si>
    <r>
      <t xml:space="preserve">Miltenberg am Main - Minigolf
</t>
    </r>
    <r>
      <rPr>
        <b/>
        <sz val="11"/>
        <color theme="1"/>
        <rFont val="Calibri"/>
        <family val="2"/>
        <scheme val="minor"/>
      </rPr>
      <t>Info:</t>
    </r>
    <r>
      <rPr>
        <sz val="11"/>
        <color theme="1"/>
        <rFont val="Calibri"/>
        <family val="2"/>
        <scheme val="minor"/>
      </rPr>
      <t xml:space="preserve"> Miltenberg hat eine der ältesten Fachwerk-Altstädte; das 'Schnatterloch' am Marktplatz und das Wirtshaus 'Zum Riesen' sind berühmt.
</t>
    </r>
    <r>
      <rPr>
        <b/>
        <sz val="11"/>
        <color theme="1"/>
        <rFont val="Calibri"/>
        <family val="2"/>
        <scheme val="minor"/>
      </rPr>
      <t>Aufgabe</t>
    </r>
    <r>
      <rPr>
        <sz val="11"/>
        <color theme="1"/>
        <rFont val="Calibri"/>
        <family val="2"/>
        <scheme val="minor"/>
      </rPr>
      <t xml:space="preserve">: Fotografiert die Minigolf-Anlage und baut aus Naturmaterialien ein eigenes Minigolf-Hindernis - führt einen Schlag durch das Hindernis vor.
</t>
    </r>
    <r>
      <rPr>
        <b/>
        <sz val="11"/>
        <color theme="1"/>
        <rFont val="Calibri"/>
        <family val="2"/>
        <scheme val="minor"/>
      </rPr>
      <t>Bonus:</t>
    </r>
    <r>
      <rPr>
        <sz val="11"/>
        <color theme="1"/>
        <rFont val="Calibri"/>
        <family val="2"/>
        <scheme val="minor"/>
      </rPr>
      <t xml:space="preserve"> Fotografiert zusätzlich das 'Schnatterloch' am Marktplatz.</t>
    </r>
  </si>
  <si>
    <t>Minigolfanlage, 63897 Miltenberg</t>
  </si>
  <si>
    <t>49.703610, 9.265280</t>
  </si>
  <si>
    <r>
      <rPr>
        <b/>
        <sz val="11"/>
        <color theme="1"/>
        <rFont val="Calibri"/>
        <family val="2"/>
        <scheme val="minor"/>
      </rPr>
      <t xml:space="preserve">Info: </t>
    </r>
    <r>
      <rPr>
        <sz val="11"/>
        <color theme="1"/>
        <rFont val="Calibri"/>
        <family val="2"/>
        <scheme val="minor"/>
      </rPr>
      <t xml:space="preserve">Hilchenbach hat 14.412 Einwohner und liegt im Siegerland
</t>
    </r>
    <r>
      <rPr>
        <b/>
        <sz val="11"/>
        <color theme="1"/>
        <rFont val="Calibri"/>
        <family val="2"/>
        <scheme val="minor"/>
      </rPr>
      <t>Aufgabe:</t>
    </r>
    <r>
      <rPr>
        <sz val="11"/>
        <color theme="1"/>
        <rFont val="Calibri"/>
        <family val="2"/>
        <scheme val="minor"/>
      </rPr>
      <t xml:space="preserve"> Macht ein Foto vor der Minigolf-Anlage</t>
    </r>
  </si>
  <si>
    <t>Ferndorfstraße 16, 57271 Hilchenbach</t>
  </si>
  <si>
    <t>50.999127248269744, 8.117038924455224</t>
  </si>
  <si>
    <t>MG-7</t>
  </si>
  <si>
    <r>
      <rPr>
        <b/>
        <sz val="11"/>
        <color theme="1"/>
        <rFont val="Calibri"/>
        <family val="2"/>
        <scheme val="minor"/>
      </rPr>
      <t>Info</t>
    </r>
    <r>
      <rPr>
        <sz val="11"/>
        <color theme="1"/>
        <rFont val="Calibri"/>
        <family val="2"/>
        <scheme val="minor"/>
      </rPr>
      <t xml:space="preserve">: Kälberau hat 1345 Einwohner und eines der Highlights ist sicher das Adventure-Minigolf Kahltalmühle
</t>
    </r>
    <r>
      <rPr>
        <b/>
        <sz val="11"/>
        <color theme="1"/>
        <rFont val="Calibri"/>
        <family val="2"/>
        <scheme val="minor"/>
      </rPr>
      <t>Aufgabe</t>
    </r>
    <r>
      <rPr>
        <sz val="11"/>
        <color theme="1"/>
        <rFont val="Calibri"/>
        <family val="2"/>
        <scheme val="minor"/>
      </rPr>
      <t xml:space="preserve">: Macht ein Foto vor der dem Eingang
</t>
    </r>
    <r>
      <rPr>
        <b/>
        <sz val="11"/>
        <color theme="1"/>
        <rFont val="Calibri"/>
        <family val="2"/>
        <scheme val="minor"/>
      </rPr>
      <t>Bonus</t>
    </r>
    <r>
      <rPr>
        <sz val="11"/>
        <color theme="1"/>
        <rFont val="Calibri"/>
        <family val="2"/>
        <scheme val="minor"/>
      </rPr>
      <t>: Spielt eine Runde (Beweisbild ist die ausgefüllte Spielkarte)</t>
    </r>
  </si>
  <si>
    <t>Bahnhofstraße 21, 63755 Alzenau</t>
  </si>
  <si>
    <t>50.090530827163626, 9.08984796252852</t>
  </si>
  <si>
    <t>MG-8</t>
  </si>
  <si>
    <t>Foto vor dem Adventure-Schnucken-Golf.</t>
  </si>
  <si>
    <t>Walter-Peters-Park, Verdener Str. 38, 29640 Schneverdingen</t>
  </si>
  <si>
    <t>53.11266037617618, 9.786329538713142</t>
  </si>
  <si>
    <r>
      <rPr>
        <b/>
        <sz val="11"/>
        <color theme="1"/>
        <rFont val="Calibri"/>
        <family val="2"/>
        <scheme val="minor"/>
      </rPr>
      <t>Info</t>
    </r>
    <r>
      <rPr>
        <sz val="11"/>
        <color theme="1"/>
        <rFont val="Calibri"/>
        <family val="2"/>
        <scheme val="minor"/>
      </rPr>
      <t xml:space="preserve">:
die Minigolfanlage liegt direkt unter dem Eisenbahnviadukt.
</t>
    </r>
    <r>
      <rPr>
        <b/>
        <sz val="11"/>
        <color theme="1"/>
        <rFont val="Calibri"/>
        <family val="2"/>
        <scheme val="minor"/>
      </rPr>
      <t>Aufgabe</t>
    </r>
    <r>
      <rPr>
        <sz val="11"/>
        <color theme="1"/>
        <rFont val="Calibri"/>
        <family val="2"/>
        <scheme val="minor"/>
      </rPr>
      <t xml:space="preserve">:
Macht ein Gruppenfoto vor der Anlage "Abenteuergolf Willingen".
</t>
    </r>
    <r>
      <rPr>
        <b/>
        <sz val="11"/>
        <color theme="1"/>
        <rFont val="Calibri"/>
        <family val="2"/>
        <scheme val="minor"/>
      </rPr>
      <t>Bonus</t>
    </r>
    <r>
      <rPr>
        <sz val="11"/>
        <color theme="1"/>
        <rFont val="Calibri"/>
        <family val="2"/>
        <scheme val="minor"/>
      </rPr>
      <t>:
auf dem Bild ist ein durchfahrender Zug auf dem Viadukt zu sehen</t>
    </r>
  </si>
  <si>
    <t>Am Golfpl. 4, 34508 Willingen (Upland)</t>
  </si>
  <si>
    <t>51.28929149889965, 8.617025734143228</t>
  </si>
  <si>
    <t>47.801429645254295, 8.196187625786155</t>
  </si>
  <si>
    <t>47.951845058616975, 8.50250627443818</t>
  </si>
  <si>
    <t>N-11</t>
  </si>
  <si>
    <t>Macht ein Foto am Wohltäterbrunnen
Rathausplatz</t>
  </si>
  <si>
    <t>Marktpl., 38855 Wernigerode</t>
  </si>
  <si>
    <t>51.833593333600255, 10.784566355424023</t>
  </si>
  <si>
    <t>N-12</t>
  </si>
  <si>
    <t>Fahrt nach Husum und begebt euch zum Hafen. Besucht dort die Aussichtsplattform und macht ein Selfie mit dem Husumer Au im Hintergrund.</t>
  </si>
  <si>
    <t>Zingel 10, 25813 Husum</t>
  </si>
  <si>
    <t>54.47492854722265, 9.04618531566137</t>
  </si>
  <si>
    <t>N-13</t>
  </si>
  <si>
    <r>
      <rPr>
        <b/>
        <sz val="11"/>
        <color theme="1"/>
        <rFont val="Calibri"/>
        <family val="2"/>
        <scheme val="minor"/>
      </rPr>
      <t>Aufgabe:</t>
    </r>
    <r>
      <rPr>
        <sz val="11"/>
        <color theme="1"/>
        <rFont val="Calibri"/>
        <family val="2"/>
        <scheme val="minor"/>
      </rPr>
      <t xml:space="preserve"> Wandere zur Aussichtsplatform und mache ein Bild mit der Burg Pfalzgrafenstein
(Antonia hat überprüft. Weg ist in Ordnung. Es führt ein Serpentinenweg zur genannten Stelle)</t>
    </r>
  </si>
  <si>
    <t>Adolfstraße 19A, 56349 Kaub</t>
  </si>
  <si>
    <t>50.085445662673315, 7.769684788037236</t>
  </si>
  <si>
    <t>N-14</t>
  </si>
  <si>
    <t xml:space="preserve">Mache ein Bild am Baggerseerestaurant
</t>
  </si>
  <si>
    <t>Am Baggersee 1, 91230 Happurg</t>
  </si>
  <si>
    <t>49.50302878608281, 11.462278738857005</t>
  </si>
  <si>
    <t>N-15</t>
  </si>
  <si>
    <t>Mache ein Bild mit dem Eistalviadukt (stillgelegte Strecke)
Folgt dem Weg am prellbock vorbei bis zum Widerlager</t>
  </si>
  <si>
    <t>Eiswoog 1, 67305 Ramsen</t>
  </si>
  <si>
    <t>49.51508930895925, 7.9824070183899565</t>
  </si>
  <si>
    <t>N-16</t>
  </si>
  <si>
    <r>
      <rPr>
        <b/>
        <sz val="11"/>
        <color theme="1"/>
        <rFont val="Calibri"/>
        <family val="2"/>
        <scheme val="minor"/>
      </rPr>
      <t>Info</t>
    </r>
    <r>
      <rPr>
        <sz val="11"/>
        <color theme="1"/>
        <rFont val="Calibri"/>
        <family val="2"/>
        <scheme val="minor"/>
      </rPr>
      <t xml:space="preserve">: Willkommen am südlichsten Bahnhof Deutschlands! In Oberstdorf haben Skifahren und Skitourismus Tradition. 
</t>
    </r>
    <r>
      <rPr>
        <b/>
        <sz val="11"/>
        <color theme="1"/>
        <rFont val="Calibri"/>
        <family val="2"/>
        <scheme val="minor"/>
      </rPr>
      <t>Aufgabe</t>
    </r>
    <r>
      <rPr>
        <sz val="11"/>
        <color theme="1"/>
        <rFont val="Calibri"/>
        <family val="2"/>
        <scheme val="minor"/>
      </rPr>
      <t xml:space="preserve">: begebt euch zur Talstation der Nebelhornbahn und posiert als Skispringer. 
</t>
    </r>
    <r>
      <rPr>
        <b/>
        <sz val="11"/>
        <color theme="1"/>
        <rFont val="Calibri"/>
        <family val="2"/>
        <scheme val="minor"/>
      </rPr>
      <t>Bonus</t>
    </r>
    <r>
      <rPr>
        <sz val="11"/>
        <color theme="1"/>
        <rFont val="Calibri"/>
        <family val="2"/>
        <scheme val="minor"/>
      </rPr>
      <t>: tragt dabei ein oder mehrere Teile Skiausrüstung (Stpcke, Helm, usw.)</t>
    </r>
  </si>
  <si>
    <t>Nebelhornstraße 67C, 87561 Oberstdorf</t>
  </si>
  <si>
    <t>47.404730132595475, 10.28542782186718</t>
  </si>
  <si>
    <t>Foto vor dem Naturdenkmal 1000-jährige Eiche.</t>
  </si>
  <si>
    <t>Westerholz, 29574 Ebstorf</t>
  </si>
  <si>
    <t>53.01570047028433, 10.426253286768038</t>
  </si>
  <si>
    <t>N-18</t>
  </si>
  <si>
    <r>
      <rPr>
        <b/>
        <sz val="11"/>
        <color theme="1"/>
        <rFont val="Calibri"/>
        <family val="2"/>
        <scheme val="minor"/>
      </rPr>
      <t>Info</t>
    </r>
    <r>
      <rPr>
        <sz val="11"/>
        <color theme="1"/>
        <rFont val="Calibri"/>
        <family val="2"/>
        <scheme val="minor"/>
      </rPr>
      <t xml:space="preserve">: der Wanderbahnhof Detmold ist
Preisträger des Jahres 2025 von mobil.nrw. 
</t>
    </r>
    <r>
      <rPr>
        <b/>
        <sz val="11"/>
        <color theme="1"/>
        <rFont val="Calibri"/>
        <family val="2"/>
        <scheme val="minor"/>
      </rPr>
      <t>Aufgabe</t>
    </r>
    <r>
      <rPr>
        <sz val="11"/>
        <color theme="1"/>
        <rFont val="Calibri"/>
        <family val="2"/>
        <scheme val="minor"/>
      </rPr>
      <t xml:space="preserve">: macht eine Wanderung zum Palaisgarten in Detmold. Dort könnt ihr eine Ruhepause unter dem Mammutbaum am Schwanenteich einlegen. Versucht den Mammutbaum mit euren Armen zu umfassen und macht ein Foto davon. </t>
    </r>
  </si>
  <si>
    <t>Pieperweg 1A, 32756 Detmold</t>
  </si>
  <si>
    <t>51.929278378566664, 8.876692193035636</t>
  </si>
  <si>
    <t>N-19</t>
  </si>
  <si>
    <r>
      <rPr>
        <b/>
        <sz val="11"/>
        <color theme="1"/>
        <rFont val="Calibri"/>
        <family val="2"/>
        <scheme val="minor"/>
      </rPr>
      <t>Info</t>
    </r>
    <r>
      <rPr>
        <sz val="11"/>
        <color theme="1"/>
        <rFont val="Calibri"/>
        <family val="2"/>
        <scheme val="minor"/>
      </rPr>
      <t xml:space="preserve">: Ihr seit im Herz des Schwarzwaldes. Der soll seinen Namen von den Römern und dem dichten Bewuchs durch Buchen haben.
</t>
    </r>
    <r>
      <rPr>
        <b/>
        <sz val="11"/>
        <color theme="1"/>
        <rFont val="Calibri"/>
        <family val="2"/>
        <scheme val="minor"/>
      </rPr>
      <t>Aufgabe</t>
    </r>
    <r>
      <rPr>
        <sz val="11"/>
        <color theme="1"/>
        <rFont val="Calibri"/>
        <family val="2"/>
        <scheme val="minor"/>
      </rPr>
      <t xml:space="preserve">: Von den Buchen ist nicht mehr viel zu sehen. Macht Bilder mit je 2 unterschiedlichen Laub- und Nadelbäumen, die ihr korrekt benennen müsst (schriftlich im Bild). 
</t>
    </r>
    <r>
      <rPr>
        <b/>
        <sz val="11"/>
        <color theme="1"/>
        <rFont val="Calibri"/>
        <family val="2"/>
        <scheme val="minor"/>
      </rPr>
      <t>Bonus:</t>
    </r>
    <r>
      <rPr>
        <sz val="11"/>
        <color theme="1"/>
        <rFont val="Calibri"/>
        <family val="2"/>
        <scheme val="minor"/>
      </rPr>
      <t xml:space="preserve"> Ihr macht eine Wanderung von mindestens 3km. Als Nachweis dient ein Track (Screenshot des Weges oder als Datei), den ihr erstellt.</t>
    </r>
  </si>
  <si>
    <t>Seilerberg 6, 78112 St. Georgen im Schwarzwald</t>
  </si>
  <si>
    <t>48.12123628856075, 8.343596896666684</t>
  </si>
  <si>
    <t>N-2</t>
  </si>
  <si>
    <r>
      <rPr>
        <b/>
        <sz val="11"/>
        <color theme="1"/>
        <rFont val="Calibri"/>
        <family val="2"/>
        <scheme val="minor"/>
      </rPr>
      <t>Info:</t>
    </r>
    <r>
      <rPr>
        <sz val="11"/>
        <color theme="1"/>
        <rFont val="Calibri"/>
        <family val="2"/>
        <scheme val="minor"/>
      </rPr>
      <t xml:space="preserve"> Besucht den Schnapsbrunnen am Stöckerweg in Baiersbronn. Hier gibts gegen Kleingeld auch etwas zu trinken.
</t>
    </r>
    <r>
      <rPr>
        <b/>
        <sz val="11"/>
        <color theme="1"/>
        <rFont val="Calibri"/>
        <family val="2"/>
        <scheme val="minor"/>
      </rPr>
      <t>Aufgabe:</t>
    </r>
    <r>
      <rPr>
        <sz val="11"/>
        <color theme="1"/>
        <rFont val="Calibri"/>
        <family val="2"/>
        <scheme val="minor"/>
      </rPr>
      <t xml:space="preserve"> Macht ein Gruppenfoto mit dem Schild "Schnapsbrunnen" oder mit dem Brunnen im Hintergrund.
</t>
    </r>
    <r>
      <rPr>
        <b/>
        <sz val="11"/>
        <color theme="1"/>
        <rFont val="Calibri"/>
        <family val="2"/>
        <scheme val="minor"/>
      </rPr>
      <t>Bonus:</t>
    </r>
    <r>
      <rPr>
        <sz val="11"/>
        <color theme="1"/>
        <rFont val="Calibri"/>
        <family val="2"/>
        <scheme val="minor"/>
      </rPr>
      <t xml:space="preserve"> Gruppenfoto mit einem Getränk kleiner als 50 ml in der Hand.</t>
    </r>
  </si>
  <si>
    <t>Stöckerweg 16, 72270 Baiersbronn</t>
  </si>
  <si>
    <t>48.50183434063899, 8.369239485815141</t>
  </si>
  <si>
    <r>
      <t xml:space="preserve">
</t>
    </r>
    <r>
      <rPr>
        <b/>
        <sz val="11"/>
        <color theme="1"/>
        <rFont val="Calibri"/>
        <family val="2"/>
        <scheme val="minor"/>
      </rPr>
      <t>Aufgabe:</t>
    </r>
    <r>
      <rPr>
        <sz val="11"/>
        <color theme="1"/>
        <rFont val="Calibri"/>
        <family val="2"/>
        <scheme val="minor"/>
      </rPr>
      <t xml:space="preserve"> Gehe zum Flößerdenkmal/ Gleichzeitig Flussmündung der Nagold / Enz. Singe das Badner Lied. https://www.youtube.com/watch?v=Io9_kwb9PEI
</t>
    </r>
    <r>
      <rPr>
        <b/>
        <sz val="11"/>
        <color theme="1"/>
        <rFont val="Calibri"/>
        <family val="2"/>
        <scheme val="minor"/>
      </rPr>
      <t>Bonus:</t>
    </r>
    <r>
      <rPr>
        <sz val="11"/>
        <color theme="1"/>
        <rFont val="Calibri"/>
        <family val="2"/>
        <scheme val="minor"/>
      </rPr>
      <t xml:space="preserve"> Singe zusammen mit Passanten </t>
    </r>
  </si>
  <si>
    <t>Kreuzstraße 2A, 75175 Pforzheim</t>
  </si>
  <si>
    <t>48.888583, 8.703743</t>
  </si>
  <si>
    <t>N-21</t>
  </si>
  <si>
    <r>
      <rPr>
        <b/>
        <sz val="11"/>
        <color theme="1"/>
        <rFont val="Calibri"/>
        <family val="2"/>
        <scheme val="minor"/>
      </rPr>
      <t>Info:</t>
    </r>
    <r>
      <rPr>
        <sz val="11"/>
        <color theme="1"/>
        <rFont val="Calibri"/>
        <family val="2"/>
        <scheme val="minor"/>
      </rPr>
      <t>Die Burgruine Frankenstein thront auf einem steilen Felsvorsprung im Pfälzerwald direkt über dem gleichnamigen Dorf.</t>
    </r>
    <r>
      <rPr>
        <b/>
        <sz val="11"/>
        <color theme="1"/>
        <rFont val="Calibri"/>
        <family val="2"/>
        <scheme val="minor"/>
      </rPr>
      <t xml:space="preserve">
Aufgabe:</t>
    </r>
    <r>
      <rPr>
        <sz val="11"/>
        <color theme="1"/>
        <rFont val="Calibri"/>
        <family val="2"/>
        <scheme val="minor"/>
      </rPr>
      <t xml:space="preserve"> Steigt den steilen Pfad hoch zur Burgruine auf und genießt bei einem Getränk oder Snack die Natur.</t>
    </r>
  </si>
  <si>
    <t>Hauptstraße 28, 67468 Frankenstein</t>
  </si>
  <si>
    <t>49.4388359924109, 7.9746384951723766</t>
  </si>
  <si>
    <t>N-22</t>
  </si>
  <si>
    <r>
      <t xml:space="preserve">Info: </t>
    </r>
    <r>
      <rPr>
        <sz val="11"/>
        <color theme="1"/>
        <rFont val="Calibri"/>
        <family val="2"/>
        <scheme val="minor"/>
      </rPr>
      <t xml:space="preserve">Der Nibelungensteig ist ein Weitwanderweg durch den Odenwald, der sich zwischen Hessen, Baden-Württemberg und Bayern über 130km und 4000hm erstreckt. </t>
    </r>
    <r>
      <rPr>
        <b/>
        <sz val="11"/>
        <color theme="1"/>
        <rFont val="Calibri"/>
        <family val="2"/>
        <scheme val="minor"/>
      </rPr>
      <t xml:space="preserve">
Aufgabe: </t>
    </r>
    <r>
      <rPr>
        <sz val="11"/>
        <color theme="1"/>
        <rFont val="Calibri"/>
        <family val="2"/>
        <scheme val="minor"/>
      </rPr>
      <t xml:space="preserve">Macht ein Foto vor dem Start der Strecke, welches mit einem großen "N" markiert ist und stellt dabei die Szene aus der Sage nach, in der Siegfried am Brunnen durch Hagen getötet wird. </t>
    </r>
  </si>
  <si>
    <t>Auf dem Berg 11, 64673 Zwingenberg</t>
  </si>
  <si>
    <t>49.724078, 8.616342</t>
  </si>
  <si>
    <t>N-23</t>
  </si>
  <si>
    <t>Aufgabe: Macht ein entspanntes Foto vor der Kietzbrücke, sodass der Schriftzug "Kietz-Brücke" klar zu sehen ist.</t>
  </si>
  <si>
    <t>Kietzstraße 9, 17192 Waren (Müritz)</t>
  </si>
  <si>
    <t>53.51366814212289, 12.679713399431579</t>
  </si>
  <si>
    <r>
      <t>Info:</t>
    </r>
    <r>
      <rPr>
        <sz val="11"/>
        <color theme="1"/>
        <rFont val="Calibri"/>
        <family val="2"/>
        <scheme val="minor"/>
      </rPr>
      <t xml:space="preserve"> Der Rursee ist ein beliebtes Naherholungsziel in der Region.</t>
    </r>
    <r>
      <rPr>
        <b/>
        <sz val="11"/>
        <color theme="1"/>
        <rFont val="Calibri"/>
        <family val="2"/>
        <scheme val="minor"/>
      </rPr>
      <t xml:space="preserve"> Aufgabe:</t>
    </r>
    <r>
      <rPr>
        <sz val="11"/>
        <color theme="1"/>
        <rFont val="Calibri"/>
        <family val="2"/>
        <scheme val="minor"/>
      </rPr>
      <t xml:space="preserve"> Wandert zum Wanderpunkt Heimbach und macht dort ein Gruppenfoto und dem Panorama im Hintergrund</t>
    </r>
  </si>
  <si>
    <t>Superwash, Hengebachstraße 1, 52396 Heimbach-Hasenfeld</t>
  </si>
  <si>
    <t>50.63198708789297, 6.4617426567870275</t>
  </si>
  <si>
    <t>N-25</t>
  </si>
  <si>
    <r>
      <rPr>
        <b/>
        <sz val="11"/>
        <color theme="1"/>
        <rFont val="Calibri"/>
        <family val="2"/>
        <scheme val="minor"/>
      </rPr>
      <t>Info</t>
    </r>
    <r>
      <rPr>
        <sz val="11"/>
        <color theme="1"/>
        <rFont val="Calibri"/>
        <family val="2"/>
        <scheme val="minor"/>
      </rPr>
      <t xml:space="preserve">: In Wilhelmshaven befindet sich die Nationalparkverwaltung vom Nationalpark Niedersächsisches Wattenmeer.
</t>
    </r>
    <r>
      <rPr>
        <b/>
        <sz val="11"/>
        <color theme="1"/>
        <rFont val="Calibri"/>
        <family val="2"/>
        <scheme val="minor"/>
      </rPr>
      <t>Aufgabe</t>
    </r>
    <r>
      <rPr>
        <sz val="11"/>
        <color theme="1"/>
        <rFont val="Calibri"/>
        <family val="2"/>
        <scheme val="minor"/>
      </rPr>
      <t xml:space="preserve">: Macht ein Video auf der Südstrandpromenade, auf dem ihr die Möwen von "Findet Nemo" spielt. Dabei musst ihr laut und wiederholend "Meines!" schreien und der Strand muss im Hintergrund sichtbar sein.
</t>
    </r>
    <r>
      <rPr>
        <b/>
        <sz val="11"/>
        <color theme="1"/>
        <rFont val="Calibri"/>
        <family val="2"/>
        <scheme val="minor"/>
      </rPr>
      <t>Bonus</t>
    </r>
    <r>
      <rPr>
        <sz val="11"/>
        <color theme="1"/>
        <rFont val="Calibri"/>
        <family val="2"/>
        <scheme val="minor"/>
      </rPr>
      <t>:  Eine echte Möwe spielt mit (max. 10 m von euch entfernt).</t>
    </r>
  </si>
  <si>
    <t>Südstrand 84, 26382 Wilhelmshaven</t>
  </si>
  <si>
    <t>53.51244227130538, 8.138985347143144</t>
  </si>
  <si>
    <t xml:space="preserve">Besuche das Waltershausen Gleisdreieck; Bonus Bild mit Straßenbahn
</t>
  </si>
  <si>
    <t>50.8897666203662, 10.577837385880846</t>
  </si>
  <si>
    <t>N-4</t>
  </si>
  <si>
    <t xml:space="preserve">Bild vor der Große Olympiaschanze (im Olympia Skistadion)
</t>
  </si>
  <si>
    <t>Karl-und Martin-Neuner-Platz, 1, 82467 Garmisch-Partenkirchen</t>
  </si>
  <si>
    <t>47.48178897513401, 11.117389831196641</t>
  </si>
  <si>
    <t>47.56181777320458, 10.694816977638645</t>
  </si>
  <si>
    <t>N-6</t>
  </si>
  <si>
    <r>
      <rPr>
        <b/>
        <sz val="11"/>
        <color theme="1"/>
        <rFont val="Calibri"/>
        <family val="2"/>
        <scheme val="minor"/>
      </rPr>
      <t>Info:</t>
    </r>
    <r>
      <rPr>
        <sz val="11"/>
        <color theme="1"/>
        <rFont val="Calibri"/>
        <family val="2"/>
        <scheme val="minor"/>
      </rPr>
      <t xml:space="preserve"> Wandere zur kleinen Aussichtsplatform an der Kippenburg. Der Teufelsgruß ist in der "Rock-Szene" weit verbreitet ;)</t>
    </r>
    <r>
      <rPr>
        <b/>
        <sz val="11"/>
        <color theme="1"/>
        <rFont val="Calibri"/>
        <family val="2"/>
        <scheme val="minor"/>
      </rPr>
      <t xml:space="preserve">
Aufgabe: </t>
    </r>
    <r>
      <rPr>
        <sz val="11"/>
        <color theme="1"/>
        <rFont val="Calibri"/>
        <family val="2"/>
        <scheme val="minor"/>
      </rPr>
      <t xml:space="preserve">Mache ein Team Foto, alle machen den Teufelsgruß "Mano cornuta".
</t>
    </r>
    <r>
      <rPr>
        <b/>
        <sz val="11"/>
        <color theme="1"/>
        <rFont val="Calibri"/>
        <family val="2"/>
        <scheme val="minor"/>
      </rPr>
      <t xml:space="preserve">Bonus: </t>
    </r>
    <r>
      <rPr>
        <sz val="11"/>
        <color theme="1"/>
        <rFont val="Calibri"/>
        <family val="2"/>
        <scheme val="minor"/>
      </rPr>
      <t>Findet zudem einen Ast mit drei Zacken</t>
    </r>
  </si>
  <si>
    <t>Godelsberg 29, 63739 Aschaffenburg</t>
  </si>
  <si>
    <t>49.97691870001284, 9.175746828321596</t>
  </si>
  <si>
    <r>
      <rPr>
        <b/>
        <sz val="11"/>
        <rFont val="Calibri"/>
        <family val="2"/>
        <scheme val="minor"/>
      </rPr>
      <t>Aufgabe:</t>
    </r>
    <r>
      <rPr>
        <sz val="11"/>
        <rFont val="Calibri"/>
        <family val="2"/>
        <scheme val="minor"/>
      </rPr>
      <t xml:space="preserve"> Wandere zur Erlebnisbrücke Drachenschwanz, gehe auf diese und fotografiert die Eisenbahnbrücke von dieser aus (Bonus Zug im Bild)</t>
    </r>
  </si>
  <si>
    <t>50.8574742619516, 12.169759280072142</t>
  </si>
  <si>
    <r>
      <rPr>
        <b/>
        <sz val="11"/>
        <color theme="1"/>
        <rFont val="Calibri"/>
        <family val="2"/>
        <scheme val="minor"/>
      </rPr>
      <t>Info:</t>
    </r>
    <r>
      <rPr>
        <sz val="11"/>
        <color theme="1"/>
        <rFont val="Calibri"/>
        <family val="2"/>
        <scheme val="minor"/>
      </rPr>
      <t xml:space="preserve"> Besucht das Bensheimer Lusthaus.</t>
    </r>
    <r>
      <rPr>
        <b/>
        <sz val="11"/>
        <color theme="1"/>
        <rFont val="Calibri"/>
        <family val="2"/>
        <scheme val="minor"/>
      </rPr>
      <t xml:space="preserve"> </t>
    </r>
    <r>
      <rPr>
        <sz val="11"/>
        <color theme="1"/>
        <rFont val="Calibri"/>
        <family val="2"/>
        <scheme val="minor"/>
      </rPr>
      <t xml:space="preserve">Auf dem Gipfel des Kirchberges  befindet sich das bewirtschaftete Kirchberghäuschen, welches am 2. Juni 1857 als „Lusthaus“ eingeweiht wurde.
</t>
    </r>
    <r>
      <rPr>
        <b/>
        <sz val="11"/>
        <color theme="1"/>
        <rFont val="Calibri"/>
        <family val="2"/>
        <scheme val="minor"/>
      </rPr>
      <t xml:space="preserve">Aufgabe: </t>
    </r>
    <r>
      <rPr>
        <sz val="11"/>
        <color theme="1"/>
        <rFont val="Calibri"/>
        <family val="2"/>
        <scheme val="minor"/>
      </rPr>
      <t>Setzt euch in der Gruppe in die Weinberge und genieß den Ausblick auf die Rheinebene. Macht ein Selfie in einer lustvollen Pose.</t>
    </r>
    <r>
      <rPr>
        <b/>
        <sz val="11"/>
        <color theme="1"/>
        <rFont val="Calibri"/>
        <family val="2"/>
        <scheme val="minor"/>
      </rPr>
      <t xml:space="preserve">
Bonus:</t>
    </r>
    <r>
      <rPr>
        <sz val="11"/>
        <color theme="1"/>
        <rFont val="Calibri"/>
        <family val="2"/>
        <scheme val="minor"/>
      </rPr>
      <t xml:space="preserve"> Besorgt euch ein Glas Wein von der Rebesorte, die dort angebaut wird und inkludiert es im Foto.</t>
    </r>
  </si>
  <si>
    <t>Außerhalb 2, 64625 Bensheim</t>
  </si>
  <si>
    <t>49.68766201352306, 8.62657730249221</t>
  </si>
  <si>
    <t>47.626569172856335, 13.007641735362839</t>
  </si>
  <si>
    <r>
      <rPr>
        <b/>
        <sz val="11"/>
        <color theme="1"/>
        <rFont val="Calibri"/>
        <family val="2"/>
        <scheme val="minor"/>
      </rPr>
      <t xml:space="preserve">Info: </t>
    </r>
    <r>
      <rPr>
        <sz val="11"/>
        <color theme="1"/>
        <rFont val="Calibri"/>
        <family val="2"/>
        <scheme val="minor"/>
      </rPr>
      <t xml:space="preserve">Partnerstadt von Nürnberg ist Gera
</t>
    </r>
    <r>
      <rPr>
        <b/>
        <sz val="11"/>
        <color theme="1"/>
        <rFont val="Calibri"/>
        <family val="2"/>
        <scheme val="minor"/>
      </rPr>
      <t xml:space="preserve">Bonus: </t>
    </r>
    <r>
      <rPr>
        <sz val="11"/>
        <color theme="1"/>
        <rFont val="Calibri"/>
        <family val="2"/>
        <scheme val="minor"/>
      </rPr>
      <t>Besucht den Kettensteg und macht ein Foto auf dem Steg mit dem Pegnitzwehr im Hintergrund</t>
    </r>
  </si>
  <si>
    <t>Kettensteg, 90403 Nürnberg</t>
  </si>
  <si>
    <t>49.45421356215696, 11.070849999726523</t>
  </si>
  <si>
    <r>
      <rPr>
        <b/>
        <sz val="11"/>
        <color theme="1"/>
        <rFont val="Calibri"/>
        <family val="2"/>
        <scheme val="minor"/>
      </rPr>
      <t xml:space="preserve">Info: </t>
    </r>
    <r>
      <rPr>
        <sz val="11"/>
        <color theme="1"/>
        <rFont val="Calibri"/>
        <family val="2"/>
        <scheme val="minor"/>
      </rPr>
      <t xml:space="preserve">Partnerstadt von Gera ist Nürnberg
</t>
    </r>
    <r>
      <rPr>
        <b/>
        <sz val="11"/>
        <color theme="1"/>
        <rFont val="Calibri"/>
        <family val="2"/>
        <scheme val="minor"/>
      </rPr>
      <t xml:space="preserve">Bonus: </t>
    </r>
    <r>
      <rPr>
        <sz val="11"/>
        <color theme="1"/>
        <rFont val="Calibri"/>
        <family val="2"/>
        <scheme val="minor"/>
      </rPr>
      <t>Besucht das Agneskreuz und macht dort ein Foto</t>
    </r>
  </si>
  <si>
    <t>V3M5+63, 07548 Gera</t>
  </si>
  <si>
    <t>50.88306380103857, 12.057639305358906</t>
  </si>
  <si>
    <t>P-11a</t>
  </si>
  <si>
    <r>
      <rPr>
        <b/>
        <sz val="11"/>
        <color theme="1"/>
        <rFont val="Calibri"/>
        <family val="2"/>
        <scheme val="minor"/>
      </rPr>
      <t>Info</t>
    </r>
    <r>
      <rPr>
        <sz val="11"/>
        <color theme="1"/>
        <rFont val="Calibri"/>
        <family val="2"/>
        <scheme val="minor"/>
      </rPr>
      <t xml:space="preserve">: Partner-Stadt von Neu-Ulm.
</t>
    </r>
    <r>
      <rPr>
        <b/>
        <sz val="11"/>
        <color theme="1"/>
        <rFont val="Calibri"/>
        <family val="2"/>
        <scheme val="minor"/>
      </rPr>
      <t>Bonus</t>
    </r>
    <r>
      <rPr>
        <sz val="11"/>
        <color theme="1"/>
        <rFont val="Calibri"/>
        <family val="2"/>
        <scheme val="minor"/>
      </rPr>
      <t>: Findet eine Holzeisenbahn (z.B. in der Café von der Dampflok Erlebniswelt) und dreht ein Video, auf dem ihr anhand der Holzeisenbahn das Konzept der Kranken Tour in mindestens 3 Minuten erklärt.</t>
    </r>
  </si>
  <si>
    <t>Am Flutgraben 2 a, 98617 Meiningen</t>
  </si>
  <si>
    <t>50.581686794965506, 10.420848949847311</t>
  </si>
  <si>
    <t>P-11b</t>
  </si>
  <si>
    <r>
      <rPr>
        <b/>
        <sz val="11"/>
        <color theme="1"/>
        <rFont val="Calibri"/>
        <family val="2"/>
        <scheme val="minor"/>
      </rPr>
      <t>Info</t>
    </r>
    <r>
      <rPr>
        <sz val="11"/>
        <color theme="1"/>
        <rFont val="Calibri"/>
        <family val="2"/>
        <scheme val="minor"/>
      </rPr>
      <t xml:space="preserve">: Partner-Stadt von Meiningen.
</t>
    </r>
    <r>
      <rPr>
        <b/>
        <sz val="11"/>
        <color theme="1"/>
        <rFont val="Calibri"/>
        <family val="2"/>
        <scheme val="minor"/>
      </rPr>
      <t>Bonus</t>
    </r>
    <r>
      <rPr>
        <sz val="11"/>
        <color theme="1"/>
        <rFont val="Calibri"/>
        <family val="2"/>
        <scheme val="minor"/>
      </rPr>
      <t>: Dreht ein Video: Singt mindestens eine Strophe von "Neu-Ulm, Neu-Ulm", eine Parodie von "New York, New York", die ihr euch selbst ausdenken müsst, mit der Skyline von Ulm im Hintergrund.</t>
    </r>
  </si>
  <si>
    <t>Jahnufer 6, 89231 Neu-Ulm</t>
  </si>
  <si>
    <t>48.39479746050839, 9.993916753290293</t>
  </si>
  <si>
    <t>P-12a</t>
  </si>
  <si>
    <t>Bonus: Mache ein Foto an der "Vater Rhein und seine Töchter" Skulptur in Düsseldorf (Partnerstadt von Chemnitz)</t>
  </si>
  <si>
    <t>Ständehausstraße 1, 40217 Düsseldorf</t>
  </si>
  <si>
    <t>51.21734182399685, 6.774404626224845</t>
  </si>
  <si>
    <t>P-12b</t>
  </si>
  <si>
    <t>Bonus: Mache ein Foto am Karl-Marx-Monument in Chemnitz (Partnerstadt von Düsseldorf)</t>
  </si>
  <si>
    <t>Brückenstraße 10, 09111 Chemnitz</t>
  </si>
  <si>
    <t>50.83619958648296, 12.924454247227123</t>
  </si>
  <si>
    <t>P-13a</t>
  </si>
  <si>
    <r>
      <rPr>
        <b/>
        <sz val="11"/>
        <color theme="1"/>
        <rFont val="Calibri"/>
        <family val="2"/>
        <scheme val="minor"/>
      </rPr>
      <t>Info:</t>
    </r>
    <r>
      <rPr>
        <sz val="11"/>
        <color theme="1"/>
        <rFont val="Calibri"/>
        <family val="2"/>
        <scheme val="minor"/>
      </rPr>
      <t xml:space="preserve"> Hannover ist Partnerstadt von Leipzig</t>
    </r>
  </si>
  <si>
    <t>52.37782178581227, 9.74032313369651</t>
  </si>
  <si>
    <t>P-13b</t>
  </si>
  <si>
    <r>
      <rPr>
        <b/>
        <sz val="11"/>
        <color theme="1"/>
        <rFont val="Calibri"/>
        <family val="2"/>
        <scheme val="minor"/>
      </rPr>
      <t>Info:</t>
    </r>
    <r>
      <rPr>
        <sz val="11"/>
        <color theme="1"/>
        <rFont val="Calibri"/>
        <family val="2"/>
        <scheme val="minor"/>
      </rPr>
      <t xml:space="preserve">  Leipzig ist Partnerstadt von Hannover</t>
    </r>
  </si>
  <si>
    <t>51.34544940758682, 12.38194375931433</t>
  </si>
  <si>
    <t>P-14a</t>
  </si>
  <si>
    <r>
      <t xml:space="preserve">Marburg (Lahn) - Partnerstadt von Eisenach (seit 1988)
</t>
    </r>
    <r>
      <rPr>
        <b/>
        <sz val="11"/>
        <color theme="1"/>
        <rFont val="Calibri"/>
        <family val="2"/>
        <scheme val="minor"/>
      </rPr>
      <t>Info</t>
    </r>
    <r>
      <rPr>
        <sz val="11"/>
        <color theme="1"/>
        <rFont val="Calibri"/>
        <family val="2"/>
        <scheme val="minor"/>
      </rPr>
      <t xml:space="preserve">: Marburg und Eisenach sind seit 1988 Partnerstädte; beide verbindet die Heilige Elisabeth (Wartburg/Elisabethkirche).
</t>
    </r>
    <r>
      <rPr>
        <b/>
        <sz val="11"/>
        <color theme="1"/>
        <rFont val="Calibri"/>
        <family val="2"/>
        <scheme val="minor"/>
      </rPr>
      <t>Bonus</t>
    </r>
    <r>
      <rPr>
        <sz val="11"/>
        <color theme="1"/>
        <rFont val="Calibri"/>
        <family val="2"/>
        <scheme val="minor"/>
      </rPr>
      <t>: Stellt am Bahnhof Marburg die Wartburg (Eisenachs Wahrzeichen) nach - einer thront erhöht als Burg, die anderen bilden die Burgmauer.</t>
    </r>
  </si>
  <si>
    <t>Bahnhofstr., 35037 Marburg</t>
  </si>
  <si>
    <t>50.822272, 8.776014</t>
  </si>
  <si>
    <t>P-14b</t>
  </si>
  <si>
    <r>
      <t xml:space="preserve">Eisenach - Partnerstadt von Marburg (seit 1988)
</t>
    </r>
    <r>
      <rPr>
        <b/>
        <sz val="11"/>
        <color theme="1"/>
        <rFont val="Calibri"/>
        <family val="2"/>
        <scheme val="minor"/>
      </rPr>
      <t>Info</t>
    </r>
    <r>
      <rPr>
        <sz val="11"/>
        <color theme="1"/>
        <rFont val="Calibri"/>
        <family val="2"/>
        <scheme val="minor"/>
      </rPr>
      <t xml:space="preserve">: Eisenach und Marburg sind seit 1988 Partnerstädte; beide verbindet die Heilige Elisabeth.
</t>
    </r>
    <r>
      <rPr>
        <b/>
        <sz val="11"/>
        <color theme="1"/>
        <rFont val="Calibri"/>
        <family val="2"/>
        <scheme val="minor"/>
      </rPr>
      <t>Bonus</t>
    </r>
    <r>
      <rPr>
        <sz val="11"/>
        <color theme="1"/>
        <rFont val="Calibri"/>
        <family val="2"/>
        <scheme val="minor"/>
      </rPr>
      <t>: Stellt am Bahnhof Eisenach das Marburger Landgrafenschloss am steilen Hang nach - bildet eine 'steile Treppenstufen-Formation' und klettert dramatisch nach oben.</t>
    </r>
  </si>
  <si>
    <t>Bahnhofstr., 99817 Eisenach</t>
  </si>
  <si>
    <t>50.979922, 10.332986</t>
  </si>
  <si>
    <t>P-15a</t>
  </si>
  <si>
    <t>Partnerstadt von Magdeburg</t>
  </si>
  <si>
    <t>52.25255512252686, 10.53946796644337</t>
  </si>
  <si>
    <t>P-15b</t>
  </si>
  <si>
    <t>Partnerstadt von Braunschweig</t>
  </si>
  <si>
    <t>52.1304393328763, 11.627638028659955</t>
  </si>
  <si>
    <t>Partnerstadt von Anklam</t>
  </si>
  <si>
    <t>54.193438306721035, 9.100930143697484</t>
  </si>
  <si>
    <t>Partnerstadt von Heide(Holst)</t>
  </si>
  <si>
    <t>53.856027601377576, 13.701789044080352</t>
  </si>
  <si>
    <t>P-17a</t>
  </si>
  <si>
    <r>
      <rPr>
        <b/>
        <sz val="11"/>
        <color rgb="FF000000"/>
        <rFont val="Calibri"/>
        <family val="2"/>
      </rPr>
      <t>Info:</t>
    </r>
    <r>
      <rPr>
        <sz val="11"/>
        <color rgb="FF000000"/>
        <rFont val="Calibri"/>
        <family val="2"/>
      </rPr>
      <t xml:space="preserve"> Bekannt ist Eisenach vor allem durch die Wartburg südlich und oberhalb der Altstadt. Mit der hessischen Universitätsstadt Marburg bestehen seit über 800 Jahren historische Verbindungen im Zusammenhang mit Elisabeth von Thüringen.
</t>
    </r>
    <r>
      <rPr>
        <b/>
        <sz val="11"/>
        <color rgb="FF000000"/>
        <rFont val="Calibri"/>
        <family val="2"/>
      </rPr>
      <t>Bonus:</t>
    </r>
    <r>
      <rPr>
        <sz val="11"/>
        <color rgb="FF000000"/>
        <rFont val="Calibri"/>
        <family val="2"/>
      </rPr>
      <t xml:space="preserve"> Mache ein Foto mit der Sankt Elisabeth Statue vor der Sankt Elisabeth Kirche.</t>
    </r>
  </si>
  <si>
    <t>Sankt Elisabeth Statue, St. Elisabeth Kirche, Sophienstraße 8, 99817 Eisenach</t>
  </si>
  <si>
    <t>50.976412899721076, 10.320575404299001</t>
  </si>
  <si>
    <t>P-17b</t>
  </si>
  <si>
    <r>
      <rPr>
        <b/>
        <sz val="11"/>
        <color rgb="FF000000"/>
        <rFont val="Calibri"/>
        <family val="2"/>
        <scheme val="minor"/>
      </rPr>
      <t>Info:</t>
    </r>
    <r>
      <rPr>
        <sz val="11"/>
        <color rgb="FF000000"/>
        <rFont val="Calibri"/>
        <family val="2"/>
        <scheme val="minor"/>
      </rPr>
      <t xml:space="preserve"> Bekannt ist Marburg vor allem als Universitätsstadt, aber auch für das Wirken von Elisabeth von Thüringen, einer Heiligen der katholischen Kirche.
</t>
    </r>
    <r>
      <rPr>
        <b/>
        <sz val="11"/>
        <color rgb="FF000000"/>
        <rFont val="Calibri"/>
        <family val="2"/>
        <scheme val="minor"/>
      </rPr>
      <t>Bonus:</t>
    </r>
    <r>
      <rPr>
        <sz val="11"/>
        <color rgb="FF000000"/>
        <rFont val="Calibri"/>
        <family val="2"/>
        <scheme val="minor"/>
      </rPr>
      <t xml:space="preserve"> Mache ein Foto vor der Elisabethkirche. </t>
    </r>
  </si>
  <si>
    <t>Elisabethkirche, Elisabethstraße 3, 35037 Marburg</t>
  </si>
  <si>
    <t>50.81488094296589, 8.769361511836255</t>
  </si>
  <si>
    <t>P-18a</t>
  </si>
  <si>
    <r>
      <rPr>
        <b/>
        <sz val="11"/>
        <color theme="1"/>
        <rFont val="Calibri"/>
        <family val="2"/>
        <scheme val="minor"/>
      </rPr>
      <t>Info:</t>
    </r>
    <r>
      <rPr>
        <sz val="11"/>
        <color theme="1"/>
        <rFont val="Calibri"/>
        <family val="2"/>
        <scheme val="minor"/>
      </rPr>
      <t xml:space="preserve"> Partnerstadt mit Offenburg
</t>
    </r>
  </si>
  <si>
    <t>P-18b</t>
  </si>
  <si>
    <r>
      <rPr>
        <b/>
        <sz val="11"/>
        <color theme="1"/>
        <rFont val="Calibri"/>
        <family val="2"/>
        <scheme val="minor"/>
      </rPr>
      <t>Info:</t>
    </r>
    <r>
      <rPr>
        <sz val="11"/>
        <color theme="1"/>
        <rFont val="Calibri"/>
        <family val="2"/>
        <scheme val="minor"/>
      </rPr>
      <t xml:space="preserve"> Partnerstadt mit Altenburg
</t>
    </r>
  </si>
  <si>
    <t>P-19a</t>
  </si>
  <si>
    <t>Partnerstädte Witten und Bitterfeld</t>
  </si>
  <si>
    <t>51.435857450084654, 7.3300037049344064</t>
  </si>
  <si>
    <t>P-19b</t>
  </si>
  <si>
    <t xml:space="preserve">Partnerstädte Witten und Bitterfeld
</t>
  </si>
  <si>
    <t>51.62294149278008, 12.316953324721856</t>
  </si>
  <si>
    <t>P-1a</t>
  </si>
  <si>
    <r>
      <rPr>
        <b/>
        <sz val="11"/>
        <color theme="1"/>
        <rFont val="Calibri"/>
        <family val="2"/>
        <scheme val="minor"/>
      </rPr>
      <t>Info</t>
    </r>
    <r>
      <rPr>
        <sz val="11"/>
        <color theme="1"/>
        <rFont val="Calibri"/>
        <family val="2"/>
        <scheme val="minor"/>
      </rPr>
      <t xml:space="preserve">: seit 1990 Partnerstadt von Lahnstein 
</t>
    </r>
    <r>
      <rPr>
        <b/>
        <sz val="11"/>
        <color theme="1"/>
        <rFont val="Calibri"/>
        <family val="2"/>
        <scheme val="minor"/>
      </rPr>
      <t>Bonus</t>
    </r>
    <r>
      <rPr>
        <sz val="11"/>
        <color theme="1"/>
        <rFont val="Calibri"/>
        <family val="2"/>
        <scheme val="minor"/>
      </rPr>
      <t>: sucht euch Abkühlung an der Quelle "Am Buchborn" im Wald und macht ein Foto davon, wie sich ein Teammitglied -falls die Zapfstelle in Betrieb ist- Wasser in die Hand füllt. (Trinken ist nicht erforderlich)</t>
    </r>
  </si>
  <si>
    <t>07639 Hermsdorf</t>
  </si>
  <si>
    <t>50.9015085314776, 11.863169200791935</t>
  </si>
  <si>
    <t>P-1b</t>
  </si>
  <si>
    <r>
      <rPr>
        <b/>
        <sz val="11"/>
        <color theme="1"/>
        <rFont val="Calibri"/>
        <family val="2"/>
        <scheme val="minor"/>
      </rPr>
      <t>Info</t>
    </r>
    <r>
      <rPr>
        <sz val="11"/>
        <color theme="1"/>
        <rFont val="Calibri"/>
        <family val="2"/>
        <scheme val="minor"/>
      </rPr>
      <t xml:space="preserve">: seit 1990 Partnerstadt von Hermsdorf(Thüringen) 
</t>
    </r>
    <r>
      <rPr>
        <b/>
        <sz val="11"/>
        <color theme="1"/>
        <rFont val="Calibri"/>
        <family val="2"/>
        <scheme val="minor"/>
      </rPr>
      <t>Bonus</t>
    </r>
    <r>
      <rPr>
        <sz val="11"/>
        <color theme="1"/>
        <rFont val="Calibri"/>
        <family val="2"/>
        <scheme val="minor"/>
      </rPr>
      <t>: begebt euch von Oberlahnstein nach Niederlahnstein und macht unterwegs ein Foto von der Eisenbahnbrücke über die Lahn.</t>
    </r>
  </si>
  <si>
    <t>56112 Lahnstein</t>
  </si>
  <si>
    <t>50.30817043117448, 7.601999819565878</t>
  </si>
  <si>
    <t>P-20a</t>
  </si>
  <si>
    <t>Partnerstadt mit Mannheim</t>
  </si>
  <si>
    <t>P-20b</t>
  </si>
  <si>
    <t>Partnerstadt mit Riesa</t>
  </si>
  <si>
    <t>P-21a</t>
  </si>
  <si>
    <r>
      <rPr>
        <b/>
        <sz val="11"/>
        <color theme="1"/>
        <rFont val="Calibri"/>
        <family val="2"/>
        <scheme val="minor"/>
      </rPr>
      <t xml:space="preserve">Info: </t>
    </r>
    <r>
      <rPr>
        <sz val="11"/>
        <color theme="1"/>
        <rFont val="Calibri"/>
        <family val="2"/>
        <scheme val="minor"/>
      </rPr>
      <t xml:space="preserve">Dortmund ist Partnerstadt von Zwickau
</t>
    </r>
    <r>
      <rPr>
        <b/>
        <sz val="11"/>
        <color theme="1"/>
        <rFont val="Calibri"/>
        <family val="2"/>
        <scheme val="minor"/>
      </rPr>
      <t>Aufgabe:</t>
    </r>
    <r>
      <rPr>
        <sz val="11"/>
        <color theme="1"/>
        <rFont val="Calibri"/>
        <family val="2"/>
        <scheme val="minor"/>
      </rPr>
      <t xml:space="preserve"> Macht ein Bild vom Dortmunder Hbf Eurer Wahl.
</t>
    </r>
    <r>
      <rPr>
        <b/>
        <sz val="11"/>
        <color theme="1"/>
        <rFont val="Calibri"/>
        <family val="2"/>
        <scheme val="minor"/>
      </rPr>
      <t>Bonus:</t>
    </r>
    <r>
      <rPr>
        <sz val="11"/>
        <color theme="1"/>
        <rFont val="Calibri"/>
        <family val="2"/>
        <scheme val="minor"/>
      </rPr>
      <t xml:space="preserve"> -</t>
    </r>
  </si>
  <si>
    <t>Dortmund-Innenstadt-West</t>
  </si>
  <si>
    <t>51.51778121190265, 7.459660467847305</t>
  </si>
  <si>
    <t>P-21b</t>
  </si>
  <si>
    <r>
      <rPr>
        <b/>
        <sz val="11"/>
        <color theme="1"/>
        <rFont val="Calibri"/>
        <family val="2"/>
        <scheme val="minor"/>
      </rPr>
      <t xml:space="preserve">Info: </t>
    </r>
    <r>
      <rPr>
        <sz val="11"/>
        <color theme="1"/>
        <rFont val="Calibri"/>
        <family val="2"/>
        <scheme val="minor"/>
      </rPr>
      <t xml:space="preserve">Zwickau ist Partnerstadt von Dortmund
</t>
    </r>
    <r>
      <rPr>
        <b/>
        <sz val="11"/>
        <color theme="1"/>
        <rFont val="Calibri"/>
        <family val="2"/>
        <scheme val="minor"/>
      </rPr>
      <t>Aufgabe:</t>
    </r>
    <r>
      <rPr>
        <sz val="11"/>
        <color theme="1"/>
        <rFont val="Calibri"/>
        <family val="2"/>
        <scheme val="minor"/>
      </rPr>
      <t xml:space="preserve"> Macht ein Bild vom Zwickauer Hbf eurer Wahl.
</t>
    </r>
    <r>
      <rPr>
        <b/>
        <sz val="11"/>
        <color theme="1"/>
        <rFont val="Calibri"/>
        <family val="2"/>
        <scheme val="minor"/>
      </rPr>
      <t>Bonus:</t>
    </r>
    <r>
      <rPr>
        <sz val="11"/>
        <color theme="1"/>
        <rFont val="Calibri"/>
        <family val="2"/>
        <scheme val="minor"/>
      </rPr>
      <t xml:space="preserve"> -</t>
    </r>
  </si>
  <si>
    <t>08056 Zwickau</t>
  </si>
  <si>
    <t>50.715001194170966, 12.4758248784054</t>
  </si>
  <si>
    <t>P-22a</t>
  </si>
  <si>
    <t>P-22b</t>
  </si>
  <si>
    <r>
      <rPr>
        <b/>
        <sz val="11"/>
        <color theme="1"/>
        <rFont val="Calibri"/>
        <family val="2"/>
        <scheme val="minor"/>
      </rPr>
      <t xml:space="preserve">Info: </t>
    </r>
    <r>
      <rPr>
        <sz val="11"/>
        <color theme="1"/>
        <rFont val="Calibri"/>
        <family val="2"/>
        <scheme val="minor"/>
      </rPr>
      <t xml:space="preserve">Partnerstadt von Eisenhüttenstadt (seit 1986)
</t>
    </r>
    <r>
      <rPr>
        <b/>
        <sz val="11"/>
        <color theme="1"/>
        <rFont val="Calibri"/>
        <family val="2"/>
        <scheme val="minor"/>
      </rPr>
      <t>Aufgabe:</t>
    </r>
    <r>
      <rPr>
        <sz val="11"/>
        <color theme="1"/>
        <rFont val="Calibri"/>
        <family val="2"/>
        <scheme val="minor"/>
      </rPr>
      <t xml:space="preserve"> -
</t>
    </r>
    <r>
      <rPr>
        <b/>
        <sz val="11"/>
        <color theme="1"/>
        <rFont val="Calibri"/>
        <family val="2"/>
        <scheme val="minor"/>
      </rPr>
      <t>Bonus:</t>
    </r>
    <r>
      <rPr>
        <sz val="11"/>
        <color theme="1"/>
        <rFont val="Calibri"/>
        <family val="2"/>
        <scheme val="minor"/>
      </rPr>
      <t xml:space="preserve"> -</t>
    </r>
  </si>
  <si>
    <r>
      <rPr>
        <b/>
        <sz val="11"/>
        <color theme="1"/>
        <rFont val="Calibri"/>
        <family val="2"/>
        <scheme val="minor"/>
      </rPr>
      <t xml:space="preserve">Info: </t>
    </r>
    <r>
      <rPr>
        <sz val="11"/>
        <color theme="1"/>
        <rFont val="Calibri"/>
        <family val="2"/>
        <scheme val="minor"/>
      </rPr>
      <t xml:space="preserve">Partnerstadt von Saarlouis (seit 1986)
</t>
    </r>
    <r>
      <rPr>
        <b/>
        <sz val="11"/>
        <color theme="1"/>
        <rFont val="Calibri"/>
        <family val="2"/>
        <scheme val="minor"/>
      </rPr>
      <t>Aufgabe:</t>
    </r>
    <r>
      <rPr>
        <sz val="11"/>
        <color theme="1"/>
        <rFont val="Calibri"/>
        <family val="2"/>
        <scheme val="minor"/>
      </rPr>
      <t xml:space="preserve">
</t>
    </r>
    <r>
      <rPr>
        <b/>
        <sz val="11"/>
        <color theme="1"/>
        <rFont val="Calibri"/>
        <family val="2"/>
        <scheme val="minor"/>
      </rPr>
      <t>Bonus:</t>
    </r>
    <r>
      <rPr>
        <sz val="11"/>
        <color theme="1"/>
        <rFont val="Calibri"/>
        <family val="2"/>
        <scheme val="minor"/>
      </rPr>
      <t xml:space="preserve"> </t>
    </r>
  </si>
  <si>
    <t>P-24a</t>
  </si>
  <si>
    <r>
      <rPr>
        <b/>
        <sz val="11"/>
        <color theme="1"/>
        <rFont val="Calibri"/>
        <family val="2"/>
        <scheme val="minor"/>
      </rPr>
      <t xml:space="preserve">Info: </t>
    </r>
    <r>
      <rPr>
        <sz val="11"/>
        <color theme="1"/>
        <rFont val="Calibri"/>
        <family val="2"/>
        <scheme val="minor"/>
      </rPr>
      <t xml:space="preserve">Partnerstadt von Schwedt (Oder) (seit 1989)
</t>
    </r>
    <r>
      <rPr>
        <b/>
        <sz val="11"/>
        <color theme="1"/>
        <rFont val="Calibri"/>
        <family val="2"/>
        <scheme val="minor"/>
      </rPr>
      <t>Bonus:</t>
    </r>
    <r>
      <rPr>
        <sz val="11"/>
        <color theme="1"/>
        <rFont val="Calibri"/>
        <family val="2"/>
        <scheme val="minor"/>
      </rPr>
      <t xml:space="preserve"> Besucht den japanischen Garten.</t>
    </r>
  </si>
  <si>
    <t>Kaiser-Wilhelm-Allee, 51373 Leverkusen</t>
  </si>
  <si>
    <t>51.011507230207364, 6.981707120335754</t>
  </si>
  <si>
    <t>P-24b</t>
  </si>
  <si>
    <r>
      <rPr>
        <b/>
        <sz val="11"/>
        <color theme="1"/>
        <rFont val="Calibri"/>
        <family val="2"/>
        <scheme val="minor"/>
      </rPr>
      <t xml:space="preserve">Info: </t>
    </r>
    <r>
      <rPr>
        <sz val="11"/>
        <color theme="1"/>
        <rFont val="Calibri"/>
        <family val="2"/>
        <scheme val="minor"/>
      </rPr>
      <t xml:space="preserve">Partnerstadt Leverkusen (seit 1989)
</t>
    </r>
    <r>
      <rPr>
        <b/>
        <sz val="11"/>
        <color theme="1"/>
        <rFont val="Calibri"/>
        <family val="2"/>
        <scheme val="minor"/>
      </rPr>
      <t>Bonus</t>
    </r>
    <r>
      <rPr>
        <sz val="11"/>
        <color theme="1"/>
        <rFont val="Calibri"/>
        <family val="2"/>
        <scheme val="minor"/>
      </rPr>
      <t>: Besucht die Leverkusener Straße und stellt die Buchstaben der ortsansässigen Raffinerie dar</t>
    </r>
  </si>
  <si>
    <t>Leverkusener Straße, 16303 Schwedt/Oder</t>
  </si>
  <si>
    <t>53.06848663265067, 14.257926110690125</t>
  </si>
  <si>
    <t>P-25a</t>
  </si>
  <si>
    <t>Partnerstadt von Bottrop</t>
  </si>
  <si>
    <t>P-25b</t>
  </si>
  <si>
    <t>Partnerstadt von Merseburg</t>
  </si>
  <si>
    <t>P-26a</t>
  </si>
  <si>
    <t>Bonus: Besuche die Friedensbrücke in Plauen (Partnerstadt von Hof)</t>
  </si>
  <si>
    <t>Dobenaustraße, 08523 Plauen</t>
  </si>
  <si>
    <t>50.49921324738999, 12.127291666771237</t>
  </si>
  <si>
    <t>P-26b</t>
  </si>
  <si>
    <t>Bonus: Bewundere die Saaleauen in Hof (Partnerstadt von Plauen)</t>
  </si>
  <si>
    <t>Oberer Anger, 95028 Hof</t>
  </si>
  <si>
    <t>50.31618778878462, 11.919328473173987</t>
  </si>
  <si>
    <t>P-27a</t>
  </si>
  <si>
    <r>
      <rPr>
        <b/>
        <sz val="11"/>
        <color theme="1"/>
        <rFont val="Calibri"/>
        <family val="2"/>
        <scheme val="minor"/>
      </rPr>
      <t>Info:</t>
    </r>
    <r>
      <rPr>
        <sz val="11"/>
        <color theme="1"/>
        <rFont val="Calibri"/>
        <family val="2"/>
        <scheme val="minor"/>
      </rPr>
      <t xml:space="preserve"> Erlangen ist Partnerstadt von Jena</t>
    </r>
  </si>
  <si>
    <t>49.59597996566533, 11.001955197997761</t>
  </si>
  <si>
    <t>P-27b</t>
  </si>
  <si>
    <r>
      <rPr>
        <b/>
        <sz val="11"/>
        <color theme="1"/>
        <rFont val="Calibri"/>
        <family val="2"/>
        <scheme val="minor"/>
      </rPr>
      <t>Info:</t>
    </r>
    <r>
      <rPr>
        <sz val="11"/>
        <color theme="1"/>
        <rFont val="Calibri"/>
        <family val="2"/>
        <scheme val="minor"/>
      </rPr>
      <t xml:space="preserve"> Jena ist Partnerstadt von Erlangen</t>
    </r>
  </si>
  <si>
    <t>50.923143317346884, 11.577866740818902</t>
  </si>
  <si>
    <t>P-28a</t>
  </si>
  <si>
    <r>
      <t xml:space="preserve">Mainz - Partnerstadt von Erfurt
</t>
    </r>
    <r>
      <rPr>
        <b/>
        <sz val="11"/>
        <color theme="1"/>
        <rFont val="Calibri"/>
        <family val="2"/>
        <scheme val="minor"/>
      </rPr>
      <t>Info</t>
    </r>
    <r>
      <rPr>
        <sz val="11"/>
        <color theme="1"/>
        <rFont val="Calibri"/>
        <family val="2"/>
        <scheme val="minor"/>
      </rPr>
      <t xml:space="preserve">: Mainz listet Erfurt offiziell als Partnerstadt; beide sind alte Bischofs-/Domstädte.
</t>
    </r>
    <r>
      <rPr>
        <b/>
        <sz val="11"/>
        <color theme="1"/>
        <rFont val="Calibri"/>
        <family val="2"/>
        <scheme val="minor"/>
      </rPr>
      <t>Bonus</t>
    </r>
    <r>
      <rPr>
        <sz val="11"/>
        <color theme="1"/>
        <rFont val="Calibri"/>
        <family val="2"/>
        <scheme val="minor"/>
      </rPr>
      <t>: Stellt am Bahnhof Mainz die Krämerbrücke Erfurts (bebaute Brücke) nach - zwei bilden mit erhobenen Armen den Brückenbogen, die anderen sind die Häuschen darauf.</t>
    </r>
  </si>
  <si>
    <t>Bahnhofplatz, 55116 Mainz</t>
  </si>
  <si>
    <t>50.004117, 8.259720</t>
  </si>
  <si>
    <t>P-28b</t>
  </si>
  <si>
    <r>
      <t xml:space="preserve">Erfurt - Partnerstadt von Mainz
</t>
    </r>
    <r>
      <rPr>
        <b/>
        <sz val="11"/>
        <color theme="1"/>
        <rFont val="Calibri"/>
        <family val="2"/>
        <scheme val="minor"/>
      </rPr>
      <t>Info:</t>
    </r>
    <r>
      <rPr>
        <sz val="11"/>
        <color theme="1"/>
        <rFont val="Calibri"/>
        <family val="2"/>
        <scheme val="minor"/>
      </rPr>
      <t xml:space="preserve"> Erfurt und Mainz sind Partnerstädte; Mainz ist Karnevalshochburg.
</t>
    </r>
    <r>
      <rPr>
        <b/>
        <sz val="11"/>
        <color theme="1"/>
        <rFont val="Calibri"/>
        <family val="2"/>
        <scheme val="minor"/>
      </rPr>
      <t>Bonus</t>
    </r>
    <r>
      <rPr>
        <sz val="11"/>
        <color theme="1"/>
        <rFont val="Calibri"/>
        <family val="2"/>
        <scheme val="minor"/>
      </rPr>
      <t>: Posiert am Bahnhof Erfurt als Mainzer Fastnacht - mit Narrenkappe (notfalls aus Papier gefaltet) und ruft 'Helau!' (Video erlaubt).</t>
    </r>
  </si>
  <si>
    <t>Willy-Brandt-Platz, 99084 Erfurt</t>
  </si>
  <si>
    <t>50.976500, 11.036500</t>
  </si>
  <si>
    <t>P-29a</t>
  </si>
  <si>
    <r>
      <rPr>
        <b/>
        <sz val="11"/>
        <color theme="1"/>
        <rFont val="Calibri"/>
        <family val="2"/>
        <scheme val="minor"/>
      </rPr>
      <t>Info:</t>
    </r>
    <r>
      <rPr>
        <sz val="11"/>
        <color theme="1"/>
        <rFont val="Calibri"/>
        <family val="2"/>
        <scheme val="minor"/>
      </rPr>
      <t xml:space="preserve"> Partnerstadt von Brandenburg
</t>
    </r>
    <r>
      <rPr>
        <b/>
        <sz val="11"/>
        <color theme="1"/>
        <rFont val="Calibri"/>
        <family val="2"/>
        <scheme val="minor"/>
      </rPr>
      <t>Bonus:</t>
    </r>
    <r>
      <rPr>
        <sz val="11"/>
        <color theme="1"/>
        <rFont val="Calibri"/>
        <family val="2"/>
        <scheme val="minor"/>
      </rPr>
      <t xml:space="preserve"> Besucht den Elf-Freunde-Kreisel, mischt euch unter die Fußballprofis des 1. FCK und macht ein gemeinsames Gruppenfoto. Bringt einen Fußball mit auf das Bild.</t>
    </r>
  </si>
  <si>
    <t>67663 Kaiserslautern</t>
  </si>
  <si>
    <t>49.43632389685056, 7.772636043630986</t>
  </si>
  <si>
    <t>P-29b</t>
  </si>
  <si>
    <r>
      <rPr>
        <b/>
        <sz val="11"/>
        <color theme="1"/>
        <rFont val="Calibri"/>
        <family val="2"/>
        <scheme val="minor"/>
      </rPr>
      <t>Info:</t>
    </r>
    <r>
      <rPr>
        <sz val="11"/>
        <color theme="1"/>
        <rFont val="Calibri"/>
        <family val="2"/>
        <scheme val="minor"/>
      </rPr>
      <t xml:space="preserve"> Partnerstadt von Kaiserslautern
</t>
    </r>
    <r>
      <rPr>
        <b/>
        <sz val="11"/>
        <color theme="1"/>
        <rFont val="Calibri"/>
        <family val="2"/>
        <scheme val="minor"/>
      </rPr>
      <t>Bonus:</t>
    </r>
    <r>
      <rPr>
        <sz val="11"/>
        <color theme="1"/>
        <rFont val="Calibri"/>
        <family val="2"/>
        <scheme val="minor"/>
      </rPr>
      <t xml:space="preserve">  Macht ein Gruppenfoto mit dem Waldmops am Dom. Die Gruppenmitglieder auf dem Foto nehmen die Pose des Hundes ein.</t>
    </r>
  </si>
  <si>
    <t>Burghof 11, 14776 Brandenburg an der Havel</t>
  </si>
  <si>
    <t>52.41499722751119, 12.56683895146184</t>
  </si>
  <si>
    <t>P-2a</t>
  </si>
  <si>
    <r>
      <rPr>
        <b/>
        <sz val="11"/>
        <color theme="1"/>
        <rFont val="Calibri"/>
        <family val="2"/>
        <scheme val="minor"/>
      </rPr>
      <t xml:space="preserve">Info: </t>
    </r>
    <r>
      <rPr>
        <sz val="11"/>
        <color theme="1"/>
        <rFont val="Calibri"/>
        <family val="2"/>
        <scheme val="minor"/>
      </rPr>
      <t xml:space="preserve">Partnerstadt von Wuppertal (seit 1986)
</t>
    </r>
    <r>
      <rPr>
        <b/>
        <sz val="11"/>
        <color theme="1"/>
        <rFont val="Calibri"/>
        <family val="2"/>
        <scheme val="minor"/>
      </rPr>
      <t>Aufgabe:</t>
    </r>
    <r>
      <rPr>
        <sz val="11"/>
        <color theme="1"/>
        <rFont val="Calibri"/>
        <family val="2"/>
        <scheme val="minor"/>
      </rPr>
      <t xml:space="preserve"> -
</t>
    </r>
    <r>
      <rPr>
        <b/>
        <sz val="11"/>
        <color theme="1"/>
        <rFont val="Calibri"/>
        <family val="2"/>
        <scheme val="minor"/>
      </rPr>
      <t>Bonus:</t>
    </r>
    <r>
      <rPr>
        <sz val="11"/>
        <color theme="1"/>
        <rFont val="Calibri"/>
        <family val="2"/>
        <scheme val="minor"/>
      </rPr>
      <t xml:space="preserve"> -</t>
    </r>
  </si>
  <si>
    <t>P-2b</t>
  </si>
  <si>
    <r>
      <rPr>
        <b/>
        <sz val="11"/>
        <color theme="1"/>
        <rFont val="Calibri"/>
        <family val="2"/>
        <scheme val="minor"/>
      </rPr>
      <t xml:space="preserve">Info: </t>
    </r>
    <r>
      <rPr>
        <sz val="11"/>
        <color theme="1"/>
        <rFont val="Calibri"/>
        <family val="2"/>
        <scheme val="minor"/>
      </rPr>
      <t xml:space="preserve">Partnerstadt von Schwerin (seit 1986)
</t>
    </r>
    <r>
      <rPr>
        <b/>
        <sz val="11"/>
        <color theme="1"/>
        <rFont val="Calibri"/>
        <family val="2"/>
        <scheme val="minor"/>
      </rPr>
      <t>Aufgabe:</t>
    </r>
    <r>
      <rPr>
        <sz val="11"/>
        <color theme="1"/>
        <rFont val="Calibri"/>
        <family val="2"/>
        <scheme val="minor"/>
      </rPr>
      <t xml:space="preserve"> -
</t>
    </r>
    <r>
      <rPr>
        <b/>
        <sz val="11"/>
        <color theme="1"/>
        <rFont val="Calibri"/>
        <family val="2"/>
        <scheme val="minor"/>
      </rPr>
      <t>Bonus:</t>
    </r>
    <r>
      <rPr>
        <sz val="11"/>
        <color theme="1"/>
        <rFont val="Calibri"/>
        <family val="2"/>
        <scheme val="minor"/>
      </rPr>
      <t xml:space="preserve"> -</t>
    </r>
  </si>
  <si>
    <t>P-30a</t>
  </si>
  <si>
    <r>
      <rPr>
        <b/>
        <sz val="11"/>
        <color theme="1"/>
        <rFont val="Calibri"/>
        <family val="2"/>
        <scheme val="minor"/>
      </rPr>
      <t xml:space="preserve">Info: </t>
    </r>
    <r>
      <rPr>
        <sz val="11"/>
        <color theme="1"/>
        <rFont val="Calibri"/>
        <family val="2"/>
        <scheme val="minor"/>
      </rPr>
      <t xml:space="preserve">Partnerstadt von Neunkirchen(Saar) (seit 1986)
</t>
    </r>
    <r>
      <rPr>
        <b/>
        <sz val="11"/>
        <color theme="1"/>
        <rFont val="Calibri"/>
        <family val="2"/>
        <scheme val="minor"/>
      </rPr>
      <t>Aufgabe:</t>
    </r>
    <r>
      <rPr>
        <sz val="11"/>
        <color theme="1"/>
        <rFont val="Calibri"/>
        <family val="2"/>
        <scheme val="minor"/>
      </rPr>
      <t xml:space="preserve"> -
</t>
    </r>
    <r>
      <rPr>
        <b/>
        <sz val="11"/>
        <color theme="1"/>
        <rFont val="Calibri"/>
        <family val="2"/>
        <scheme val="minor"/>
      </rPr>
      <t>Bonus:</t>
    </r>
    <r>
      <rPr>
        <sz val="11"/>
        <color theme="1"/>
        <rFont val="Calibri"/>
        <family val="2"/>
        <scheme val="minor"/>
      </rPr>
      <t xml:space="preserve"> -</t>
    </r>
  </si>
  <si>
    <t>P-30b</t>
  </si>
  <si>
    <r>
      <rPr>
        <b/>
        <sz val="11"/>
        <color theme="1"/>
        <rFont val="Calibri"/>
        <family val="2"/>
        <scheme val="minor"/>
      </rPr>
      <t xml:space="preserve">Info: </t>
    </r>
    <r>
      <rPr>
        <sz val="11"/>
        <color theme="1"/>
        <rFont val="Calibri"/>
        <family val="2"/>
        <scheme val="minor"/>
      </rPr>
      <t xml:space="preserve">Partnerstadt von Lübben (seit 1986)
</t>
    </r>
    <r>
      <rPr>
        <b/>
        <sz val="11"/>
        <color theme="1"/>
        <rFont val="Calibri"/>
        <family val="2"/>
        <scheme val="minor"/>
      </rPr>
      <t>Aufgabe:</t>
    </r>
    <r>
      <rPr>
        <sz val="11"/>
        <color theme="1"/>
        <rFont val="Calibri"/>
        <family val="2"/>
        <scheme val="minor"/>
      </rPr>
      <t xml:space="preserve"> -
</t>
    </r>
    <r>
      <rPr>
        <b/>
        <sz val="11"/>
        <color theme="1"/>
        <rFont val="Calibri"/>
        <family val="2"/>
        <scheme val="minor"/>
      </rPr>
      <t>Bonus:</t>
    </r>
    <r>
      <rPr>
        <sz val="11"/>
        <color theme="1"/>
        <rFont val="Calibri"/>
        <family val="2"/>
        <scheme val="minor"/>
      </rPr>
      <t xml:space="preserve"> -</t>
    </r>
  </si>
  <si>
    <t>Partnerstadt mit Frankenberg(Sachs)</t>
  </si>
  <si>
    <t>51.054434713268556, 8.789420201142773</t>
  </si>
  <si>
    <t>Partnerstadt mit Frankenberg(Eder)</t>
  </si>
  <si>
    <t>50.91120079840915, 13.043289635788435</t>
  </si>
  <si>
    <t>P-32a</t>
  </si>
  <si>
    <t>Partnerstadt mit Aachen</t>
  </si>
  <si>
    <t>P-32b</t>
  </si>
  <si>
    <t>Partnerstadt mit Naumburg</t>
  </si>
  <si>
    <t>P-33a</t>
  </si>
  <si>
    <t>Bonus: Macht zur Abwechslung mal ein bisschen Sport und zeigt eure Fähigkeiten!</t>
  </si>
  <si>
    <t>Seestraße 12, 39576 Stendal</t>
  </si>
  <si>
    <t>52.59677698930414, 11.848160660118841</t>
  </si>
  <si>
    <t>P-33b</t>
  </si>
  <si>
    <t>Von Lemgo hinaus in die Weite Welt. Oder hinein. Bonus: Macht ein Bild davor.</t>
  </si>
  <si>
    <t>Engelbert-Kaempfer-Str. 9, 32657 Lemgo</t>
  </si>
  <si>
    <t>52.02765123563642, 8.893749460097682</t>
  </si>
  <si>
    <t>Partnerstadt mit Neustadt an der Weinstraße</t>
  </si>
  <si>
    <t>Partnerstadt mit Wernigerode</t>
  </si>
  <si>
    <t>P-35a</t>
  </si>
  <si>
    <t>Partnerstadt mit Stralsund</t>
  </si>
  <si>
    <t>54.31561277253313, 10.131347061185856</t>
  </si>
  <si>
    <t>P-35b</t>
  </si>
  <si>
    <t>Partnerstadt mit Kiel</t>
  </si>
  <si>
    <t>54.3088669666522, 13.07758248781154</t>
  </si>
  <si>
    <t>P-37a</t>
  </si>
  <si>
    <r>
      <t xml:space="preserve">Info: </t>
    </r>
    <r>
      <rPr>
        <sz val="11"/>
        <color rgb="FF000000"/>
        <rFont val="Calibri"/>
        <family val="2"/>
        <scheme val="minor"/>
      </rPr>
      <t xml:space="preserve">Partnerstadt von Cottbus (seit 1987)
</t>
    </r>
    <r>
      <rPr>
        <b/>
        <sz val="11"/>
        <color rgb="FF000000"/>
        <rFont val="Calibri"/>
        <family val="2"/>
        <scheme val="minor"/>
      </rPr>
      <t>Aufgabe:</t>
    </r>
    <r>
      <rPr>
        <sz val="11"/>
        <color rgb="FF000000"/>
        <rFont val="Calibri"/>
        <family val="2"/>
        <scheme val="minor"/>
      </rPr>
      <t xml:space="preserve"> -
</t>
    </r>
    <r>
      <rPr>
        <b/>
        <sz val="11"/>
        <color rgb="FF000000"/>
        <rFont val="Calibri"/>
        <family val="2"/>
        <scheme val="minor"/>
      </rPr>
      <t>Bonus:</t>
    </r>
    <r>
      <rPr>
        <sz val="11"/>
        <color rgb="FF000000"/>
        <rFont val="Calibri"/>
        <family val="2"/>
        <scheme val="minor"/>
      </rPr>
      <t xml:space="preserve"> -</t>
    </r>
  </si>
  <si>
    <t>P-37b</t>
  </si>
  <si>
    <r>
      <t xml:space="preserve">Info: </t>
    </r>
    <r>
      <rPr>
        <sz val="11"/>
        <color rgb="FF000000"/>
        <rFont val="Calibri"/>
        <family val="2"/>
        <scheme val="minor"/>
      </rPr>
      <t xml:space="preserve">Partnerstadt von Saarbrücken (seit 1987)
</t>
    </r>
    <r>
      <rPr>
        <b/>
        <sz val="11"/>
        <color rgb="FF000000"/>
        <rFont val="Calibri"/>
        <family val="2"/>
        <scheme val="minor"/>
      </rPr>
      <t>Aufgabe:</t>
    </r>
    <r>
      <rPr>
        <sz val="11"/>
        <color rgb="FF000000"/>
        <rFont val="Calibri"/>
        <family val="2"/>
        <scheme val="minor"/>
      </rPr>
      <t xml:space="preserve"> -
</t>
    </r>
    <r>
      <rPr>
        <b/>
        <sz val="11"/>
        <color rgb="FF000000"/>
        <rFont val="Calibri"/>
        <family val="2"/>
        <scheme val="minor"/>
      </rPr>
      <t>Bonus:</t>
    </r>
    <r>
      <rPr>
        <sz val="11"/>
        <color rgb="FF000000"/>
        <rFont val="Calibri"/>
        <family val="2"/>
        <scheme val="minor"/>
      </rPr>
      <t xml:space="preserve"> -</t>
    </r>
  </si>
  <si>
    <t>P-38a</t>
  </si>
  <si>
    <t>Partnerstadt Siegen</t>
  </si>
  <si>
    <t>Plauen (Vogtl) ob Bf, 08525 Plauen</t>
  </si>
  <si>
    <t>50.50637681747136, 12.128929005252418</t>
  </si>
  <si>
    <t>P-38b</t>
  </si>
  <si>
    <t>Partnerstadt Plauen</t>
  </si>
  <si>
    <t>Am Bahnhof 20, 57072 Siegen</t>
  </si>
  <si>
    <t>50.87545136172903, 8.016000151843615</t>
  </si>
  <si>
    <r>
      <rPr>
        <b/>
        <sz val="11"/>
        <color theme="1"/>
        <rFont val="Calibri"/>
        <family val="2"/>
        <scheme val="minor"/>
      </rPr>
      <t>Info</t>
    </r>
    <r>
      <rPr>
        <sz val="11"/>
        <color theme="1"/>
        <rFont val="Calibri"/>
        <family val="2"/>
        <scheme val="minor"/>
      </rPr>
      <t xml:space="preserve">: Partnerstadt von Kassel.
</t>
    </r>
    <r>
      <rPr>
        <b/>
        <sz val="11"/>
        <color theme="1"/>
        <rFont val="Calibri"/>
        <family val="2"/>
        <scheme val="minor"/>
      </rPr>
      <t>Bonus</t>
    </r>
    <r>
      <rPr>
        <sz val="11"/>
        <color theme="1"/>
        <rFont val="Calibri"/>
        <family val="2"/>
        <scheme val="minor"/>
      </rPr>
      <t>: Fotografiert euer Team vor dem Modell des Schlosses auf dem Neideck-Gelände.</t>
    </r>
  </si>
  <si>
    <t>50.83511533960746, 10.95166684084998</t>
  </si>
  <si>
    <r>
      <rPr>
        <b/>
        <sz val="11"/>
        <color theme="1"/>
        <rFont val="Calibri"/>
        <family val="2"/>
        <scheme val="minor"/>
      </rPr>
      <t>Info</t>
    </r>
    <r>
      <rPr>
        <sz val="11"/>
        <color theme="1"/>
        <rFont val="Calibri"/>
        <family val="2"/>
        <scheme val="minor"/>
      </rPr>
      <t xml:space="preserve">: Partnerstadt von Arnstadt.
</t>
    </r>
    <r>
      <rPr>
        <b/>
        <sz val="11"/>
        <color theme="1"/>
        <rFont val="Calibri"/>
        <family val="2"/>
        <scheme val="minor"/>
      </rPr>
      <t>Bonus</t>
    </r>
    <r>
      <rPr>
        <sz val="11"/>
        <color theme="1"/>
        <rFont val="Calibri"/>
        <family val="2"/>
        <scheme val="minor"/>
      </rPr>
      <t>: Fotografiert eine Zweisystemstraßenbahn der RegioTram Kassel.</t>
    </r>
  </si>
  <si>
    <t>51.31197104276146, 9.448129286415465</t>
  </si>
  <si>
    <t>P-3a</t>
  </si>
  <si>
    <r>
      <rPr>
        <b/>
        <sz val="11"/>
        <color theme="1"/>
        <rFont val="Calibri"/>
        <family val="2"/>
        <scheme val="minor"/>
      </rPr>
      <t>Info</t>
    </r>
    <r>
      <rPr>
        <sz val="11"/>
        <color theme="1"/>
        <rFont val="Calibri"/>
        <family val="2"/>
        <scheme val="minor"/>
      </rPr>
      <t>:
Partnerstadt von Neustadt am Rübenberge.
Neustadt in Europa ist die größte Städtefreundschaft in Europa und umfasst 35 Städte, Gemeinden und Ortsteile mit dem Namen „Neustadt“ in sechs mitteleuropäischen Ländern.</t>
    </r>
  </si>
  <si>
    <t>50.85046912925285, 9.120446164850058</t>
  </si>
  <si>
    <t>P-3b</t>
  </si>
  <si>
    <r>
      <rPr>
        <b/>
        <sz val="11"/>
        <color theme="1"/>
        <rFont val="Calibri"/>
        <family val="2"/>
        <scheme val="minor"/>
      </rPr>
      <t>Info</t>
    </r>
    <r>
      <rPr>
        <sz val="11"/>
        <color theme="1"/>
        <rFont val="Calibri"/>
        <family val="2"/>
        <scheme val="minor"/>
      </rPr>
      <t>:
Partnerstadt von Neustadt (Kr Marburg).
Neustadt in Europa ist die größte Städtefreundschaft in Europa und umfasst 35 Städte, Gemeinden und Ortsteile mit dem Namen „Neustadt“ in sechs mitteleuropäischen Ländern.</t>
    </r>
  </si>
  <si>
    <t>52.503768077567834, 9.455536263292364</t>
  </si>
  <si>
    <t>P-40a</t>
  </si>
  <si>
    <t>Bonus: Besuche den kleinen Bruder des Brandenburger Tors in Potsdam (Partnerstadt von Bonn)</t>
  </si>
  <si>
    <t>Luisenpl., 14471 Potsdam</t>
  </si>
  <si>
    <t>52.39990521955405, 13.04894268283917</t>
  </si>
  <si>
    <t>P-40b</t>
  </si>
  <si>
    <t>Besuche das ehemalige Bundeskanzleramt in Bonn (Partnerstadt von Potsdam)</t>
  </si>
  <si>
    <t>Welckerstraße 11, 53113 Bonn</t>
  </si>
  <si>
    <t>50.720236174480235, 7.120990287901572</t>
  </si>
  <si>
    <t>Partnerstadt mit Gotha</t>
  </si>
  <si>
    <t>Partnerstadt mit Salzgitter</t>
  </si>
  <si>
    <t>P-5a</t>
  </si>
  <si>
    <t>Partnerstadt von Neuwied</t>
  </si>
  <si>
    <t>53.80060964526475, 12.17266433647156</t>
  </si>
  <si>
    <t>P-5b</t>
  </si>
  <si>
    <t>Partnerstadt von Güstrow</t>
  </si>
  <si>
    <t>50.43132295478028, 7.473008724662795</t>
  </si>
  <si>
    <t>P-6a</t>
  </si>
  <si>
    <t>Partnerstadt mit Espelkamp (seit 19.9.1990)</t>
  </si>
  <si>
    <t>P-6b</t>
  </si>
  <si>
    <t>Partnerstadt mit Torgelow  (seit 19.9.1990)</t>
  </si>
  <si>
    <t>P-7a</t>
  </si>
  <si>
    <r>
      <rPr>
        <b/>
        <sz val="11"/>
        <color rgb="FF000000"/>
        <rFont val="Calibri"/>
        <family val="2"/>
        <scheme val="minor"/>
      </rPr>
      <t>Info:</t>
    </r>
    <r>
      <rPr>
        <sz val="11"/>
        <color rgb="FF000000"/>
        <rFont val="Calibri"/>
        <family val="2"/>
        <scheme val="minor"/>
      </rPr>
      <t xml:space="preserve"> Sömmerda ist Partnerstadt mit Böblingen
</t>
    </r>
    <r>
      <rPr>
        <b/>
        <sz val="11"/>
        <color rgb="FF000000"/>
        <rFont val="Calibri"/>
        <family val="2"/>
        <scheme val="minor"/>
      </rPr>
      <t>Bonus:</t>
    </r>
    <r>
      <rPr>
        <sz val="11"/>
        <color rgb="FF000000"/>
        <rFont val="Calibri"/>
        <family val="2"/>
        <scheme val="minor"/>
      </rPr>
      <t xml:space="preserve"> Winter im Sommer: Ein Teammitglied muss so viele Jacken / Kleidungsstücke anziehen, die ihr zusätzlich dabei habt und nicht selbst tragt. Macht davon ein Foto vor dem Bahnhofsgebäude.</t>
    </r>
  </si>
  <si>
    <t>Am Bahnhof 1, 99610 Sömmerda</t>
  </si>
  <si>
    <t>51.16521425382061, 11.127023316959532</t>
  </si>
  <si>
    <t>P-7b</t>
  </si>
  <si>
    <r>
      <rPr>
        <b/>
        <sz val="11"/>
        <color theme="1"/>
        <rFont val="Calibri"/>
        <family val="2"/>
        <scheme val="minor"/>
      </rPr>
      <t>Info:</t>
    </r>
    <r>
      <rPr>
        <sz val="11"/>
        <color theme="1"/>
        <rFont val="Calibri"/>
        <family val="2"/>
        <scheme val="minor"/>
      </rPr>
      <t xml:space="preserve"> Böblingen ist Partnerstadt mit Sömmerda
</t>
    </r>
    <r>
      <rPr>
        <b/>
        <sz val="11"/>
        <color theme="1"/>
        <rFont val="Calibri"/>
        <family val="2"/>
        <scheme val="minor"/>
      </rPr>
      <t>Bonus:</t>
    </r>
    <r>
      <rPr>
        <sz val="11"/>
        <color theme="1"/>
        <rFont val="Calibri"/>
        <family val="2"/>
        <scheme val="minor"/>
      </rPr>
      <t xml:space="preserve"> Baut aus eurem Team einen menschlichen 2er- oder 4er-Bob (hintereinander auf den Boden setzen) und lasst euch vor dem Bahnhofsgebäude fotografieren.</t>
    </r>
  </si>
  <si>
    <t>Talstraße, 71032 Böblingen</t>
  </si>
  <si>
    <t>48.68762483261924, 9.00559422166518</t>
  </si>
  <si>
    <t>P-8a</t>
  </si>
  <si>
    <t>P-8b</t>
  </si>
  <si>
    <t>P-9a</t>
  </si>
  <si>
    <r>
      <t xml:space="preserve">Info: </t>
    </r>
    <r>
      <rPr>
        <sz val="11"/>
        <color rgb="FF000000"/>
        <rFont val="Calibri"/>
        <family val="2"/>
        <scheme val="minor"/>
      </rPr>
      <t xml:space="preserve">Partnerstadt von Radebeul (seit 1988)
</t>
    </r>
    <r>
      <rPr>
        <b/>
        <sz val="11"/>
        <color rgb="FF000000"/>
        <rFont val="Calibri"/>
        <family val="2"/>
        <scheme val="minor"/>
      </rPr>
      <t>Aufgabe:</t>
    </r>
    <r>
      <rPr>
        <sz val="11"/>
        <color rgb="FF000000"/>
        <rFont val="Calibri"/>
        <family val="2"/>
        <scheme val="minor"/>
      </rPr>
      <t xml:space="preserve"> -
</t>
    </r>
    <r>
      <rPr>
        <b/>
        <sz val="11"/>
        <color rgb="FF000000"/>
        <rFont val="Calibri"/>
        <family val="2"/>
        <scheme val="minor"/>
      </rPr>
      <t>Bonus:</t>
    </r>
    <r>
      <rPr>
        <sz val="11"/>
        <color rgb="FF000000"/>
        <rFont val="Calibri"/>
        <family val="2"/>
        <scheme val="minor"/>
      </rPr>
      <t xml:space="preserve"> -</t>
    </r>
  </si>
  <si>
    <t>P-9b</t>
  </si>
  <si>
    <r>
      <t xml:space="preserve">Info: </t>
    </r>
    <r>
      <rPr>
        <sz val="11"/>
        <color rgb="FF000000"/>
        <rFont val="Calibri"/>
        <family val="2"/>
        <scheme val="minor"/>
      </rPr>
      <t xml:space="preserve">Partnerstadt von St. Ingbert (seit 1988)
</t>
    </r>
    <r>
      <rPr>
        <b/>
        <sz val="11"/>
        <color rgb="FF000000"/>
        <rFont val="Calibri"/>
        <family val="2"/>
        <scheme val="minor"/>
      </rPr>
      <t>Aufgabe:</t>
    </r>
    <r>
      <rPr>
        <sz val="11"/>
        <color rgb="FF000000"/>
        <rFont val="Calibri"/>
        <family val="2"/>
        <scheme val="minor"/>
      </rPr>
      <t xml:space="preserve"> -
</t>
    </r>
    <r>
      <rPr>
        <b/>
        <sz val="11"/>
        <color rgb="FF000000"/>
        <rFont val="Calibri"/>
        <family val="2"/>
        <scheme val="minor"/>
      </rPr>
      <t>Bonus:</t>
    </r>
    <r>
      <rPr>
        <sz val="11"/>
        <color rgb="FF000000"/>
        <rFont val="Calibri"/>
        <family val="2"/>
        <scheme val="minor"/>
      </rPr>
      <t xml:space="preserve"> -</t>
    </r>
  </si>
  <si>
    <t>R-1</t>
  </si>
  <si>
    <t>Überblicke den imposanten Rangierbahnhof Hagen-Vorhalle von der Brücke der Nöhstraße</t>
  </si>
  <si>
    <t>Nöhstraße 4-6</t>
  </si>
  <si>
    <t>51.38591488811655, 7.427942947435581</t>
  </si>
  <si>
    <t>R-10</t>
  </si>
  <si>
    <r>
      <rPr>
        <b/>
        <sz val="11"/>
        <color theme="1"/>
        <rFont val="Calibri"/>
        <family val="2"/>
        <scheme val="minor"/>
      </rPr>
      <t>Info</t>
    </r>
    <r>
      <rPr>
        <sz val="11"/>
        <color theme="1"/>
        <rFont val="Calibri"/>
        <family val="2"/>
        <scheme val="minor"/>
      </rPr>
      <t xml:space="preserve">: Der Rangierbahnhof in  Dresden-Friedrichstadt hat auch einen gleichnamigen Haltepunkt. Dieser ist nur über die Waltherbrücke erreichbar.
</t>
    </r>
    <r>
      <rPr>
        <b/>
        <sz val="11"/>
        <color theme="1"/>
        <rFont val="Calibri"/>
        <family val="2"/>
        <scheme val="minor"/>
      </rPr>
      <t>Aufgabe</t>
    </r>
    <r>
      <rPr>
        <sz val="11"/>
        <color theme="1"/>
        <rFont val="Calibri"/>
        <family val="2"/>
        <scheme val="minor"/>
      </rPr>
      <t xml:space="preserve">: Der Bahnhof wird zum hochmodernen Startpunkt des Erzgebirgstunnel für den Güterverkehr ausgebaut. Findet neben dem Bahnhof ein verfallenes Gebäude, das von früheren Plänen zeugt, den Bahnhof zu schließen.
</t>
    </r>
    <r>
      <rPr>
        <b/>
        <sz val="11"/>
        <color theme="1"/>
        <rFont val="Calibri"/>
        <family val="2"/>
        <scheme val="minor"/>
      </rPr>
      <t>Bonus/Tip:</t>
    </r>
    <r>
      <rPr>
        <sz val="11"/>
        <color theme="1"/>
        <rFont val="Calibri"/>
        <family val="2"/>
        <scheme val="minor"/>
      </rPr>
      <t xml:space="preserve"> Spaziert durch die Friedrichstadt und setzt eure Reise vom Bahnhof Dresden Mitte fort.</t>
    </r>
  </si>
  <si>
    <t>Waltherstraße 36, 01067 Dresden</t>
  </si>
  <si>
    <t>51.05656654624743, 13.708919545814979</t>
  </si>
  <si>
    <t>R-11</t>
  </si>
  <si>
    <r>
      <rPr>
        <b/>
        <sz val="11"/>
        <color theme="1"/>
        <rFont val="Calibri"/>
        <family val="2"/>
        <scheme val="minor"/>
      </rPr>
      <t>Info:</t>
    </r>
    <r>
      <rPr>
        <sz val="11"/>
        <color theme="1"/>
        <rFont val="Calibri"/>
        <family val="2"/>
        <scheme val="minor"/>
      </rPr>
      <t xml:space="preserve"> Der Bahnhof Schlauroth Gbf war bis 1994 der zentrale Rangierbahnhof im Eisenbahnknoten Görlitz. Heute sind die meisten Anlagen zurückgebaut. Allerdings nutzt der TÜV Süd noch Teile als Versuchsanlage.
</t>
    </r>
    <r>
      <rPr>
        <b/>
        <sz val="11"/>
        <color theme="1"/>
        <rFont val="Calibri"/>
        <family val="2"/>
        <scheme val="minor"/>
      </rPr>
      <t xml:space="preserve">Aufgabe: </t>
    </r>
    <r>
      <rPr>
        <sz val="11"/>
        <color theme="1"/>
        <rFont val="Calibri"/>
        <family val="2"/>
        <scheme val="minor"/>
      </rPr>
      <t>Macht ein Foto vor der "Prüfstelle Schienenfahrzeuge" vom TÜV Süd Rail, auf dem ein Schienenfahrzeug zu sehen ist.</t>
    </r>
  </si>
  <si>
    <t>Versuchsanlage Schlauroth, 02827 Görlitz</t>
  </si>
  <si>
    <t>51.15016610613388, 14.939307943587016</t>
  </si>
  <si>
    <t>R-12</t>
  </si>
  <si>
    <r>
      <t xml:space="preserve">Info: </t>
    </r>
    <r>
      <rPr>
        <sz val="11"/>
        <color rgb="FF000000"/>
        <rFont val="Calibri"/>
        <family val="2"/>
        <scheme val="minor"/>
      </rPr>
      <t xml:space="preserve">Die derzeitige Bedeutung des Rangierbahnhofs Einsiedlerhof ist vor allem regionaler Natur. Er dient unter anderem dem nahen Opel-Werk, das pro Tag für mehrere Ganzzüge verantwortlich ist. 
</t>
    </r>
    <r>
      <rPr>
        <b/>
        <sz val="11"/>
        <color rgb="FF000000"/>
        <rFont val="Calibri"/>
        <family val="2"/>
        <scheme val="minor"/>
      </rPr>
      <t>Aufgabe:</t>
    </r>
    <r>
      <rPr>
        <sz val="11"/>
        <color rgb="FF000000"/>
        <rFont val="Calibri"/>
        <family val="2"/>
        <scheme val="minor"/>
      </rPr>
      <t xml:space="preserve"> Teamfoto vor dem Ablaufberg mit ehem. Stellwerksgebäude dahinter. Zugang über Kaiserstr. 16A (links am True Life KMC Gemeindegebäude vorbei)
</t>
    </r>
    <r>
      <rPr>
        <b/>
        <sz val="11"/>
        <color rgb="FF000000"/>
        <rFont val="Calibri"/>
        <family val="2"/>
        <scheme val="minor"/>
      </rPr>
      <t>Bonus:</t>
    </r>
    <r>
      <rPr>
        <sz val="11"/>
        <color rgb="FF000000"/>
        <rFont val="Calibri"/>
        <family val="2"/>
        <scheme val="minor"/>
      </rPr>
      <t xml:space="preserve"> -</t>
    </r>
  </si>
  <si>
    <t>Kaiserstraße 16A, 67661 Kaiserslautern</t>
  </si>
  <si>
    <t>49.432030, 7.671340</t>
  </si>
  <si>
    <t>R-13</t>
  </si>
  <si>
    <r>
      <rPr>
        <b/>
        <sz val="11"/>
        <color theme="1"/>
        <rFont val="Calibri"/>
        <family val="2"/>
        <scheme val="minor"/>
      </rPr>
      <t>Info</t>
    </r>
    <r>
      <rPr>
        <sz val="11"/>
        <color theme="1"/>
        <rFont val="Calibri"/>
        <family val="2"/>
        <scheme val="minor"/>
      </rPr>
      <t xml:space="preserve">: Der Rangierbahnhof Aachen-West ist einer der wichtigten Rangierbahnhöfe für den Güterverkehr der Nordseehäfen. Ebenso sorgt er bei angehenden Verkehringenieuren an der RWTH zu entsprechender Ablenkung in Vorlesungen. Der ehemalige Ringlokschuppen kann noch heute gesehen werden. 
</t>
    </r>
    <r>
      <rPr>
        <b/>
        <sz val="11"/>
        <color theme="1"/>
        <rFont val="Calibri"/>
        <family val="2"/>
        <scheme val="minor"/>
      </rPr>
      <t>Aufgabe</t>
    </r>
    <r>
      <rPr>
        <sz val="11"/>
        <color theme="1"/>
        <rFont val="Calibri"/>
        <family val="2"/>
        <scheme val="minor"/>
      </rPr>
      <t>: Macht ein Bild vor dem Ringlokschuppen in Aachen-West.</t>
    </r>
  </si>
  <si>
    <t>Im Süsterfeld 14, 52072 Aachen</t>
  </si>
  <si>
    <t>50.78946989635555, 6.055876711628183</t>
  </si>
  <si>
    <r>
      <rPr>
        <b/>
        <sz val="11"/>
        <color theme="1"/>
        <rFont val="Calibri"/>
        <family val="2"/>
        <scheme val="minor"/>
      </rPr>
      <t>Info:</t>
    </r>
    <r>
      <rPr>
        <sz val="11"/>
        <color theme="1"/>
        <rFont val="Calibri"/>
        <family val="2"/>
        <scheme val="minor"/>
      </rPr>
      <t xml:space="preserve"> Halle (Saale) Gbf: Seit der Inbetriebnahme der neuen Zugbildungsanlage Halle (Saale) im Jahr 2018 ist er der zentrale Rangierbahnhof für den mitteldeutschen Raum.
</t>
    </r>
    <r>
      <rPr>
        <b/>
        <sz val="11"/>
        <color theme="1"/>
        <rFont val="Calibri"/>
        <family val="2"/>
        <scheme val="minor"/>
      </rPr>
      <t>Aufgabe:</t>
    </r>
    <r>
      <rPr>
        <sz val="11"/>
        <color theme="1"/>
        <rFont val="Calibri"/>
        <family val="2"/>
        <scheme val="minor"/>
      </rPr>
      <t xml:space="preserve"> Stellt Euch vor die Drehscheibe (maximale Entfernung zur Drehscheibe 20m) und dreht ein Video (mindestens 1 min lang) in dem das Team das Drehen einer Drehstromlok auf der Drehscheibe nachstellt. </t>
    </r>
    <r>
      <rPr>
        <b/>
        <sz val="11"/>
        <color theme="1"/>
        <rFont val="Calibri"/>
        <family val="2"/>
        <scheme val="minor"/>
      </rPr>
      <t>ACHTUNG:</t>
    </r>
    <r>
      <rPr>
        <sz val="11"/>
        <color theme="1"/>
        <rFont val="Calibri"/>
        <family val="2"/>
        <scheme val="minor"/>
      </rPr>
      <t xml:space="preserve"> Die angegebene Adresse ist nur die nächstgelegene auf Google Maps. Entscheidend für den Standort sind die GOOGLE KOORDINATEN!
</t>
    </r>
    <r>
      <rPr>
        <b/>
        <sz val="11"/>
        <color theme="1"/>
        <rFont val="Calibri"/>
        <family val="2"/>
        <scheme val="minor"/>
      </rPr>
      <t>Bonus:</t>
    </r>
    <r>
      <rPr>
        <sz val="11"/>
        <color theme="1"/>
        <rFont val="Calibri"/>
        <family val="2"/>
        <scheme val="minor"/>
      </rPr>
      <t xml:space="preserve"> Foto mit dem Team und einer Lok auf der Drehscheibe</t>
    </r>
  </si>
  <si>
    <t>Am Güterbahnhof 37, 06112 Halle (Saale)</t>
  </si>
  <si>
    <t>51.48202522362353, 11.991181807266445</t>
  </si>
  <si>
    <t>R-15</t>
  </si>
  <si>
    <t>Erhasche durch das Gebüsch einen Blick auf den Rangierbahnhof Oberhausen-Ostefeld. Bonus: Ein Wagen befindet sich gerade auf dem Ablaufberg.</t>
  </si>
  <si>
    <t>Vonderbergstraße 222</t>
  </si>
  <si>
    <t>51.502232152087686, 6.909802969491451</t>
  </si>
  <si>
    <t>R-16</t>
  </si>
  <si>
    <r>
      <rPr>
        <b/>
        <sz val="11"/>
        <color theme="1"/>
        <rFont val="Calibri"/>
        <family val="2"/>
        <scheme val="minor"/>
      </rPr>
      <t>Info:</t>
    </r>
    <r>
      <rPr>
        <sz val="11"/>
        <color theme="1"/>
        <rFont val="Calibri"/>
        <family val="2"/>
        <scheme val="minor"/>
      </rPr>
      <t xml:space="preserve"> Rangierbahnhof Maschen
</t>
    </r>
    <r>
      <rPr>
        <b/>
        <sz val="11"/>
        <color theme="1"/>
        <rFont val="Calibri"/>
        <family val="2"/>
        <scheme val="minor"/>
      </rPr>
      <t>Aufgabe:</t>
    </r>
    <r>
      <rPr>
        <sz val="11"/>
        <color theme="1"/>
        <rFont val="Calibri"/>
        <family val="2"/>
        <scheme val="minor"/>
      </rPr>
      <t xml:space="preserve"> Macht ein Gruppenfoto mit dem Rangierbahnhof im Hintergrund
</t>
    </r>
    <r>
      <rPr>
        <b/>
        <sz val="11"/>
        <color theme="1"/>
        <rFont val="Calibri"/>
        <family val="2"/>
        <scheme val="minor"/>
      </rPr>
      <t>Bonus:</t>
    </r>
    <r>
      <rPr>
        <sz val="11"/>
        <color theme="1"/>
        <rFont val="Calibri"/>
        <family val="2"/>
        <scheme val="minor"/>
      </rPr>
      <t xml:space="preserve"> Gruppenfoto mit der Decatur-Brücke im Hintergrund</t>
    </r>
  </si>
  <si>
    <t>53.39818656220809, 10.064122331828639</t>
  </si>
  <si>
    <t>R-17</t>
  </si>
  <si>
    <r>
      <rPr>
        <b/>
        <sz val="11"/>
        <color theme="1"/>
        <rFont val="Calibri"/>
        <family val="2"/>
        <scheme val="minor"/>
      </rPr>
      <t>Info:</t>
    </r>
    <r>
      <rPr>
        <sz val="11"/>
        <color theme="1"/>
        <rFont val="Calibri"/>
        <family val="2"/>
        <scheme val="minor"/>
      </rPr>
      <t xml:space="preserve"> Am RBF Saarbrücken gibt es auch eine DB Cargo Lokwerkstatt.
</t>
    </r>
    <r>
      <rPr>
        <b/>
        <sz val="11"/>
        <color theme="1"/>
        <rFont val="Calibri"/>
        <family val="2"/>
        <scheme val="minor"/>
      </rPr>
      <t xml:space="preserve">Aufgabe: </t>
    </r>
    <r>
      <rPr>
        <sz val="11"/>
        <color theme="1"/>
        <rFont val="Calibri"/>
        <family val="2"/>
        <scheme val="minor"/>
      </rPr>
      <t xml:space="preserve">Macht ein Foto vor der Lokwerkstatt
</t>
    </r>
    <r>
      <rPr>
        <b/>
        <sz val="11"/>
        <color theme="1"/>
        <rFont val="Calibri"/>
        <family val="2"/>
        <scheme val="minor"/>
      </rPr>
      <t>Bonus:</t>
    </r>
    <r>
      <rPr>
        <sz val="11"/>
        <color theme="1"/>
        <rFont val="Calibri"/>
        <family val="2"/>
        <scheme val="minor"/>
      </rPr>
      <t xml:space="preserve"> Auf dem Foto sind mindestens 4 Loks von mindestens 2 verschiedenen Baureihen zu sehen</t>
    </r>
  </si>
  <si>
    <t>Dudweiler Landstraße 4, 66123 Saarbrücken</t>
  </si>
  <si>
    <t>49.244078161949425, 7.001802966159297</t>
  </si>
  <si>
    <t>Macht ein Bild im Tunnel der Bahnunterführung</t>
  </si>
  <si>
    <t>Bebritstraße, 36179 Bebra</t>
  </si>
  <si>
    <t>50.96639510192114, 9.798999062755998</t>
  </si>
  <si>
    <r>
      <rPr>
        <b/>
        <sz val="11"/>
        <color theme="1"/>
        <rFont val="Calibri"/>
        <family val="2"/>
        <scheme val="minor"/>
      </rPr>
      <t>Info</t>
    </r>
    <r>
      <rPr>
        <sz val="11"/>
        <color theme="1"/>
        <rFont val="Calibri"/>
        <family val="2"/>
        <scheme val="minor"/>
      </rPr>
      <t xml:space="preserve">: Mainz-Bischhofsheim gehört gar nicht (mehr) zum Stadtgebiet Mainz. Der Rangierbahnhof ist der größte seiner Art im Rhein-Main-Gebiet. 
</t>
    </r>
    <r>
      <rPr>
        <b/>
        <sz val="11"/>
        <color theme="1"/>
        <rFont val="Calibri"/>
        <family val="2"/>
        <scheme val="minor"/>
      </rPr>
      <t>Aufgabe</t>
    </r>
    <r>
      <rPr>
        <sz val="11"/>
        <color theme="1"/>
        <rFont val="Calibri"/>
        <family val="2"/>
        <scheme val="minor"/>
      </rPr>
      <t xml:space="preserve">: Macht ein Foto mit dem Rangierbahnhof oder dem Stellwerk im Hintergrund
</t>
    </r>
    <r>
      <rPr>
        <b/>
        <sz val="11"/>
        <color theme="1"/>
        <rFont val="Calibri"/>
        <family val="2"/>
        <scheme val="minor"/>
      </rPr>
      <t>Bonus</t>
    </r>
    <r>
      <rPr>
        <sz val="11"/>
        <color theme="1"/>
        <rFont val="Calibri"/>
        <family val="2"/>
        <scheme val="minor"/>
      </rPr>
      <t>: Hemmschuh im Bild (Aber auf keinen Fall diesen von betrieblichen Anlagen klauen)</t>
    </r>
  </si>
  <si>
    <t>Am Alten Gerauer Weg 14, 65474 Bischofsheim</t>
  </si>
  <si>
    <t>49.986809984648936, 8.36618578309051</t>
  </si>
  <si>
    <t>R-2</t>
  </si>
  <si>
    <r>
      <rPr>
        <b/>
        <sz val="11"/>
        <color theme="1"/>
        <rFont val="Calibri"/>
        <family val="2"/>
        <scheme val="minor"/>
      </rPr>
      <t>Info:</t>
    </r>
    <r>
      <rPr>
        <sz val="11"/>
        <color theme="1"/>
        <rFont val="Calibri"/>
        <family val="2"/>
        <scheme val="minor"/>
      </rPr>
      <t xml:space="preserve"> Der Rangierbahnhof München Nord gibt es erst seit 1991
</t>
    </r>
    <r>
      <rPr>
        <b/>
        <sz val="11"/>
        <color theme="1"/>
        <rFont val="Calibri"/>
        <family val="2"/>
        <scheme val="minor"/>
      </rPr>
      <t>Aufgabe:</t>
    </r>
    <r>
      <rPr>
        <sz val="11"/>
        <color theme="1"/>
        <rFont val="Calibri"/>
        <family val="2"/>
        <scheme val="minor"/>
      </rPr>
      <t xml:space="preserve"> Die Feldmochingerstr. Brücke zwischen Moosach und Fasanarie bietet einen guten Ausblick zum Rangierbahnhof. Mach dort ein Teamfoto mit allen sichtbaren Gleisen im Hintergrund.</t>
    </r>
  </si>
  <si>
    <t>Feldmochinger Str., 80995 München-Moosach</t>
  </si>
  <si>
    <t>48.190766, 11.522337</t>
  </si>
  <si>
    <t>R-20</t>
  </si>
  <si>
    <t>Foto vor dem 3-Männer-Eck.</t>
  </si>
  <si>
    <t>Heinz-Rühmann-Platz, 44649 Herne, Deutschland</t>
  </si>
  <si>
    <t>51.53228410701094, 7.165118559778079</t>
  </si>
  <si>
    <r>
      <rPr>
        <b/>
        <sz val="11"/>
        <color rgb="FF000000"/>
        <rFont val="Calibri"/>
        <family val="2"/>
        <scheme val="minor"/>
      </rPr>
      <t>Info:</t>
    </r>
    <r>
      <rPr>
        <sz val="11"/>
        <color rgb="FF000000"/>
        <rFont val="Calibri"/>
        <family val="2"/>
        <scheme val="minor"/>
      </rPr>
      <t xml:space="preserve"> Duisburg-Wedau ist einer der bekanntesten ehemaligen großen Rangierbahnhöfe in Westdeutschland. Das Gelände wurde nach der Stilllegung großflächig umgenutzt beziehungsweise überplant.
</t>
    </r>
    <r>
      <rPr>
        <b/>
        <sz val="11"/>
        <color rgb="FF000000"/>
        <rFont val="Calibri"/>
        <family val="2"/>
        <scheme val="minor"/>
      </rPr>
      <t>Aufgabe:</t>
    </r>
    <r>
      <rPr>
        <sz val="11"/>
        <color rgb="FF000000"/>
        <rFont val="Calibri"/>
        <family val="2"/>
        <scheme val="minor"/>
      </rPr>
      <t xml:space="preserve"> Laufe zur Kreuzung Masurenallee / am See und mache ein Foto des Geländes des ehemaligen Rangierbahnhofs
</t>
    </r>
    <r>
      <rPr>
        <b/>
        <sz val="11"/>
        <color rgb="FF000000"/>
        <rFont val="Calibri"/>
        <family val="2"/>
        <scheme val="minor"/>
      </rPr>
      <t>Bonus:</t>
    </r>
    <r>
      <rPr>
        <sz val="11"/>
        <color rgb="FF000000"/>
        <rFont val="Calibri"/>
        <family val="2"/>
        <scheme val="minor"/>
      </rPr>
      <t xml:space="preserve"> Auf dem Foto sind noch Reste des Rangierbahnhofes zu erkennen, z.B. Gleisanlagen im Hintergrund.</t>
    </r>
  </si>
  <si>
    <t>Kreuzung Masurenallee / am See 67, 47279 Duisburg Süd</t>
  </si>
  <si>
    <t>51.390969354193004, 6.802129938428505</t>
  </si>
  <si>
    <t>R-22</t>
  </si>
  <si>
    <r>
      <rPr>
        <b/>
        <sz val="11"/>
        <color theme="1"/>
        <rFont val="Calibri"/>
        <family val="2"/>
        <scheme val="minor"/>
      </rPr>
      <t>Info:</t>
    </r>
    <r>
      <rPr>
        <sz val="11"/>
        <color theme="1"/>
        <rFont val="Calibri"/>
        <family val="2"/>
        <scheme val="minor"/>
      </rPr>
      <t xml:space="preserve"> Der erste Teil des Oberhausener Rangierbahnhofs wurde 1891 fertiggestellt. Anfang des 20. Jahrhunderts war er der größte Rangierbahnhof des Ruhrgebiets.
</t>
    </r>
    <r>
      <rPr>
        <b/>
        <sz val="11"/>
        <color theme="1"/>
        <rFont val="Calibri"/>
        <family val="2"/>
        <scheme val="minor"/>
      </rPr>
      <t>Aufgabe:</t>
    </r>
    <r>
      <rPr>
        <sz val="11"/>
        <color theme="1"/>
        <rFont val="Calibri"/>
        <family val="2"/>
        <scheme val="minor"/>
      </rPr>
      <t xml:space="preserve"> Seid überzeugt davon, dass Güter auf die Schiene gehören, und macht ein Foto vor dem Standort von DB Cargo.</t>
    </r>
  </si>
  <si>
    <t>51.500408667392264, 6.893627268868703</t>
  </si>
  <si>
    <r>
      <rPr>
        <b/>
        <sz val="11"/>
        <color theme="1"/>
        <rFont val="Calibri"/>
        <family val="2"/>
        <scheme val="minor"/>
      </rPr>
      <t xml:space="preserve">Info: </t>
    </r>
    <r>
      <rPr>
        <sz val="11"/>
        <color theme="1"/>
        <rFont val="Calibri"/>
        <family val="2"/>
        <scheme val="minor"/>
      </rPr>
      <t>Kamerabrücken sind mit Hochgeschwindigkeitskameras und Beleuchtungssystemen ausgestattet, die es der KI ermöglichen,  Wagen auf Beschädigungen zu prüfen. Insgesamt 13 solcher Kamerabrücken stehen in Deutschland.</t>
    </r>
    <r>
      <rPr>
        <b/>
        <sz val="11"/>
        <color theme="1"/>
        <rFont val="Calibri"/>
        <family val="2"/>
        <scheme val="minor"/>
      </rPr>
      <t xml:space="preserve">
Aufgabe: </t>
    </r>
    <r>
      <rPr>
        <sz val="11"/>
        <color theme="1"/>
        <rFont val="Calibri"/>
        <family val="2"/>
        <scheme val="minor"/>
      </rPr>
      <t xml:space="preserve">Erklärt das Prinzip durch ein Theaterstück. Dabei fällt der KI ein Fehler an eurer Jacke / Rucksack auf. (Video)
</t>
    </r>
    <r>
      <rPr>
        <b/>
        <sz val="11"/>
        <color theme="1"/>
        <rFont val="Calibri"/>
        <family val="2"/>
        <scheme val="minor"/>
      </rPr>
      <t>Bonus:</t>
    </r>
    <r>
      <rPr>
        <sz val="11"/>
        <color theme="1"/>
        <rFont val="Calibri"/>
        <family val="2"/>
        <scheme val="minor"/>
      </rPr>
      <t xml:space="preserve"> Es wird gerade abgelassen.</t>
    </r>
  </si>
  <si>
    <t>Parkplatz Schrebergärten, 68239 Mannheim</t>
  </si>
  <si>
    <t>49.45413583346152, 8.528916198380827</t>
  </si>
  <si>
    <r>
      <rPr>
        <b/>
        <sz val="11"/>
        <color theme="1"/>
        <rFont val="Calibri"/>
        <family val="2"/>
        <scheme val="minor"/>
      </rPr>
      <t>Info:</t>
    </r>
    <r>
      <rPr>
        <sz val="11"/>
        <color theme="1"/>
        <rFont val="Calibri"/>
        <family val="2"/>
        <scheme val="minor"/>
      </rPr>
      <t xml:space="preserve"> Seelze Gbf: Der Güterbahnhof war in den 1960ern das Versuchslabor für Automatisierung und war damit ein Pionier der Computersteuerung.
</t>
    </r>
    <r>
      <rPr>
        <b/>
        <sz val="11"/>
        <color theme="1"/>
        <rFont val="Calibri"/>
        <family val="2"/>
        <scheme val="minor"/>
      </rPr>
      <t>Aufgabe:</t>
    </r>
    <r>
      <rPr>
        <sz val="11"/>
        <color theme="1"/>
        <rFont val="Calibri"/>
        <family val="2"/>
        <scheme val="minor"/>
      </rPr>
      <t xml:space="preserve"> Nehmt ein Foto auf, auf dem eine Lok zu sehen ist mit erkennbarem "DB"-Logo.</t>
    </r>
  </si>
  <si>
    <t>L390 (Göxer Landstraße), 30926 Seelze</t>
  </si>
  <si>
    <t>52.392992, 9.586046</t>
  </si>
  <si>
    <t>R-25</t>
  </si>
  <si>
    <r>
      <rPr>
        <b/>
        <sz val="11"/>
        <color theme="1"/>
        <rFont val="Calibri"/>
        <family val="2"/>
        <scheme val="minor"/>
      </rPr>
      <t>Info:</t>
    </r>
    <r>
      <rPr>
        <sz val="11"/>
        <color theme="1"/>
        <rFont val="Calibri"/>
        <family val="2"/>
        <scheme val="minor"/>
      </rPr>
      <t xml:space="preserve"> Der ehemalige Rangier- und Güterbahnhof Kranichstein ist in der Gesamtheit seiner baulichen Anlagen und Verkehrsstrukturen seit rund 160 Jahren prägender Bestandteil  der urbanen Struktur und der Kulturlandschaft Kranichsteins und damit von städtebaulicher Bedeutung.
</t>
    </r>
    <r>
      <rPr>
        <b/>
        <sz val="11"/>
        <color theme="1"/>
        <rFont val="Calibri"/>
        <family val="2"/>
        <scheme val="minor"/>
      </rPr>
      <t xml:space="preserve">Aufgabe: </t>
    </r>
    <r>
      <rPr>
        <sz val="11"/>
        <color theme="1"/>
        <rFont val="Calibri"/>
        <family val="2"/>
        <scheme val="minor"/>
      </rPr>
      <t>Macht ein Foto vor der "Bahnwelt Kranichstein", auf dem ein historisches Fahrzeug zu sehen ist.</t>
    </r>
  </si>
  <si>
    <t>Steinstraße 7, 64291 Arheilgen</t>
  </si>
  <si>
    <t>49.908006024232165, 8.679523126984583</t>
  </si>
  <si>
    <r>
      <rPr>
        <b/>
        <sz val="11"/>
        <color theme="1"/>
        <rFont val="Calibri"/>
        <family val="2"/>
        <scheme val="minor"/>
      </rPr>
      <t>Info:</t>
    </r>
    <r>
      <rPr>
        <sz val="11"/>
        <color theme="1"/>
        <rFont val="Calibri"/>
        <family val="2"/>
        <scheme val="minor"/>
      </rPr>
      <t xml:space="preserve"> Der Rangierbahnhof Seddin ist einer der wichtigsten RBF der DB. Glück für euch: zur Anlage gehört auch ein Personenbahnhof.
</t>
    </r>
    <r>
      <rPr>
        <b/>
        <sz val="11"/>
        <color theme="1"/>
        <rFont val="Calibri"/>
        <family val="2"/>
        <scheme val="minor"/>
      </rPr>
      <t>Aufgabe:</t>
    </r>
    <r>
      <rPr>
        <sz val="11"/>
        <color theme="1"/>
        <rFont val="Calibri"/>
        <family val="2"/>
        <scheme val="minor"/>
      </rPr>
      <t xml:space="preserve"> erweitert euren Horizont (nicht immer nur an Bahn denken), und schaut euch die Feuerwehr von Seddin an.
</t>
    </r>
    <r>
      <rPr>
        <b/>
        <sz val="11"/>
        <color theme="1"/>
        <rFont val="Calibri"/>
        <family val="2"/>
        <scheme val="minor"/>
      </rPr>
      <t>Bonus:</t>
    </r>
    <r>
      <rPr>
        <sz val="11"/>
        <color theme="1"/>
        <rFont val="Calibri"/>
        <family val="2"/>
        <scheme val="minor"/>
      </rPr>
      <t xml:space="preserve"> macht ein Foto, auf dem sowohl ein Personenzug als auch ein Güterzug zu sehen sind.</t>
    </r>
  </si>
  <si>
    <t>Kunersdorfer Str. 3, 14554 Seddiner See-Neuseddin</t>
  </si>
  <si>
    <t>52.2898579499697, 12.989335700691079</t>
  </si>
  <si>
    <t>R-4</t>
  </si>
  <si>
    <t>Macht ein Bild des Ablaufberges von der Brücke</t>
  </si>
  <si>
    <t>Villeneuvestraße 92, 70806 Kornwestheim</t>
  </si>
  <si>
    <t>48.872704623373366, 9.179403450458121</t>
  </si>
  <si>
    <t>R-5</t>
  </si>
  <si>
    <r>
      <rPr>
        <b/>
        <sz val="11"/>
        <color theme="1"/>
        <rFont val="Calibri"/>
        <family val="2"/>
        <scheme val="minor"/>
      </rPr>
      <t>Info</t>
    </r>
    <r>
      <rPr>
        <sz val="11"/>
        <color theme="1"/>
        <rFont val="Calibri"/>
        <family val="2"/>
        <scheme val="minor"/>
      </rPr>
      <t xml:space="preserve">: in Bingerbrück war der Rangierbahnhof ein wichtiger Umschlagknoten zwischen Nahetalbahn und linker Rheinstrecke inkl. Trajekt. Im Rahmen der Landesgartenschau wurde das Areal des stillgelegten Rbf zum "Park am Mäuseturm" umgewandelt. 
</t>
    </r>
    <r>
      <rPr>
        <b/>
        <sz val="11"/>
        <color theme="1"/>
        <rFont val="Calibri"/>
        <family val="2"/>
        <scheme val="minor"/>
      </rPr>
      <t>Aufgabe</t>
    </r>
    <r>
      <rPr>
        <sz val="11"/>
        <color theme="1"/>
        <rFont val="Calibri"/>
        <family val="2"/>
        <scheme val="minor"/>
      </rPr>
      <t xml:space="preserve">: macht ein Gruppenbild vor dem ehemaligen Stellwerk oder alternativ dem abgestellten Waggon. 
</t>
    </r>
    <r>
      <rPr>
        <b/>
        <sz val="11"/>
        <color theme="1"/>
        <rFont val="Calibri"/>
        <family val="2"/>
        <scheme val="minor"/>
      </rPr>
      <t>Bonus</t>
    </r>
    <r>
      <rPr>
        <sz val="11"/>
        <color theme="1"/>
        <rFont val="Calibri"/>
        <family val="2"/>
        <scheme val="minor"/>
      </rPr>
      <t>: begebt euch auf Zeitreise und macht ein weiteres Foto aus der Vogelperspektive, indem ihr das Modell des Rbf im Stellwerk (11-17 Uhr, Eintritt frei) abfotografiert.</t>
    </r>
  </si>
  <si>
    <t>Mäuseturm, Park am, 55411 Bingen am Rhein</t>
  </si>
  <si>
    <t>49.968814608679885, 7.887419051271039</t>
  </si>
  <si>
    <r>
      <rPr>
        <b/>
        <sz val="11"/>
        <color theme="1"/>
        <rFont val="Calibri"/>
        <family val="2"/>
        <scheme val="minor"/>
      </rPr>
      <t>Info:</t>
    </r>
    <r>
      <rPr>
        <sz val="11"/>
        <color theme="1"/>
        <rFont val="Calibri"/>
        <family val="2"/>
        <scheme val="minor"/>
      </rPr>
      <t xml:space="preserve"> Güterbahnhof Neuss Gbf.
</t>
    </r>
    <r>
      <rPr>
        <b/>
        <sz val="11"/>
        <color theme="1"/>
        <rFont val="Calibri"/>
        <family val="2"/>
        <scheme val="minor"/>
      </rPr>
      <t>Aufgabe:</t>
    </r>
    <r>
      <rPr>
        <sz val="11"/>
        <color theme="1"/>
        <rFont val="Calibri"/>
        <family val="2"/>
        <scheme val="minor"/>
      </rPr>
      <t xml:space="preserve"> Macht ein Gruppenfoto auf der Mitte der Brücke (Fesserstraße) über die Gütergleise mit dem Rangierbahnhof im Hintergrund.</t>
    </r>
  </si>
  <si>
    <t>Fesserstraße, 41462 Neuss</t>
  </si>
  <si>
    <t>51.2113830012924, 6.68620476145162</t>
  </si>
  <si>
    <t>R-8</t>
  </si>
  <si>
    <r>
      <rPr>
        <b/>
        <sz val="11"/>
        <color theme="1"/>
        <rFont val="Calibri"/>
        <family val="2"/>
        <scheme val="minor"/>
      </rPr>
      <t>Info</t>
    </r>
    <r>
      <rPr>
        <sz val="11"/>
        <color theme="1"/>
        <rFont val="Calibri"/>
        <family val="2"/>
        <scheme val="minor"/>
      </rPr>
      <t xml:space="preserve">: Der Rangierbahnhof Gremberg ist einer der größten Deutschlands. Es sind zwei Anlagen in einer, so dass in beide Richtungen Ein- und Ausgefahren werden kann.
</t>
    </r>
    <r>
      <rPr>
        <b/>
        <sz val="11"/>
        <color theme="1"/>
        <rFont val="Calibri"/>
        <family val="2"/>
        <scheme val="minor"/>
      </rPr>
      <t>Aufgabe</t>
    </r>
    <r>
      <rPr>
        <sz val="11"/>
        <color theme="1"/>
        <rFont val="Calibri"/>
        <family val="2"/>
        <scheme val="minor"/>
      </rPr>
      <t xml:space="preserve">: Findet 3 Loks unterschiedlicher Baureihen und bestimmt neben der Baureihe für welche Länder die Lok zugelassen ist (Raster an der Seite). Es dürfen keine Gleise überschritten werden. Dokumentation durch Fotos oder Video inkl. Team.
</t>
    </r>
    <r>
      <rPr>
        <b/>
        <sz val="11"/>
        <color theme="1"/>
        <rFont val="Calibri"/>
        <family val="2"/>
        <scheme val="minor"/>
      </rPr>
      <t>Bonus:</t>
    </r>
    <r>
      <rPr>
        <sz val="11"/>
        <color theme="1"/>
        <rFont val="Calibri"/>
        <family val="2"/>
        <scheme val="minor"/>
      </rPr>
      <t xml:space="preserve"> Teambild mit einem Hemmschuh.</t>
    </r>
  </si>
  <si>
    <t>Rather Str. 1c, 51149 Köln</t>
  </si>
  <si>
    <t>50.89971722676822, 7.052123173358707</t>
  </si>
  <si>
    <r>
      <t xml:space="preserve">Info: </t>
    </r>
    <r>
      <rPr>
        <sz val="11"/>
        <color theme="1"/>
        <rFont val="Calibri"/>
        <family val="2"/>
        <scheme val="minor"/>
      </rPr>
      <t>Besuchen das einzige vollständig erhaltene Eisenwerk aus der Industrialisierung und das erste Industriedenkmal der UNESCO</t>
    </r>
    <r>
      <rPr>
        <b/>
        <sz val="11"/>
        <color theme="1"/>
        <rFont val="Calibri"/>
        <family val="2"/>
        <scheme val="minor"/>
      </rPr>
      <t xml:space="preserve">. </t>
    </r>
    <r>
      <rPr>
        <sz val="11"/>
        <color theme="1"/>
        <rFont val="Calibri"/>
        <family val="2"/>
        <scheme val="minor"/>
      </rPr>
      <t xml:space="preserve">Die Versorgung per Bahn benötigte viele Gleise. Die verblieben Stahlwerke sind weiterhin in Betrieb. 
</t>
    </r>
    <r>
      <rPr>
        <b/>
        <sz val="11"/>
        <color theme="1"/>
        <rFont val="Calibri"/>
        <family val="2"/>
        <scheme val="minor"/>
      </rPr>
      <t xml:space="preserve">Aufgabe: </t>
    </r>
    <r>
      <rPr>
        <sz val="11"/>
        <color theme="1"/>
        <rFont val="Calibri"/>
        <family val="2"/>
        <scheme val="minor"/>
      </rPr>
      <t xml:space="preserve">Lauft über die Brücke so nah wie möglich zu den Kohlebunkern und macht ein Foto mit der Lok / Güterwagen im Hintergrund.
</t>
    </r>
    <r>
      <rPr>
        <b/>
        <sz val="11"/>
        <color theme="1"/>
        <rFont val="Calibri"/>
        <family val="2"/>
        <scheme val="minor"/>
      </rPr>
      <t xml:space="preserve">Bonus: </t>
    </r>
    <r>
      <rPr>
        <sz val="11"/>
        <color theme="1"/>
        <rFont val="Calibri"/>
        <family val="2"/>
        <scheme val="minor"/>
      </rPr>
      <t>Macht ein Foto eines vollen Torpedowagens mit flüssigem Stahl</t>
    </r>
    <r>
      <rPr>
        <b/>
        <sz val="11"/>
        <color theme="1"/>
        <rFont val="Calibri"/>
        <family val="2"/>
        <scheme val="minor"/>
      </rPr>
      <t xml:space="preserve">
</t>
    </r>
  </si>
  <si>
    <t>49.24857384591403, 6.845998996408125</t>
  </si>
  <si>
    <t>T-1</t>
  </si>
  <si>
    <t>Aufgabe: Macht ein Foto auf der Bahnhofsbrücke von der Hörnbrücke in Kiel. Die Hörnbrücke sollte vollständig zu sehen sein.</t>
  </si>
  <si>
    <t>Bahnhofsbrücke, Kiel</t>
  </si>
  <si>
    <t>54.3153169129835, 10.134933769102137</t>
  </si>
  <si>
    <r>
      <rPr>
        <b/>
        <sz val="11"/>
        <color rgb="FF000000"/>
        <rFont val="Calibri"/>
        <family val="2"/>
        <scheme val="minor"/>
      </rPr>
      <t>Info:</t>
    </r>
    <r>
      <rPr>
        <sz val="11"/>
        <color rgb="FF000000"/>
        <rFont val="Calibri"/>
        <family val="2"/>
        <scheme val="minor"/>
      </rPr>
      <t xml:space="preserve"> Ja, hier wurden Teile des Münster-Tatorts gedreht
Aufgabe: Macht ein Foto vor der Burg
</t>
    </r>
    <r>
      <rPr>
        <b/>
        <sz val="11"/>
        <color rgb="FF000000"/>
        <rFont val="Calibri"/>
        <family val="2"/>
        <scheme val="minor"/>
      </rPr>
      <t>Bonus:</t>
    </r>
    <r>
      <rPr>
        <sz val="11"/>
        <color rgb="FF000000"/>
        <rFont val="Calibri"/>
        <family val="2"/>
        <scheme val="minor"/>
      </rPr>
      <t xml:space="preserve"> Die Burg ist nicht auf dem Foto zu sehen</t>
    </r>
  </si>
  <si>
    <t>Burg Bubenheim 1, 52388 Nörvenich-Bubenheim</t>
  </si>
  <si>
    <t>50.77162650323298, 6.551072778553632</t>
  </si>
  <si>
    <t>T-11</t>
  </si>
  <si>
    <r>
      <rPr>
        <b/>
        <sz val="11"/>
        <color theme="1"/>
        <rFont val="Calibri"/>
        <family val="2"/>
        <scheme val="minor"/>
      </rPr>
      <t>Info:</t>
    </r>
    <r>
      <rPr>
        <sz val="11"/>
        <color theme="1"/>
        <rFont val="Calibri"/>
        <family val="2"/>
        <scheme val="minor"/>
      </rPr>
      <t xml:space="preserve"> In Saarbrücken wird seit 2020 im Jahr etwa ein Tatort gedreht.
</t>
    </r>
    <r>
      <rPr>
        <b/>
        <sz val="11"/>
        <color theme="1"/>
        <rFont val="Calibri"/>
        <family val="2"/>
        <scheme val="minor"/>
      </rPr>
      <t xml:space="preserve">Aufgabe: </t>
    </r>
    <r>
      <rPr>
        <sz val="11"/>
        <color theme="1"/>
        <rFont val="Calibri"/>
        <family val="2"/>
        <scheme val="minor"/>
      </rPr>
      <t xml:space="preserve">Observation schräger Vögel. Entfernt euch mindestens 200m vom Bahnhof. Macht ein Video von einem Vogel, auf dem dieser ununterbrochen für mindestens 2 Minuten sichtbar ist. Das Video muss durchgehend und ohne Unterbrechung sein. Sobald der Vogel -auch nur kurz- nicht im Bild sichtbar war beginnt die Zeit von vorne.
</t>
    </r>
    <r>
      <rPr>
        <b/>
        <sz val="11"/>
        <color theme="1"/>
        <rFont val="Calibri"/>
        <family val="2"/>
        <scheme val="minor"/>
      </rPr>
      <t>Bonus:</t>
    </r>
    <r>
      <rPr>
        <sz val="11"/>
        <color theme="1"/>
        <rFont val="Calibri"/>
        <family val="2"/>
        <scheme val="minor"/>
      </rPr>
      <t xml:space="preserve"> Ihr macht ein Video auf dem ein Vogel 4 Minuten zu sehen ist.</t>
    </r>
  </si>
  <si>
    <t>Bahnhofstraße 68-70, 66111 Saarbrücken</t>
  </si>
  <si>
    <t>49.23655285424344, 6.992781390046872</t>
  </si>
  <si>
    <t>T-12</t>
  </si>
  <si>
    <r>
      <rPr>
        <b/>
        <sz val="11"/>
        <color theme="1"/>
        <rFont val="Calibri"/>
        <family val="2"/>
        <scheme val="minor"/>
      </rPr>
      <t xml:space="preserve">Info: </t>
    </r>
    <r>
      <rPr>
        <sz val="11"/>
        <color theme="1"/>
        <rFont val="Calibri"/>
        <family val="2"/>
        <scheme val="minor"/>
      </rPr>
      <t xml:space="preserve">Stuttgarter Tatort "EX-IT"(2026) wird ein Auto aus dem Neckar gezogen.  https://www.swr3.de/tatort-und-polizeiruf/tatort-kritik-ex-it-stuttgart-100.html. 
</t>
    </r>
    <r>
      <rPr>
        <b/>
        <sz val="11"/>
        <color theme="1"/>
        <rFont val="Calibri"/>
        <family val="2"/>
        <scheme val="minor"/>
      </rPr>
      <t>Aufgabe:</t>
    </r>
    <r>
      <rPr>
        <sz val="11"/>
        <color theme="1"/>
        <rFont val="Calibri"/>
        <family val="2"/>
        <scheme val="minor"/>
      </rPr>
      <t xml:space="preserve"> Schaut euch die Stelle an und macht ein Bild aus der gleichen Perspektive. Haltet ein Standbild der Szene ins Bild.</t>
    </r>
  </si>
  <si>
    <t>Talstraße 201, 70372 Stuttgart</t>
  </si>
  <si>
    <t>48.80195463619272, 9.209685119100497</t>
  </si>
  <si>
    <t>T-13</t>
  </si>
  <si>
    <r>
      <rPr>
        <b/>
        <sz val="11"/>
        <color rgb="FF000000"/>
        <rFont val="Calibri"/>
        <family val="2"/>
        <scheme val="minor"/>
      </rPr>
      <t xml:space="preserve">Info: </t>
    </r>
    <r>
      <rPr>
        <sz val="11"/>
        <color rgb="FF000000"/>
        <rFont val="Calibri"/>
        <family val="2"/>
        <scheme val="minor"/>
      </rPr>
      <t xml:space="preserve">Im Tatort "Im Abseits" spielten Prominente wie der ehemalige Fußballbundesträner Jogi Löw mit. Der Handlungsort Eppheim ist fiktiv. Die Dreharbeiten im Fußballstadion fanden im Wörtelstadion in Kuppenheim bei Baden-Baden statt. Kuppenheim kann man mit der Netzcard erreichen.
</t>
    </r>
    <r>
      <rPr>
        <b/>
        <sz val="11"/>
        <color rgb="FF000000"/>
        <rFont val="Calibri"/>
        <family val="2"/>
        <scheme val="minor"/>
      </rPr>
      <t xml:space="preserve">Aufgabe: </t>
    </r>
    <r>
      <rPr>
        <sz val="11"/>
        <color rgb="FF000000"/>
        <rFont val="Calibri"/>
        <family val="2"/>
        <scheme val="minor"/>
      </rPr>
      <t>Fotografiert euch vor dem Eingang des Stadions.</t>
    </r>
  </si>
  <si>
    <t>Adlerstraße 7, 76456 Kuppenheim</t>
  </si>
  <si>
    <t>48.830943, 8.257238</t>
  </si>
  <si>
    <r>
      <rPr>
        <b/>
        <sz val="11"/>
        <color theme="1"/>
        <rFont val="Calibri"/>
        <family val="2"/>
        <scheme val="minor"/>
      </rPr>
      <t xml:space="preserve">Info: </t>
    </r>
    <r>
      <rPr>
        <sz val="11"/>
        <color theme="1"/>
        <rFont val="Calibri"/>
        <family val="2"/>
        <scheme val="minor"/>
      </rPr>
      <t xml:space="preserve">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t>
    </r>
    <r>
      <rPr>
        <b/>
        <sz val="11"/>
        <color theme="1"/>
        <rFont val="Calibri"/>
        <family val="2"/>
        <scheme val="minor"/>
      </rPr>
      <t xml:space="preserve">Aufgabe: </t>
    </r>
    <r>
      <rPr>
        <sz val="11"/>
        <color theme="1"/>
        <rFont val="Calibri"/>
        <family val="2"/>
        <scheme val="minor"/>
      </rPr>
      <t xml:space="preserve">Stellt eine tatortwürdige Szene vor dem alten Polizeipräsidium dar.
</t>
    </r>
    <r>
      <rPr>
        <b/>
        <sz val="11"/>
        <color theme="1"/>
        <rFont val="Calibri"/>
        <family val="2"/>
        <scheme val="minor"/>
      </rPr>
      <t xml:space="preserve">Bonus: </t>
    </r>
    <r>
      <rPr>
        <sz val="11"/>
        <color theme="1"/>
        <rFont val="Calibri"/>
        <family val="2"/>
        <scheme val="minor"/>
      </rPr>
      <t>Extrapunkte für Verkleidung</t>
    </r>
  </si>
  <si>
    <t>Friedrich-Ebert-Anlage 11, 60327 Frankfurt am Main</t>
  </si>
  <si>
    <t>50.10990903615471, 8.658952845125782</t>
  </si>
  <si>
    <t>T-15</t>
  </si>
  <si>
    <t>Aufgabe: Stelle eine typische Szene eines Krimis nach. Die Weser sollte im Hintergrund zu sehen sein.</t>
  </si>
  <si>
    <t>Schlachte 35, 28195 Bremen</t>
  </si>
  <si>
    <t>53.07825690533403, 8.799149347171387</t>
  </si>
  <si>
    <t>Info: Im Kölner Tatort "Tanzmariechen" aus 2017 wird die Trainerin einer Tanzgarde ermordet Aufgabe: Sucht das Kölner Karnevalsmuseum auf Bonus: jemand aus eurem Team führt einen einminütigen Tanz analog eines Tanzmariechens auf</t>
  </si>
  <si>
    <t>Maarweg 134/136, 50825 Ehrenfeld</t>
  </si>
  <si>
    <t>50.944972515255, 6.898263166171037</t>
  </si>
  <si>
    <t>T-17</t>
  </si>
  <si>
    <r>
      <rPr>
        <b/>
        <sz val="11"/>
        <color theme="1"/>
        <rFont val="Calibri"/>
        <family val="2"/>
        <scheme val="minor"/>
      </rPr>
      <t>Info:</t>
    </r>
    <r>
      <rPr>
        <sz val="11"/>
        <color theme="1"/>
        <rFont val="Calibri"/>
        <family val="2"/>
        <scheme val="minor"/>
      </rPr>
      <t xml:space="preserve"> Der wohl legendärste Tatort-Kommissar: Schimanski!
</t>
    </r>
    <r>
      <rPr>
        <b/>
        <sz val="11"/>
        <color theme="1"/>
        <rFont val="Calibri"/>
        <family val="2"/>
        <scheme val="minor"/>
      </rPr>
      <t xml:space="preserve">Aufgabe: </t>
    </r>
    <r>
      <rPr>
        <sz val="11"/>
        <color theme="1"/>
        <rFont val="Calibri"/>
        <family val="2"/>
        <scheme val="minor"/>
      </rPr>
      <t xml:space="preserve">Geht zu Schimanskis Lieblingskneipe "Zum Anker" (heute "Ankerbar") und spielt eine (tatsächliche oder ausgedachte) Szene mit Schimanski und Thanner nach (Video, mindestens 1 min).
</t>
    </r>
    <r>
      <rPr>
        <b/>
        <sz val="11"/>
        <color theme="1"/>
        <rFont val="Calibri"/>
        <family val="2"/>
        <scheme val="minor"/>
      </rPr>
      <t>Bonus:</t>
    </r>
    <r>
      <rPr>
        <sz val="11"/>
        <color theme="1"/>
        <rFont val="Calibri"/>
        <family val="2"/>
        <scheme val="minor"/>
      </rPr>
      <t xml:space="preserve"> Ihr trinkt ein Bier in der Ankerbar und macht ein Foto vor einer der Schimanski-Devotionalien (falls die noch da sind, ansonsten reicht das Bier).</t>
    </r>
  </si>
  <si>
    <t>König-Friedrich-Wilhelm-Straße 18, 47119 Duisburg</t>
  </si>
  <si>
    <t>51.45390303615025, 6.731136274528934</t>
  </si>
  <si>
    <t>T-18</t>
  </si>
  <si>
    <t>Besuche Konstanz Hbf und laufe einmal kurz über die Schweizer Grenze zu Fuß</t>
  </si>
  <si>
    <t>Seestrasse 11A, 78462 Kreuzlingen, Schweiz</t>
  </si>
  <si>
    <t>47.654996618026374, 9.178471746953349</t>
  </si>
  <si>
    <t>T-19</t>
  </si>
  <si>
    <r>
      <rPr>
        <b/>
        <sz val="11"/>
        <color theme="1"/>
        <rFont val="Calibri"/>
        <family val="2"/>
        <scheme val="minor"/>
      </rPr>
      <t>Info:</t>
    </r>
    <r>
      <rPr>
        <sz val="11"/>
        <color theme="1"/>
        <rFont val="Calibri"/>
        <family val="2"/>
        <scheme val="minor"/>
      </rPr>
      <t xml:space="preserve"> Kulisse für Hauptkommissar Voss’ ersten Auftritt war der Hauptbahnhof Nürnberg. Für die Tatort-Mordkommission wurde als Kulisse das Polizeipräsidium Mittelfranken mit Sitz am Jakobsplatz in direkter Nähe zur Elisabethkirche gewählt, in dem zugleich Innenaufnahmen stattfanden. 
</t>
    </r>
    <r>
      <rPr>
        <b/>
        <sz val="11"/>
        <color theme="1"/>
        <rFont val="Calibri"/>
        <family val="2"/>
        <scheme val="minor"/>
      </rPr>
      <t>Aufgabe:</t>
    </r>
    <r>
      <rPr>
        <sz val="11"/>
        <color theme="1"/>
        <rFont val="Calibri"/>
        <family val="2"/>
        <scheme val="minor"/>
      </rPr>
      <t xml:space="preserve"> Macht ein Foto vor dem Polizeipräsidium Mittelfranken
</t>
    </r>
    <r>
      <rPr>
        <b/>
        <sz val="11"/>
        <color theme="1"/>
        <rFont val="Calibri"/>
        <family val="2"/>
        <scheme val="minor"/>
      </rPr>
      <t>Bonus:</t>
    </r>
    <r>
      <rPr>
        <sz val="11"/>
        <color theme="1"/>
        <rFont val="Calibri"/>
        <family val="2"/>
        <scheme val="minor"/>
      </rPr>
      <t xml:space="preserve"> Wenn ihr eine Ausschilderung von Felix Voss findet, gibt es 20 Punkte extra</t>
    </r>
  </si>
  <si>
    <t>Jakobspl. 5, 90402 Nürnberg</t>
  </si>
  <si>
    <t>49.450709164865124, 11.069149263735227</t>
  </si>
  <si>
    <t>T-2</t>
  </si>
  <si>
    <r>
      <rPr>
        <b/>
        <sz val="11"/>
        <color theme="1"/>
        <rFont val="Calibri"/>
        <family val="2"/>
        <scheme val="minor"/>
      </rPr>
      <t xml:space="preserve">Info: </t>
    </r>
    <r>
      <rPr>
        <sz val="11"/>
        <color theme="1"/>
        <rFont val="Calibri"/>
        <family val="2"/>
        <scheme val="minor"/>
      </rPr>
      <t xml:space="preserve">Der </t>
    </r>
    <r>
      <rPr>
        <b/>
        <sz val="11"/>
        <color theme="1"/>
        <rFont val="Calibri"/>
        <family val="2"/>
        <scheme val="minor"/>
      </rPr>
      <t>Tatort aus Leipzig</t>
    </r>
    <r>
      <rPr>
        <sz val="11"/>
        <color theme="1"/>
        <rFont val="Calibri"/>
        <family val="2"/>
        <scheme val="minor"/>
      </rPr>
      <t xml:space="preserve"> hat eine lange Tradition und gehört zu den Klassikern der ARD-Krimireihe. Obwohl in Leipzig derzeit kein eigenes, aktives Ermittlerteam mehr stationiert ist (da der MDR die sächsischen Fälle nach Dresden verlegt hat), war die Messestadt über viele Jahre Schauplatz für zwei extrem bekannte und beliebte Ermittler-Duos.
</t>
    </r>
    <r>
      <rPr>
        <b/>
        <sz val="11"/>
        <color theme="1"/>
        <rFont val="Calibri"/>
        <family val="2"/>
        <scheme val="minor"/>
      </rPr>
      <t xml:space="preserve">Aufgabe: </t>
    </r>
    <r>
      <rPr>
        <sz val="11"/>
        <color theme="1"/>
        <rFont val="Calibri"/>
        <family val="2"/>
        <scheme val="minor"/>
      </rPr>
      <t xml:space="preserve">Besucht die Neue Messe Leipzig und macht dort ein Foto mit dem berühmten Messe-Symbol, dem Messeturm Neue Messe Leipzig
</t>
    </r>
    <r>
      <rPr>
        <b/>
        <sz val="11"/>
        <color theme="1"/>
        <rFont val="Calibri"/>
        <family val="2"/>
        <scheme val="minor"/>
      </rPr>
      <t xml:space="preserve">Bonus: </t>
    </r>
    <r>
      <rPr>
        <sz val="11"/>
        <color theme="1"/>
        <rFont val="Calibri"/>
        <family val="2"/>
        <scheme val="minor"/>
      </rPr>
      <t>Lichtet eine Straßenbahn auf dem Foto mit ab.</t>
    </r>
  </si>
  <si>
    <t>51.39666278065859, 12.394702012890539</t>
  </si>
  <si>
    <r>
      <rPr>
        <b/>
        <sz val="11"/>
        <color theme="1"/>
        <rFont val="Calibri"/>
        <family val="2"/>
        <scheme val="minor"/>
      </rPr>
      <t xml:space="preserve">Info: </t>
    </r>
    <r>
      <rPr>
        <sz val="11"/>
        <color theme="1"/>
        <rFont val="Calibri"/>
        <family val="2"/>
        <scheme val="minor"/>
      </rPr>
      <t xml:space="preserve">Mit nur 2 Folgen hatte Erfurt wohl eine der kürzesten Tatort-Karrieren.
</t>
    </r>
    <r>
      <rPr>
        <b/>
        <sz val="11"/>
        <color theme="1"/>
        <rFont val="Calibri"/>
        <family val="2"/>
        <scheme val="minor"/>
      </rPr>
      <t>Aufgabe:</t>
    </r>
    <r>
      <rPr>
        <sz val="11"/>
        <color theme="1"/>
        <rFont val="Calibri"/>
        <family val="2"/>
        <scheme val="minor"/>
      </rPr>
      <t xml:space="preserve"> Als gute Ermittler müsst ihr euch erstmal einen Überblick verschaffen. Besteigt den Glockenturm der Ägidienkirche an der Krämerbrücke und macht ein Panoramabild von oben. Die Kirche hat eine Besonderheit. Sie wird einer Vielzahl von Freiwilligen betreut. Es gibt einen Kalender, wo sich die Freiwilligen für einen Tagesdienst eintragen. Sobald sich ein Freiwilliger findet, ist der Zugang zur Kirche und dem Kirchturm möglich. Sollte sich für einen Tag kein Freiwilliger finden, bleibt die Kirche und der Turm geschlossen. Es gibt also keine verläßlichen Öffnungszeiten. Wenn jedoch geöffnet ist, dann von 11 Uhr bis 17 Uhr. Falls nicht geöffnet ist (oder ihr die Spende für den Aufstieg nicht bezahlen wollt) dürft ihr auch ein Foto vor dem Eingang machen.
</t>
    </r>
    <r>
      <rPr>
        <b/>
        <sz val="11"/>
        <color theme="1"/>
        <rFont val="Calibri"/>
        <family val="2"/>
        <scheme val="minor"/>
      </rPr>
      <t>Bonus:</t>
    </r>
    <r>
      <rPr>
        <sz val="11"/>
        <color theme="1"/>
        <rFont val="Calibri"/>
        <family val="2"/>
        <scheme val="minor"/>
      </rPr>
      <t xml:space="preserve"> besteigt den Turm, während die Glocken läuten, und dokumentiert das per Video.</t>
    </r>
  </si>
  <si>
    <t>Krämerbrücke, 99084 Erfurt</t>
  </si>
  <si>
    <t>50.97887836966768, 11.031253188269732</t>
  </si>
  <si>
    <t>Ist das hässlich! Begebt euch zur gesperrten und teils abgerissenen Hochstraße Süd und macht ein Foto mit den Überresten.</t>
  </si>
  <si>
    <t>Dammstraße 16, 67059 Ludwigshafen am Rhein</t>
  </si>
  <si>
    <t>49.47808892556922, 8.448841846460674</t>
  </si>
  <si>
    <r>
      <rPr>
        <b/>
        <sz val="11"/>
        <color theme="1"/>
        <rFont val="Calibri"/>
        <family val="2"/>
        <scheme val="minor"/>
      </rPr>
      <t>Info:</t>
    </r>
    <r>
      <rPr>
        <sz val="11"/>
        <color theme="1"/>
        <rFont val="Calibri"/>
        <family val="2"/>
        <scheme val="minor"/>
      </rPr>
      <t xml:space="preserve"> Wusstet ihr, dass sich das Wohnhaus von Börne und Thiel aus dem Münsteraner Tatort gar nicht in Münster, sondern in Bonn befindet? Nämlich in der Haydnstr. 49
</t>
    </r>
    <r>
      <rPr>
        <b/>
        <sz val="11"/>
        <color theme="1"/>
        <rFont val="Calibri"/>
        <family val="2"/>
        <scheme val="minor"/>
      </rPr>
      <t>Aufgabe:</t>
    </r>
    <r>
      <rPr>
        <sz val="11"/>
        <color theme="1"/>
        <rFont val="Calibri"/>
        <family val="2"/>
        <scheme val="minor"/>
      </rPr>
      <t xml:space="preserve"> Macht ein Foto von 2 Gruppenmitgliedern vor dem Eingang des Wohnhauses.
</t>
    </r>
    <r>
      <rPr>
        <b/>
        <sz val="11"/>
        <color theme="1"/>
        <rFont val="Calibri"/>
        <family val="2"/>
        <scheme val="minor"/>
      </rPr>
      <t>Bonus:</t>
    </r>
    <r>
      <rPr>
        <sz val="11"/>
        <color theme="1"/>
        <rFont val="Calibri"/>
        <family val="2"/>
        <scheme val="minor"/>
      </rPr>
      <t xml:space="preserve"> Ein Gruppenmitglied hält ein Fahrrad in der Hand, das Lieblingsfortbewegungsmittel des Kommissars.</t>
    </r>
  </si>
  <si>
    <t>Haydnstraße 49, 53115 Bonn</t>
  </si>
  <si>
    <t>50.732541269541166, 7.085292312654036</t>
  </si>
  <si>
    <t>T-24</t>
  </si>
  <si>
    <r>
      <rPr>
        <b/>
        <sz val="11"/>
        <color theme="1"/>
        <rFont val="Calibri"/>
        <family val="2"/>
        <scheme val="minor"/>
      </rPr>
      <t>Info</t>
    </r>
    <r>
      <rPr>
        <sz val="11"/>
        <color theme="1"/>
        <rFont val="Calibri"/>
        <family val="2"/>
        <scheme val="minor"/>
      </rPr>
      <t xml:space="preserve">:
Im Jahr 1979 wurde die einzige Folge des Braunschweiger Tatorts gedreht. Es galt einen Mordfall in einer Bäckerei (nicht mehr in Betrieb) aufzuklären.
</t>
    </r>
    <r>
      <rPr>
        <b/>
        <sz val="11"/>
        <color theme="1"/>
        <rFont val="Calibri"/>
        <family val="2"/>
        <scheme val="minor"/>
      </rPr>
      <t>Aufgabe</t>
    </r>
    <r>
      <rPr>
        <sz val="11"/>
        <color theme="1"/>
        <rFont val="Calibri"/>
        <family val="2"/>
        <scheme val="minor"/>
      </rPr>
      <t>:
Mit leerem Magen lässt es sich so schwer ermitteln. Gönnt euch ein mitgebrachtes Bäckereierzeugnis.</t>
    </r>
  </si>
  <si>
    <t>Böcklerstraße 16, 38102 Braunschweig</t>
  </si>
  <si>
    <t>52.25288023167977, 10.531558057711155</t>
  </si>
  <si>
    <t>T-25</t>
  </si>
  <si>
    <r>
      <rPr>
        <b/>
        <sz val="11"/>
        <color theme="1"/>
        <rFont val="Calibri"/>
        <family val="2"/>
        <scheme val="minor"/>
      </rPr>
      <t>Info:</t>
    </r>
    <r>
      <rPr>
        <sz val="11"/>
        <color theme="1"/>
        <rFont val="Calibri"/>
        <family val="2"/>
        <scheme val="minor"/>
      </rPr>
      <t xml:space="preserve"> Weimar war von 2013-2021 Tatort Drehort. Bauhaus steht auch für klare Schrift und reduzierte Gestaltung. 
</t>
    </r>
    <r>
      <rPr>
        <b/>
        <sz val="11"/>
        <color theme="1"/>
        <rFont val="Calibri"/>
        <family val="2"/>
        <scheme val="minor"/>
      </rPr>
      <t xml:space="preserve">Aufgabe: </t>
    </r>
    <r>
      <rPr>
        <sz val="11"/>
        <color theme="1"/>
        <rFont val="Calibri"/>
        <family val="2"/>
        <scheme val="minor"/>
      </rPr>
      <t xml:space="preserve">Erpresserbrief. Fotografiert Buchstaben an öffentlichen Ort an und um das Bauhaus Museum. Diese Buchstaben müsst ihr in einer Fotocollage zusammenfügen, so dass "TATORT" zu lesen ist. Macht ein Foto mit dieser Collage vor dem Bauhaus-Museum. Jeder Buchstabe muss individuell sein.
</t>
    </r>
    <r>
      <rPr>
        <b/>
        <sz val="11"/>
        <color theme="1"/>
        <rFont val="Calibri"/>
        <family val="2"/>
        <scheme val="minor"/>
      </rPr>
      <t>Bonus:</t>
    </r>
    <r>
      <rPr>
        <sz val="11"/>
        <color theme="1"/>
        <rFont val="Calibri"/>
        <family val="2"/>
        <scheme val="minor"/>
      </rPr>
      <t xml:space="preserve"> Ihr ergänzt die Nachricht durch euren Teamnamen ebenfalls mit individuellen Buchstaben aus der Umgebung.</t>
    </r>
  </si>
  <si>
    <t>Stéphane-Hessel-Platz 1, 99423 Weimar</t>
  </si>
  <si>
    <t>50.98500541130988, 11.324611909960097</t>
  </si>
  <si>
    <r>
      <rPr>
        <b/>
        <sz val="11"/>
        <color theme="1"/>
        <rFont val="Calibri"/>
        <family val="2"/>
        <scheme val="minor"/>
      </rPr>
      <t>Info:</t>
    </r>
    <r>
      <rPr>
        <sz val="11"/>
        <color theme="1"/>
        <rFont val="Calibri"/>
        <family val="2"/>
        <scheme val="minor"/>
      </rPr>
      <t xml:space="preserve"> Im Tatort gibt es mitunter Gastauftritte bekannter Persönlichkeiten. 
</t>
    </r>
    <r>
      <rPr>
        <b/>
        <sz val="11"/>
        <color theme="1"/>
        <rFont val="Calibri"/>
        <family val="2"/>
        <scheme val="minor"/>
      </rPr>
      <t>Aufgabe:</t>
    </r>
    <r>
      <rPr>
        <sz val="11"/>
        <color theme="1"/>
        <rFont val="Calibri"/>
        <family val="2"/>
        <scheme val="minor"/>
      </rPr>
      <t xml:space="preserve"> Findet heraus, welcher Gaststar in einem Tatort mitspielte, der an dieser Adresse gedreht wurde und macht ein Foto vom Team, auf dem das Team den Vornamen des Gaststars darstellt. 
</t>
    </r>
    <r>
      <rPr>
        <b/>
        <sz val="11"/>
        <color theme="1"/>
        <rFont val="Calibri"/>
        <family val="2"/>
        <scheme val="minor"/>
      </rPr>
      <t>Bonus:</t>
    </r>
    <r>
      <rPr>
        <sz val="11"/>
        <color theme="1"/>
        <rFont val="Calibri"/>
        <family val="2"/>
        <scheme val="minor"/>
      </rPr>
      <t xml:space="preserve"> Ein Teammitglied verkleidet sich als besagter Gaststar. Nehmt ein Video auf, Bild und passender Ton! Erzählt in dem Video außerdem, was der Gaststar noch mit dem Tatort zu tun hat.</t>
    </r>
  </si>
  <si>
    <t>An d. Alster 72-79, 20099 Hamburg</t>
  </si>
  <si>
    <t>53.55683043117641, 10.005019997836172</t>
  </si>
  <si>
    <t xml:space="preserve">Mache ein Bild von dem Lili Einkaufszentrum
</t>
  </si>
  <si>
    <t>Bahnhofspl. 3, 65189 Wiesbaden</t>
  </si>
  <si>
    <t>50.07082129008275, 8.241747056159275</t>
  </si>
  <si>
    <r>
      <rPr>
        <b/>
        <sz val="11"/>
        <color theme="1"/>
        <rFont val="Calibri"/>
        <family val="2"/>
        <scheme val="minor"/>
      </rPr>
      <t>Info:</t>
    </r>
    <r>
      <rPr>
        <sz val="11"/>
        <color theme="1"/>
        <rFont val="Calibri"/>
        <family val="2"/>
        <scheme val="minor"/>
      </rPr>
      <t xml:space="preserve">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t>
    </r>
    <r>
      <rPr>
        <b/>
        <sz val="11"/>
        <color theme="1"/>
        <rFont val="Calibri"/>
        <family val="2"/>
        <scheme val="minor"/>
      </rPr>
      <t>Aufgabe:</t>
    </r>
    <r>
      <rPr>
        <sz val="11"/>
        <color theme="1"/>
        <rFont val="Calibri"/>
        <family val="2"/>
        <scheme val="minor"/>
      </rPr>
      <t xml:space="preserve"> Haltet im Foto ein Schild mit dem Text "Tschüss Lilly" in die Kamera.</t>
    </r>
  </si>
  <si>
    <t>Bahnhofsallee 12, 61231 Bad Nauheim</t>
  </si>
  <si>
    <t>50.36784127640772, 8.748344618997464</t>
  </si>
  <si>
    <t>T-6</t>
  </si>
  <si>
    <r>
      <t xml:space="preserve">Info: </t>
    </r>
    <r>
      <rPr>
        <sz val="11"/>
        <color theme="1"/>
        <rFont val="Calibri"/>
        <family val="2"/>
        <scheme val="minor"/>
      </rPr>
      <t>Das Polizeipräsidium München ist auch im Münchner Tatort immer wieder zentraler Handlungsort.</t>
    </r>
    <r>
      <rPr>
        <b/>
        <sz val="11"/>
        <color theme="1"/>
        <rFont val="Calibri"/>
        <family val="2"/>
        <scheme val="minor"/>
      </rPr>
      <t xml:space="preserve">
Aufgabe: </t>
    </r>
    <r>
      <rPr>
        <sz val="11"/>
        <color theme="1"/>
        <rFont val="Calibri"/>
        <family val="2"/>
        <scheme val="minor"/>
      </rPr>
      <t>macht euch mit dem Ort vertraut, indem ihr das Gebäude einmal komplett umrundet, und dies durch Fotos von allen 4 Seiten dokumentiert.</t>
    </r>
    <r>
      <rPr>
        <b/>
        <sz val="11"/>
        <color theme="1"/>
        <rFont val="Calibri"/>
        <family val="2"/>
        <scheme val="minor"/>
      </rPr>
      <t xml:space="preserve">
Bonus: </t>
    </r>
    <r>
      <rPr>
        <sz val="11"/>
        <color theme="1"/>
        <rFont val="Calibri"/>
        <family val="2"/>
        <scheme val="minor"/>
      </rPr>
      <t>Wo ihr schonmal da seid, könnt ihr euch auch noch die Frauenkirche anschauen - auch hier bitte gründlich von allen Seiten</t>
    </r>
  </si>
  <si>
    <t>Ettstraße 2, 80333 München-Altstadt-Lehel</t>
  </si>
  <si>
    <t>48.138922340081365, 11.571744518472387</t>
  </si>
  <si>
    <t>T-7</t>
  </si>
  <si>
    <r>
      <rPr>
        <b/>
        <sz val="11"/>
        <color theme="1"/>
        <rFont val="Calibri"/>
        <family val="2"/>
        <scheme val="minor"/>
      </rPr>
      <t>Info:</t>
    </r>
    <r>
      <rPr>
        <sz val="11"/>
        <color theme="1"/>
        <rFont val="Calibri"/>
        <family val="2"/>
        <scheme val="minor"/>
      </rPr>
      <t xml:space="preserve"> Der Bergmann-Kiosk ist ein typischer Treffpunkt des Dortmunder Teams und um Kommisar Faber, wo sich sich entweder gegenseitig oder mit Informanten treffen.
</t>
    </r>
    <r>
      <rPr>
        <b/>
        <sz val="11"/>
        <color theme="1"/>
        <rFont val="Calibri"/>
        <family val="2"/>
        <scheme val="minor"/>
      </rPr>
      <t xml:space="preserve">Aufgabe: </t>
    </r>
    <r>
      <rPr>
        <sz val="11"/>
        <color theme="1"/>
        <rFont val="Calibri"/>
        <family val="2"/>
        <scheme val="minor"/>
      </rPr>
      <t xml:space="preserve">Macht ein Foto von euch, wie ihr euch vor dem Kiosk (gerne bei einem Bier) über den aktuellen Fall austauscht
</t>
    </r>
    <r>
      <rPr>
        <b/>
        <sz val="11"/>
        <color theme="1"/>
        <rFont val="Calibri"/>
        <family val="2"/>
        <scheme val="minor"/>
      </rPr>
      <t>Bonus:</t>
    </r>
    <r>
      <rPr>
        <sz val="11"/>
        <color theme="1"/>
        <rFont val="Calibri"/>
        <family val="2"/>
        <scheme val="minor"/>
      </rPr>
      <t xml:space="preserve"> Stellt ganz wie Faber eine Mordszene an einem eurer Teamkollegen nach.</t>
    </r>
  </si>
  <si>
    <t>Hoher Wall 36, 44137 Dortmund-Innenstadt-West</t>
  </si>
  <si>
    <t>51.51316556420926, 7.455709282609084</t>
  </si>
  <si>
    <t>T-8</t>
  </si>
  <si>
    <r>
      <rPr>
        <b/>
        <sz val="11"/>
        <color theme="1"/>
        <rFont val="Calibri"/>
        <family val="2"/>
        <scheme val="minor"/>
      </rPr>
      <t xml:space="preserve">Info: </t>
    </r>
    <r>
      <rPr>
        <sz val="11"/>
        <color theme="1"/>
        <rFont val="Calibri"/>
        <family val="2"/>
        <scheme val="minor"/>
      </rPr>
      <t xml:space="preserve">Wusstet ihr, dass die Kommissarien der "Südwest-Tatorte" (Stuttgart, Ludwigshafen, Schwarzwald) allesamt in einem Haus in Baden-Baden gedreht werden? Googlelt mal Tatort-Haus Baden-Baden
</t>
    </r>
    <r>
      <rPr>
        <b/>
        <sz val="11"/>
        <color theme="1"/>
        <rFont val="Calibri"/>
        <family val="2"/>
        <scheme val="minor"/>
      </rPr>
      <t xml:space="preserve">Aufgabe: </t>
    </r>
    <r>
      <rPr>
        <sz val="11"/>
        <color theme="1"/>
        <rFont val="Calibri"/>
        <family val="2"/>
        <scheme val="minor"/>
      </rPr>
      <t>Macht ein Foto vor dem Haus (ehemalige Schule)
Bonus: Stellt eine Büroszene nach</t>
    </r>
  </si>
  <si>
    <t>Breisgaustraße 19, 76532 Baden-Baden-Oos</t>
  </si>
  <si>
    <t>48.77948003538954, 8.196540181352615</t>
  </si>
  <si>
    <t>T-9</t>
  </si>
  <si>
    <t>U-1</t>
  </si>
  <si>
    <t>Foto vor dem alten Grubenzug.</t>
  </si>
  <si>
    <t>Ledder Str. 80, 49477 Ibbenbüren</t>
  </si>
  <si>
    <t>52.2680825607918, 7.728727503580312</t>
  </si>
  <si>
    <t xml:space="preserve">Mache ein Bild von dem SHW Gießerei Denkmal in Wasseralfingen
</t>
  </si>
  <si>
    <t>Wilhelmstraße 59, 73433 Aalen</t>
  </si>
  <si>
    <t>48.86078463207376, 10.103166675842447</t>
  </si>
  <si>
    <t>U-11</t>
  </si>
  <si>
    <r>
      <t xml:space="preserve">Info: </t>
    </r>
    <r>
      <rPr>
        <sz val="11"/>
        <color theme="1"/>
        <rFont val="Calibri"/>
        <family val="2"/>
        <scheme val="minor"/>
      </rPr>
      <t xml:space="preserve">Wer hätte es gedacht - im Westerwald wurde nicht nur im Tagbau (Lahn-)Marmor abgebaut. Sondern auch Erz.  </t>
    </r>
    <r>
      <rPr>
        <b/>
        <sz val="11"/>
        <color theme="1"/>
        <rFont val="Calibri"/>
        <family val="2"/>
        <scheme val="minor"/>
      </rPr>
      <t xml:space="preserve">
Aufgabe: </t>
    </r>
    <r>
      <rPr>
        <sz val="11"/>
        <color theme="1"/>
        <rFont val="Calibri"/>
        <family val="2"/>
        <scheme val="minor"/>
      </rPr>
      <t>Macht ein Foto vor dem Bergbau- und Stadtmuseum in Weilburg</t>
    </r>
  </si>
  <si>
    <t>Schloßpl. 1, 35781 Weilburg</t>
  </si>
  <si>
    <t>50.485968, 8.260655</t>
  </si>
  <si>
    <t>U-12</t>
  </si>
  <si>
    <r>
      <rPr>
        <b/>
        <sz val="11"/>
        <color theme="1"/>
        <rFont val="Calibri"/>
        <family val="2"/>
        <scheme val="minor"/>
      </rPr>
      <t xml:space="preserve">Info: </t>
    </r>
    <r>
      <rPr>
        <sz val="11"/>
        <color theme="1"/>
        <rFont val="Calibri"/>
        <family val="2"/>
        <scheme val="minor"/>
      </rPr>
      <t xml:space="preserve">Der Salzstock Gorleben ist durch die Castor-Transporte bekannt. Da man das Bergwerk selbst nicht gut mit der Bahn erreichen kann, begebt ihr euch zur Verladestation Dannenberg, wo die Castoren von der Bahn auf LKW verladen wurden.
</t>
    </r>
    <r>
      <rPr>
        <b/>
        <sz val="11"/>
        <color theme="1"/>
        <rFont val="Calibri"/>
        <family val="2"/>
        <scheme val="minor"/>
      </rPr>
      <t xml:space="preserve">Aufgabe: </t>
    </r>
    <r>
      <rPr>
        <sz val="11"/>
        <color theme="1"/>
        <rFont val="Calibri"/>
        <family val="2"/>
        <scheme val="minor"/>
      </rPr>
      <t xml:space="preserve">macht ein Foto von der Verladestation, um zu dokumentieren, wie sie ohne Hundertschaften von Polizisten aussieht
</t>
    </r>
    <r>
      <rPr>
        <b/>
        <sz val="11"/>
        <color theme="1"/>
        <rFont val="Calibri"/>
        <family val="2"/>
        <scheme val="minor"/>
      </rPr>
      <t xml:space="preserve">Bonus: </t>
    </r>
    <r>
      <rPr>
        <sz val="11"/>
        <color theme="1"/>
        <rFont val="Calibri"/>
        <family val="2"/>
        <scheme val="minor"/>
      </rPr>
      <t>Bildet eine Menschenkette vor der Verladestation</t>
    </r>
  </si>
  <si>
    <t>Breese in d. Marsch Kreuzung Graben 303, 29451 Dannenberg (Elbe)-Breese in der Marsch</t>
  </si>
  <si>
    <t>53.10595826430199, 11.13424209393297</t>
  </si>
  <si>
    <t>U-13</t>
  </si>
  <si>
    <t>Macht ein Foto vor Schacht 9 der ehemaligen Zeche Consolidation</t>
  </si>
  <si>
    <t>Bismarckstraße, 45889 Gelsenkirchen</t>
  </si>
  <si>
    <t>51.529733477602406, 7.110270238983137</t>
  </si>
  <si>
    <r>
      <rPr>
        <b/>
        <sz val="11"/>
        <color theme="1"/>
        <rFont val="Calibri"/>
        <family val="2"/>
        <scheme val="minor"/>
      </rPr>
      <t>Info</t>
    </r>
    <r>
      <rPr>
        <sz val="11"/>
        <color theme="1"/>
        <rFont val="Calibri"/>
        <family val="2"/>
        <scheme val="minor"/>
      </rPr>
      <t xml:space="preserve">:Die Zeche Heinrich ist eine von unzähligen Steinkohle-Gruben im Ruhrpott. Seit Ende der 60er-Jahre ist hier aber Schicht im Schacht
</t>
    </r>
    <r>
      <rPr>
        <b/>
        <sz val="11"/>
        <color theme="1"/>
        <rFont val="Calibri"/>
        <family val="2"/>
        <scheme val="minor"/>
      </rPr>
      <t>Aufgabe</t>
    </r>
    <r>
      <rPr>
        <sz val="11"/>
        <color theme="1"/>
        <rFont val="Calibri"/>
        <family val="2"/>
        <scheme val="minor"/>
      </rPr>
      <t>: Macht ein schönes Bild mit dem Förderturm im Hintergrund</t>
    </r>
  </si>
  <si>
    <t>Langenberger Str. 502, 45277 Essen-Stadtbezirke VIII</t>
  </si>
  <si>
    <t>51.41712670451925, 7.074189363723672</t>
  </si>
  <si>
    <t>Info: Lavakeller Mendig, geöffnet an Wochenenden von 10 - 17:30 Uhr.
Aufgabe: Foto vor dem großen flachen Stein, auf dem u.a.Ort und Jahr der Weltausstellung in Deutschland benannt ist.
Bonus: Mindestens eine Person aus dem Team steigt die 150 Stufen hinab und wieder hinauf.</t>
  </si>
  <si>
    <t>Brauerstraße 5, 56743 Mendig-Niedermendig</t>
  </si>
  <si>
    <t>50.37797680814941, 7.284690807985248</t>
  </si>
  <si>
    <r>
      <rPr>
        <b/>
        <sz val="11"/>
        <color theme="1"/>
        <rFont val="Calibri"/>
        <family val="2"/>
        <scheme val="minor"/>
      </rPr>
      <t>Info</t>
    </r>
    <r>
      <rPr>
        <sz val="11"/>
        <color theme="1"/>
        <rFont val="Calibri"/>
        <family val="2"/>
        <scheme val="minor"/>
      </rPr>
      <t xml:space="preserve">:
Das Besucherbergwerk Klosterstollens Barsinghausen ist ein ehemaliger Steinkohlebergwerk. Heute können Besucher mit der Grubenbahn etwa 1,4km in den Berg fahren.
</t>
    </r>
    <r>
      <rPr>
        <b/>
        <sz val="11"/>
        <color theme="1"/>
        <rFont val="Calibri"/>
        <family val="2"/>
        <scheme val="minor"/>
      </rPr>
      <t>Aufgabe</t>
    </r>
    <r>
      <rPr>
        <sz val="11"/>
        <color theme="1"/>
        <rFont val="Calibri"/>
        <family val="2"/>
        <scheme val="minor"/>
      </rPr>
      <t>:
Macht ein Foto im Innenhof mit mindestens einer Lore im Bild.</t>
    </r>
  </si>
  <si>
    <t>Hinterkampstraße 6,30890 Barsinghausen</t>
  </si>
  <si>
    <t>52.29918585751247, 9.470303589784406</t>
  </si>
  <si>
    <t>U-17</t>
  </si>
  <si>
    <r>
      <rPr>
        <b/>
        <sz val="11"/>
        <color theme="1"/>
        <rFont val="Calibri"/>
        <family val="2"/>
        <scheme val="minor"/>
      </rPr>
      <t>Info:</t>
    </r>
    <r>
      <rPr>
        <sz val="11"/>
        <color theme="1"/>
        <rFont val="Calibri"/>
        <family val="2"/>
        <scheme val="minor"/>
      </rPr>
      <t xml:space="preserve"> Das Erlebnisbergwerk Sondershausen gehört zu den tiefsten Kalibergwerken der Welt. Das Bergwerk ist noch aktiv, dient jedoch auch als Ort für Konzerte und Laufveranstaltungen.
</t>
    </r>
    <r>
      <rPr>
        <b/>
        <sz val="11"/>
        <color theme="1"/>
        <rFont val="Calibri"/>
        <family val="2"/>
        <scheme val="minor"/>
      </rPr>
      <t xml:space="preserve">Aufgabe: </t>
    </r>
    <r>
      <rPr>
        <sz val="11"/>
        <color theme="1"/>
        <rFont val="Calibri"/>
        <family val="2"/>
        <scheme val="minor"/>
      </rPr>
      <t>Sucht im Gelände nach Hinweisen oder Darstellungen zur geologischen Entstehung (Infotafel, Grafik, Skulptur). Erstellt eine Skizze über die Entstehung der Lagerstätte und schreibt das Zeitalter dazu. Ein Foto mit der Skizze und dem Team vor dem Haupteingang muss erstellt werden.</t>
    </r>
  </si>
  <si>
    <t>Schachtstraße 20, 99706 Sondershausen</t>
  </si>
  <si>
    <t>51.38996149991645, 10.837848300722843</t>
  </si>
  <si>
    <t>Foto vor DGB Gebäude (IG Bergbau dort)</t>
  </si>
  <si>
    <t>50.00401474650121, 8.26395779360006</t>
  </si>
  <si>
    <t>U-19</t>
  </si>
  <si>
    <r>
      <rPr>
        <b/>
        <sz val="11"/>
        <color theme="1"/>
        <rFont val="Calibri"/>
        <family val="2"/>
        <scheme val="minor"/>
      </rPr>
      <t>Info</t>
    </r>
    <r>
      <rPr>
        <sz val="11"/>
        <color theme="1"/>
        <rFont val="Calibri"/>
        <family val="2"/>
        <scheme val="minor"/>
      </rPr>
      <t xml:space="preserve">: Das Ruhrgebiet  bietet viel Geschichte und die Zeche Zollern bereitet diese auf.                                                         
</t>
    </r>
    <r>
      <rPr>
        <b/>
        <sz val="11"/>
        <color theme="1"/>
        <rFont val="Calibri"/>
        <family val="2"/>
        <scheme val="minor"/>
      </rPr>
      <t xml:space="preserve">Aufgabe: </t>
    </r>
    <r>
      <rPr>
        <sz val="11"/>
        <color theme="1"/>
        <rFont val="Calibri"/>
        <family val="2"/>
        <scheme val="minor"/>
      </rPr>
      <t xml:space="preserve">Macht ein Foto mit dem Förderturm, ganz nah dran- Selfiemodus on </t>
    </r>
  </si>
  <si>
    <t>Grubenweg 5, 44388 Dortmund</t>
  </si>
  <si>
    <t>51.518751292943364, 7.333524027467263</t>
  </si>
  <si>
    <r>
      <rPr>
        <b/>
        <sz val="11"/>
        <color theme="1"/>
        <rFont val="Calibri"/>
        <family val="2"/>
        <scheme val="minor"/>
      </rPr>
      <t>Info</t>
    </r>
    <r>
      <rPr>
        <sz val="11"/>
        <color theme="1"/>
        <rFont val="Calibri"/>
        <family val="2"/>
        <scheme val="minor"/>
      </rPr>
      <t xml:space="preserve">:
Das Bergbaumuseum Mechernich befindet sich in einer ehemaligen Bleierzmine.
</t>
    </r>
    <r>
      <rPr>
        <b/>
        <sz val="11"/>
        <color theme="1"/>
        <rFont val="Calibri"/>
        <family val="2"/>
        <scheme val="minor"/>
      </rPr>
      <t>Aufgabe</t>
    </r>
    <r>
      <rPr>
        <sz val="11"/>
        <color theme="1"/>
        <rFont val="Calibri"/>
        <family val="2"/>
        <scheme val="minor"/>
      </rPr>
      <t>:
Macht ein Foto vor dem Eingang mit mindestens einer Lore im Bild.</t>
    </r>
  </si>
  <si>
    <t>Bleibergstraße 6, 53894 Mechernich</t>
  </si>
  <si>
    <t>50.58643886467615, 6.649587203552502</t>
  </si>
  <si>
    <t>U-20</t>
  </si>
  <si>
    <r>
      <rPr>
        <b/>
        <sz val="11"/>
        <color theme="1"/>
        <rFont val="Calibri"/>
        <family val="2"/>
        <scheme val="minor"/>
      </rPr>
      <t xml:space="preserve">Info: </t>
    </r>
    <r>
      <rPr>
        <sz val="11"/>
        <color theme="1"/>
        <rFont val="Calibri"/>
        <family val="2"/>
        <scheme val="minor"/>
      </rPr>
      <t xml:space="preserve">Der historische Marktplatz in Goslar bietet gleich mehrere Sehenswürdigkeiten.
</t>
    </r>
    <r>
      <rPr>
        <b/>
        <sz val="11"/>
        <color theme="1"/>
        <rFont val="Calibri"/>
        <family val="2"/>
        <scheme val="minor"/>
      </rPr>
      <t xml:space="preserve">Aufgabe: </t>
    </r>
    <r>
      <rPr>
        <sz val="11"/>
        <color theme="1"/>
        <rFont val="Calibri"/>
        <family val="2"/>
        <scheme val="minor"/>
      </rPr>
      <t xml:space="preserve">Macht ein Foto vor dem Marktbrunnen.
</t>
    </r>
    <r>
      <rPr>
        <b/>
        <sz val="11"/>
        <color theme="1"/>
        <rFont val="Calibri"/>
        <family val="2"/>
        <scheme val="minor"/>
      </rPr>
      <t xml:space="preserve">Bonus: </t>
    </r>
    <r>
      <rPr>
        <sz val="11"/>
        <color theme="1"/>
        <rFont val="Calibri"/>
        <family val="2"/>
        <scheme val="minor"/>
      </rPr>
      <t>Viermal täglich (9, 12, 15 und 18 Uhr) kann man am Zwerchgiebel des Kämmereigebäudes an der Ostseite des Marktplatzes in Goslar einen Figurenumlauf mit Glockenspiel bewundern.Es gelingt Euch, beim Figurenumlauf anwesend zu sein.</t>
    </r>
  </si>
  <si>
    <t>Markt 7, 38640 Goslar</t>
  </si>
  <si>
    <t>51.90666519109449, 10.429500330688567</t>
  </si>
  <si>
    <t>U-21</t>
  </si>
  <si>
    <r>
      <rPr>
        <b/>
        <sz val="11"/>
        <color theme="1"/>
        <rFont val="Calibri"/>
        <family val="2"/>
        <scheme val="minor"/>
      </rPr>
      <t xml:space="preserve">Info: </t>
    </r>
    <r>
      <rPr>
        <sz val="11"/>
        <color theme="1"/>
        <rFont val="Calibri"/>
        <family val="2"/>
        <scheme val="minor"/>
      </rPr>
      <t xml:space="preserve">Die Zeche Zollverein war ein von 1851 bis 1986 betriebenes Steinkohlebergwerk in Essen und wies zeitweise in der Mitte des 20. Jahrhunderts die höchsten Förderquoten unter den deutschen Steinkohlenbergwerken auf. Sie ist heute ein Architektur- und Industriedenkmal.
</t>
    </r>
    <r>
      <rPr>
        <b/>
        <sz val="11"/>
        <color theme="1"/>
        <rFont val="Calibri"/>
        <family val="2"/>
        <scheme val="minor"/>
      </rPr>
      <t>Aufgabe:</t>
    </r>
    <r>
      <rPr>
        <sz val="11"/>
        <color theme="1"/>
        <rFont val="Calibri"/>
        <family val="2"/>
        <scheme val="minor"/>
      </rPr>
      <t xml:space="preserve"> Foto mit Team am Fuß des großen Förderturms mit Perspektive noch oben zum Rad (wie Eiffelturm hochfotografieren)
</t>
    </r>
    <r>
      <rPr>
        <b/>
        <sz val="11"/>
        <color theme="1"/>
        <rFont val="Calibri"/>
        <family val="2"/>
        <scheme val="minor"/>
      </rPr>
      <t xml:space="preserve">Bonus: </t>
    </r>
    <r>
      <rPr>
        <sz val="11"/>
        <color theme="1"/>
        <rFont val="Calibri"/>
        <family val="2"/>
        <scheme val="minor"/>
      </rPr>
      <t>-</t>
    </r>
  </si>
  <si>
    <t>Gelsenkirchener Straße 181, 45309 Essen</t>
  </si>
  <si>
    <t>51.486160, 7.044910</t>
  </si>
  <si>
    <t>Info: Der Tagebau Garzweiler ist ein aktiver Braunkohletagebau, in dem jedes Jahr 25 Mio t Braunkohle gefördert werden. 
Aufgabe: schreibt 5 Ortsnamen weggebaggerte Orte in den Untergrund (ohne dauerhafte Beschädigung) Bonus: ergänzt den neuen Wohnort der Einwohner</t>
  </si>
  <si>
    <t>Am Wasserturm 32, 41363 Jüchen</t>
  </si>
  <si>
    <t>51.09173708136035, 6.459103251064748</t>
  </si>
  <si>
    <r>
      <rPr>
        <b/>
        <sz val="11"/>
        <color theme="1"/>
        <rFont val="Calibri"/>
        <family val="2"/>
        <scheme val="minor"/>
      </rPr>
      <t>Info</t>
    </r>
    <r>
      <rPr>
        <sz val="11"/>
        <color theme="1"/>
        <rFont val="Calibri"/>
        <family val="2"/>
        <scheme val="minor"/>
      </rPr>
      <t xml:space="preserve">: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t>
    </r>
    <r>
      <rPr>
        <b/>
        <sz val="11"/>
        <color theme="1"/>
        <rFont val="Calibri"/>
        <family val="2"/>
        <scheme val="minor"/>
      </rPr>
      <t>Aufgabe</t>
    </r>
    <r>
      <rPr>
        <sz val="11"/>
        <color theme="1"/>
        <rFont val="Calibri"/>
        <family val="2"/>
        <scheme val="minor"/>
      </rPr>
      <t xml:space="preserve">: Singt mindestens zwei Strophen des Steigerlieds vor dem Eingang zur Zeche (dreht ein Video als Nachweis).
</t>
    </r>
    <r>
      <rPr>
        <b/>
        <sz val="11"/>
        <color theme="1"/>
        <rFont val="Calibri"/>
        <family val="2"/>
        <scheme val="minor"/>
      </rPr>
      <t>Bonus</t>
    </r>
    <r>
      <rPr>
        <sz val="11"/>
        <color theme="1"/>
        <rFont val="Calibri"/>
        <family val="2"/>
        <scheme val="minor"/>
      </rPr>
      <t>: Statt vor dem Eingang, dreht das Video mit der auf dem Gelände ausgestellten Dampflokomotive im Hintergrund.</t>
    </r>
  </si>
  <si>
    <t>Nachtigallstraße 35, 58452 Witten</t>
  </si>
  <si>
    <t>51.429008860540016, 7.313014915136411</t>
  </si>
  <si>
    <t xml:space="preserve">Mache ein Bild vor der Papiermühle bei Stadtroda
</t>
  </si>
  <si>
    <t>Dorfstraße 54, 07646 Stadtroda</t>
  </si>
  <si>
    <t>50.88567216572937, 11.790006906135165</t>
  </si>
  <si>
    <t>U-25</t>
  </si>
  <si>
    <r>
      <t xml:space="preserve">Info: </t>
    </r>
    <r>
      <rPr>
        <sz val="11"/>
        <color theme="1"/>
        <rFont val="Calibri"/>
        <family val="2"/>
        <scheme val="minor"/>
      </rPr>
      <t xml:space="preserve">Neuoelsnitz ist bekannt für die KohleWelt. </t>
    </r>
    <r>
      <rPr>
        <b/>
        <sz val="11"/>
        <color theme="1"/>
        <rFont val="Calibri"/>
        <family val="2"/>
        <scheme val="minor"/>
      </rPr>
      <t xml:space="preserve">
Aufgabe: </t>
    </r>
    <r>
      <rPr>
        <sz val="11"/>
        <color theme="1"/>
        <rFont val="Calibri"/>
        <family val="2"/>
        <scheme val="minor"/>
      </rPr>
      <t>Direkt neben dem Museum findet ihr eine wunderschöne alte Dampflokomotive. Macht ein Gruppenfoto davor.</t>
    </r>
    <r>
      <rPr>
        <b/>
        <sz val="11"/>
        <color theme="1"/>
        <rFont val="Calibri"/>
        <family val="2"/>
        <scheme val="minor"/>
      </rPr>
      <t xml:space="preserve">
Bonus: </t>
    </r>
    <r>
      <rPr>
        <sz val="11"/>
        <color theme="1"/>
        <rFont val="Calibri"/>
        <family val="2"/>
        <scheme val="minor"/>
      </rPr>
      <t>Malt euch auf irgendeine Art und Weise schwarz an, als ob ihr Kohle auf der Haut hättet.</t>
    </r>
  </si>
  <si>
    <t>Pflockenstraße 33, 09376 Oelsnitz/Erzgebirge</t>
  </si>
  <si>
    <t>50.724626, 12.730998</t>
  </si>
  <si>
    <t>U-3</t>
  </si>
  <si>
    <r>
      <rPr>
        <b/>
        <sz val="11"/>
        <color theme="1"/>
        <rFont val="Calibri"/>
        <family val="2"/>
        <scheme val="minor"/>
      </rPr>
      <t>Info:</t>
    </r>
    <r>
      <rPr>
        <sz val="11"/>
        <color theme="1"/>
        <rFont val="Calibri"/>
        <family val="2"/>
        <scheme val="minor"/>
      </rPr>
      <t xml:space="preserve"> Das Deutsche Bergbau-Museum Bochum, gegründet 1930, ist als Leibniz-Forschungsmuseum für Georessourcen dem Auftrag verpflichtet, das materielle Erbe des Bergbaus zu sammeln, zu bewahren, zu erforschen, auszustellen und zu vermitteln.
</t>
    </r>
    <r>
      <rPr>
        <b/>
        <sz val="11"/>
        <color theme="1"/>
        <rFont val="Calibri"/>
        <family val="2"/>
        <scheme val="minor"/>
      </rPr>
      <t xml:space="preserve">Aufgabe: </t>
    </r>
    <r>
      <rPr>
        <sz val="11"/>
        <color theme="1"/>
        <rFont val="Calibri"/>
        <family val="2"/>
        <scheme val="minor"/>
      </rPr>
      <t xml:space="preserve">Findet im Außenbereich folgende Drei Dinge: Ein technisches Element aus Metall, ein Warn- oder Sicherheitshinweis und etwas das wie ein Zugang unter Tage aussieht. Macht von allem ein Bild mit Teammitgliedern.
</t>
    </r>
    <r>
      <rPr>
        <b/>
        <sz val="11"/>
        <color theme="1"/>
        <rFont val="Calibri"/>
        <family val="2"/>
        <scheme val="minor"/>
      </rPr>
      <t>Bonus:</t>
    </r>
    <r>
      <rPr>
        <sz val="11"/>
        <color theme="1"/>
        <rFont val="Calibri"/>
        <family val="2"/>
        <scheme val="minor"/>
      </rPr>
      <t xml:space="preserve"> Macht ein Bild "unter Tage", also einem dauerhaften Ort ohne natürliches Licht.</t>
    </r>
  </si>
  <si>
    <t>Am Bergbaumuseum 28, 44791 Bochum</t>
  </si>
  <si>
    <t>51.488874542038026, 7.215927978966784</t>
  </si>
  <si>
    <t>Foto vor Kauber Schiefer e.V.: Museum für Dachschiefer-Bergbau</t>
  </si>
  <si>
    <t>Metzgergasse 12A, 56349 Kaub</t>
  </si>
  <si>
    <t>50.08769448092936, 7.763732077388998</t>
  </si>
  <si>
    <t>U-5</t>
  </si>
  <si>
    <r>
      <t xml:space="preserve">Info: </t>
    </r>
    <r>
      <rPr>
        <sz val="11"/>
        <color theme="1"/>
        <rFont val="Calibri"/>
        <family val="2"/>
        <scheme val="minor"/>
      </rPr>
      <t>Ab 1946 wurde im Erzgebirge Uran für das sowjetische Atomprogramm abgebaut. Die rücksichtslose Ausbeutung der Vorkommen hat an der Stadt und Landschaft massive Bergbauschäden verursacht. Der Abraum wurde zu großen Halden angehäuft.</t>
    </r>
    <r>
      <rPr>
        <b/>
        <sz val="11"/>
        <color theme="1"/>
        <rFont val="Calibri"/>
        <family val="2"/>
        <scheme val="minor"/>
      </rPr>
      <t xml:space="preserve">
Aufgabe: </t>
    </r>
    <r>
      <rPr>
        <sz val="11"/>
        <color theme="1"/>
        <rFont val="Calibri"/>
        <family val="2"/>
        <scheme val="minor"/>
      </rPr>
      <t>Besteigt die Halde des Schacht 38 und macht oben ein Foto mit dem markanten Rad der alten Seilscheibe.</t>
    </r>
    <r>
      <rPr>
        <b/>
        <sz val="11"/>
        <color theme="1"/>
        <rFont val="Calibri"/>
        <family val="2"/>
        <scheme val="minor"/>
      </rPr>
      <t xml:space="preserve">
Bonus: </t>
    </r>
    <r>
      <rPr>
        <sz val="11"/>
        <color theme="1"/>
        <rFont val="Calibri"/>
        <family val="2"/>
        <scheme val="minor"/>
      </rPr>
      <t>Informiert euch vor Ort auf den Tafeln über den Uranabbau.</t>
    </r>
  </si>
  <si>
    <t>Grunertberg, 08280 Aue-Bad Schlema</t>
  </si>
  <si>
    <t>50.612647537451366, 12.676863723938576</t>
  </si>
  <si>
    <t>U-6</t>
  </si>
  <si>
    <r>
      <rPr>
        <b/>
        <sz val="11"/>
        <color theme="1"/>
        <rFont val="Calibri"/>
        <family val="2"/>
        <scheme val="minor"/>
      </rPr>
      <t xml:space="preserve">Info: </t>
    </r>
    <r>
      <rPr>
        <sz val="11"/>
        <color theme="1"/>
        <rFont val="Calibri"/>
        <family val="2"/>
        <scheme val="minor"/>
      </rPr>
      <t xml:space="preserve">Freiberg in Sachsen ist eine mittelalterliche Silberstadt mit viel Bergbaugeschichte.
</t>
    </r>
    <r>
      <rPr>
        <b/>
        <sz val="11"/>
        <color theme="1"/>
        <rFont val="Calibri"/>
        <family val="2"/>
        <scheme val="minor"/>
      </rPr>
      <t xml:space="preserve">Aufgabe: </t>
    </r>
    <r>
      <rPr>
        <sz val="11"/>
        <color theme="1"/>
        <rFont val="Calibri"/>
        <family val="2"/>
        <scheme val="minor"/>
      </rPr>
      <t xml:space="preserve">Gruppiert Euch um die Silberweg-Figur "Forscher" (Alexander von Humboldt), so dass es möglichst natürlich aussieht und er wie einer von Euch wirkt.
</t>
    </r>
    <r>
      <rPr>
        <b/>
        <sz val="11"/>
        <color theme="1"/>
        <rFont val="Calibri"/>
        <family val="2"/>
        <scheme val="minor"/>
      </rPr>
      <t xml:space="preserve">Bonus: </t>
    </r>
    <r>
      <rPr>
        <sz val="11"/>
        <color theme="1"/>
        <rFont val="Calibri"/>
        <family val="2"/>
        <scheme val="minor"/>
      </rPr>
      <t>Es gelingt Euch, mindestens einen echten Studenten mit Euch auf's Bild zu locken.</t>
    </r>
  </si>
  <si>
    <t>Prüferstraße 6, 09599 Freiberg</t>
  </si>
  <si>
    <t>50.91917824750687, 13.34063049934279</t>
  </si>
  <si>
    <t>U-7</t>
  </si>
  <si>
    <r>
      <rPr>
        <b/>
        <sz val="11"/>
        <color theme="1"/>
        <rFont val="Calibri"/>
        <family val="2"/>
        <scheme val="minor"/>
      </rPr>
      <t xml:space="preserve">Info: </t>
    </r>
    <r>
      <rPr>
        <sz val="11"/>
        <color theme="1"/>
        <rFont val="Calibri"/>
        <family val="2"/>
        <scheme val="minor"/>
      </rPr>
      <t xml:space="preserve">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t>
    </r>
    <r>
      <rPr>
        <b/>
        <sz val="11"/>
        <color theme="1"/>
        <rFont val="Calibri"/>
        <family val="2"/>
        <scheme val="minor"/>
      </rPr>
      <t>Aufgabe:</t>
    </r>
    <r>
      <rPr>
        <sz val="11"/>
        <color theme="1"/>
        <rFont val="Calibri"/>
        <family val="2"/>
        <scheme val="minor"/>
      </rPr>
      <t xml:space="preserve"> Foto mit Team am Eingang des Museums
</t>
    </r>
    <r>
      <rPr>
        <b/>
        <sz val="11"/>
        <color theme="1"/>
        <rFont val="Calibri"/>
        <family val="2"/>
        <scheme val="minor"/>
      </rPr>
      <t>Bonus</t>
    </r>
    <r>
      <rPr>
        <sz val="11"/>
        <color theme="1"/>
        <rFont val="Calibri"/>
        <family val="2"/>
        <scheme val="minor"/>
      </rPr>
      <t>: jeweils einmal 5P pro Foto in der Gulliver-Welt 2.0 mit den Miniaturwahrzeichen Schiefe Turm von Pisa, Pyramide von Gizeh, Eiffelturm, Christusstatue von Rio, Berliner Mauer, Saturnrakete, Freiheitsstatue, Holstentor, Schloss Forbach (Burgruine), Brandenburger Tor</t>
    </r>
  </si>
  <si>
    <t>Niederbexbacher Straße 62, 66450 Bexbach</t>
  </si>
  <si>
    <t>49.342360, 7.261320</t>
  </si>
  <si>
    <t>U-8</t>
  </si>
  <si>
    <t>Salzbergwerk Berchtesgaden - Macht ein Foto vor dem Hauptstollen des Ferdinandsberges - der Schriftzug FERDINAND:BERG muss erkennbar sein.</t>
  </si>
  <si>
    <t>Bergwerkstraße 83, 83471 Berchtesgaden</t>
  </si>
  <si>
    <t>47.63781976899748, 13.017982492846404</t>
  </si>
  <si>
    <t>U-9</t>
  </si>
  <si>
    <r>
      <rPr>
        <b/>
        <sz val="11"/>
        <color theme="1"/>
        <rFont val="Calibri"/>
        <family val="2"/>
        <scheme val="minor"/>
      </rPr>
      <t>Info</t>
    </r>
    <r>
      <rPr>
        <sz val="11"/>
        <color theme="1"/>
        <rFont val="Calibri"/>
        <family val="2"/>
        <scheme val="minor"/>
      </rPr>
      <t xml:space="preserve">: Die 1854 gegründete Henrichshütte entwickelte sich über 150 Jahre zu einem bedeutenden Eisen- und Stahlwerk des Ruhrgebiets, wurde ab den 1980er‑Jahren stillgelegt und anschließend schrittweise in das heutige LWL‑Industriemuseum umgewandelt. In der Nähe der Anlage steht das Kunstwerk "Die Eisenmänner".
</t>
    </r>
    <r>
      <rPr>
        <b/>
        <sz val="11"/>
        <color theme="1"/>
        <rFont val="Calibri"/>
        <family val="2"/>
        <scheme val="minor"/>
      </rPr>
      <t>Aufgabe</t>
    </r>
    <r>
      <rPr>
        <sz val="11"/>
        <color theme="1"/>
        <rFont val="Calibri"/>
        <family val="2"/>
        <scheme val="minor"/>
      </rPr>
      <t xml:space="preserve">: Stellt euch wie die Eisenmänner hin und bleibt in der Position für 10 Minuten. Dokumentiert das mit zwei Fotos: Eines zum Beginn und eines zum Ende der 10 Minuten (die Zeitstempel der Fotos gelten als Nachweis).
</t>
    </r>
    <r>
      <rPr>
        <b/>
        <sz val="11"/>
        <color theme="1"/>
        <rFont val="Calibri"/>
        <family val="2"/>
        <scheme val="minor"/>
      </rPr>
      <t>Bonus</t>
    </r>
    <r>
      <rPr>
        <sz val="11"/>
        <color theme="1"/>
        <rFont val="Calibri"/>
        <family val="2"/>
        <scheme val="minor"/>
      </rPr>
      <t>: Vertritt die Eisenbahn bei den Eisenmännern, indem einer von euch ein Stück Eisen von der Eisenbahn auf dem Foto trägt (z.B. eine Schienenschraube).</t>
    </r>
  </si>
  <si>
    <t>Werksstraße 31, 45527 Hattingen</t>
  </si>
  <si>
    <t>51.405105893337016, 7.184230787468671</t>
  </si>
  <si>
    <t>Info: Die RB 85 wird ggf. bald eingestellt, genießt nochmal eine Fahrt.
Aufgabe: Nehmt das Schwein in eure Mitte.</t>
  </si>
  <si>
    <t>Am Markt 11-9, 23730 Neustadt</t>
  </si>
  <si>
    <t>54.10773828791236, 10.814871594604135</t>
  </si>
  <si>
    <t>W-10</t>
  </si>
  <si>
    <r>
      <t xml:space="preserve">Info: </t>
    </r>
    <r>
      <rPr>
        <sz val="11"/>
        <color theme="1"/>
        <rFont val="Calibri"/>
        <family val="2"/>
        <scheme val="minor"/>
      </rPr>
      <t>Die H-Bahn ist eine autonome fahrende hängende Bahn und fährt bereits seit 1984. Fahr mit!</t>
    </r>
    <r>
      <rPr>
        <b/>
        <sz val="11"/>
        <color theme="1"/>
        <rFont val="Calibri"/>
        <family val="2"/>
        <scheme val="minor"/>
      </rPr>
      <t xml:space="preserve">
Aufgabe: </t>
    </r>
    <r>
      <rPr>
        <sz val="11"/>
        <color theme="1"/>
        <rFont val="Calibri"/>
        <family val="2"/>
        <scheme val="minor"/>
      </rPr>
      <t>Fahre von Dortmund Uni bis Eichlinghofen und zurück
Außerhalb der Fahrzeit: Fotos der Station Campus Nord+D Uni</t>
    </r>
    <r>
      <rPr>
        <b/>
        <sz val="11"/>
        <color theme="1"/>
        <rFont val="Calibri"/>
        <family val="2"/>
        <scheme val="minor"/>
      </rPr>
      <t xml:space="preserve">
Bonus: </t>
    </r>
    <r>
      <rPr>
        <sz val="11"/>
        <color theme="1"/>
        <rFont val="Calibri"/>
        <family val="2"/>
        <scheme val="minor"/>
      </rPr>
      <t>Fahre auch bis Technologiezentrum</t>
    </r>
  </si>
  <si>
    <t>Vogelpothsweg 76, 44227 Dortmund</t>
  </si>
  <si>
    <t>51.49234395063815, 7.417367481316058</t>
  </si>
  <si>
    <r>
      <t xml:space="preserve">Info: </t>
    </r>
    <r>
      <rPr>
        <sz val="11"/>
        <color theme="1"/>
        <rFont val="Calibri"/>
        <family val="2"/>
        <scheme val="minor"/>
      </rPr>
      <t>WM 2006 Denkmal</t>
    </r>
    <r>
      <rPr>
        <b/>
        <sz val="11"/>
        <color theme="1"/>
        <rFont val="Calibri"/>
        <family val="2"/>
        <scheme val="minor"/>
      </rPr>
      <t xml:space="preserve">
Aufgabe: </t>
    </r>
    <r>
      <rPr>
        <sz val="11"/>
        <color theme="1"/>
        <rFont val="Calibri"/>
        <family val="2"/>
        <scheme val="minor"/>
      </rPr>
      <t>Fahre vor das Stadion zum WM 2006 Denkmal und singe das Lied der Sportfreunde Stiller: 54,74,90, 2006</t>
    </r>
    <r>
      <rPr>
        <b/>
        <sz val="11"/>
        <color theme="1"/>
        <rFont val="Calibri"/>
        <family val="2"/>
        <scheme val="minor"/>
      </rPr>
      <t xml:space="preserve">
Bonus: </t>
    </r>
    <r>
      <rPr>
        <sz val="11"/>
        <color theme="1"/>
        <rFont val="Calibri"/>
        <family val="2"/>
        <scheme val="minor"/>
      </rPr>
      <t>Singt noch ein anderes Fusbald lied Eurer Wahl</t>
    </r>
  </si>
  <si>
    <t>Mercedesstraße 75, 70372 Stuttgart</t>
  </si>
  <si>
    <t>48.792241, 9.229635</t>
  </si>
  <si>
    <t>W-12</t>
  </si>
  <si>
    <t xml:space="preserve">Mache ein Foto vor dem Container der DB Cargo Zentrale in Mainz
</t>
  </si>
  <si>
    <t>49.99491568038577, 8.280641480407775</t>
  </si>
  <si>
    <t>Zähle alle Aufzüge für Reisende im Hbf Bingen (Rhein)</t>
  </si>
  <si>
    <t>49.96853906435182, 7.884272605681425</t>
  </si>
  <si>
    <t>W-14</t>
  </si>
  <si>
    <t>Mache von jedem Bahnsteigleis in Koblenz Hbf ein Gruppenbild mit der Gleisnummer</t>
  </si>
  <si>
    <t>50.35094211031882, 7.588501197551729</t>
  </si>
  <si>
    <t>W-15</t>
  </si>
  <si>
    <r>
      <rPr>
        <b/>
        <sz val="11"/>
        <color theme="1"/>
        <rFont val="Calibri"/>
        <family val="2"/>
        <scheme val="minor"/>
      </rPr>
      <t>Info</t>
    </r>
    <r>
      <rPr>
        <sz val="11"/>
        <color theme="1"/>
        <rFont val="Calibri"/>
        <family val="2"/>
        <scheme val="minor"/>
      </rPr>
      <t xml:space="preserve">: Die Thüringer Waldbahn zählt zu den wenigen echten Überlandstraßenbahnen Deutschlands. Fast einzigartig in Deutschland ist der gemeinsame Verlauf einer Eisenbahn- und einer Straßenbahnstrecke. Rund zwei Kilometer verlaufen die „Friedrichrodaer Bahn“ und die Thüringer Waldbahn parallel zueinander. Dabei kommt es hin und wieder zum Zusammentreffen von Eisenbahn und Straßenbahn.
</t>
    </r>
    <r>
      <rPr>
        <b/>
        <sz val="11"/>
        <color theme="1"/>
        <rFont val="Calibri"/>
        <family val="2"/>
        <scheme val="minor"/>
      </rPr>
      <t>Aufgabe</t>
    </r>
    <r>
      <rPr>
        <sz val="11"/>
        <color theme="1"/>
        <rFont val="Calibri"/>
        <family val="2"/>
        <scheme val="minor"/>
      </rPr>
      <t xml:space="preserve">: Macht ein Selfie eures Teams vor den Gleisen der Waldbahn und der Friedrichrodaer Bahn.
</t>
    </r>
    <r>
      <rPr>
        <b/>
        <sz val="11"/>
        <color theme="1"/>
        <rFont val="Calibri"/>
        <family val="2"/>
        <scheme val="minor"/>
      </rPr>
      <t>Bonus</t>
    </r>
    <r>
      <rPr>
        <sz val="11"/>
        <color theme="1"/>
        <rFont val="Calibri"/>
        <family val="2"/>
        <scheme val="minor"/>
      </rPr>
      <t>: Auf einem Foto ist sowohl eine Straßenbahn der Waldbahn als auch ein Zug der Friedrichrodaer Bahn zu sehen.</t>
    </r>
  </si>
  <si>
    <t>99894 Friedrichroda</t>
  </si>
  <si>
    <t>50.87063538009385, 10.562335488160468</t>
  </si>
  <si>
    <t>W-16</t>
  </si>
  <si>
    <r>
      <rPr>
        <b/>
        <sz val="11"/>
        <color theme="1"/>
        <rFont val="Calibri"/>
        <family val="2"/>
        <scheme val="minor"/>
      </rPr>
      <t>Info:</t>
    </r>
    <r>
      <rPr>
        <sz val="11"/>
        <color theme="1"/>
        <rFont val="Calibri"/>
        <family val="2"/>
        <scheme val="minor"/>
      </rPr>
      <t xml:space="preserve"> Wunschlos von Rudi: Der Stutti - legendärer Ort im alten West-Berlin: Hier lebte die Kommune 1, hier gab es seltsame Rotlichtetablissements ("Stutti Frutti") und angeblich wurde hier die Currywurst erfunden...
</t>
    </r>
    <r>
      <rPr>
        <b/>
        <sz val="11"/>
        <color theme="1"/>
        <rFont val="Calibri"/>
        <family val="2"/>
        <scheme val="minor"/>
      </rPr>
      <t>Aufgabe:</t>
    </r>
    <r>
      <rPr>
        <sz val="11"/>
        <color theme="1"/>
        <rFont val="Calibri"/>
        <family val="2"/>
        <scheme val="minor"/>
      </rPr>
      <t xml:space="preserve"> Macht ein Foto vor dem "Hecht" (einziger noch erhaltener Laden aus der "alten" Zeit), auf dem Ihr zeigt, was für tolle Hechte Ihr seid!
</t>
    </r>
    <r>
      <rPr>
        <b/>
        <sz val="11"/>
        <color theme="1"/>
        <rFont val="Calibri"/>
        <family val="2"/>
        <scheme val="minor"/>
      </rPr>
      <t>Bonus:</t>
    </r>
    <r>
      <rPr>
        <sz val="11"/>
        <color theme="1"/>
        <rFont val="Calibri"/>
        <family val="2"/>
        <scheme val="minor"/>
      </rPr>
      <t xml:space="preserve"> Macht einen Rundgang um den Block und den Platz und Teamfotos vor folgenden Orten und schreibt jeweils auf einen Zettel, der im Foto lesbar ist, was es mit diesen Orten auf sich hat:
- Aviation Center Berlin
- Alano Pizza
- Kantstr. 97
- Kaiser-Friedrich-Str. 54a
- Kantstr. 101</t>
    </r>
  </si>
  <si>
    <t>Kaiser-Friedrich-Straße 54, 10627 Berlin</t>
  </si>
  <si>
    <t>52.505894101011705, 13.302190025038952</t>
  </si>
  <si>
    <t>W-17</t>
  </si>
  <si>
    <r>
      <rPr>
        <b/>
        <sz val="11"/>
        <color theme="1"/>
        <rFont val="Calibri"/>
        <family val="2"/>
        <scheme val="minor"/>
      </rPr>
      <t>Info:</t>
    </r>
    <r>
      <rPr>
        <sz val="11"/>
        <color theme="1"/>
        <rFont val="Calibri"/>
        <family val="2"/>
        <scheme val="minor"/>
      </rPr>
      <t xml:space="preserve"> Die Geschichte vom Struwwelpeter kennt (fast) jeder - jetzt gibt es das passende Museum dazu!</t>
    </r>
    <r>
      <rPr>
        <b/>
        <sz val="11"/>
        <color theme="1"/>
        <rFont val="Calibri"/>
        <family val="2"/>
        <scheme val="minor"/>
      </rPr>
      <t xml:space="preserve">
Aufgabe:</t>
    </r>
    <r>
      <rPr>
        <sz val="11"/>
        <color theme="1"/>
        <rFont val="Calibri"/>
        <family val="2"/>
        <scheme val="minor"/>
      </rPr>
      <t xml:space="preserve"> Macht einem Teammitglied eine Struwwelpeterfrisur und macht dann gemeinsam ein Teamfoto vor dem Struwwelpetermuseum.
</t>
    </r>
    <r>
      <rPr>
        <b/>
        <sz val="11"/>
        <color theme="1"/>
        <rFont val="Calibri"/>
        <family val="2"/>
        <scheme val="minor"/>
      </rPr>
      <t>Bonus:</t>
    </r>
    <r>
      <rPr>
        <sz val="11"/>
        <color theme="1"/>
        <rFont val="Calibri"/>
        <family val="2"/>
        <scheme val="minor"/>
      </rPr>
      <t xml:space="preserve"> Wenn Rapunzel auch auf dem Foto ist, gibt es 10 Bonuspunkte.</t>
    </r>
  </si>
  <si>
    <t>Hinter dem Lämmchen 2-4, 60311 Frankfurt am Main</t>
  </si>
  <si>
    <t>50.111077681347886, 8.683607746208539</t>
  </si>
  <si>
    <t>W-18</t>
  </si>
  <si>
    <t xml:space="preserve">Mache ein Bild vor der Berkelbühne im Schlosspark
</t>
  </si>
  <si>
    <t>Bernhard-von-Galen-Straße 10, 48653 Coesfeld</t>
  </si>
  <si>
    <t>51.944569660434375, 7.168822281937413</t>
  </si>
  <si>
    <t>W-19</t>
  </si>
  <si>
    <t>Aufgabe: Foto mit der MareMinde (in voller Pracht).</t>
  </si>
  <si>
    <t>An de Dang, 24340 Eckernförde</t>
  </si>
  <si>
    <t>54.46928128152204, 9.840536006395995</t>
  </si>
  <si>
    <t>W-2</t>
  </si>
  <si>
    <t>Aufgabe: Foto auf der Seebrücke. Geht dafür bis ans wasserseitige Ende der Seebrücke!</t>
  </si>
  <si>
    <t>24217 Schönberg (Holstein)-Schönberger Strand</t>
  </si>
  <si>
    <t>54.41506248351771, 10.414220947690131</t>
  </si>
  <si>
    <t>Aufgabe: Foto auf dem Schlossplatz vor dem grünen Mini-Dom(Brunnen)</t>
  </si>
  <si>
    <t>Torstraße 1, 24768 Rendsburg</t>
  </si>
  <si>
    <t>54.30616922248244, 9.66215642394884</t>
  </si>
  <si>
    <r>
      <rPr>
        <b/>
        <sz val="11"/>
        <color theme="1"/>
        <rFont val="Calibri"/>
        <family val="2"/>
        <scheme val="minor"/>
      </rPr>
      <t>Info</t>
    </r>
    <r>
      <rPr>
        <sz val="11"/>
        <color theme="1"/>
        <rFont val="Calibri"/>
        <family val="2"/>
        <scheme val="minor"/>
      </rPr>
      <t xml:space="preserve">:
Auf dem Marktplatz plätschert ein Wasserspiel vor sich hin. An einem heißen Tag kann das eine schöne Abkühlung sein.
</t>
    </r>
    <r>
      <rPr>
        <b/>
        <sz val="11"/>
        <color theme="1"/>
        <rFont val="Calibri"/>
        <family val="2"/>
        <scheme val="minor"/>
      </rPr>
      <t>Aufgabe</t>
    </r>
    <r>
      <rPr>
        <sz val="11"/>
        <color theme="1"/>
        <rFont val="Calibri"/>
        <family val="2"/>
        <scheme val="minor"/>
      </rPr>
      <t>:
Mindestens ein Gruppenmitglied macht sich beide Füße naß.</t>
    </r>
  </si>
  <si>
    <t>Marktplatz, 97616 Bad Neustadt an der Saale</t>
  </si>
  <si>
    <t>50.32307907294649, 10.215723858438139</t>
  </si>
  <si>
    <t>W-22</t>
  </si>
  <si>
    <r>
      <rPr>
        <b/>
        <sz val="11"/>
        <color rgb="FF000000"/>
        <rFont val="Calibri"/>
        <family val="2"/>
      </rPr>
      <t xml:space="preserve">Info: </t>
    </r>
    <r>
      <rPr>
        <sz val="11"/>
        <color rgb="FF000000"/>
        <rFont val="Calibri"/>
        <family val="2"/>
      </rPr>
      <t xml:space="preserve">Das Stadtarchiv ist das fensterlose rote Gebäude auf der anderen Seite des Innenhafens
</t>
    </r>
    <r>
      <rPr>
        <b/>
        <sz val="11"/>
        <color rgb="FF000000"/>
        <rFont val="Calibri"/>
        <family val="2"/>
      </rPr>
      <t xml:space="preserve">Aufgabe: </t>
    </r>
    <r>
      <rPr>
        <sz val="11"/>
        <color rgb="FF000000"/>
        <rFont val="Calibri"/>
        <family val="2"/>
      </rPr>
      <t xml:space="preserve">Macht ein Foto auf dem Schwanentor mit dem Stadtarchiv im Hintergrund
</t>
    </r>
    <r>
      <rPr>
        <b/>
        <sz val="11"/>
        <color rgb="FF000000"/>
        <rFont val="Calibri"/>
        <family val="2"/>
      </rPr>
      <t>Bonus</t>
    </r>
    <r>
      <rPr>
        <sz val="11"/>
        <color rgb="FF000000"/>
        <rFont val="Calibri"/>
        <family val="2"/>
      </rPr>
      <t>: Formt mit einem Arm einen eleganten Schwanenhals</t>
    </r>
  </si>
  <si>
    <t>Schwanenstraße 44, 47051 Duisburg</t>
  </si>
  <si>
    <t>51.43624491815582, 6.757839507021064</t>
  </si>
  <si>
    <t>W-23</t>
  </si>
  <si>
    <t xml:space="preserve">Besuche den Bahnhof in Bad Kleinen und mache ein (1!) Foto mit folgenden Motiven: Bahnhofsschild Bad Kleinen und das Zusatzschild "Vielfältig. Bunt. Bahnhof." und der Regenbogenbrücke im Hintergrund. </t>
  </si>
  <si>
    <t>Rosensteig 7, 23996 Bad Kleinen</t>
  </si>
  <si>
    <t>53.76684495006263, 11.4665693733094</t>
  </si>
  <si>
    <t>W-24</t>
  </si>
  <si>
    <t>Besuche die Berufsakademie Rhein-Main und mache ein Bild davon</t>
  </si>
  <si>
    <t>Am Schwimmbad 3, 63322 Rödermark</t>
  </si>
  <si>
    <t>49.97528263955522, 8.806470918201187</t>
  </si>
  <si>
    <t>W-25</t>
  </si>
  <si>
    <t>Besuche den Phönix See in Dortmund Hörde und mache ein Foto auf der Kulturinsel</t>
  </si>
  <si>
    <t>Am Kai 18, 44263 Dortmund</t>
  </si>
  <si>
    <t>51.490206589170455, 7.508004648639709</t>
  </si>
  <si>
    <t>W-26</t>
  </si>
  <si>
    <r>
      <t xml:space="preserve">Sammelt genug Pfandflaschen um euch ein Getränk davon zu kaufen. Macht ein Foto von Kassenbon und Getränk. Ihr dürft kein Geld dazugeben.
</t>
    </r>
    <r>
      <rPr>
        <b/>
        <sz val="11"/>
        <color theme="1"/>
        <rFont val="Calibri"/>
        <family val="2"/>
        <scheme val="minor"/>
      </rPr>
      <t>Hinweis</t>
    </r>
    <r>
      <rPr>
        <sz val="11"/>
        <color theme="1"/>
        <rFont val="Calibri"/>
        <family val="2"/>
        <scheme val="minor"/>
      </rPr>
      <t>: der DM im Bahnhof hat auch Sonntags geöffnet und nimmt Pfand entgegen.</t>
    </r>
  </si>
  <si>
    <t>Baustraße 54, 47137 Duisburg</t>
  </si>
  <si>
    <t>51.47072286455197, 6.7699160430974406</t>
  </si>
  <si>
    <t>W-27</t>
  </si>
  <si>
    <r>
      <rPr>
        <b/>
        <sz val="11"/>
        <color theme="1"/>
        <rFont val="Calibri"/>
        <family val="2"/>
        <scheme val="minor"/>
      </rPr>
      <t>Info</t>
    </r>
    <r>
      <rPr>
        <sz val="11"/>
        <color theme="1"/>
        <rFont val="Calibri"/>
        <family val="2"/>
        <scheme val="minor"/>
      </rPr>
      <t xml:space="preserve">: Der Kurpark in Bad Homburg ist für seine vielen Heilquellen und Brunnen bekannt.
</t>
    </r>
    <r>
      <rPr>
        <b/>
        <sz val="11"/>
        <color theme="1"/>
        <rFont val="Calibri"/>
        <family val="2"/>
        <scheme val="minor"/>
      </rPr>
      <t>Aufgabe</t>
    </r>
    <r>
      <rPr>
        <sz val="11"/>
        <color theme="1"/>
        <rFont val="Calibri"/>
        <family val="2"/>
        <scheme val="minor"/>
      </rPr>
      <t xml:space="preserve">: Finde 2 Brunnen und trinke das Wasser (falls die offen sind)
</t>
    </r>
    <r>
      <rPr>
        <b/>
        <sz val="11"/>
        <color theme="1"/>
        <rFont val="Calibri"/>
        <family val="2"/>
        <scheme val="minor"/>
      </rPr>
      <t>Bonusaufgabe</t>
    </r>
    <r>
      <rPr>
        <sz val="11"/>
        <color theme="1"/>
        <rFont val="Calibri"/>
        <family val="2"/>
        <scheme val="minor"/>
      </rPr>
      <t>: Kipp einem Teamkollegen das Wasser über den Kopf</t>
    </r>
  </si>
  <si>
    <t>Kisseleffstraße 35, 61348 Bad Homburg vor der Höhe</t>
  </si>
  <si>
    <t>50.22797397542409, 8.627094874223165</t>
  </si>
  <si>
    <t>W-28</t>
  </si>
  <si>
    <t>Macht ein Foto von der ikonischen Fassade des Wuppertaler Stadions am Zoo. Bonus: AUS der Schwebebahn.</t>
  </si>
  <si>
    <t>Sonnborner Str. 44, 42327 Wuppertal</t>
  </si>
  <si>
    <t>51.23965650017523, 7.103038003521549</t>
  </si>
  <si>
    <t>W-29</t>
  </si>
  <si>
    <t>Macht ein Bild vom Klimagarten Schwerte</t>
  </si>
  <si>
    <t>Ioannina-Platz 1, 58239 Schwerte</t>
  </si>
  <si>
    <t>51.43132112624768, 7.5637708662297</t>
  </si>
  <si>
    <t>Aufgabe: Foto vor dem Glockenspiel</t>
  </si>
  <si>
    <t>Glockenspiel, Stavenort 12, 21614 Buxtehude</t>
  </si>
  <si>
    <t>53.47695050054163, 9.702180740281246</t>
  </si>
  <si>
    <t>W-30</t>
  </si>
  <si>
    <t>Macht ein Bild vor dem renovierten Bahnhof Mayschoß mit den steilen Weinbergen im Hintergrund</t>
  </si>
  <si>
    <t>Ahr-Rotweinstraße 47, 53508 Mayschoß-Lochmühle</t>
  </si>
  <si>
    <t>50.517546666346796, 7.0202237122499085</t>
  </si>
  <si>
    <t>W-31</t>
  </si>
  <si>
    <r>
      <rPr>
        <b/>
        <sz val="11"/>
        <color theme="1"/>
        <rFont val="Calibri"/>
        <family val="2"/>
        <scheme val="minor"/>
      </rPr>
      <t>Aufgabe:</t>
    </r>
    <r>
      <rPr>
        <sz val="11"/>
        <color theme="1"/>
        <rFont val="Calibri"/>
        <family val="2"/>
        <scheme val="minor"/>
      </rPr>
      <t xml:space="preserve"> Macht ein Bild mit dem Beachvolleyballfeld
</t>
    </r>
    <r>
      <rPr>
        <b/>
        <sz val="11"/>
        <color theme="1"/>
        <rFont val="Calibri"/>
        <family val="2"/>
        <scheme val="minor"/>
      </rPr>
      <t>Bonus:</t>
    </r>
    <r>
      <rPr>
        <sz val="11"/>
        <color theme="1"/>
        <rFont val="Calibri"/>
        <family val="2"/>
        <scheme val="minor"/>
      </rPr>
      <t xml:space="preserve"> baut eine Sandburg inklusive Burggraben</t>
    </r>
  </si>
  <si>
    <t>Königswiesen, 21147 Hamburg</t>
  </si>
  <si>
    <t>53.47526293441246, 9.849339144187075</t>
  </si>
  <si>
    <t>W-32</t>
  </si>
  <si>
    <r>
      <t xml:space="preserve">Info: </t>
    </r>
    <r>
      <rPr>
        <sz val="11"/>
        <color theme="1"/>
        <rFont val="Calibri"/>
        <family val="2"/>
        <scheme val="minor"/>
      </rPr>
      <t xml:space="preserve">Ladenburg ist zentraler Bahnhof der Standard-Testinfrastruktur für die PROTON-Simulation von DB Analytics. Das muss man gesehen haben.
</t>
    </r>
    <r>
      <rPr>
        <b/>
        <sz val="11"/>
        <color theme="1"/>
        <rFont val="Calibri"/>
        <family val="2"/>
        <scheme val="minor"/>
      </rPr>
      <t>Aufgabe:</t>
    </r>
    <r>
      <rPr>
        <sz val="11"/>
        <color theme="1"/>
        <rFont val="Calibri"/>
        <family val="2"/>
        <scheme val="minor"/>
      </rPr>
      <t xml:space="preserve"> macht einen kleinen Spaziergang am Neckar und besucht die Pinguine
</t>
    </r>
    <r>
      <rPr>
        <b/>
        <sz val="11"/>
        <color theme="1"/>
        <rFont val="Calibri"/>
        <family val="2"/>
        <scheme val="minor"/>
      </rPr>
      <t xml:space="preserve">Bonus: </t>
    </r>
    <r>
      <rPr>
        <sz val="11"/>
        <color theme="1"/>
        <rFont val="Calibri"/>
        <family val="2"/>
        <scheme val="minor"/>
      </rPr>
      <t xml:space="preserve">macht ein Foto des Bahnhofsschilds in Ladenburg, auf dem das PROTON Logo (https://proton.lsg.comp.db.de/) auf Handy oder Laptop Display zu sehen ist. </t>
    </r>
  </si>
  <si>
    <t>Neckarstraße 50, 68526 Ladenburg</t>
  </si>
  <si>
    <t>49.46497614672917, 8.606193423084758</t>
  </si>
  <si>
    <t>W-33</t>
  </si>
  <si>
    <r>
      <rPr>
        <b/>
        <sz val="11"/>
        <color theme="1"/>
        <rFont val="Calibri"/>
        <family val="2"/>
        <scheme val="minor"/>
      </rPr>
      <t xml:space="preserve">Info: </t>
    </r>
    <r>
      <rPr>
        <sz val="11"/>
        <color theme="1"/>
        <rFont val="Calibri"/>
        <family val="2"/>
        <scheme val="minor"/>
      </rPr>
      <t xml:space="preserve">Bad Vilbel ist Quellenstadt mit einer Vielzahl von Mineralbrunnen. In der Stadt sind als "Kunstwerke" an verschiedenen Stellen große bunte Wasserflaschen aufgestellt.
</t>
    </r>
    <r>
      <rPr>
        <b/>
        <sz val="11"/>
        <color theme="1"/>
        <rFont val="Calibri"/>
        <family val="2"/>
        <scheme val="minor"/>
      </rPr>
      <t xml:space="preserve">Aufgabe: </t>
    </r>
    <r>
      <rPr>
        <sz val="11"/>
        <color theme="1"/>
        <rFont val="Calibri"/>
        <family val="2"/>
        <scheme val="minor"/>
      </rPr>
      <t xml:space="preserve">macht Fotos von mindestens 6 dieser Wasserflaschen (die Koordinaten geben den Ort einer Flasche an, bei der ihr starten könnt)
</t>
    </r>
    <r>
      <rPr>
        <b/>
        <sz val="11"/>
        <color theme="1"/>
        <rFont val="Calibri"/>
        <family val="2"/>
        <scheme val="minor"/>
      </rPr>
      <t xml:space="preserve">Bonus: </t>
    </r>
    <r>
      <rPr>
        <sz val="11"/>
        <color theme="1"/>
        <rFont val="Calibri"/>
        <family val="2"/>
        <scheme val="minor"/>
      </rPr>
      <t>findet und fotografiert noch 5 weitere Flaschen (also insgesamt 11)</t>
    </r>
  </si>
  <si>
    <t>Frankfurter Str. 131, 61118 Bad Vilbel</t>
  </si>
  <si>
    <t>50.178688116342364, 8.73604035775973</t>
  </si>
  <si>
    <t>W-34</t>
  </si>
  <si>
    <r>
      <rPr>
        <b/>
        <sz val="11"/>
        <color theme="1"/>
        <rFont val="Calibri"/>
        <family val="2"/>
        <scheme val="minor"/>
      </rPr>
      <t xml:space="preserve">Info: </t>
    </r>
    <r>
      <rPr>
        <sz val="11"/>
        <color theme="1"/>
        <rFont val="Calibri"/>
        <family val="2"/>
        <scheme val="minor"/>
      </rPr>
      <t xml:space="preserve">Von Obstfelderschmiede nach Lichtenhain verkehrt die  (wahrscheinlich) einzige Standseilbahn auf dem DB Netz. Die Bahn selbst ist leider wegen Wartungsarbeiten geschlossen, aber ihr könnt die Strecke entlangehen.
</t>
    </r>
    <r>
      <rPr>
        <b/>
        <sz val="11"/>
        <color theme="1"/>
        <rFont val="Calibri"/>
        <family val="2"/>
        <scheme val="minor"/>
      </rPr>
      <t>Aufgabe:</t>
    </r>
    <r>
      <rPr>
        <sz val="11"/>
        <color theme="1"/>
        <rFont val="Calibri"/>
        <family val="2"/>
        <scheme val="minor"/>
      </rPr>
      <t xml:space="preserve"> Geht zur Ausweichstelle der Bergbahn und macht ein Video, auf dem ihr erklärt, wie die Weiche dort ohne bewegliche Teile funktioniert.
</t>
    </r>
    <r>
      <rPr>
        <b/>
        <sz val="11"/>
        <color theme="1"/>
        <rFont val="Calibri"/>
        <family val="2"/>
        <scheme val="minor"/>
      </rPr>
      <t>Bonus:</t>
    </r>
    <r>
      <rPr>
        <sz val="11"/>
        <color theme="1"/>
        <rFont val="Calibri"/>
        <family val="2"/>
        <scheme val="minor"/>
      </rPr>
      <t xml:space="preserve"> Lauft weiter bis zur Bergstation und macht oben ein Foto</t>
    </r>
  </si>
  <si>
    <t>98744 Schwarzatal-Lichtenhain/Bergbahn</t>
  </si>
  <si>
    <t>50.59770879460818, 11.13085742697641</t>
  </si>
  <si>
    <t>W-35</t>
  </si>
  <si>
    <r>
      <rPr>
        <b/>
        <sz val="11"/>
        <color theme="1"/>
        <rFont val="Calibri"/>
        <family val="2"/>
        <scheme val="minor"/>
      </rPr>
      <t>Info:</t>
    </r>
    <r>
      <rPr>
        <sz val="11"/>
        <color theme="1"/>
        <rFont val="Calibri"/>
        <family val="2"/>
        <scheme val="minor"/>
      </rPr>
      <t xml:space="preserve"> Wunschlos Natur, macht eine Reise nach Templin in den Naturpark Uckermärkische Seen.
</t>
    </r>
    <r>
      <rPr>
        <b/>
        <sz val="11"/>
        <color theme="1"/>
        <rFont val="Calibri"/>
        <family val="2"/>
        <scheme val="minor"/>
      </rPr>
      <t>Aufgabe:</t>
    </r>
    <r>
      <rPr>
        <sz val="11"/>
        <color theme="1"/>
        <rFont val="Calibri"/>
        <family val="2"/>
        <scheme val="minor"/>
      </rPr>
      <t xml:space="preserve"> Dort erwartet euch eine kleine Wanderung entlang des Ufers des Templiner Sees zur Badestrand Schinderkuhle. Macht dort ein Gruppenfoto am Strand.
</t>
    </r>
    <r>
      <rPr>
        <b/>
        <sz val="11"/>
        <color theme="1"/>
        <rFont val="Calibri"/>
        <family val="2"/>
        <scheme val="minor"/>
      </rPr>
      <t>Bonus:</t>
    </r>
    <r>
      <rPr>
        <sz val="11"/>
        <color theme="1"/>
        <rFont val="Calibri"/>
        <family val="2"/>
        <scheme val="minor"/>
      </rPr>
      <t xml:space="preserve"> Fotografiert mindestens eine Person der Gruppe badend im See</t>
    </r>
  </si>
  <si>
    <t>Uferweg, 17268 Templin</t>
  </si>
  <si>
    <t>53.127789913610044, 13.51104316860654</t>
  </si>
  <si>
    <t>W-36</t>
  </si>
  <si>
    <r>
      <rPr>
        <b/>
        <sz val="11"/>
        <color theme="1"/>
        <rFont val="Calibri"/>
        <family val="2"/>
        <scheme val="minor"/>
      </rPr>
      <t xml:space="preserve">Info: </t>
    </r>
    <r>
      <rPr>
        <sz val="11"/>
        <color theme="1"/>
        <rFont val="Calibri"/>
        <family val="2"/>
        <scheme val="minor"/>
      </rPr>
      <t>Ludwigslust war während der Korridorsanierung sehr stark gebeutelt.</t>
    </r>
    <r>
      <rPr>
        <b/>
        <sz val="11"/>
        <color theme="1"/>
        <rFont val="Calibri"/>
        <family val="2"/>
        <scheme val="minor"/>
      </rPr>
      <t xml:space="preserve">
Aufgabe:</t>
    </r>
    <r>
      <rPr>
        <sz val="11"/>
        <color theme="1"/>
        <rFont val="Calibri"/>
        <family val="2"/>
        <scheme val="minor"/>
      </rPr>
      <t xml:space="preserve"> Macht ein Foto vor dem Schloss Ludwigslust</t>
    </r>
  </si>
  <si>
    <t>Schloßfreiheit, 19288 Ludwigslust</t>
  </si>
  <si>
    <t>53.32491814466259, 11.487851846937863</t>
  </si>
  <si>
    <t>W-37</t>
  </si>
  <si>
    <r>
      <rPr>
        <b/>
        <sz val="11"/>
        <color theme="1"/>
        <rFont val="Calibri"/>
        <family val="2"/>
        <scheme val="minor"/>
      </rPr>
      <t>Info</t>
    </r>
    <r>
      <rPr>
        <sz val="11"/>
        <color theme="1"/>
        <rFont val="Calibri"/>
        <family val="2"/>
        <scheme val="minor"/>
      </rPr>
      <t xml:space="preserve">: Mitten im Nördlinger Ries, einem Meteoritenkrater, liegt die Stadt Nördlingen, die von einer vollständig  erhaltenen Stadtmauer umgeben ist. Den besten Blick hat man vom direkt im Stadtzentrum gelegenen Kirchturm der Kirche St. Georg - dem "Daniel". 
</t>
    </r>
    <r>
      <rPr>
        <b/>
        <sz val="11"/>
        <color theme="1"/>
        <rFont val="Calibri"/>
        <family val="2"/>
        <scheme val="minor"/>
      </rPr>
      <t>Aufgabe</t>
    </r>
    <r>
      <rPr>
        <sz val="11"/>
        <color theme="1"/>
        <rFont val="Calibri"/>
        <family val="2"/>
        <scheme val="minor"/>
      </rPr>
      <t xml:space="preserve">: begebt euch zur Kirche St. Georg und macht eines dieser Klischeefotos, bei dem ihr durch geschickte Wahl der Perspektive so groß seid, dass ihr euch am Kirchturm anlehnen könnt, ihn umarmt o.Ä. 
</t>
    </r>
    <r>
      <rPr>
        <b/>
        <sz val="11"/>
        <color theme="1"/>
        <rFont val="Calibri"/>
        <family val="2"/>
        <scheme val="minor"/>
      </rPr>
      <t>Bonus</t>
    </r>
    <r>
      <rPr>
        <sz val="11"/>
        <color theme="1"/>
        <rFont val="Calibri"/>
        <family val="2"/>
        <scheme val="minor"/>
      </rPr>
      <t>: ihr erklimmt die Stufen und lasst die neutrale Tourbegleitung durch ein Beweisfoto an der Aussicht teilhaben (10-18 Uhr, 4 € Eintritt für den Aufstieg, ca. 350 Stufen)</t>
    </r>
  </si>
  <si>
    <t>Windgäßchen, 86720 Nördlingen</t>
  </si>
  <si>
    <t>48.85063016207485, 10.488813473353424</t>
  </si>
  <si>
    <t>W-38</t>
  </si>
  <si>
    <r>
      <rPr>
        <b/>
        <sz val="11"/>
        <color theme="1"/>
        <rFont val="Calibri"/>
        <family val="2"/>
        <scheme val="minor"/>
      </rPr>
      <t>Info</t>
    </r>
    <r>
      <rPr>
        <sz val="11"/>
        <color theme="1"/>
        <rFont val="Calibri"/>
        <family val="2"/>
        <scheme val="minor"/>
      </rPr>
      <t xml:space="preserve">: Bad Dürkheim ist eine Kurstadt am Rande des Pfälzerwalds
</t>
    </r>
    <r>
      <rPr>
        <b/>
        <sz val="11"/>
        <color theme="1"/>
        <rFont val="Calibri"/>
        <family val="2"/>
        <scheme val="minor"/>
      </rPr>
      <t>Aufgabe</t>
    </r>
    <r>
      <rPr>
        <sz val="11"/>
        <color theme="1"/>
        <rFont val="Calibri"/>
        <family val="2"/>
        <scheme val="minor"/>
      </rPr>
      <t xml:space="preserve">: Besucht die Saline (Gradierbau) in Bad Dürkheim
</t>
    </r>
    <r>
      <rPr>
        <b/>
        <sz val="11"/>
        <color theme="1"/>
        <rFont val="Calibri"/>
        <family val="2"/>
        <scheme val="minor"/>
      </rPr>
      <t>Bonus</t>
    </r>
    <r>
      <rPr>
        <sz val="11"/>
        <color theme="1"/>
        <rFont val="Calibri"/>
        <family val="2"/>
        <scheme val="minor"/>
      </rPr>
      <t>: findet auf dem Rückweg das größte Weinfass der Welt</t>
    </r>
  </si>
  <si>
    <t>Salinenstraße 17, 67098 Bad Dürkheim</t>
  </si>
  <si>
    <t>49.46540912020236, 8.174484886908902</t>
  </si>
  <si>
    <t>W-39</t>
  </si>
  <si>
    <r>
      <rPr>
        <b/>
        <sz val="11"/>
        <color theme="1"/>
        <rFont val="Calibri"/>
        <family val="2"/>
        <scheme val="minor"/>
      </rPr>
      <t xml:space="preserve">Info: </t>
    </r>
    <r>
      <rPr>
        <sz val="11"/>
        <color theme="1"/>
        <rFont val="Calibri"/>
        <family val="2"/>
        <scheme val="minor"/>
      </rPr>
      <t xml:space="preserve">München - Biergärten - Sommer -geil
</t>
    </r>
    <r>
      <rPr>
        <b/>
        <sz val="11"/>
        <color theme="1"/>
        <rFont val="Calibri"/>
        <family val="2"/>
        <scheme val="minor"/>
      </rPr>
      <t>Aufgabe:</t>
    </r>
    <r>
      <rPr>
        <sz val="11"/>
        <color theme="1"/>
        <rFont val="Calibri"/>
        <family val="2"/>
        <scheme val="minor"/>
      </rPr>
      <t xml:space="preserve"> Fahrt zum größten Biergarten der Welt, dem Königlichen Hirschgarten, und machts a 5-sekündiges Video wo mindestens eine Person eurer Gruppe jodelt.
</t>
    </r>
    <r>
      <rPr>
        <b/>
        <sz val="11"/>
        <color theme="1"/>
        <rFont val="Calibri"/>
        <family val="2"/>
        <scheme val="minor"/>
      </rPr>
      <t>Bonus:</t>
    </r>
    <r>
      <rPr>
        <sz val="11"/>
        <color theme="1"/>
        <rFont val="Calibri"/>
        <family val="2"/>
        <scheme val="minor"/>
      </rPr>
      <t xml:space="preserve"> Das Video dauert 15 Sekunden, komplett jodelnd ;)</t>
    </r>
  </si>
  <si>
    <t>Hirschgarten 1, 80639 München</t>
  </si>
  <si>
    <t>48.149981546610775, 11.511142235578452</t>
  </si>
  <si>
    <r>
      <t xml:space="preserve">Geht auf die Nordermole Travemünde und fotografiert den Leuchtturm.
</t>
    </r>
    <r>
      <rPr>
        <b/>
        <sz val="11"/>
        <color theme="1"/>
        <rFont val="Calibri"/>
        <family val="2"/>
        <scheme val="minor"/>
      </rPr>
      <t xml:space="preserve">Bonus: </t>
    </r>
    <r>
      <rPr>
        <sz val="11"/>
        <color theme="1"/>
        <rFont val="Calibri"/>
        <family val="2"/>
        <scheme val="minor"/>
      </rPr>
      <t>Macht ein Foto von einem vorbeifahrenden Fährschiff</t>
    </r>
  </si>
  <si>
    <t>Am Leuchtenfeld 12, 23570 Lübeck</t>
  </si>
  <si>
    <t>53.96197678002316, 10.889142943650109</t>
  </si>
  <si>
    <t>W-40</t>
  </si>
  <si>
    <r>
      <rPr>
        <b/>
        <sz val="11"/>
        <color theme="1"/>
        <rFont val="Calibri"/>
        <family val="2"/>
        <scheme val="minor"/>
      </rPr>
      <t xml:space="preserve">Info: </t>
    </r>
    <r>
      <rPr>
        <sz val="11"/>
        <color theme="1"/>
        <rFont val="Calibri"/>
        <family val="2"/>
        <scheme val="minor"/>
      </rPr>
      <t xml:space="preserve">Seit Jahren wird diskutiert, ob Bielefeld nun exisitiert oder nicht. Ihr müsst das Geheimnis jetzt lüften.
</t>
    </r>
    <r>
      <rPr>
        <b/>
        <sz val="11"/>
        <color theme="1"/>
        <rFont val="Calibri"/>
        <family val="2"/>
        <scheme val="minor"/>
      </rPr>
      <t xml:space="preserve">Aufgabe: </t>
    </r>
    <r>
      <rPr>
        <sz val="11"/>
        <color theme="1"/>
        <rFont val="Calibri"/>
        <family val="2"/>
        <scheme val="minor"/>
      </rPr>
      <t>Fahrt nach Bielefeld und sichert 15 Minuten Beweise, dass Bielefeld exisitiert</t>
    </r>
  </si>
  <si>
    <t>33602 Bielefeld</t>
  </si>
  <si>
    <t>52.029261, 8.532723</t>
  </si>
  <si>
    <t>1</t>
  </si>
  <si>
    <t>W-41</t>
  </si>
  <si>
    <r>
      <rPr>
        <b/>
        <sz val="11"/>
        <color theme="1"/>
        <rFont val="Calibri"/>
        <family val="2"/>
        <scheme val="minor"/>
      </rPr>
      <t>Info</t>
    </r>
    <r>
      <rPr>
        <sz val="11"/>
        <color theme="1"/>
        <rFont val="Calibri"/>
        <family val="2"/>
        <scheme val="minor"/>
      </rPr>
      <t xml:space="preserve">: Nicht nur ein Stadtteil von Konstanz heißt Paradies, sondern auch das Steuerparadies in der Schweiz ist nur wenige Gehminuten entfernt.                                                                                              </t>
    </r>
    <r>
      <rPr>
        <b/>
        <sz val="11"/>
        <color theme="1"/>
        <rFont val="Calibri"/>
        <family val="2"/>
        <scheme val="minor"/>
      </rPr>
      <t>Aufgabe</t>
    </r>
    <r>
      <rPr>
        <sz val="11"/>
        <color theme="1"/>
        <rFont val="Calibri"/>
        <family val="2"/>
        <scheme val="minor"/>
      </rPr>
      <t xml:space="preserve">: Mache ein Foto von euch vor einem beliebigen Grenzübergang in die Schweiz in Konstanz. Tritt beliebig nah heran an die Grenze ran.                                                                                                      </t>
    </r>
  </si>
  <si>
    <t>78462 Konstanz</t>
  </si>
  <si>
    <t>47.655502, 9.173160</t>
  </si>
  <si>
    <t>W-42</t>
  </si>
  <si>
    <r>
      <rPr>
        <b/>
        <sz val="11"/>
        <color theme="1"/>
        <rFont val="Calibri"/>
        <family val="2"/>
        <scheme val="minor"/>
      </rPr>
      <t>Info</t>
    </r>
    <r>
      <rPr>
        <sz val="11"/>
        <color theme="1"/>
        <rFont val="Calibri"/>
        <family val="2"/>
        <scheme val="minor"/>
      </rPr>
      <t xml:space="preserve">: Siegburg ist an der Sieg gelegen, nutzt diese Gelegenheit  
</t>
    </r>
    <r>
      <rPr>
        <b/>
        <sz val="11"/>
        <color theme="1"/>
        <rFont val="Calibri"/>
        <family val="2"/>
        <scheme val="minor"/>
      </rPr>
      <t>Aufgabe:</t>
    </r>
    <r>
      <rPr>
        <sz val="11"/>
        <color theme="1"/>
        <rFont val="Calibri"/>
        <family val="2"/>
        <scheme val="minor"/>
      </rPr>
      <t xml:space="preserve"> Geht zur Sieg und haltet eure Füße in die Sieg, mache davon ein Foto                                                                                                  
</t>
    </r>
    <r>
      <rPr>
        <b/>
        <sz val="11"/>
        <color theme="1"/>
        <rFont val="Calibri"/>
        <family val="2"/>
        <scheme val="minor"/>
      </rPr>
      <t>Bonus</t>
    </r>
    <r>
      <rPr>
        <sz val="11"/>
        <color theme="1"/>
        <rFont val="Calibri"/>
        <family val="2"/>
        <scheme val="minor"/>
      </rPr>
      <t>: Nutze die Seilbahn auf dem Spielplatz und mache ein Video</t>
    </r>
  </si>
  <si>
    <t>Siegstraße 79, 53721 Siegburg</t>
  </si>
  <si>
    <t>50.790429766646355, 7.197851826552716</t>
  </si>
  <si>
    <t>W-43</t>
  </si>
  <si>
    <t>Info: In Erkner sitzt der Verein historische S-Bahn Berlin, der sich um die alten Fahrzeuge der Berliner S-Bahn kümmert 
Aufgabe: Macht ein Gruppenfoto mit dem Triebkopf am Werk Bonus: Ihr trage dabei etwas (kristall-)blaues, etwas beiges und etwas rotes</t>
  </si>
  <si>
    <t>Bahnhofstraße 10, 15537 Erkner</t>
  </si>
  <si>
    <t>52.42904784459214, 13.75215539050287</t>
  </si>
  <si>
    <t>W-44</t>
  </si>
  <si>
    <r>
      <rPr>
        <b/>
        <sz val="11"/>
        <color theme="1"/>
        <rFont val="Calibri"/>
        <family val="2"/>
        <scheme val="minor"/>
      </rPr>
      <t>Info:</t>
    </r>
    <r>
      <rPr>
        <sz val="11"/>
        <color theme="1"/>
        <rFont val="Calibri"/>
        <family val="2"/>
        <scheme val="minor"/>
      </rPr>
      <t xml:space="preserve"> Die Riesbahn ist immer eine Reise wert - steuert den Bahnhof Möttingen mit seinem mechanischen Stellwerk an
</t>
    </r>
    <r>
      <rPr>
        <b/>
        <sz val="11"/>
        <color theme="1"/>
        <rFont val="Calibri"/>
        <family val="2"/>
        <scheme val="minor"/>
      </rPr>
      <t xml:space="preserve">Aufgabe: </t>
    </r>
    <r>
      <rPr>
        <sz val="11"/>
        <color theme="1"/>
        <rFont val="Calibri"/>
        <family val="2"/>
        <scheme val="minor"/>
      </rPr>
      <t xml:space="preserve">Steuert die "Hexenküche" im benachbarten Lierheim an und macht dort ein Foto
</t>
    </r>
    <r>
      <rPr>
        <b/>
        <sz val="11"/>
        <color theme="1"/>
        <rFont val="Calibri"/>
        <family val="2"/>
        <scheme val="minor"/>
      </rPr>
      <t xml:space="preserve">Bonus: </t>
    </r>
    <r>
      <rPr>
        <sz val="11"/>
        <color theme="1"/>
        <rFont val="Calibri"/>
        <family val="2"/>
        <scheme val="minor"/>
      </rPr>
      <t>Wenn auf dem Foto ein Zug auf der Riesbahn zu erkennen ist.</t>
    </r>
  </si>
  <si>
    <t>RJ56+MC, 86753 Möttingen</t>
  </si>
  <si>
    <t>48.80925303456509, 10.61106884215447</t>
  </si>
  <si>
    <t>W-45</t>
  </si>
  <si>
    <t>Ehemalige FV-Bahnhöfe - Reichenbach ehem. Halt des ICE-Zugpaares 1798/99 "Frankenkurier</t>
  </si>
  <si>
    <t>Reichenbach (Vogtl) ob Bf, 08468 Reichenbach</t>
  </si>
  <si>
    <t>50.627845277085584, 12.293369506162055</t>
  </si>
  <si>
    <t>W-46</t>
  </si>
  <si>
    <r>
      <rPr>
        <b/>
        <sz val="11"/>
        <color theme="1"/>
        <rFont val="Calibri"/>
        <family val="2"/>
        <scheme val="minor"/>
      </rPr>
      <t>Info</t>
    </r>
    <r>
      <rPr>
        <sz val="11"/>
        <color theme="1"/>
        <rFont val="Calibri"/>
        <family val="2"/>
        <scheme val="minor"/>
      </rPr>
      <t xml:space="preserve">: Oberwesel ist ein aufgrund der Lage im mittel Rheintal ein beliebter Ort, um dort Bilder von Zügen zu machen. Besonders häufig wurden dort Züge des Fernverkehrs fotografiert. 
</t>
    </r>
    <r>
      <rPr>
        <b/>
        <sz val="11"/>
        <color theme="1"/>
        <rFont val="Calibri"/>
        <family val="2"/>
        <scheme val="minor"/>
      </rPr>
      <t>Aufgabe:</t>
    </r>
    <r>
      <rPr>
        <sz val="11"/>
        <color theme="1"/>
        <rFont val="Calibri"/>
        <family val="2"/>
        <scheme val="minor"/>
      </rPr>
      <t xml:space="preserve"> Begebt euch zu den Koordinaten und macht von dort ein Bild mit einem Zug und Oberwesel im Hintergrund. 
</t>
    </r>
    <r>
      <rPr>
        <b/>
        <sz val="11"/>
        <color theme="1"/>
        <rFont val="Calibri"/>
        <family val="2"/>
        <scheme val="minor"/>
      </rPr>
      <t>Bonus</t>
    </r>
    <r>
      <rPr>
        <sz val="11"/>
        <color theme="1"/>
        <rFont val="Calibri"/>
        <family val="2"/>
        <scheme val="minor"/>
      </rPr>
      <t xml:space="preserve">: Auf dem Bild ist ein Zug des Fernverkehrs zu sehen.
</t>
    </r>
  </si>
  <si>
    <t>Koblenzer Str. 89, 55430 Oberwesel</t>
  </si>
  <si>
    <t>50.1147111, 7.7189386</t>
  </si>
  <si>
    <t>W-47</t>
  </si>
  <si>
    <r>
      <rPr>
        <b/>
        <sz val="11"/>
        <color theme="1"/>
        <rFont val="Calibri"/>
        <family val="2"/>
        <scheme val="minor"/>
      </rPr>
      <t>Info:</t>
    </r>
    <r>
      <rPr>
        <sz val="11"/>
        <color theme="1"/>
        <rFont val="Calibri"/>
        <family val="2"/>
        <scheme val="minor"/>
      </rPr>
      <t xml:space="preserve"> Malchow liegt mittendrin in der schönen mecklenburgischen Seenplatte. Die Gegend bietet aber nicht nur einheimische Natur zum anschauen.
</t>
    </r>
    <r>
      <rPr>
        <b/>
        <sz val="11"/>
        <color theme="1"/>
        <rFont val="Calibri"/>
        <family val="2"/>
        <scheme val="minor"/>
      </rPr>
      <t>Aufgabe:</t>
    </r>
    <r>
      <rPr>
        <sz val="11"/>
        <color theme="1"/>
        <rFont val="Calibri"/>
        <family val="2"/>
        <scheme val="minor"/>
      </rPr>
      <t xml:space="preserve"> Geht zum Eingang des Affenwaldes Malchow und macht ein Foto als ob ihr Affen seid, die gerade aus dem Park ausbrechen.
</t>
    </r>
    <r>
      <rPr>
        <b/>
        <sz val="11"/>
        <color theme="1"/>
        <rFont val="Calibri"/>
        <family val="2"/>
        <scheme val="minor"/>
      </rPr>
      <t>Bonus:</t>
    </r>
    <r>
      <rPr>
        <sz val="11"/>
        <color theme="1"/>
        <rFont val="Calibri"/>
        <family val="2"/>
        <scheme val="minor"/>
      </rPr>
      <t xml:space="preserve"> Esst Bananen auf dem Foto</t>
    </r>
  </si>
  <si>
    <t>Karower Ch 6, 17213 Malchow</t>
  </si>
  <si>
    <t>53.488736, 12.388448</t>
  </si>
  <si>
    <t>W-48</t>
  </si>
  <si>
    <r>
      <rPr>
        <b/>
        <sz val="11"/>
        <color theme="1"/>
        <rFont val="Calibri"/>
        <family val="2"/>
        <scheme val="minor"/>
      </rPr>
      <t>Info:</t>
    </r>
    <r>
      <rPr>
        <sz val="11"/>
        <color theme="1"/>
        <rFont val="Calibri"/>
        <family val="2"/>
        <scheme val="minor"/>
      </rPr>
      <t xml:space="preserve"> Genießt die frische Briese an der Ostsee
</t>
    </r>
    <r>
      <rPr>
        <b/>
        <sz val="11"/>
        <color theme="1"/>
        <rFont val="Calibri"/>
        <family val="2"/>
        <scheme val="minor"/>
      </rPr>
      <t>Aufgabe:</t>
    </r>
    <r>
      <rPr>
        <sz val="11"/>
        <color theme="1"/>
        <rFont val="Calibri"/>
        <family val="2"/>
        <scheme val="minor"/>
      </rPr>
      <t xml:space="preserve"> Macht ein Gruppenfoto mit dem Leuchtturm von Warnemünde
</t>
    </r>
    <r>
      <rPr>
        <b/>
        <sz val="11"/>
        <color theme="1"/>
        <rFont val="Calibri"/>
        <family val="2"/>
        <scheme val="minor"/>
      </rPr>
      <t>Bonus:</t>
    </r>
    <r>
      <rPr>
        <sz val="11"/>
        <color theme="1"/>
        <rFont val="Calibri"/>
        <family val="2"/>
        <scheme val="minor"/>
      </rPr>
      <t xml:space="preserve"> Eine Fähre im Hintergrund des Gruppenbildes</t>
    </r>
  </si>
  <si>
    <t>Am Leuchtturm, 18119 Rostock</t>
  </si>
  <si>
    <t>54.1823339503472, 12.08618091371664</t>
  </si>
  <si>
    <t>W-49</t>
  </si>
  <si>
    <r>
      <rPr>
        <b/>
        <sz val="11"/>
        <color theme="1"/>
        <rFont val="Calibri"/>
        <family val="2"/>
        <scheme val="minor"/>
      </rPr>
      <t>Info:</t>
    </r>
    <r>
      <rPr>
        <sz val="11"/>
        <color theme="1"/>
        <rFont val="Calibri"/>
        <family val="2"/>
        <scheme val="minor"/>
      </rPr>
      <t xml:space="preserve"> Der Salonwagen 10 205 wurde bis 1974 von Bundeskanzlern als reisendes Büro genutzt und befindet sich heute im Untergeschoss im Haus der Geschichte, welches entgeltfrei besichtigt werden kann. 
</t>
    </r>
    <r>
      <rPr>
        <b/>
        <sz val="11"/>
        <color theme="1"/>
        <rFont val="Calibri"/>
        <family val="2"/>
        <scheme val="minor"/>
      </rPr>
      <t>Aufgabe:</t>
    </r>
    <r>
      <rPr>
        <sz val="11"/>
        <color theme="1"/>
        <rFont val="Calibri"/>
        <family val="2"/>
        <scheme val="minor"/>
      </rPr>
      <t xml:space="preserve"> Überprüft das letzte Wartungsdatum und macht ein Gruppenfoto vor dem prächtigen Wagen</t>
    </r>
  </si>
  <si>
    <t>Willy-Brandt-Allee 14, 53113 Bonn</t>
  </si>
  <si>
    <t>50.717236069667564, 7.119473199193791</t>
  </si>
  <si>
    <t>W-5</t>
  </si>
  <si>
    <r>
      <rPr>
        <b/>
        <sz val="11"/>
        <color theme="1"/>
        <rFont val="Calibri"/>
        <family val="2"/>
        <scheme val="minor"/>
      </rPr>
      <t xml:space="preserve">Info: </t>
    </r>
    <r>
      <rPr>
        <sz val="11"/>
        <color theme="1"/>
        <rFont val="Calibri"/>
        <family val="2"/>
        <scheme val="minor"/>
      </rPr>
      <t xml:space="preserve">Vortex Surfer bester Musikclub! Nebenan lecker Pizza bei Presto Presto
</t>
    </r>
    <r>
      <rPr>
        <b/>
        <sz val="11"/>
        <color theme="1"/>
        <rFont val="Calibri"/>
        <family val="2"/>
        <scheme val="minor"/>
      </rPr>
      <t xml:space="preserve">Aufgabe: </t>
    </r>
    <r>
      <rPr>
        <sz val="11"/>
        <color theme="1"/>
        <rFont val="Calibri"/>
        <family val="2"/>
        <scheme val="minor"/>
      </rPr>
      <t xml:space="preserve">Macht ein Foto vor dem Eingang des Vortex
</t>
    </r>
    <r>
      <rPr>
        <b/>
        <sz val="11"/>
        <color theme="1"/>
        <rFont val="Calibri"/>
        <family val="2"/>
        <scheme val="minor"/>
      </rPr>
      <t>Bonus:</t>
    </r>
    <r>
      <rPr>
        <sz val="11"/>
        <color theme="1"/>
        <rFont val="Calibri"/>
        <family val="2"/>
        <scheme val="minor"/>
      </rPr>
      <t xml:space="preserve"> Tut so, als wärt ihr eine Rockband</t>
    </r>
  </si>
  <si>
    <t>Auf den Hütten 4, 57076 Siegen</t>
  </si>
  <si>
    <t>50.89801067953142, 8.029136880040225</t>
  </si>
  <si>
    <t>W-50</t>
  </si>
  <si>
    <r>
      <rPr>
        <b/>
        <sz val="11"/>
        <color theme="1"/>
        <rFont val="Calibri"/>
        <family val="2"/>
        <scheme val="minor"/>
      </rPr>
      <t>Info:</t>
    </r>
    <r>
      <rPr>
        <sz val="11"/>
        <color theme="1"/>
        <rFont val="Calibri"/>
        <family val="2"/>
        <scheme val="minor"/>
      </rPr>
      <t xml:space="preserve"> In Hadamar gibt es einiges an Geschichte zu entdecken. Unter Anderem viel Tradition im Glashandwerk
</t>
    </r>
    <r>
      <rPr>
        <b/>
        <sz val="11"/>
        <color theme="1"/>
        <rFont val="Calibri"/>
        <family val="2"/>
        <scheme val="minor"/>
      </rPr>
      <t>Aufgabe:</t>
    </r>
    <r>
      <rPr>
        <sz val="11"/>
        <color theme="1"/>
        <rFont val="Calibri"/>
        <family val="2"/>
        <scheme val="minor"/>
      </rPr>
      <t xml:space="preserve"> Macht ein Gruppenfoto vor dem Eingang des Glasmuseums im Hadamarer Schloss</t>
    </r>
  </si>
  <si>
    <t>Gymnasiumstraße 4, 65589 Hadamar</t>
  </si>
  <si>
    <t>50.44755946296023, 8.044942344900257</t>
  </si>
  <si>
    <t>W-51</t>
  </si>
  <si>
    <r>
      <rPr>
        <b/>
        <sz val="11"/>
        <color theme="1"/>
        <rFont val="Calibri"/>
        <family val="2"/>
        <scheme val="minor"/>
      </rPr>
      <t>Info:</t>
    </r>
    <r>
      <rPr>
        <sz val="11"/>
        <color theme="1"/>
        <rFont val="Calibri"/>
        <family val="2"/>
        <scheme val="minor"/>
      </rPr>
      <t xml:space="preserve"> Am Nordsee Kai kann man auch in Stuttgart sein ;-)
</t>
    </r>
    <r>
      <rPr>
        <b/>
        <sz val="11"/>
        <color theme="1"/>
        <rFont val="Calibri"/>
        <family val="2"/>
        <scheme val="minor"/>
      </rPr>
      <t>Aufgabe:</t>
    </r>
    <r>
      <rPr>
        <sz val="11"/>
        <color theme="1"/>
        <rFont val="Calibri"/>
        <family val="2"/>
        <scheme val="minor"/>
      </rPr>
      <t xml:space="preserve"> Findet ein Schild der S Bahn und sagt ein Kleines Gedicht auf, bsp. über die baureihe 423 und oder 430.  Gern mit Norddeutschem Dialekt vortragen ;-) </t>
    </r>
  </si>
  <si>
    <t>DB Regio AG
S-Bahn Stuttgart
Am Nordseekai 36/1-3
73207 Plochingen</t>
  </si>
  <si>
    <t>48.718099, 9.401106</t>
  </si>
  <si>
    <t>W-52</t>
  </si>
  <si>
    <r>
      <rPr>
        <b/>
        <sz val="11"/>
        <color theme="1"/>
        <rFont val="Calibri"/>
        <family val="2"/>
        <scheme val="minor"/>
      </rPr>
      <t>Info:</t>
    </r>
    <r>
      <rPr>
        <sz val="11"/>
        <color theme="1"/>
        <rFont val="Calibri"/>
        <family val="2"/>
        <scheme val="minor"/>
      </rPr>
      <t xml:space="preserve"> Der 175-jährige Oppenheimer Uhrturm steht mit seinen Mauern auf einem Fundament aus dem Mittelalter. Über den Zweck der Zeitanzeige, wurde er auch als Beobahtungsturm verwendet. 
</t>
    </r>
    <r>
      <rPr>
        <b/>
        <sz val="11"/>
        <color theme="1"/>
        <rFont val="Calibri"/>
        <family val="2"/>
        <scheme val="minor"/>
      </rPr>
      <t>Aufgabe:</t>
    </r>
    <r>
      <rPr>
        <sz val="11"/>
        <color theme="1"/>
        <rFont val="Calibri"/>
        <family val="2"/>
        <scheme val="minor"/>
      </rPr>
      <t xml:space="preserve"> Neben dem Turm ist der Partnerschaftsbrunnen. Sucht auf Maps nach den Partnerstädten. Wie lange braucht man zu Fuß um den Weg des Wassers nachzugehen? Macht ein Bild mit der Distanz zwischen den Stadtwappen.</t>
    </r>
  </si>
  <si>
    <t>Vorstädterstraße 2, 55276 Oppenheim</t>
  </si>
  <si>
    <t>49.856748197750726, 8.356985169158907</t>
  </si>
  <si>
    <t>W-53</t>
  </si>
  <si>
    <r>
      <rPr>
        <b/>
        <sz val="11"/>
        <color theme="1"/>
        <rFont val="Calibri"/>
        <family val="2"/>
        <scheme val="minor"/>
      </rPr>
      <t xml:space="preserve">Info: </t>
    </r>
    <r>
      <rPr>
        <sz val="11"/>
        <color theme="1"/>
        <rFont val="Calibri"/>
        <family val="2"/>
        <scheme val="minor"/>
      </rPr>
      <t xml:space="preserve">Der Bahnhof Görlitz ist ein wunderschöner Jugendstil-Bahnhof.
</t>
    </r>
    <r>
      <rPr>
        <b/>
        <sz val="11"/>
        <color theme="1"/>
        <rFont val="Calibri"/>
        <family val="2"/>
        <scheme val="minor"/>
      </rPr>
      <t xml:space="preserve">Aufgabe: </t>
    </r>
    <r>
      <rPr>
        <sz val="11"/>
        <color theme="1"/>
        <rFont val="Calibri"/>
        <family val="2"/>
        <scheme val="minor"/>
      </rPr>
      <t xml:space="preserve">Schaut Euch den Bahnhof an und macht mindestens drei Gruppenbilder, auf denen typische Jugendstildetails über, neben oder unter Euch zu sehen sind.
</t>
    </r>
    <r>
      <rPr>
        <b/>
        <sz val="11"/>
        <color theme="1"/>
        <rFont val="Calibri"/>
        <family val="2"/>
        <scheme val="minor"/>
      </rPr>
      <t xml:space="preserve">Bonus: </t>
    </r>
    <r>
      <rPr>
        <sz val="11"/>
        <color theme="1"/>
        <rFont val="Calibri"/>
        <family val="2"/>
        <scheme val="minor"/>
      </rPr>
      <t>Ihr trefft einen polnischen Zug an und fotografiert Euch mit diesem.</t>
    </r>
  </si>
  <si>
    <t>02826 Görlitz</t>
  </si>
  <si>
    <t>51.14729902702218, 14.979366549379629</t>
  </si>
  <si>
    <t>W-54</t>
  </si>
  <si>
    <r>
      <rPr>
        <b/>
        <sz val="11"/>
        <color theme="1"/>
        <rFont val="Calibri"/>
        <family val="2"/>
        <scheme val="minor"/>
      </rPr>
      <t>Info:</t>
    </r>
    <r>
      <rPr>
        <sz val="11"/>
        <color theme="1"/>
        <rFont val="Calibri"/>
        <family val="2"/>
        <scheme val="minor"/>
      </rPr>
      <t xml:space="preserve"> Die RWTH Aachen steht teilweise auf historischen Gebäuden. Der Torbogen aus dem Jahre 1786 ist als freistehendes Mauerwerk aus dem ehemaligen Klosterrather Hof übrig geblieben. Den Erstsemestern wird erzählt, sie würden ihren Abschluss nicht schaffen, wenn man durch das Tor ginge.
</t>
    </r>
    <r>
      <rPr>
        <b/>
        <sz val="11"/>
        <color theme="1"/>
        <rFont val="Calibri"/>
        <family val="2"/>
        <scheme val="minor"/>
      </rPr>
      <t xml:space="preserve">Aufgabe: </t>
    </r>
    <r>
      <rPr>
        <sz val="11"/>
        <color theme="1"/>
        <rFont val="Calibri"/>
        <family val="2"/>
        <scheme val="minor"/>
      </rPr>
      <t xml:space="preserve">Macht ein Foto im Torbogen von allen Teammitgliedern mit Hochschulabschluss, den sie als Beweis in der Hand halten (digital erlaubt). </t>
    </r>
  </si>
  <si>
    <t>Eilfschornsteinstraße 15, 52062 Aachen</t>
  </si>
  <si>
    <t>50.77713841569635, 6.079791517409689</t>
  </si>
  <si>
    <t>W-55</t>
  </si>
  <si>
    <t>(optional bei nur drei Power Railers)</t>
  </si>
  <si>
    <t>W-56</t>
  </si>
  <si>
    <r>
      <rPr>
        <b/>
        <sz val="11"/>
        <color theme="1"/>
        <rFont val="Calibri"/>
        <family val="2"/>
        <scheme val="minor"/>
      </rPr>
      <t xml:space="preserve">Info: </t>
    </r>
    <r>
      <rPr>
        <sz val="11"/>
        <color theme="1"/>
        <rFont val="Calibri"/>
        <family val="2"/>
        <scheme val="minor"/>
      </rPr>
      <t xml:space="preserve">Das Dockland ist ein Bürogebäude an der Elbe in der Nähe des ehemaligen England-Fähranlegers. Das sechsgeschossige Gebäude hat einen markanten Querschnitt in Form eines Parallelogramms und ragt wie ein Schiffsbug über das Wasser hinaus.
</t>
    </r>
    <r>
      <rPr>
        <b/>
        <sz val="11"/>
        <color theme="1"/>
        <rFont val="Calibri"/>
        <family val="2"/>
        <scheme val="minor"/>
      </rPr>
      <t>Aufgabe:</t>
    </r>
    <r>
      <rPr>
        <sz val="11"/>
        <color theme="1"/>
        <rFont val="Calibri"/>
        <family val="2"/>
        <scheme val="minor"/>
      </rPr>
      <t xml:space="preserve"> Genießt den Ausblick auf den Hamburger Hafen und beobachtet das bunte Treiben. Macht ein Foto vom Dockland zusammen mit einem großen Schiff darauf.
</t>
    </r>
    <r>
      <rPr>
        <b/>
        <sz val="11"/>
        <color theme="1"/>
        <rFont val="Calibri"/>
        <family val="2"/>
        <scheme val="minor"/>
      </rPr>
      <t>Bonus:</t>
    </r>
    <r>
      <rPr>
        <sz val="11"/>
        <color theme="1"/>
        <rFont val="Calibri"/>
        <family val="2"/>
        <scheme val="minor"/>
      </rPr>
      <t xml:space="preserve"> Erklimmt das Dockland und macht ein Treppenfoto mit allen Teammitgliedern.</t>
    </r>
  </si>
  <si>
    <t>Van-der-Smissen-Straße 143a, 22767 Altona</t>
  </si>
  <si>
    <t>53.54332616905858, 9.93437249206336</t>
  </si>
  <si>
    <t>Neutrale Tourbegleitung</t>
  </si>
  <si>
    <t>W-57</t>
  </si>
  <si>
    <r>
      <t xml:space="preserve">Fahrt mit dem SkyTrain am Flughafen DUS.
</t>
    </r>
    <r>
      <rPr>
        <b/>
        <sz val="11"/>
        <color theme="1"/>
        <rFont val="Calibri"/>
        <family val="2"/>
        <scheme val="minor"/>
      </rPr>
      <t>Info:</t>
    </r>
    <r>
      <rPr>
        <sz val="11"/>
        <color theme="1"/>
        <rFont val="Calibri"/>
        <family val="2"/>
        <scheme val="minor"/>
      </rPr>
      <t xml:space="preserve"> Nach der H-Bahn in Dortmund ist Skytrain eine zweite Großkabinen-Hängebahn von Siemens. Seit 2002 ist sie in Betrieb und operiert nach der BOStrab als unabhängige Bahn ohne Fahrpersonal.
Zur Fahrt berechtigt u. a. das Deutschlandticket, von End- zu Endstation dauert eine Fahrt 7 min.
</t>
    </r>
    <r>
      <rPr>
        <b/>
        <sz val="11"/>
        <color theme="1"/>
        <rFont val="Calibri"/>
        <family val="2"/>
        <scheme val="minor"/>
      </rPr>
      <t>Aufgabe:</t>
    </r>
    <r>
      <rPr>
        <sz val="11"/>
        <color theme="1"/>
        <rFont val="Calibri"/>
        <family val="2"/>
        <scheme val="minor"/>
      </rPr>
      <t xml:space="preserve"> Macht ein Foto eures Teams in einem fahrenden Zug des SkyTrains.
</t>
    </r>
    <r>
      <rPr>
        <b/>
        <sz val="11"/>
        <color theme="1"/>
        <rFont val="Calibri"/>
        <family val="2"/>
        <scheme val="minor"/>
      </rPr>
      <t>Bonus:</t>
    </r>
    <r>
      <rPr>
        <sz val="11"/>
        <color theme="1"/>
        <rFont val="Calibri"/>
        <family val="2"/>
        <scheme val="minor"/>
      </rPr>
      <t xml:space="preserve"> Fotografiert den Mast "F1-55" der Strecken-Aufständerung aus einem Zug des SkyTrains. </t>
    </r>
  </si>
  <si>
    <t>40472 Düsseldorf</t>
  </si>
  <si>
    <t>51.29101173406674, 6.786015810599376</t>
  </si>
  <si>
    <r>
      <rPr>
        <b/>
        <sz val="11"/>
        <color theme="1"/>
        <rFont val="Calibri"/>
        <family val="2"/>
        <scheme val="minor"/>
      </rPr>
      <t xml:space="preserve">Info: </t>
    </r>
    <r>
      <rPr>
        <sz val="11"/>
        <color theme="1"/>
        <rFont val="Calibri"/>
        <family val="2"/>
        <scheme val="minor"/>
      </rPr>
      <t>Der Baldeneysee ist der größte der sechs Ruhrstauseen und wurde 1931-33 angelegt.</t>
    </r>
    <r>
      <rPr>
        <b/>
        <sz val="11"/>
        <color theme="1"/>
        <rFont val="Calibri"/>
        <family val="2"/>
        <scheme val="minor"/>
      </rPr>
      <t xml:space="preserve">
Aufgabe: </t>
    </r>
    <r>
      <rPr>
        <sz val="11"/>
        <color theme="1"/>
        <rFont val="Calibri"/>
        <family val="2"/>
        <scheme val="minor"/>
      </rPr>
      <t>Haltet inne am Baldeneysee</t>
    </r>
  </si>
  <si>
    <t>Freiherr-vom-Stein-Straße 206a, 45133 Essen</t>
  </si>
  <si>
    <t>51.40247423453352, 7.007614916414412</t>
  </si>
  <si>
    <t>Macht eine Wanderung vom Bahnhof Capelle zur Eisenbahnbrücke an der Sandstraße und beobachtet die  Durchfahrt eines ICE</t>
  </si>
  <si>
    <t>K6, 59394 Nordkirchen</t>
  </si>
  <si>
    <t>51.725038, 7.612696</t>
  </si>
  <si>
    <r>
      <rPr>
        <b/>
        <sz val="11"/>
        <color theme="1"/>
        <rFont val="Calibri"/>
        <family val="2"/>
        <scheme val="minor"/>
      </rPr>
      <t>Info</t>
    </r>
    <r>
      <rPr>
        <sz val="11"/>
        <color theme="1"/>
        <rFont val="Calibri"/>
        <family val="2"/>
        <scheme val="minor"/>
      </rPr>
      <t xml:space="preserve">:
Der Helmwartsturm dient zur Verteidigung der Stadt, wie man unschwer an der Kanone an dessen Fuße erkennen kann.
</t>
    </r>
    <r>
      <rPr>
        <b/>
        <sz val="11"/>
        <color theme="1"/>
        <rFont val="Calibri"/>
        <family val="2"/>
        <scheme val="minor"/>
      </rPr>
      <t>Aufgabe</t>
    </r>
    <r>
      <rPr>
        <sz val="11"/>
        <color theme="1"/>
        <rFont val="Calibri"/>
        <family val="2"/>
        <scheme val="minor"/>
      </rPr>
      <t xml:space="preserve">:
Macht ein Gruppenfoto vor dem Helmwartstrum und zeigt mit einem beliebigen Gegenstand, wie ihr die Kanonenkugel fangen würdet
</t>
    </r>
    <r>
      <rPr>
        <b/>
        <sz val="11"/>
        <color theme="1"/>
        <rFont val="Calibri"/>
        <family val="2"/>
        <scheme val="minor"/>
      </rPr>
      <t>Bonus</t>
    </r>
    <r>
      <rPr>
        <sz val="11"/>
        <color theme="1"/>
        <rFont val="Calibri"/>
        <family val="2"/>
        <scheme val="minor"/>
      </rPr>
      <t>:
Baut aus dem Karten eines Kartenspiels einen Turm mit mindestens 4 Etagen.</t>
    </r>
  </si>
  <si>
    <t>Untere Wallstraße 15, 56626 Andernach</t>
  </si>
  <si>
    <t>50.438174555916305, 7.400094676930024</t>
  </si>
  <si>
    <t>W-9</t>
  </si>
  <si>
    <r>
      <rPr>
        <b/>
        <sz val="11"/>
        <color rgb="FF000000"/>
        <rFont val="Calibri"/>
        <family val="2"/>
        <scheme val="minor"/>
      </rPr>
      <t>Info:</t>
    </r>
    <r>
      <rPr>
        <sz val="11"/>
        <color rgb="FF000000"/>
        <rFont val="Calibri"/>
        <family val="2"/>
        <scheme val="minor"/>
      </rPr>
      <t xml:space="preserve"> Der Hespertalbahn e.V. bei Essen-Kupferdreh betreibt historische Dampfzüge auf einer ehemaligen Zechenbahn. 
</t>
    </r>
    <r>
      <rPr>
        <b/>
        <sz val="11"/>
        <color rgb="FF000000"/>
        <rFont val="Calibri"/>
        <family val="2"/>
        <scheme val="minor"/>
      </rPr>
      <t>Aufgabe:</t>
    </r>
    <r>
      <rPr>
        <sz val="11"/>
        <color rgb="FF000000"/>
        <rFont val="Calibri"/>
        <family val="2"/>
        <scheme val="minor"/>
      </rPr>
      <t xml:space="preserve"> Mache ein Foto vor dem Lok-Schuppen der Hespertalbahn.
</t>
    </r>
    <r>
      <rPr>
        <b/>
        <sz val="11"/>
        <color rgb="FF000000"/>
        <rFont val="Calibri"/>
        <family val="2"/>
        <scheme val="minor"/>
      </rPr>
      <t>Bonus:</t>
    </r>
    <r>
      <rPr>
        <sz val="11"/>
        <color rgb="FF000000"/>
        <rFont val="Calibri"/>
        <family val="2"/>
        <scheme val="minor"/>
      </rPr>
      <t xml:space="preserve"> Fahre ein Stück mit der Hespertalbahn.</t>
    </r>
  </si>
  <si>
    <t xml:space="preserve">Hespertalbahn e.V., Prinz-Friedrich-Platz 3, 45257 Essen-Stadtbezirke VIII
</t>
  </si>
  <si>
    <t xml:space="preserve">51.39231556973518, 7.0769906083085194
</t>
  </si>
  <si>
    <t>WK-1</t>
  </si>
  <si>
    <r>
      <rPr>
        <b/>
        <sz val="11"/>
        <color theme="1"/>
        <rFont val="Calibri"/>
        <family val="2"/>
        <scheme val="minor"/>
      </rPr>
      <t xml:space="preserve">Info: </t>
    </r>
    <r>
      <rPr>
        <sz val="11"/>
        <color theme="1"/>
        <rFont val="Calibri"/>
        <family val="2"/>
        <scheme val="minor"/>
      </rPr>
      <t xml:space="preserve">Die Würzburger Residenz ist der ehemalige Sitz der Fürstbischöfe in der bayerischen Stadt Würzburg. Die barocke Dreiflügelanlage wurde in den Jahren 1720 bis 1780 im Auftrag von Johann Philipp Franz und Friedrich Karl von Schönborn nach Entwurf von Balthasar Neumann erbaut
</t>
    </r>
    <r>
      <rPr>
        <b/>
        <sz val="11"/>
        <color theme="1"/>
        <rFont val="Calibri"/>
        <family val="2"/>
        <scheme val="minor"/>
      </rPr>
      <t xml:space="preserve">Aufgabe: </t>
    </r>
    <r>
      <rPr>
        <sz val="11"/>
        <color theme="1"/>
        <rFont val="Calibri"/>
        <family val="2"/>
        <scheme val="minor"/>
      </rPr>
      <t xml:space="preserve">Haltet die Füße in den Felsenbrunnen der Residenz Würzburg und mache ein Foto davon.
</t>
    </r>
    <r>
      <rPr>
        <b/>
        <sz val="11"/>
        <color theme="1"/>
        <rFont val="Calibri"/>
        <family val="2"/>
        <scheme val="minor"/>
      </rPr>
      <t xml:space="preserve">Bonus: </t>
    </r>
    <r>
      <rPr>
        <sz val="11"/>
        <color theme="1"/>
        <rFont val="Calibri"/>
        <family val="2"/>
        <scheme val="minor"/>
      </rPr>
      <t>Macht auch Fotos vor dem Frankoniabrunnen auf dem Residenzplatz und vor dem Hofgartenbrunnen.</t>
    </r>
  </si>
  <si>
    <t>Residenzpl. 2, 97070 Würzburg</t>
  </si>
  <si>
    <t>49.79258534878243, 9.939924163697464</t>
  </si>
  <si>
    <t>WK-10</t>
  </si>
  <si>
    <t xml:space="preserve">Mach ein Selfie mit Goethe und Schiller
</t>
  </si>
  <si>
    <t>Theaterpl., 99423 Weimar</t>
  </si>
  <si>
    <t>50.98003522543466, 11.325656474208504</t>
  </si>
  <si>
    <t>WK-11</t>
  </si>
  <si>
    <r>
      <rPr>
        <b/>
        <sz val="11"/>
        <color theme="1"/>
        <rFont val="Calibri"/>
        <family val="2"/>
        <scheme val="minor"/>
      </rPr>
      <t>Info:</t>
    </r>
    <r>
      <rPr>
        <sz val="11"/>
        <color theme="1"/>
        <rFont val="Calibri"/>
        <family val="2"/>
        <scheme val="minor"/>
      </rPr>
      <t xml:space="preserve"> Le Corbusier ist ein Architekt mit bedeutenden Werken der Moderne. </t>
    </r>
    <r>
      <rPr>
        <b/>
        <sz val="11"/>
        <color theme="1"/>
        <rFont val="Calibri"/>
        <family val="2"/>
        <scheme val="minor"/>
      </rPr>
      <t>Aufgabe:</t>
    </r>
    <r>
      <rPr>
        <sz val="11"/>
        <color theme="1"/>
        <rFont val="Calibri"/>
        <family val="2"/>
        <scheme val="minor"/>
      </rPr>
      <t xml:space="preserve"> Macht ein Gruppenbild mit kreativen Posen.</t>
    </r>
  </si>
  <si>
    <t>Rathenaustraße 1, 70191 Stuttgart</t>
  </si>
  <si>
    <t>48.79967851754972, 9.177670867441039</t>
  </si>
  <si>
    <t>WK-12</t>
  </si>
  <si>
    <t xml:space="preserve">Macht ein Teamfoto vor dem Haus mit dem hessischen Kratzputz im Hintergrund (Hier: florale Motive im Fachwerk)
</t>
  </si>
  <si>
    <t>Kasseler Str. 41, 35091 Cölbe</t>
  </si>
  <si>
    <t>50.8474440796601, 8.77853154702945</t>
  </si>
  <si>
    <t>Bewundere den Fünffingerturm (Hochzeitsturm) im Mathildenhof Darmstadt. Bonus: Auf dem Foto zeigen alle Team-Mitglieder fünf Finger</t>
  </si>
  <si>
    <t>Olbrichweg 11, 64287 Darmstadt</t>
  </si>
  <si>
    <t>49.877125241379424, 8.667310670332194</t>
  </si>
  <si>
    <r>
      <rPr>
        <b/>
        <sz val="11"/>
        <color theme="1"/>
        <rFont val="Calibri"/>
        <family val="2"/>
        <scheme val="minor"/>
      </rPr>
      <t>Info:</t>
    </r>
    <r>
      <rPr>
        <sz val="11"/>
        <color theme="1"/>
        <rFont val="Calibri"/>
        <family val="2"/>
        <scheme val="minor"/>
      </rPr>
      <t xml:space="preserve"> Miniaturwunderland
</t>
    </r>
    <r>
      <rPr>
        <b/>
        <sz val="11"/>
        <color theme="1"/>
        <rFont val="Calibri"/>
        <family val="2"/>
        <scheme val="minor"/>
      </rPr>
      <t>Aufgabe:</t>
    </r>
    <r>
      <rPr>
        <sz val="11"/>
        <color theme="1"/>
        <rFont val="Calibri"/>
        <family val="2"/>
        <scheme val="minor"/>
      </rPr>
      <t xml:space="preserve"> Macht ein Bild vor dem Miniaturwunderland</t>
    </r>
  </si>
  <si>
    <t>53.54374765102989, 9.989112434238416</t>
  </si>
  <si>
    <r>
      <rPr>
        <b/>
        <sz val="11"/>
        <color theme="1"/>
        <rFont val="Calibri"/>
        <family val="2"/>
        <scheme val="minor"/>
      </rPr>
      <t>Info:</t>
    </r>
    <r>
      <rPr>
        <sz val="11"/>
        <color theme="1"/>
        <rFont val="Calibri"/>
        <family val="2"/>
        <scheme val="minor"/>
      </rPr>
      <t xml:space="preserve"> Der Bergpark Wilhelmhöhe ist der größte Bergpark in Europa, besonders die Wasserspiele sind berühmt.
</t>
    </r>
    <r>
      <rPr>
        <b/>
        <sz val="11"/>
        <color theme="1"/>
        <rFont val="Calibri"/>
        <family val="2"/>
        <scheme val="minor"/>
      </rPr>
      <t>Aufgabe:</t>
    </r>
    <r>
      <rPr>
        <sz val="11"/>
        <color theme="1"/>
        <rFont val="Calibri"/>
        <family val="2"/>
        <scheme val="minor"/>
      </rPr>
      <t xml:space="preserve"> Zum Hinlaufen ist es leider etwas weit, aber dank der guten Sichtachse kann man auch vom Bahnhofsvorplatz ein Foto machen, auf dem der Park mit Herkules zu erkennen sind.
</t>
    </r>
    <r>
      <rPr>
        <b/>
        <sz val="11"/>
        <color theme="1"/>
        <rFont val="Calibri"/>
        <family val="2"/>
        <scheme val="minor"/>
      </rPr>
      <t xml:space="preserve">Bonus: </t>
    </r>
    <r>
      <rPr>
        <sz val="11"/>
        <color theme="1"/>
        <rFont val="Calibri"/>
        <family val="2"/>
        <scheme val="minor"/>
      </rPr>
      <t>Wenn ihr (oder einige von euch) sportlich ambitioniert seid, nehmt die 2,5 km Laufdistanz in Angriff und macht ein Foto direkt vor dem Schloss Wilhelmshöhe (es muss ausnahmsweise nicht das ganze Team mitkommen).</t>
    </r>
  </si>
  <si>
    <t>Willy-Brandt-Platz, Wilhelmshöher Allee 257, 34131 Kassel-Bad Wilhelmshöhe</t>
  </si>
  <si>
    <t>51.31316060521069, 9.445790174132869</t>
  </si>
  <si>
    <t>WK-16</t>
  </si>
  <si>
    <t>Macht ein Bild vom Bacchusbrunnen. Bonus: Trinkt einen Wein am Brunnen zu Ehren von Bacchus</t>
  </si>
  <si>
    <t>Olbrichweg 5d, 64287 Darmstadt</t>
  </si>
  <si>
    <t>49.87691223721183, 8.6670934154297</t>
  </si>
  <si>
    <t>WK-17</t>
  </si>
  <si>
    <r>
      <rPr>
        <b/>
        <sz val="11"/>
        <color theme="1"/>
        <rFont val="Calibri"/>
        <family val="2"/>
        <scheme val="minor"/>
      </rPr>
      <t>Info:</t>
    </r>
    <r>
      <rPr>
        <sz val="11"/>
        <color theme="1"/>
        <rFont val="Calibri"/>
        <family val="2"/>
        <scheme val="minor"/>
      </rPr>
      <t xml:space="preserve"> Besucht das Weltkulturerbe "Altstadt Regensburg mit Stadtamhof". Stadtamhof ist ein Inselstadtteil am Nordufer der Donau, der aus der Altstadt über die Steinerne Brücke erreichbar ist.
</t>
    </r>
    <r>
      <rPr>
        <b/>
        <sz val="11"/>
        <color theme="1"/>
        <rFont val="Calibri"/>
        <family val="2"/>
        <scheme val="minor"/>
      </rPr>
      <t>Aufgabe:</t>
    </r>
    <r>
      <rPr>
        <sz val="11"/>
        <color theme="1"/>
        <rFont val="Calibri"/>
        <family val="2"/>
        <scheme val="minor"/>
      </rPr>
      <t xml:space="preserve"> Macht ein Gruppenfoto mit dem Inselstadtteil Stadtamhof und der Steinernen Brücke im Hintergrund von der Jahninsel aus. Es eignet sich besonders die Stelle vor dem Wirtshaus und Biergarten Alte Linde aus dem Jahr 1901.
</t>
    </r>
    <r>
      <rPr>
        <b/>
        <sz val="11"/>
        <color theme="1"/>
        <rFont val="Calibri"/>
        <family val="2"/>
        <scheme val="minor"/>
      </rPr>
      <t>Bonus:</t>
    </r>
    <r>
      <rPr>
        <sz val="11"/>
        <color theme="1"/>
        <rFont val="Calibri"/>
        <family val="2"/>
        <scheme val="minor"/>
      </rPr>
      <t xml:space="preserve"> Bringt ein Erfrischungsgetränk aus der Alten Linde mit aufs Foto.</t>
    </r>
  </si>
  <si>
    <t>Müllerstraße 1, 93059 Regensburg</t>
  </si>
  <si>
    <t>49.02304638127641, 12.095738524213761</t>
  </si>
  <si>
    <t>WK-18</t>
  </si>
  <si>
    <t>Aufgabe: Stellt euch vor dem Bremer Roland auf, dabei sollte jeder etwas zu Verteidigendes vor dem Körper tragen.</t>
  </si>
  <si>
    <t>Am Markt, 28195 Bremen, Deutschland</t>
  </si>
  <si>
    <t>53.075969036228216, 8.807305826996311</t>
  </si>
  <si>
    <t>WK-19</t>
  </si>
  <si>
    <r>
      <rPr>
        <b/>
        <sz val="11"/>
        <color theme="1"/>
        <rFont val="Calibri"/>
        <family val="2"/>
        <scheme val="minor"/>
      </rPr>
      <t>Info</t>
    </r>
    <r>
      <rPr>
        <sz val="11"/>
        <color theme="1"/>
        <rFont val="Calibri"/>
        <family val="2"/>
        <scheme val="minor"/>
      </rPr>
      <t xml:space="preserve">:
die Schuhleistenfabrik ("Fagus-Werk") ist seit 2011 Unesco-Weltkulturerbe. Entworfen wurden die Gebäude von Walter Gropius und Adolf Meyer.
</t>
    </r>
    <r>
      <rPr>
        <b/>
        <sz val="11"/>
        <color theme="1"/>
        <rFont val="Calibri"/>
        <family val="2"/>
        <scheme val="minor"/>
      </rPr>
      <t>Aufgabe</t>
    </r>
    <r>
      <rPr>
        <sz val="11"/>
        <color theme="1"/>
        <rFont val="Calibri"/>
        <family val="2"/>
        <scheme val="minor"/>
      </rPr>
      <t xml:space="preserve">:
Macht ein Gruppenfoto vor dem großen Schriftzug "Welterbe" am Besucherzentrum, wobei jeder nur noch einen Schuh anhat und auf einem Bein steht.
</t>
    </r>
    <r>
      <rPr>
        <b/>
        <sz val="11"/>
        <color theme="1"/>
        <rFont val="Calibri"/>
        <family val="2"/>
        <scheme val="minor"/>
      </rPr>
      <t>Bonus</t>
    </r>
    <r>
      <rPr>
        <sz val="11"/>
        <color theme="1"/>
        <rFont val="Calibri"/>
        <family val="2"/>
        <scheme val="minor"/>
      </rPr>
      <t>:
auf dem Bild ist ein durchfahrender Zug im Hintergrund zu sehen</t>
    </r>
  </si>
  <si>
    <t>Hannoversche Str. 58, 31061 Alfeld (Leine)</t>
  </si>
  <si>
    <t>51.98448985513646, 9.812251660511885</t>
  </si>
  <si>
    <t>52.40448666261659, 13.094900211972716</t>
  </si>
  <si>
    <t>WK-20</t>
  </si>
  <si>
    <r>
      <rPr>
        <b/>
        <sz val="11"/>
        <color theme="1"/>
        <rFont val="Calibri"/>
        <family val="2"/>
        <scheme val="minor"/>
      </rPr>
      <t xml:space="preserve">Info: </t>
    </r>
    <r>
      <rPr>
        <sz val="11"/>
        <color theme="1"/>
        <rFont val="Calibri"/>
        <family val="2"/>
        <scheme val="minor"/>
      </rPr>
      <t xml:space="preserve">Als SchUM wird der Verbund bezeichnet, den die jüdischen Gemeinden der oberrheinischen Städte Speyer, Worms und Mainz im Mittelalter bildeten. SchUM ist ein Akronym aus den Anfangsbuchstaben der mittelalterlichen hebräischen Städtenamen
Schin (Sch) = SchPIRA = Speyer
Waw (U) = Warmaisa = Worms
Mem (M) = Magenza = Mainz
Sie wurden auch als "heilige Gemeinden" bezeichnet und prägten die jüdische Kultur, Religion und Rechtsprechung in Mittel-/Osteuropa signifikant.
</t>
    </r>
    <r>
      <rPr>
        <b/>
        <sz val="11"/>
        <color theme="1"/>
        <rFont val="Calibri"/>
        <family val="2"/>
        <scheme val="minor"/>
      </rPr>
      <t xml:space="preserve">Aufgabe: </t>
    </r>
    <r>
      <rPr>
        <sz val="11"/>
        <color theme="1"/>
        <rFont val="Calibri"/>
        <family val="2"/>
        <scheme val="minor"/>
      </rPr>
      <t>Macht ein Foto vor dem alten jüdischen Friedhof in Mainz (von der Straße aus/vor dem Zaun)</t>
    </r>
  </si>
  <si>
    <t>Alter jüdischer Friedhof Mainz, Mombacher Str., 55122 Mainz</t>
  </si>
  <si>
    <t>50.00551448504218, 8.250292322602725</t>
  </si>
  <si>
    <t>WK-21</t>
  </si>
  <si>
    <r>
      <rPr>
        <b/>
        <sz val="11"/>
        <color theme="1"/>
        <rFont val="Calibri"/>
        <family val="2"/>
        <scheme val="minor"/>
      </rPr>
      <t>Info:</t>
    </r>
    <r>
      <rPr>
        <sz val="11"/>
        <color theme="1"/>
        <rFont val="Calibri"/>
        <family val="2"/>
        <scheme val="minor"/>
      </rPr>
      <t xml:space="preserve"> Die Zeche Zollverein zählt zum kulturellen Erbe des Ruhrgebietes. Bekannteste Zeichen ist der Förderturm Schacht XII.
</t>
    </r>
    <r>
      <rPr>
        <b/>
        <sz val="11"/>
        <color theme="1"/>
        <rFont val="Calibri"/>
        <family val="2"/>
        <scheme val="minor"/>
      </rPr>
      <t xml:space="preserve">Aufgabe: </t>
    </r>
    <r>
      <rPr>
        <sz val="11"/>
        <color theme="1"/>
        <rFont val="Calibri"/>
        <family val="2"/>
        <scheme val="minor"/>
      </rPr>
      <t xml:space="preserve">Stellt euch so zusammen, dass Ihr die Stützen des Turms mit den Händen haltet. Die Perspektive ist entscheident! </t>
    </r>
  </si>
  <si>
    <t>Gelsenkirchener Str. 181, 45309 Essen</t>
  </si>
  <si>
    <t>51.48648459406855, 7.044745727351995</t>
  </si>
  <si>
    <t>WK-22</t>
  </si>
  <si>
    <r>
      <rPr>
        <b/>
        <sz val="11"/>
        <color theme="1"/>
        <rFont val="Calibri"/>
        <family val="2"/>
        <scheme val="minor"/>
      </rPr>
      <t xml:space="preserve">Info: </t>
    </r>
    <r>
      <rPr>
        <sz val="11"/>
        <color theme="1"/>
        <rFont val="Calibri"/>
        <family val="2"/>
        <scheme val="minor"/>
      </rPr>
      <t xml:space="preserve">Der Kölner Dom ist das Wahrzeichen in Köln und netterweise direkt neben dem Bahnhof.                            
</t>
    </r>
    <r>
      <rPr>
        <b/>
        <sz val="11"/>
        <color theme="1"/>
        <rFont val="Calibri"/>
        <family val="2"/>
        <scheme val="minor"/>
      </rPr>
      <t xml:space="preserve">Aufgabe: </t>
    </r>
    <r>
      <rPr>
        <sz val="11"/>
        <color theme="1"/>
        <rFont val="Calibri"/>
        <family val="2"/>
        <scheme val="minor"/>
      </rPr>
      <t xml:space="preserve">Lauft einmal um den Kölner Dom                            
</t>
    </r>
    <r>
      <rPr>
        <b/>
        <sz val="11"/>
        <color theme="1"/>
        <rFont val="Calibri"/>
        <family val="2"/>
        <scheme val="minor"/>
      </rPr>
      <t xml:space="preserve">Bonus: </t>
    </r>
    <r>
      <rPr>
        <sz val="11"/>
        <color theme="1"/>
        <rFont val="Calibri"/>
        <family val="2"/>
        <scheme val="minor"/>
      </rPr>
      <t xml:space="preserve">Schafft es in unter 10 min </t>
    </r>
  </si>
  <si>
    <t>Trankgasse 11, 50667 Köln</t>
  </si>
  <si>
    <t>50.943423611815206, 6.958397862303067</t>
  </si>
  <si>
    <r>
      <rPr>
        <b/>
        <sz val="11"/>
        <color theme="1"/>
        <rFont val="Calibri"/>
        <family val="2"/>
        <scheme val="minor"/>
      </rPr>
      <t xml:space="preserve">Info: </t>
    </r>
    <r>
      <rPr>
        <sz val="11"/>
        <color theme="1"/>
        <rFont val="Calibri"/>
        <family val="2"/>
        <scheme val="minor"/>
      </rPr>
      <t xml:space="preserve">Aufgrund seiner besonderen architekturgeschichtlichen Bedeutung wurde der Aachener Dom 1978 als erste Kulturstätte Deutschlands in die UNESCO-Welterbeliste eingeschrieben.
</t>
    </r>
    <r>
      <rPr>
        <b/>
        <sz val="11"/>
        <color theme="1"/>
        <rFont val="Calibri"/>
        <family val="2"/>
        <scheme val="minor"/>
      </rPr>
      <t xml:space="preserve">Aufgabe: </t>
    </r>
    <r>
      <rPr>
        <sz val="11"/>
        <color theme="1"/>
        <rFont val="Calibri"/>
        <family val="2"/>
        <scheme val="minor"/>
      </rPr>
      <t xml:space="preserve">Mach ein Foto vor dem Weltkulturerbe in Aachen.
</t>
    </r>
    <r>
      <rPr>
        <b/>
        <sz val="11"/>
        <color theme="1"/>
        <rFont val="Calibri"/>
        <family val="2"/>
        <scheme val="minor"/>
      </rPr>
      <t>Bonus:</t>
    </r>
    <r>
      <rPr>
        <sz val="11"/>
        <color theme="1"/>
        <rFont val="Calibri"/>
        <family val="2"/>
        <scheme val="minor"/>
      </rPr>
      <t xml:space="preserve">  Beißt dabei in eine Printe einer Aachener Bäckerei, die Bäckertüte muss als Beweis mit aufs Foto.</t>
    </r>
  </si>
  <si>
    <t>50.77484426665267, 6.083981398450058</t>
  </si>
  <si>
    <t>Info: Lübeck war die Königin der Hanse.
Aufgabe: Foto vor dem Holstentor, sodass das gesamte Tor auf dem Foto sichtbar ist.</t>
  </si>
  <si>
    <t>Holstentorplatz, 23552 Lübeck</t>
  </si>
  <si>
    <t>53.86615995597991, 10.679680754385796</t>
  </si>
  <si>
    <t>WK-25</t>
  </si>
  <si>
    <r>
      <rPr>
        <b/>
        <sz val="11"/>
        <color theme="1"/>
        <rFont val="Calibri"/>
        <family val="2"/>
        <scheme val="minor"/>
      </rPr>
      <t xml:space="preserve">Info: </t>
    </r>
    <r>
      <rPr>
        <sz val="11"/>
        <color theme="1"/>
        <rFont val="Calibri"/>
        <family val="2"/>
        <scheme val="minor"/>
      </rPr>
      <t xml:space="preserve">Die Hansestadt Stralsund bildet zusammen mit Wismar das Welterbe „Historische Altstädte Stralsund und Wismar“
</t>
    </r>
    <r>
      <rPr>
        <b/>
        <sz val="11"/>
        <color theme="1"/>
        <rFont val="Calibri"/>
        <family val="2"/>
        <scheme val="minor"/>
      </rPr>
      <t>Aufgabe: E</t>
    </r>
    <r>
      <rPr>
        <sz val="11"/>
        <color theme="1"/>
        <rFont val="Calibri"/>
        <family val="2"/>
        <scheme val="minor"/>
      </rPr>
      <t>rkundet die historische Alstadt von Stralsund und macht ein Foto mit der St. Nikolaikirche im Hintergrund</t>
    </r>
  </si>
  <si>
    <t>Auf dem St. Nikolaikirchhof 1/St. Nikolai, 18439 Stralsund</t>
  </si>
  <si>
    <t>54.31533619413974, 13.091446266297723</t>
  </si>
  <si>
    <t>WK-3</t>
  </si>
  <si>
    <r>
      <rPr>
        <b/>
        <sz val="11"/>
        <color theme="1"/>
        <rFont val="Calibri"/>
        <family val="2"/>
        <scheme val="minor"/>
      </rPr>
      <t>Info:</t>
    </r>
    <r>
      <rPr>
        <sz val="11"/>
        <color theme="1"/>
        <rFont val="Calibri"/>
        <family val="2"/>
        <scheme val="minor"/>
      </rPr>
      <t xml:space="preserve"> Die Hansestadt Wismar bildet zusammen mit Stralsund das Welterbe "Historische Altstädte Stralsund und Wismar"
</t>
    </r>
    <r>
      <rPr>
        <b/>
        <sz val="11"/>
        <color theme="1"/>
        <rFont val="Calibri"/>
        <family val="2"/>
        <scheme val="minor"/>
      </rPr>
      <t>Aufgabe:</t>
    </r>
    <r>
      <rPr>
        <sz val="11"/>
        <color theme="1"/>
        <rFont val="Calibri"/>
        <family val="2"/>
        <scheme val="minor"/>
      </rPr>
      <t xml:space="preserve"> Macht ein Bild vom Marktplatz (Rathaus im Hintergrund)
</t>
    </r>
  </si>
  <si>
    <t>Am Markt 1, 23966 Wismar</t>
  </si>
  <si>
    <t>53.89150546928887, 11.466094144846123</t>
  </si>
  <si>
    <t>51.52835475300317, 11.54631580629594</t>
  </si>
  <si>
    <r>
      <rPr>
        <b/>
        <sz val="11"/>
        <color rgb="FF000000"/>
        <rFont val="Calibri"/>
        <family val="2"/>
      </rPr>
      <t>Info:</t>
    </r>
    <r>
      <rPr>
        <sz val="11"/>
        <color rgb="FF000000"/>
        <rFont val="Calibri"/>
        <family val="2"/>
      </rPr>
      <t xml:space="preserve"> Die Altstadt von Bamberg ist seit 1993 UNESCO-Weltkulturerbe und gilt als herausragendes Beispiel einer mitteleuropäischen Stadt auf frühmittelalterlicher Grundstruk</t>
    </r>
    <r>
      <rPr>
        <b/>
        <sz val="11"/>
        <color rgb="FF000000"/>
        <rFont val="Calibri"/>
        <family val="2"/>
      </rPr>
      <t>tur.
Aufgabe:</t>
    </r>
    <r>
      <rPr>
        <sz val="11"/>
        <color rgb="FF000000"/>
        <rFont val="Calibri"/>
        <family val="2"/>
      </rPr>
      <t xml:space="preserve"> Mache ein Foto vor dem Alten Rathaus.
</t>
    </r>
    <r>
      <rPr>
        <b/>
        <sz val="11"/>
        <color rgb="FF000000"/>
        <rFont val="Calibri"/>
        <family val="2"/>
      </rPr>
      <t>Bonus:</t>
    </r>
    <r>
      <rPr>
        <sz val="11"/>
        <color rgb="FF000000"/>
        <rFont val="Calibri"/>
        <family val="2"/>
      </rPr>
      <t xml:space="preserve"> Trinke ein Rauchbier in der Altstadt vom Bamberg.</t>
    </r>
  </si>
  <si>
    <t>Ob. Brücke 1, 96047 Bamberg</t>
  </si>
  <si>
    <t>49.8917294959394, 10.887108319451837</t>
  </si>
  <si>
    <r>
      <rPr>
        <b/>
        <sz val="11"/>
        <color theme="1"/>
        <rFont val="Calibri"/>
        <family val="2"/>
        <scheme val="minor"/>
      </rPr>
      <t xml:space="preserve">Info: </t>
    </r>
    <r>
      <rPr>
        <sz val="11"/>
        <color theme="1"/>
        <rFont val="Calibri"/>
        <family val="2"/>
        <scheme val="minor"/>
      </rPr>
      <t xml:space="preserve">Die Völklinger Hütte (1873-1986)  ist das weltweit einzige vollständig erhaltene Eisenwerk aus der Blütezeit der Industrialisierung und zugleich das erste Industriedenkmal dieser Epoche, das in die Welterbeliste der UNESCO aufgenommen wurde. 
</t>
    </r>
    <r>
      <rPr>
        <b/>
        <sz val="11"/>
        <color theme="1"/>
        <rFont val="Calibri"/>
        <family val="2"/>
        <scheme val="minor"/>
      </rPr>
      <t xml:space="preserve">Aufgabe: </t>
    </r>
    <r>
      <rPr>
        <sz val="11"/>
        <color theme="1"/>
        <rFont val="Calibri"/>
        <family val="2"/>
        <scheme val="minor"/>
      </rPr>
      <t xml:space="preserve">Denkt an die harte Arbeit im Eisenwerk und flext deshalb eure Muskeln, während ihr ein Foto vor dem Haupteingang der Völklinger Hütte macht.
</t>
    </r>
    <r>
      <rPr>
        <b/>
        <sz val="11"/>
        <color theme="1"/>
        <rFont val="Calibri"/>
        <family val="2"/>
        <scheme val="minor"/>
      </rPr>
      <t xml:space="preserve">Bonus: </t>
    </r>
    <r>
      <rPr>
        <sz val="11"/>
        <color theme="1"/>
        <rFont val="Calibri"/>
        <family val="2"/>
        <scheme val="minor"/>
      </rPr>
      <t xml:space="preserve">Gönt euch darauf eine Stärkung aus dem lokalen Shop.
</t>
    </r>
  </si>
  <si>
    <t>49.248462359046115, 6.844351318391744</t>
  </si>
  <si>
    <t>WK-7</t>
  </si>
  <si>
    <r>
      <rPr>
        <b/>
        <sz val="11"/>
        <color theme="1"/>
        <rFont val="Calibri"/>
        <family val="2"/>
        <scheme val="minor"/>
      </rPr>
      <t>Aufgabe:</t>
    </r>
    <r>
      <rPr>
        <sz val="11"/>
        <color theme="1"/>
        <rFont val="Calibri"/>
        <family val="2"/>
        <scheme val="minor"/>
      </rPr>
      <t xml:space="preserve"> Stell eine obszöne Gesten im Lustgarten dar.
</t>
    </r>
  </si>
  <si>
    <t>Bodestraße 1, 10178 Berlin</t>
  </si>
  <si>
    <t>52.51982207650832, 13.398569313676889</t>
  </si>
  <si>
    <t>WK-8</t>
  </si>
  <si>
    <r>
      <rPr>
        <b/>
        <sz val="11"/>
        <color theme="1"/>
        <rFont val="Calibri"/>
        <family val="2"/>
        <scheme val="minor"/>
      </rPr>
      <t>Aufgabe:</t>
    </r>
    <r>
      <rPr>
        <sz val="11"/>
        <color theme="1"/>
        <rFont val="Calibri"/>
        <family val="2"/>
        <scheme val="minor"/>
      </rPr>
      <t xml:space="preserve"> Mach drei unterschiedliche Bilder vom Stadtwappen von Quedlinburg</t>
    </r>
  </si>
  <si>
    <t>Markt 7-6, 06484 Quedlinburg</t>
  </si>
  <si>
    <t>51.789334615166425, 11.141536013083494</t>
  </si>
  <si>
    <r>
      <rPr>
        <b/>
        <sz val="11"/>
        <color theme="1"/>
        <rFont val="Calibri"/>
        <family val="2"/>
        <scheme val="minor"/>
      </rPr>
      <t>Info:</t>
    </r>
    <r>
      <rPr>
        <sz val="11"/>
        <color theme="1"/>
        <rFont val="Calibri"/>
        <family val="2"/>
        <scheme val="minor"/>
      </rPr>
      <t xml:space="preserve"> Das Kloster Maulbronn gilt als die am besten erhaltene Klosteranlage des Mittelalters nördlich der Alpen.</t>
    </r>
    <r>
      <rPr>
        <b/>
        <sz val="11"/>
        <color theme="1"/>
        <rFont val="Calibri"/>
        <family val="2"/>
        <scheme val="minor"/>
      </rPr>
      <t xml:space="preserve">
Aufgabe: </t>
    </r>
    <r>
      <rPr>
        <sz val="11"/>
        <color theme="1"/>
        <rFont val="Calibri"/>
        <family val="2"/>
        <scheme val="minor"/>
      </rPr>
      <t xml:space="preserve">Macht ein Foto von der Stauferstele Maulbronn.
</t>
    </r>
    <r>
      <rPr>
        <b/>
        <sz val="11"/>
        <color theme="1"/>
        <rFont val="Calibri"/>
        <family val="2"/>
        <scheme val="minor"/>
      </rPr>
      <t xml:space="preserve">Bonus: </t>
    </r>
    <r>
      <rPr>
        <sz val="11"/>
        <color theme="1"/>
        <rFont val="Calibri"/>
        <family val="2"/>
        <scheme val="minor"/>
      </rPr>
      <t xml:space="preserve">Mindestens ein Gruppenmitglied macht einen Handstand neben der Stele (natürlich nicht an der Stele - ausreichend Abstand lassen!).
</t>
    </r>
  </si>
  <si>
    <t>Heilbronner Str. 2, 75433 Maulbronn</t>
  </si>
  <si>
    <t>49.00073689396437, 8.813832322784215</t>
  </si>
  <si>
    <t>Kürzel</t>
  </si>
  <si>
    <t>#Lose</t>
  </si>
  <si>
    <t>Kontingent</t>
  </si>
  <si>
    <t>Kommentar</t>
  </si>
  <si>
    <t>Validiert Orga-Team</t>
  </si>
  <si>
    <t>Turm/Insel/Keil/Kopf-Bahnhöfe</t>
  </si>
  <si>
    <t>B</t>
  </si>
  <si>
    <t>Nomen est omen. Mit kreativer Aufgabe in der Umgebung</t>
  </si>
  <si>
    <t>Ja</t>
  </si>
  <si>
    <t>Lose</t>
  </si>
  <si>
    <t>BP</t>
  </si>
  <si>
    <t>Zwei Bahnhöfe die auf lustige Art zusammenhängen</t>
  </si>
  <si>
    <t>Essen+Trinken/Eisdiele</t>
  </si>
  <si>
    <t>E</t>
  </si>
  <si>
    <t>Alles was verzehrbar ist, Hauptsache erreichbar</t>
  </si>
  <si>
    <t>Ehemalige FV-Bahnhöfe</t>
  </si>
  <si>
    <t>EB</t>
  </si>
  <si>
    <t>Bahnhöfe an denen regulär mal ein IC oder ICE gehalten hat</t>
  </si>
  <si>
    <t>Eisenbahnmuseum</t>
  </si>
  <si>
    <t>EM</t>
  </si>
  <si>
    <t>Bahnhöf mit Eisenbahnmuseen (Ideen: https://de.wikipedia.org/wiki/Liste_von_Eisenbahnmuseen)</t>
  </si>
  <si>
    <t>Frankfurt &amp; Rhein-Main-Region</t>
  </si>
  <si>
    <t>F</t>
  </si>
  <si>
    <t xml:space="preserve">Aufgaben in der Rhein-Main-Region </t>
  </si>
  <si>
    <t>Kleine Hochschulorte</t>
  </si>
  <si>
    <t>H</t>
  </si>
  <si>
    <t>Orte mit Hochschulen unter 20.000 Einwohnern (um so kleiner um so besser)</t>
  </si>
  <si>
    <t>Hanse/Meer/Küste/Deich</t>
  </si>
  <si>
    <t>HM</t>
  </si>
  <si>
    <t>Alles im Norden -nah am Meer gebaut- und/oder Hansestädte</t>
  </si>
  <si>
    <t>K</t>
  </si>
  <si>
    <t>Ungewöhnliche, Seltsame oder zum Lachen anregende Ortsnamen</t>
  </si>
  <si>
    <t>Münster Stadt &amp; Umland/Fahrrad</t>
  </si>
  <si>
    <t>M</t>
  </si>
  <si>
    <t>Aufgaben in und um Münster</t>
  </si>
  <si>
    <t>Mini-Golf in Mini-Städten</t>
  </si>
  <si>
    <t>MG</t>
  </si>
  <si>
    <t>Mini-Golf Plätze in Orten unter 20.000 Einwohnern (um so kleiner um so besser)</t>
  </si>
  <si>
    <t>Natur/Wanderbahnhöfe</t>
  </si>
  <si>
    <t>N</t>
  </si>
  <si>
    <t>Bahnhöfe, die im Rahmen Fahrtziel Natur beworben werden (https://www.fahrtziel-natur.de/)</t>
  </si>
  <si>
    <t>Partnerstädte</t>
  </si>
  <si>
    <t>P</t>
  </si>
  <si>
    <t>Innerdeutsche Partnerstädte (Ideen: https://de.wikipedia.org/wiki/Liste_von_St%C3%A4dte-_und_Gemeindepartnerschaften_der_DDR)</t>
  </si>
  <si>
    <t>R</t>
  </si>
  <si>
    <t>Aktuelle und ehemalige Rangierbahnhöfe des Güterverkehrs</t>
  </si>
  <si>
    <t>Tatort</t>
  </si>
  <si>
    <t>T</t>
  </si>
  <si>
    <t>Drehorte und Städte vom ARD Tatort aktuelle und ehemalige (https://tatort.fandom.com/de/wiki/Kategorie:St%C3%A4dte)</t>
  </si>
  <si>
    <t>Unter Tage</t>
  </si>
  <si>
    <t>U</t>
  </si>
  <si>
    <t>Orte mit Bergbaugeschichte, idealerweise mit Aufgaben die darauf Bezug nehmen</t>
  </si>
  <si>
    <t>Wunschlos </t>
  </si>
  <si>
    <t>W</t>
  </si>
  <si>
    <t>Pro Teilnehmer ein Los komplett frei wählbar</t>
  </si>
  <si>
    <t>Weltkulturerbe</t>
  </si>
  <si>
    <t>WK</t>
  </si>
  <si>
    <t>Weltkulturerbestätte, ideal in Bahnhofsnähe</t>
  </si>
  <si>
    <t>Zimmerzuordnung</t>
  </si>
  <si>
    <t>Chef</t>
  </si>
  <si>
    <t>Name</t>
  </si>
  <si>
    <t>E-Mail</t>
  </si>
  <si>
    <t>Bemerkung</t>
  </si>
  <si>
    <t>Zimmer (lfd.)</t>
  </si>
  <si>
    <t>Zimmer-Nr. (vor Ort)</t>
  </si>
  <si>
    <t>Zimmer (lfd.) Check</t>
  </si>
  <si>
    <t>Personen im Zimmer</t>
  </si>
  <si>
    <t>Status</t>
  </si>
  <si>
    <t>Partnerstadt von Elmshorn</t>
  </si>
  <si>
    <t>Partnerstadt von Wittenberge</t>
  </si>
  <si>
    <t>Holstenpl. 11, 25335 Elmshorn</t>
  </si>
  <si>
    <t>53.75453075917233, 9.65915151133813</t>
  </si>
  <si>
    <t>19322 Wittenberge</t>
  </si>
  <si>
    <t>53.002456151973874, 11.762482168971815</t>
  </si>
  <si>
    <t>Partnerstadt von Recklinghausen</t>
  </si>
  <si>
    <t>Partnerstadt von Schmalkalden</t>
  </si>
  <si>
    <t>51.61618396276386, 7.20202684437022</t>
  </si>
  <si>
    <t>45657 Recklinghausen</t>
  </si>
  <si>
    <t>50.72036637915769, 10.441338950600997</t>
  </si>
  <si>
    <t>98574 Schmalkalden</t>
  </si>
  <si>
    <t>Partnerstadt von Heidelberg</t>
  </si>
  <si>
    <t>Partnerstadt von Bautzen</t>
  </si>
  <si>
    <t>49.403518100588734, 8.674808995814672</t>
  </si>
  <si>
    <t>Willy-Brandt-Platz 5, 69115 Heidelberg</t>
  </si>
  <si>
    <t>51.17305664507908, 14.428220126598996</t>
  </si>
  <si>
    <t>02625 Bautzen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</si>
</sst>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_€_-;\-* #,##0.00\ _€_-;_-* &quot;-&quot;??\ _€_-;_-@_-"/>
    <numFmt numFmtId="165" formatCode="[$-809]General"/>
    <numFmt numFmtId="166" formatCode="[$-407]General"/>
    <numFmt numFmtId="167" formatCode="#,##0.00&quot; &quot;[$€-407];[Red]&quot;-&quot;#,##0.00&quot; &quot;[$€-407]"/>
    <numFmt numFmtId="168" formatCode="0.0"/>
    <numFmt numFmtId="169" formatCode="[$-F400]h:mm:ss\ AM/PM"/>
    <numFmt numFmtId="170" formatCode="h:mm;@"/>
  </numFmts>
  <fonts count="50">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Arial"/>
      <family val="2"/>
    </font>
    <font>
      <sz val="11"/>
      <color rgb="FF006100"/>
      <name val="Calibri"/>
      <family val="2"/>
    </font>
    <font>
      <sz val="10"/>
      <color rgb="FF000000"/>
      <name val="Arial"/>
      <family val="2"/>
    </font>
    <font>
      <sz val="11"/>
      <color rgb="FF000000"/>
      <name val="Arial"/>
      <family val="2"/>
    </font>
    <font>
      <b/>
      <i/>
      <sz val="16"/>
      <color rgb="FF000000"/>
      <name val="Arial"/>
      <family val="2"/>
    </font>
    <font>
      <b/>
      <sz val="11"/>
      <color rgb="FF000000"/>
      <name val="Arial"/>
      <family val="2"/>
    </font>
    <font>
      <b/>
      <i/>
      <u/>
      <sz val="11"/>
      <color rgb="FF000000"/>
      <name val="Arial"/>
      <family val="2"/>
    </font>
    <font>
      <sz val="11"/>
      <color rgb="FF9C6500"/>
      <name val="Calibri"/>
      <family val="2"/>
      <scheme val="minor"/>
    </font>
    <font>
      <b/>
      <sz val="11"/>
      <color theme="1"/>
      <name val="DB Office"/>
      <family val="2"/>
    </font>
    <font>
      <sz val="11"/>
      <color theme="1"/>
      <name val="DB Office"/>
      <family val="2"/>
    </font>
    <font>
      <u/>
      <sz val="10"/>
      <color theme="10"/>
      <name val="Arial"/>
      <family val="2"/>
    </font>
    <font>
      <b/>
      <sz val="18"/>
      <color theme="1"/>
      <name val="DB Office"/>
      <family val="2"/>
    </font>
    <font>
      <u/>
      <sz val="11"/>
      <color theme="10"/>
      <name val="Calibri"/>
      <family val="2"/>
      <scheme val="minor"/>
    </font>
    <font>
      <sz val="8"/>
      <name val="Calibri"/>
      <family val="2"/>
      <scheme val="minor"/>
    </font>
    <font>
      <i/>
      <sz val="11"/>
      <color theme="1"/>
      <name val="DB Office"/>
      <family val="2"/>
    </font>
    <font>
      <strike/>
      <sz val="11"/>
      <color theme="1"/>
      <name val="DB Office"/>
      <family val="2"/>
    </font>
    <font>
      <sz val="11"/>
      <name val="Calibri"/>
      <family val="2"/>
      <scheme val="minor"/>
    </font>
    <font>
      <b/>
      <sz val="18"/>
      <color theme="1"/>
      <name val="Calibri"/>
      <family val="2"/>
      <scheme val="minor"/>
    </font>
    <font>
      <sz val="11"/>
      <color theme="0"/>
      <name val="Calibri"/>
      <family val="2"/>
      <scheme val="minor"/>
    </font>
    <font>
      <b/>
      <sz val="11"/>
      <name val="Calibri"/>
      <family val="2"/>
      <scheme val="minor"/>
    </font>
    <font>
      <b/>
      <sz val="18"/>
      <name val="Calibri"/>
      <family val="2"/>
      <scheme val="minor"/>
    </font>
    <font>
      <b/>
      <sz val="11"/>
      <color rgb="FF000000"/>
      <name val="Calibri"/>
      <family val="2"/>
      <scheme val="minor"/>
    </font>
    <font>
      <sz val="11"/>
      <color rgb="FF000000"/>
      <name val="Calibri"/>
      <family val="2"/>
      <scheme val="minor"/>
    </font>
    <font>
      <b/>
      <sz val="11"/>
      <color rgb="FF000000"/>
      <name val="Calibri"/>
      <family val="2"/>
    </font>
    <font>
      <sz val="11"/>
      <color rgb="FF000000"/>
      <name val="Calibri"/>
      <family val="2"/>
    </font>
    <font>
      <b/>
      <sz val="10"/>
      <color theme="1"/>
      <name val="Liberation Sans"/>
    </font>
    <font>
      <b/>
      <sz val="10"/>
      <color rgb="FFFFFFFF"/>
      <name val="Liberation Sans"/>
    </font>
    <font>
      <sz val="10"/>
      <color rgb="FFCC0000"/>
      <name val="Liberation Sans"/>
    </font>
    <font>
      <sz val="10"/>
      <color theme="1"/>
      <name val="Liberation Sans"/>
    </font>
    <font>
      <i/>
      <sz val="10"/>
      <color rgb="FF808080"/>
      <name val="Liberation Sans"/>
    </font>
    <font>
      <sz val="10"/>
      <color rgb="FF006600"/>
      <name val="Liberation Sans"/>
    </font>
    <font>
      <b/>
      <sz val="18"/>
      <color rgb="FF000000"/>
      <name val="Liberation Sans"/>
    </font>
    <font>
      <b/>
      <sz val="12"/>
      <color rgb="FF000000"/>
      <name val="Liberation Sans"/>
    </font>
    <font>
      <b/>
      <sz val="24"/>
      <color rgb="FF000000"/>
      <name val="Liberation Sans"/>
    </font>
    <font>
      <u/>
      <sz val="10"/>
      <color rgb="FF0000EE"/>
      <name val="Liberation Sans"/>
    </font>
    <font>
      <sz val="10"/>
      <color rgb="FF996600"/>
      <name val="Liberation Sans"/>
    </font>
    <font>
      <sz val="10"/>
      <color rgb="FF333333"/>
      <name val="Liberation Sans"/>
    </font>
    <font>
      <b/>
      <i/>
      <u/>
      <sz val="10"/>
      <color theme="1"/>
      <name val="Liberation Sans"/>
    </font>
    <font>
      <sz val="9"/>
      <color theme="1"/>
      <name val="Arial"/>
      <family val="2"/>
    </font>
    <font>
      <sz val="10"/>
      <color theme="1"/>
      <name val="Arial"/>
      <family val="2"/>
    </font>
    <font>
      <b/>
      <sz val="11"/>
      <color rgb="FF767676"/>
      <name val="Arial"/>
      <family val="2"/>
    </font>
    <font>
      <sz val="9"/>
      <color rgb="FF000000"/>
      <name val="Arial"/>
      <family val="2"/>
    </font>
    <font>
      <sz val="9"/>
      <color rgb="FF007B8B"/>
      <name val="Arial"/>
      <family val="2"/>
    </font>
    <font>
      <u/>
      <sz val="11"/>
      <color theme="1"/>
      <name val="Calibri"/>
      <family val="2"/>
      <scheme val="minor"/>
    </font>
    <font>
      <sz val="11"/>
      <color theme="1"/>
      <name val="Calibri"/>
      <family val="2"/>
    </font>
    <font>
      <b/>
      <sz val="11"/>
      <color theme="1"/>
      <name val="Calibri"/>
      <family val="2"/>
    </font>
  </fonts>
  <fills count="30">
    <fill>
      <patternFill patternType="none"/>
    </fill>
    <fill>
      <patternFill patternType="gray125"/>
    </fill>
    <fill>
      <patternFill patternType="solid">
        <fgColor rgb="FFFFEB9C"/>
      </patternFill>
    </fill>
    <fill>
      <patternFill patternType="solid">
        <fgColor rgb="FFC6EFCE"/>
        <bgColor rgb="FFC6EFCE"/>
      </patternFill>
    </fill>
    <fill>
      <patternFill patternType="solid">
        <fgColor theme="0" tint="-0.149998474074526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7"/>
        <bgColor theme="7"/>
      </patternFill>
    </fill>
    <fill>
      <patternFill patternType="solid">
        <fgColor theme="7" tint="0.39997558519241921"/>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9"/>
        <bgColor indexed="64"/>
      </patternFill>
    </fill>
    <fill>
      <patternFill patternType="solid">
        <fgColor rgb="FFC00000"/>
        <bgColor indexed="64"/>
      </patternFill>
    </fill>
    <fill>
      <patternFill patternType="solid">
        <fgColor theme="4"/>
        <bgColor indexed="64"/>
      </patternFill>
    </fill>
    <fill>
      <patternFill patternType="solid">
        <fgColor theme="5"/>
        <bgColor indexed="64"/>
      </patternFill>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FFFF00"/>
        <bgColor rgb="FFFFFF00"/>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D9E1F2"/>
        <bgColor rgb="FFD9E1F2"/>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799981688894314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style="thin">
        <color theme="7" tint="0.39997558519241921"/>
      </left>
      <right style="medium">
        <color theme="0" tint="-0.499984740745262"/>
      </right>
      <top style="medium">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6"/>
      </left>
      <right style="thin">
        <color theme="6"/>
      </right>
      <top style="thin">
        <color theme="6"/>
      </top>
      <bottom style="thin">
        <color theme="6"/>
      </bottom>
      <diagonal/>
    </border>
    <border>
      <left style="medium">
        <color theme="6"/>
      </left>
      <right style="thin">
        <color theme="6"/>
      </right>
      <top style="medium">
        <color theme="6"/>
      </top>
      <bottom style="thin">
        <color theme="6"/>
      </bottom>
      <diagonal/>
    </border>
    <border>
      <left style="thin">
        <color theme="6"/>
      </left>
      <right style="medium">
        <color theme="6"/>
      </right>
      <top style="medium">
        <color theme="6"/>
      </top>
      <bottom style="thin">
        <color theme="6"/>
      </bottom>
      <diagonal/>
    </border>
    <border>
      <left style="medium">
        <color theme="6"/>
      </left>
      <right style="thin">
        <color theme="6"/>
      </right>
      <top style="thin">
        <color theme="6"/>
      </top>
      <bottom style="medium">
        <color theme="6"/>
      </bottom>
      <diagonal/>
    </border>
    <border>
      <left style="thin">
        <color theme="6"/>
      </left>
      <right style="medium">
        <color theme="6"/>
      </right>
      <top style="thin">
        <color theme="6"/>
      </top>
      <bottom style="medium">
        <color theme="6"/>
      </bottom>
      <diagonal/>
    </border>
    <border>
      <left style="thin">
        <color rgb="FF808080"/>
      </left>
      <right style="thin">
        <color rgb="FF808080"/>
      </right>
      <top style="thin">
        <color rgb="FF808080"/>
      </top>
      <bottom style="thin">
        <color rgb="FF808080"/>
      </bottom>
      <diagonal/>
    </border>
    <border>
      <left/>
      <right/>
      <top style="thin">
        <color rgb="FF8EA9DB"/>
      </top>
      <bottom style="thin">
        <color rgb="FF8EA9DB"/>
      </bottom>
      <diagonal/>
    </border>
  </borders>
  <cellStyleXfs count="56">
    <xf numFmtId="0" fontId="0" fillId="0" borderId="0"/>
    <xf numFmtId="0" fontId="3" fillId="0" borderId="0"/>
    <xf numFmtId="165" fontId="5" fillId="3" borderId="0" applyBorder="0" applyProtection="0"/>
    <xf numFmtId="0" fontId="6" fillId="0" borderId="0"/>
    <xf numFmtId="0" fontId="4" fillId="0" borderId="0"/>
    <xf numFmtId="0" fontId="1" fillId="0" borderId="0"/>
    <xf numFmtId="0" fontId="4" fillId="0" borderId="0"/>
    <xf numFmtId="0" fontId="7" fillId="0" borderId="0"/>
    <xf numFmtId="0" fontId="5" fillId="3" borderId="0" applyNumberFormat="0" applyBorder="0" applyProtection="0"/>
    <xf numFmtId="0" fontId="8" fillId="0" borderId="0" applyNumberFormat="0" applyBorder="0" applyProtection="0">
      <alignment horizontal="center"/>
    </xf>
    <xf numFmtId="0" fontId="8" fillId="0" borderId="0" applyNumberFormat="0" applyBorder="0" applyProtection="0">
      <alignment horizontal="center" textRotation="90"/>
    </xf>
    <xf numFmtId="0" fontId="7" fillId="0" borderId="0" applyNumberFormat="0" applyFont="0" applyBorder="0" applyProtection="0"/>
    <xf numFmtId="0" fontId="9" fillId="0" borderId="0" applyNumberFormat="0" applyBorder="0" applyProtection="0"/>
    <xf numFmtId="0" fontId="7" fillId="0" borderId="0" applyNumberFormat="0" applyFont="0" applyBorder="0" applyProtection="0"/>
    <xf numFmtId="0" fontId="7" fillId="0" borderId="0" applyNumberFormat="0" applyFont="0" applyBorder="0" applyProtection="0">
      <alignment horizontal="left"/>
    </xf>
    <xf numFmtId="0" fontId="9" fillId="0" borderId="0" applyNumberFormat="0" applyBorder="0" applyProtection="0">
      <alignment horizontal="left"/>
    </xf>
    <xf numFmtId="0" fontId="7" fillId="0" borderId="0" applyNumberFormat="0" applyFont="0" applyBorder="0" applyProtection="0"/>
    <xf numFmtId="0" fontId="10" fillId="0" borderId="0" applyNumberFormat="0" applyBorder="0" applyProtection="0"/>
    <xf numFmtId="167" fontId="10" fillId="0" borderId="0" applyBorder="0" applyProtection="0"/>
    <xf numFmtId="166" fontId="6" fillId="0" borderId="0" applyBorder="0" applyProtection="0"/>
    <xf numFmtId="166" fontId="6" fillId="0" borderId="0" applyBorder="0" applyProtection="0"/>
    <xf numFmtId="0" fontId="4" fillId="0" borderId="0"/>
    <xf numFmtId="0" fontId="1" fillId="0" borderId="0"/>
    <xf numFmtId="0" fontId="1" fillId="0" borderId="0"/>
    <xf numFmtId="0" fontId="11" fillId="2" borderId="0" applyNumberFormat="0" applyBorder="0" applyAlignment="0" applyProtection="0"/>
    <xf numFmtId="0" fontId="1" fillId="0" borderId="0"/>
    <xf numFmtId="0" fontId="14" fillId="0" borderId="0" applyNumberFormat="0" applyFill="0" applyBorder="0" applyAlignment="0" applyProtection="0"/>
    <xf numFmtId="0" fontId="4" fillId="0" borderId="0"/>
    <xf numFmtId="164" fontId="1" fillId="0" borderId="0" applyFont="0" applyFill="0" applyBorder="0" applyAlignment="0" applyProtection="0"/>
    <xf numFmtId="0" fontId="4"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6" fillId="0" borderId="0" applyNumberFormat="0" applyFill="0" applyBorder="0" applyAlignment="0" applyProtection="0"/>
    <xf numFmtId="9" fontId="1" fillId="0" borderId="0" applyFont="0" applyFill="0" applyBorder="0" applyAlignment="0" applyProtection="0"/>
    <xf numFmtId="0" fontId="29" fillId="0" borderId="0" applyNumberFormat="0" applyFill="0" applyBorder="0" applyProtection="0"/>
    <xf numFmtId="0" fontId="30" fillId="17" borderId="0" applyNumberFormat="0" applyBorder="0" applyProtection="0"/>
    <xf numFmtId="0" fontId="30" fillId="18" borderId="0" applyNumberFormat="0" applyBorder="0" applyProtection="0"/>
    <xf numFmtId="0" fontId="29" fillId="19" borderId="0" applyNumberFormat="0" applyBorder="0" applyProtection="0"/>
    <xf numFmtId="0" fontId="31" fillId="20" borderId="0" applyNumberFormat="0" applyBorder="0" applyProtection="0"/>
    <xf numFmtId="0" fontId="32" fillId="21" borderId="0" applyNumberFormat="0" applyFont="0" applyBorder="0" applyAlignment="0" applyProtection="0"/>
    <xf numFmtId="0" fontId="32" fillId="0" borderId="0" applyNumberFormat="0" applyFont="0" applyFill="0" applyBorder="0" applyAlignment="0" applyProtection="0"/>
    <xf numFmtId="0" fontId="30" fillId="22" borderId="0" applyNumberFormat="0" applyBorder="0" applyProtection="0"/>
    <xf numFmtId="0" fontId="33" fillId="0" borderId="0" applyNumberFormat="0" applyFill="0" applyBorder="0" applyProtection="0"/>
    <xf numFmtId="0" fontId="34" fillId="23" borderId="0" applyNumberFormat="0" applyBorder="0" applyProtection="0"/>
    <xf numFmtId="0" fontId="35" fillId="0" borderId="0" applyNumberFormat="0" applyFill="0" applyBorder="0" applyProtection="0"/>
    <xf numFmtId="0" fontId="36" fillId="0" borderId="0" applyNumberFormat="0" applyFill="0" applyBorder="0" applyProtection="0"/>
    <xf numFmtId="0" fontId="37" fillId="0" borderId="0" applyNumberFormat="0" applyFill="0" applyBorder="0" applyProtection="0"/>
    <xf numFmtId="0" fontId="38" fillId="0" borderId="0" applyNumberFormat="0" applyFill="0" applyBorder="0" applyProtection="0"/>
    <xf numFmtId="0" fontId="39" fillId="24" borderId="0" applyNumberFormat="0" applyBorder="0" applyProtection="0"/>
    <xf numFmtId="0" fontId="40" fillId="24" borderId="26" applyNumberFormat="0" applyProtection="0"/>
    <xf numFmtId="0" fontId="41" fillId="0" borderId="0" applyNumberFormat="0" applyFill="0" applyBorder="0" applyProtection="0"/>
    <xf numFmtId="0" fontId="32" fillId="0" borderId="0"/>
    <xf numFmtId="0" fontId="32" fillId="0" borderId="0" applyNumberFormat="0" applyFont="0" applyFill="0" applyBorder="0" applyProtection="0"/>
    <xf numFmtId="0" fontId="32" fillId="0" borderId="0" applyNumberFormat="0" applyFont="0" applyFill="0" applyBorder="0" applyProtection="0"/>
    <xf numFmtId="0" fontId="31" fillId="0" borderId="0" applyNumberFormat="0" applyFill="0" applyBorder="0" applyProtection="0"/>
  </cellStyleXfs>
  <cellXfs count="113">
    <xf numFmtId="0" fontId="0" fillId="0" borderId="0" xfId="0"/>
    <xf numFmtId="0" fontId="0" fillId="0" borderId="0" xfId="0" applyAlignment="1">
      <alignment wrapText="1"/>
    </xf>
    <xf numFmtId="0" fontId="13" fillId="0" borderId="0" xfId="0" applyFont="1"/>
    <xf numFmtId="0" fontId="12" fillId="5" borderId="0" xfId="0" applyFont="1" applyFill="1" applyAlignment="1">
      <alignment wrapText="1"/>
    </xf>
    <xf numFmtId="0" fontId="2" fillId="7" borderId="0" xfId="0" applyFont="1" applyFill="1" applyAlignment="1">
      <alignment wrapText="1"/>
    </xf>
    <xf numFmtId="168" fontId="0" fillId="0" borderId="0" xfId="0" applyNumberFormat="1"/>
    <xf numFmtId="1" fontId="12" fillId="5" borderId="0" xfId="0" applyNumberFormat="1" applyFont="1" applyFill="1" applyAlignment="1">
      <alignment wrapText="1"/>
    </xf>
    <xf numFmtId="168" fontId="12" fillId="5" borderId="0" xfId="0" applyNumberFormat="1" applyFont="1" applyFill="1" applyAlignment="1">
      <alignment wrapText="1"/>
    </xf>
    <xf numFmtId="1" fontId="13" fillId="0" borderId="0" xfId="0" applyNumberFormat="1" applyFont="1"/>
    <xf numFmtId="1" fontId="0" fillId="0" borderId="0" xfId="0" applyNumberFormat="1"/>
    <xf numFmtId="168" fontId="13" fillId="0" borderId="0" xfId="0" applyNumberFormat="1" applyFont="1"/>
    <xf numFmtId="49" fontId="0" fillId="0" borderId="0" xfId="0" applyNumberFormat="1"/>
    <xf numFmtId="0" fontId="12" fillId="8" borderId="1" xfId="0" applyFont="1" applyFill="1" applyBorder="1" applyAlignment="1">
      <alignment wrapText="1"/>
    </xf>
    <xf numFmtId="0" fontId="13" fillId="0" borderId="1" xfId="0" applyFont="1" applyBorder="1"/>
    <xf numFmtId="0" fontId="0" fillId="0" borderId="1" xfId="0" applyBorder="1"/>
    <xf numFmtId="0" fontId="0" fillId="0" borderId="1" xfId="0" applyBorder="1" applyAlignment="1">
      <alignment horizontal="center"/>
    </xf>
    <xf numFmtId="0" fontId="18" fillId="0" borderId="1" xfId="0" applyFont="1" applyBorder="1"/>
    <xf numFmtId="0" fontId="13" fillId="0" borderId="1" xfId="0" applyFont="1" applyBorder="1" applyAlignment="1">
      <alignment horizontal="center"/>
    </xf>
    <xf numFmtId="0" fontId="13" fillId="0" borderId="1" xfId="0" applyFont="1" applyBorder="1" applyAlignment="1">
      <alignment horizontal="left"/>
    </xf>
    <xf numFmtId="0" fontId="19" fillId="0" borderId="1" xfId="0" applyFont="1" applyBorder="1"/>
    <xf numFmtId="0" fontId="19" fillId="0" borderId="1" xfId="0" applyFont="1" applyBorder="1" applyAlignment="1">
      <alignment horizontal="left"/>
    </xf>
    <xf numFmtId="0" fontId="13" fillId="0" borderId="4" xfId="0" applyFont="1" applyBorder="1"/>
    <xf numFmtId="0" fontId="13" fillId="0" borderId="8" xfId="0" applyFont="1" applyBorder="1"/>
    <xf numFmtId="0" fontId="13" fillId="0" borderId="7" xfId="0" applyFont="1" applyBorder="1" applyAlignment="1">
      <alignment horizontal="center"/>
    </xf>
    <xf numFmtId="0" fontId="19" fillId="0" borderId="7" xfId="0" applyFont="1" applyBorder="1"/>
    <xf numFmtId="0" fontId="19" fillId="0" borderId="7" xfId="0" applyFont="1" applyBorder="1" applyAlignment="1">
      <alignment horizontal="left"/>
    </xf>
    <xf numFmtId="0" fontId="13" fillId="0" borderId="7" xfId="0" applyFont="1" applyBorder="1" applyAlignment="1">
      <alignment horizontal="left"/>
    </xf>
    <xf numFmtId="0" fontId="12" fillId="0" borderId="3" xfId="0" applyFont="1" applyBorder="1" applyAlignment="1">
      <alignment wrapText="1"/>
    </xf>
    <xf numFmtId="0" fontId="12" fillId="0" borderId="2" xfId="0" applyFont="1" applyBorder="1" applyAlignment="1">
      <alignment wrapText="1"/>
    </xf>
    <xf numFmtId="0" fontId="12" fillId="0" borderId="5" xfId="0" applyFont="1" applyBorder="1" applyAlignment="1">
      <alignment wrapText="1"/>
    </xf>
    <xf numFmtId="0" fontId="13" fillId="0" borderId="6" xfId="0" applyFont="1" applyBorder="1" applyAlignment="1">
      <alignment horizontal="left"/>
    </xf>
    <xf numFmtId="0" fontId="13" fillId="0" borderId="9" xfId="0" applyFont="1" applyBorder="1" applyAlignment="1">
      <alignment horizontal="left"/>
    </xf>
    <xf numFmtId="0" fontId="20" fillId="0" borderId="0" xfId="0" applyFont="1"/>
    <xf numFmtId="0" fontId="20" fillId="0" borderId="0" xfId="0" applyFont="1" applyAlignment="1">
      <alignment wrapText="1"/>
    </xf>
    <xf numFmtId="169" fontId="0" fillId="0" borderId="0" xfId="0" applyNumberFormat="1"/>
    <xf numFmtId="0" fontId="15" fillId="0" borderId="0" xfId="0" applyFont="1"/>
    <xf numFmtId="0" fontId="21" fillId="0" borderId="0" xfId="0" applyFont="1"/>
    <xf numFmtId="169" fontId="21" fillId="0" borderId="12" xfId="0" applyNumberFormat="1" applyFont="1" applyBorder="1"/>
    <xf numFmtId="0" fontId="24" fillId="9" borderId="10" xfId="0" applyFont="1" applyFill="1" applyBorder="1"/>
    <xf numFmtId="0" fontId="24" fillId="9" borderId="13" xfId="0" applyFont="1" applyFill="1" applyBorder="1"/>
    <xf numFmtId="0" fontId="23" fillId="9" borderId="14" xfId="0" applyFont="1" applyFill="1" applyBorder="1"/>
    <xf numFmtId="0" fontId="23" fillId="9" borderId="15" xfId="0" applyFont="1" applyFill="1" applyBorder="1"/>
    <xf numFmtId="169" fontId="0" fillId="6" borderId="16" xfId="0" applyNumberFormat="1" applyFill="1" applyBorder="1"/>
    <xf numFmtId="0" fontId="0" fillId="6" borderId="17" xfId="0" applyFill="1" applyBorder="1"/>
    <xf numFmtId="1" fontId="0" fillId="6" borderId="18" xfId="0" applyNumberFormat="1" applyFill="1" applyBorder="1"/>
    <xf numFmtId="0" fontId="0" fillId="6" borderId="19" xfId="0" applyFill="1" applyBorder="1"/>
    <xf numFmtId="0" fontId="0" fillId="6" borderId="0" xfId="0" applyFill="1"/>
    <xf numFmtId="0" fontId="0" fillId="6" borderId="16" xfId="0" applyFill="1" applyBorder="1"/>
    <xf numFmtId="0" fontId="21" fillId="6" borderId="12" xfId="0" applyFont="1" applyFill="1" applyBorder="1"/>
    <xf numFmtId="0" fontId="23" fillId="4" borderId="20" xfId="0" applyFont="1" applyFill="1" applyBorder="1" applyAlignment="1">
      <alignment wrapText="1"/>
    </xf>
    <xf numFmtId="49" fontId="23" fillId="4" borderId="20" xfId="0" applyNumberFormat="1" applyFont="1" applyFill="1" applyBorder="1" applyAlignment="1">
      <alignment wrapText="1"/>
    </xf>
    <xf numFmtId="0" fontId="22" fillId="0" borderId="0" xfId="0" applyFont="1"/>
    <xf numFmtId="0" fontId="22" fillId="0" borderId="0" xfId="0" quotePrefix="1" applyFont="1"/>
    <xf numFmtId="14" fontId="0" fillId="0" borderId="0" xfId="0" applyNumberFormat="1"/>
    <xf numFmtId="14" fontId="21" fillId="0" borderId="0" xfId="0" applyNumberFormat="1" applyFont="1"/>
    <xf numFmtId="14" fontId="20" fillId="0" borderId="0" xfId="0" applyNumberFormat="1" applyFont="1"/>
    <xf numFmtId="170" fontId="0" fillId="0" borderId="0" xfId="0" applyNumberFormat="1"/>
    <xf numFmtId="170" fontId="21" fillId="0" borderId="0" xfId="0" applyNumberFormat="1" applyFont="1"/>
    <xf numFmtId="170" fontId="20" fillId="0" borderId="0" xfId="0" applyNumberFormat="1" applyFont="1"/>
    <xf numFmtId="0" fontId="0" fillId="0" borderId="0" xfId="0" applyAlignment="1">
      <alignment horizontal="left" vertical="center" indent="1"/>
    </xf>
    <xf numFmtId="9" fontId="0" fillId="0" borderId="0" xfId="34" applyFont="1"/>
    <xf numFmtId="0" fontId="2" fillId="10" borderId="21" xfId="0" applyFont="1" applyFill="1" applyBorder="1" applyAlignment="1">
      <alignment wrapText="1"/>
    </xf>
    <xf numFmtId="0" fontId="0" fillId="0" borderId="21" xfId="0" applyBorder="1"/>
    <xf numFmtId="0" fontId="0" fillId="0" borderId="21" xfId="0" applyBorder="1" applyAlignment="1">
      <alignment wrapText="1"/>
    </xf>
    <xf numFmtId="0" fontId="2" fillId="0" borderId="0" xfId="0" applyFont="1" applyAlignment="1">
      <alignment wrapText="1"/>
    </xf>
    <xf numFmtId="0" fontId="22" fillId="0" borderId="0" xfId="0" applyFont="1" applyAlignment="1">
      <alignment wrapText="1"/>
    </xf>
    <xf numFmtId="0" fontId="22" fillId="11" borderId="0" xfId="0" applyFont="1" applyFill="1" applyAlignment="1">
      <alignment wrapText="1"/>
    </xf>
    <xf numFmtId="0" fontId="22" fillId="12" borderId="0" xfId="0" applyFont="1" applyFill="1" applyAlignment="1">
      <alignment wrapText="1"/>
    </xf>
    <xf numFmtId="9" fontId="22" fillId="12" borderId="0" xfId="34" applyFont="1" applyFill="1" applyAlignment="1">
      <alignment wrapText="1"/>
    </xf>
    <xf numFmtId="0" fontId="2" fillId="0" borderId="22" xfId="0" applyFont="1" applyBorder="1"/>
    <xf numFmtId="0" fontId="2" fillId="0" borderId="23" xfId="0" applyFont="1" applyBorder="1"/>
    <xf numFmtId="0" fontId="2" fillId="0" borderId="24" xfId="0" applyFont="1" applyBorder="1"/>
    <xf numFmtId="0" fontId="2" fillId="0" borderId="25" xfId="0" applyFont="1" applyBorder="1"/>
    <xf numFmtId="0" fontId="0" fillId="13" borderId="0" xfId="0" applyFill="1"/>
    <xf numFmtId="0" fontId="0" fillId="14" borderId="0" xfId="0" applyFill="1"/>
    <xf numFmtId="0" fontId="0" fillId="15" borderId="0" xfId="0" applyFill="1"/>
    <xf numFmtId="0" fontId="0" fillId="16" borderId="0" xfId="0" applyFill="1"/>
    <xf numFmtId="3" fontId="0" fillId="0" borderId="0" xfId="0" applyNumberFormat="1"/>
    <xf numFmtId="0" fontId="28" fillId="0" borderId="0" xfId="0" applyFont="1" applyAlignment="1">
      <alignment wrapText="1"/>
    </xf>
    <xf numFmtId="0" fontId="32" fillId="0" borderId="0" xfId="41" applyFont="1" applyAlignment="1">
      <alignment wrapText="1"/>
    </xf>
    <xf numFmtId="0" fontId="32" fillId="0" borderId="0" xfId="41" applyFont="1"/>
    <xf numFmtId="0" fontId="42" fillId="0" borderId="0" xfId="0" applyFont="1"/>
    <xf numFmtId="0" fontId="43" fillId="0" borderId="0" xfId="0" applyFont="1"/>
    <xf numFmtId="0" fontId="20" fillId="13" borderId="0" xfId="0" applyFont="1" applyFill="1"/>
    <xf numFmtId="0" fontId="0" fillId="0" borderId="0" xfId="0" quotePrefix="1" applyAlignment="1">
      <alignment wrapText="1"/>
    </xf>
    <xf numFmtId="0" fontId="0" fillId="0" borderId="0" xfId="0" quotePrefix="1"/>
    <xf numFmtId="0" fontId="44" fillId="0" borderId="0" xfId="0" applyFont="1"/>
    <xf numFmtId="0" fontId="45" fillId="0" borderId="0" xfId="0" applyFont="1"/>
    <xf numFmtId="0" fontId="46" fillId="0" borderId="0" xfId="0" applyFont="1"/>
    <xf numFmtId="0" fontId="26" fillId="0" borderId="0" xfId="0" applyFont="1" applyAlignment="1">
      <alignment wrapText="1"/>
    </xf>
    <xf numFmtId="0" fontId="0" fillId="27" borderId="0" xfId="0" applyFill="1"/>
    <xf numFmtId="0" fontId="0" fillId="28" borderId="0" xfId="0" applyFill="1"/>
    <xf numFmtId="0" fontId="0" fillId="7" borderId="0" xfId="0" applyFill="1"/>
    <xf numFmtId="0" fontId="0" fillId="10" borderId="0" xfId="0" applyFill="1"/>
    <xf numFmtId="0" fontId="20" fillId="7" borderId="0" xfId="0" applyFont="1" applyFill="1"/>
    <xf numFmtId="0" fontId="0" fillId="26" borderId="0" xfId="0" applyFill="1"/>
    <xf numFmtId="0" fontId="32" fillId="26" borderId="0" xfId="41" applyFont="1" applyFill="1"/>
    <xf numFmtId="0" fontId="32" fillId="0" borderId="0" xfId="41" applyFont="1" applyFill="1" applyAlignment="1">
      <alignment wrapText="1"/>
    </xf>
    <xf numFmtId="0" fontId="2" fillId="0" borderId="0" xfId="0" quotePrefix="1" applyFont="1" applyAlignment="1">
      <alignment wrapText="1"/>
    </xf>
    <xf numFmtId="0" fontId="0" fillId="0" borderId="0" xfId="0" applyAlignment="1">
      <alignment horizontal="left" vertical="center"/>
    </xf>
    <xf numFmtId="0" fontId="0" fillId="29" borderId="0" xfId="0" applyFill="1"/>
    <xf numFmtId="0" fontId="28" fillId="0" borderId="0" xfId="41" applyFont="1" applyFill="1" applyAlignment="1">
      <alignment wrapText="1"/>
    </xf>
    <xf numFmtId="0" fontId="25" fillId="0" borderId="0" xfId="0" applyFont="1" applyAlignment="1">
      <alignment wrapText="1"/>
    </xf>
    <xf numFmtId="0" fontId="0" fillId="0" borderId="27" xfId="0" applyBorder="1" applyAlignment="1">
      <alignment wrapText="1"/>
    </xf>
    <xf numFmtId="0" fontId="25" fillId="25" borderId="0" xfId="0" applyFont="1" applyFill="1" applyAlignment="1">
      <alignment wrapText="1"/>
    </xf>
    <xf numFmtId="0" fontId="28" fillId="0" borderId="0" xfId="0" applyFont="1"/>
    <xf numFmtId="0" fontId="0" fillId="0" borderId="27" xfId="0" applyBorder="1"/>
    <xf numFmtId="0" fontId="28" fillId="25" borderId="0" xfId="0" applyFont="1" applyFill="1"/>
    <xf numFmtId="0" fontId="47" fillId="0" borderId="0" xfId="0" applyFont="1" applyAlignment="1">
      <alignment wrapText="1"/>
    </xf>
    <xf numFmtId="0" fontId="48" fillId="0" borderId="0" xfId="0" applyFont="1" applyAlignment="1">
      <alignment wrapText="1"/>
    </xf>
    <xf numFmtId="0" fontId="21" fillId="0" borderId="11" xfId="0" applyFont="1" applyBorder="1" applyAlignment="1">
      <alignment horizontal="center"/>
    </xf>
    <xf numFmtId="0" fontId="21" fillId="0" borderId="12" xfId="0" applyFont="1" applyBorder="1" applyAlignment="1">
      <alignment horizontal="center"/>
    </xf>
    <xf numFmtId="0" fontId="15" fillId="0" borderId="7" xfId="0" applyFont="1" applyBorder="1" applyAlignment="1">
      <alignment horizontal="center"/>
    </xf>
  </cellXfs>
  <cellStyles count="56">
    <cellStyle name="Accent" xfId="35" xr:uid="{51AA9C43-BE35-4814-9D60-A70D73F80A37}"/>
    <cellStyle name="Accent 1" xfId="36" xr:uid="{66643E45-C9DE-4DEE-A08E-00BB8FD401E6}"/>
    <cellStyle name="Accent 2" xfId="37" xr:uid="{A52405D5-AF54-44F5-96CA-B0814A2C1F21}"/>
    <cellStyle name="Accent 3" xfId="38" xr:uid="{3B5FB316-2EC0-4E4B-B64D-6826C897D673}"/>
    <cellStyle name="Bad" xfId="39" xr:uid="{1E5BB0AE-594C-4D24-8158-B95572BD54DD}"/>
    <cellStyle name="ConditionalStyle_13" xfId="40" xr:uid="{9FD774D6-6774-48A8-ACB6-7169FC879ADB}"/>
    <cellStyle name="Default" xfId="41" xr:uid="{763431B1-8735-4950-85B4-7179B6B55E56}"/>
    <cellStyle name="Error" xfId="42" xr:uid="{BD80A660-1774-4DB2-B0B2-567436D65F18}"/>
    <cellStyle name="Excel Built-in Good" xfId="2" xr:uid="{00000000-0005-0000-0000-000000000000}"/>
    <cellStyle name="Excel Built-in Good 2" xfId="8" xr:uid="{00000000-0005-0000-0000-000001000000}"/>
    <cellStyle name="Footnote" xfId="43" xr:uid="{0A46D319-8803-4E48-B40E-A7655B54FF1D}"/>
    <cellStyle name="Good" xfId="44" xr:uid="{217A6C67-2657-4D9D-BADB-141317602690}"/>
    <cellStyle name="Heading" xfId="9" xr:uid="{00000000-0005-0000-0000-000003000000}"/>
    <cellStyle name="Heading 1" xfId="45" xr:uid="{D956D34D-FCB0-4EAC-A417-4B3D68E25723}"/>
    <cellStyle name="Heading 2" xfId="46" xr:uid="{2334DCE8-3E59-43D7-9EC6-F1B8C2BD1A1B}"/>
    <cellStyle name="Heading 3" xfId="47" xr:uid="{31E44D63-E0B7-40E6-ACFC-B66A51C90CD5}"/>
    <cellStyle name="Heading1" xfId="10" xr:uid="{00000000-0005-0000-0000-000004000000}"/>
    <cellStyle name="Hyperlink" xfId="33" xr:uid="{C7F4ECF5-1F4B-47E2-B97E-B9B5B332703C}"/>
    <cellStyle name="Hyperlink 2" xfId="48" xr:uid="{A1986B6B-9117-4BFB-B68F-F1B5FCCFA239}"/>
    <cellStyle name="Komma 2" xfId="30" xr:uid="{00000000-0005-0000-0000-000007000000}"/>
    <cellStyle name="Komma 2 2" xfId="32" xr:uid="{00000000-0005-0000-0000-000051000000}"/>
    <cellStyle name="Komma 3" xfId="28" xr:uid="{00000000-0005-0000-0000-00004E000000}"/>
    <cellStyle name="Komma 3 2" xfId="31" xr:uid="{00000000-0005-0000-0000-000052000000}"/>
    <cellStyle name="Link 2" xfId="26" xr:uid="{00000000-0005-0000-0000-00004C000000}"/>
    <cellStyle name="Neutral 2" xfId="24" xr:uid="{00000000-0005-0000-0000-000033000000}"/>
    <cellStyle name="Neutral 3" xfId="49" xr:uid="{4E465940-5346-4FF5-ADB5-0DD0D797D220}"/>
    <cellStyle name="Note" xfId="50" xr:uid="{B9CB415D-36E3-4130-AD8C-FB0E1E18E392}"/>
    <cellStyle name="Pivot Tabelle Ecke" xfId="11" xr:uid="{00000000-0005-0000-0000-000006000000}"/>
    <cellStyle name="Pivot Tabelle Ergebnis" xfId="12" xr:uid="{00000000-0005-0000-0000-000007000000}"/>
    <cellStyle name="Pivot Tabelle Feld" xfId="13" xr:uid="{00000000-0005-0000-0000-000008000000}"/>
    <cellStyle name="Pivot Tabelle Kategorie" xfId="14" xr:uid="{00000000-0005-0000-0000-000009000000}"/>
    <cellStyle name="Pivot Tabelle Titel" xfId="15" xr:uid="{00000000-0005-0000-0000-00000A000000}"/>
    <cellStyle name="Pivot Tabelle Wert" xfId="16" xr:uid="{00000000-0005-0000-0000-00000B000000}"/>
    <cellStyle name="Prozent" xfId="34" builtinId="5"/>
    <cellStyle name="Result" xfId="17" xr:uid="{00000000-0005-0000-0000-00000C000000}"/>
    <cellStyle name="Result 2" xfId="51" xr:uid="{29C2A6A0-6D6E-40A2-8032-4576C4A0FFFF}"/>
    <cellStyle name="Result2" xfId="18" xr:uid="{00000000-0005-0000-0000-00000D000000}"/>
    <cellStyle name="Standard" xfId="0" builtinId="0"/>
    <cellStyle name="Standard 10" xfId="52" xr:uid="{46207B48-AF29-49FC-8369-46922B2C0077}"/>
    <cellStyle name="Standard 2" xfId="3" xr:uid="{00000000-0005-0000-0000-000010000000}"/>
    <cellStyle name="Standard 2 2" xfId="19" xr:uid="{00000000-0005-0000-0000-000011000000}"/>
    <cellStyle name="Standard 2 3" xfId="27" xr:uid="{00000000-0005-0000-0000-000003000000}"/>
    <cellStyle name="Standard 3" xfId="4" xr:uid="{00000000-0005-0000-0000-000012000000}"/>
    <cellStyle name="Standard 3 2" xfId="20" xr:uid="{00000000-0005-0000-0000-000013000000}"/>
    <cellStyle name="Standard 4" xfId="6" xr:uid="{00000000-0005-0000-0000-000014000000}"/>
    <cellStyle name="Standard 5" xfId="5" xr:uid="{00000000-0005-0000-0000-000015000000}"/>
    <cellStyle name="Standard 5 2" xfId="23" xr:uid="{00000000-0005-0000-0000-000016000000}"/>
    <cellStyle name="Standard 6" xfId="7" xr:uid="{00000000-0005-0000-0000-000017000000}"/>
    <cellStyle name="Standard 6 2" xfId="22" xr:uid="{00000000-0005-0000-0000-000018000000}"/>
    <cellStyle name="Standard 7" xfId="21" xr:uid="{00000000-0005-0000-0000-000019000000}"/>
    <cellStyle name="Standard 8" xfId="25" xr:uid="{00000000-0005-0000-0000-00001A000000}"/>
    <cellStyle name="Standard 9" xfId="1" xr:uid="{00000000-0005-0000-0000-00003C000000}"/>
    <cellStyle name="Standard 9 2" xfId="29" xr:uid="{00000000-0005-0000-0000-000020000000}"/>
    <cellStyle name="Status" xfId="53" xr:uid="{CD8DCCF2-7CB3-4B74-84D0-F8AC8C0D624D}"/>
    <cellStyle name="Text" xfId="54" xr:uid="{283EFC3E-1016-41D6-89D3-2E9729AFFCB2}"/>
    <cellStyle name="Warning" xfId="55" xr:uid="{994BC3CC-625E-46D1-9D44-599A9E5D9ECA}"/>
  </cellStyles>
  <dxfs count="77">
    <dxf>
      <font>
        <strike/>
        <u val="none"/>
        <color theme="0" tint="-0.34998626667073579"/>
      </font>
    </dxf>
    <dxf>
      <font>
        <color rgb="FF9C0006"/>
      </font>
      <fill>
        <patternFill>
          <bgColor rgb="FFFFC7CE"/>
        </patternFill>
      </fill>
    </dxf>
    <dxf>
      <font>
        <color rgb="FF9C0006"/>
      </font>
      <fill>
        <patternFill>
          <bgColor rgb="FFFFC7CE"/>
        </patternFill>
      </fill>
    </dxf>
    <dxf>
      <font>
        <strike/>
        <u val="none"/>
        <color theme="0" tint="-0.34998626667073579"/>
      </font>
    </dxf>
    <dxf>
      <font>
        <strike/>
        <u val="none"/>
        <color theme="0" tint="-0.34998626667073579"/>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u val="none"/>
        <color theme="0" tint="-0.34998626667073579"/>
      </font>
    </dxf>
    <dxf>
      <font>
        <strike/>
        <u val="none"/>
        <color theme="0" tint="-0.34998626667073579"/>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theme="1"/>
        <name val="DB Office"/>
        <family val="2"/>
        <scheme val="none"/>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DB Office"/>
        <family val="2"/>
        <scheme val="none"/>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DB Office"/>
        <family val="2"/>
        <scheme val="none"/>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condense val="0"/>
        <extend val="0"/>
        <outline val="0"/>
        <shadow val="0"/>
        <u val="none"/>
        <vertAlign val="baseline"/>
        <sz val="11"/>
        <color theme="1"/>
        <name val="DB Office"/>
        <family val="2"/>
        <scheme val="none"/>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condense val="0"/>
        <extend val="0"/>
        <outline val="0"/>
        <shadow val="0"/>
        <u val="none"/>
        <vertAlign val="baseline"/>
        <sz val="11"/>
        <color theme="1"/>
        <name val="DB Office"/>
        <family val="2"/>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DB Office"/>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DB Office"/>
        <family val="2"/>
        <scheme val="none"/>
      </font>
      <fill>
        <patternFill patternType="none">
          <fgColor indexed="64"/>
          <bgColor auto="1"/>
        </patternFill>
      </fill>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none">
          <fgColor indexed="64"/>
          <bgColor auto="1"/>
        </patternFill>
      </fill>
    </dxf>
    <dxf>
      <font>
        <b/>
        <i val="0"/>
        <strike val="0"/>
        <condense val="0"/>
        <extend val="0"/>
        <outline val="0"/>
        <shadow val="0"/>
        <u val="none"/>
        <vertAlign val="baseline"/>
        <sz val="11"/>
        <color theme="1"/>
        <name val="DB Office"/>
        <family val="2"/>
        <scheme val="none"/>
      </font>
      <fill>
        <patternFill patternType="none">
          <fgColor indexed="64"/>
          <bgColor auto="1"/>
        </patternFill>
      </fill>
      <alignment horizontal="general" vertical="bottom" textRotation="0" wrapText="1" indent="0" justifyLastLine="0" shrinkToFit="0" readingOrder="0"/>
      <border diagonalUp="0" diagonalDown="0" outline="0">
        <left style="thin">
          <color indexed="64"/>
        </left>
        <right style="thin">
          <color indexed="64"/>
        </right>
        <top/>
        <bottom/>
      </border>
    </dxf>
    <dxf>
      <numFmt numFmtId="0" formatCode="General"/>
    </dxf>
    <dxf>
      <numFmt numFmtId="30" formatCode="@"/>
    </dxf>
    <dxf>
      <numFmt numFmtId="30" formatCode="@"/>
    </dxf>
    <dxf>
      <numFmt numFmtId="30" formatCode="@"/>
    </dxf>
    <dxf>
      <border outline="0">
        <top style="thin">
          <color theme="0" tint="-0.499984740745262"/>
        </top>
      </border>
    </dxf>
    <dxf>
      <border outline="0">
        <bottom style="thin">
          <color theme="0" tint="-0.499984740745262"/>
        </bottom>
      </border>
    </dxf>
    <dxf>
      <font>
        <b/>
        <i val="0"/>
        <strike val="0"/>
        <condense val="0"/>
        <extend val="0"/>
        <outline val="0"/>
        <shadow val="0"/>
        <u val="none"/>
        <vertAlign val="baseline"/>
        <sz val="11"/>
        <color auto="1"/>
        <name val="Calibri"/>
        <family val="2"/>
        <scheme val="minor"/>
      </font>
      <fill>
        <patternFill patternType="solid">
          <fgColor indexed="64"/>
          <bgColor theme="0" tint="-0.14999847407452621"/>
        </patternFill>
      </fill>
      <alignment horizontal="general" vertical="bottom" textRotation="0" wrapText="1" indent="0" justifyLastLine="0" shrinkToFit="0" readingOrder="0"/>
      <border diagonalUp="0" diagonalDown="0" outline="0">
        <left style="thin">
          <color theme="0" tint="-0.499984740745262"/>
        </left>
        <right style="thin">
          <color theme="0" tint="-0.499984740745262"/>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6"/>
        </top>
      </border>
    </dxf>
    <dxf>
      <border outline="0">
        <left style="thin">
          <color theme="6"/>
        </left>
        <right style="thin">
          <color theme="6"/>
        </right>
        <top style="thin">
          <color theme="6"/>
        </top>
        <bottom style="thin">
          <color theme="6"/>
        </bottom>
      </border>
    </dxf>
    <dxf>
      <fill>
        <patternFill patternType="none">
          <fgColor indexed="64"/>
          <bgColor auto="1"/>
        </patternFill>
      </fill>
    </dxf>
    <dxf>
      <border outline="0">
        <bottom style="thin">
          <color theme="6"/>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style="thin">
          <color theme="6"/>
        </left>
        <right style="thin">
          <color theme="6"/>
        </right>
        <top/>
        <bottom/>
      </border>
    </dxf>
    <dxf>
      <numFmt numFmtId="0" formatCode="General"/>
      <fill>
        <patternFill patternType="solid">
          <fgColor indexed="64"/>
          <bgColor theme="7" tint="0.59999389629810485"/>
        </patternFill>
      </fill>
    </dxf>
    <dxf>
      <numFmt numFmtId="0" formatCode="General"/>
    </dxf>
    <dxf>
      <numFmt numFmtId="19" formatCode="dd/mm/yyyy"/>
    </dxf>
    <dxf>
      <numFmt numFmtId="170" formatCode="h:mm;@"/>
    </dxf>
    <dxf>
      <numFmt numFmtId="0" formatCode="General"/>
    </dxf>
    <dxf>
      <numFmt numFmtId="0" formatCode="General"/>
    </dxf>
    <dxf>
      <font>
        <strike val="0"/>
        <outline val="0"/>
        <shadow val="0"/>
        <u val="none"/>
        <vertAlign val="baseline"/>
        <sz val="11"/>
        <color auto="1"/>
        <name val="Calibri"/>
        <family val="2"/>
        <scheme val="minor"/>
      </font>
    </dxf>
    <dxf>
      <numFmt numFmtId="0" formatCode="General"/>
      <fill>
        <patternFill patternType="solid">
          <fgColor indexed="64"/>
          <bgColor theme="7" tint="0.59999389629810485"/>
        </patternFill>
      </fill>
    </dxf>
    <dxf>
      <numFmt numFmtId="0" formatCode="General"/>
    </dxf>
    <dxf>
      <numFmt numFmtId="19" formatCode="dd/mm/yyyy"/>
    </dxf>
    <dxf>
      <numFmt numFmtId="170" formatCode="h:mm;@"/>
    </dxf>
    <dxf>
      <numFmt numFmtId="0" formatCode="General"/>
    </dxf>
    <dxf>
      <numFmt numFmtId="0" formatCode="General"/>
    </dxf>
    <dxf>
      <font>
        <strike val="0"/>
        <outline val="0"/>
        <shadow val="0"/>
        <u val="none"/>
        <vertAlign val="baseline"/>
        <sz val="11"/>
        <color auto="1"/>
        <name val="Calibri"/>
        <family val="2"/>
        <scheme val="minor"/>
      </font>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0" formatCode="General"/>
      <fill>
        <patternFill patternType="none">
          <fgColor indexed="64"/>
          <bgColor auto="1"/>
        </patternFill>
      </fil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strike val="0"/>
        <outline val="0"/>
        <shadow val="0"/>
        <u val="none"/>
        <vertAlign val="baseline"/>
        <sz val="11"/>
        <color theme="0"/>
        <name val="Calibri"/>
        <family val="2"/>
        <scheme val="minor"/>
      </font>
      <alignment horizontal="general" vertical="bottom" textRotation="0" wrapText="1" indent="0" justifyLastLine="0" shrinkToFit="0" readingOrder="0"/>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10/relationships/person" Target="persons/perso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23" Type="http://schemas.openxmlformats.org/officeDocument/2006/relationships/customXml" Target="../customXml/item5.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 Id="rId22" Type="http://schemas.openxmlformats.org/officeDocument/2006/relationships/customXml" Target="../customXml/item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73AA74C-DC30-496C-8BAE-2FBD8A3B1F4A}">
    <nsvFilter filterId="{1F8D40B3-C7E8-4803-8AE7-95581F2DD487}" ref="A1:W595" tableId="6">
      <columnFilter colId="1" id="{90F9A33B-4240-4551-A5B8-9339133560EC}">
        <filter colId="1">
          <x:filters>
            <x:filter val="Ruhewagen-Rowdie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Aslaksen" id="{1D1008D4-9852-4DA7-93AA-6FBBB567F42E}" userId="S::James.Aslaksen@deutschebahn.com::b157c64f-f014-4b70-b4eb-60c92898ce19"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143BD7-0797-483E-8C9B-CC7FE2BE79B7}" name="Logbuch6" displayName="Logbuch6" ref="A4:H103" totalsRowShown="0" headerRowDxfId="59">
  <autoFilter ref="A4:H103" xr:uid="{5F11A63A-D6DE-47B4-8680-EC4D4E6DBA8F}"/>
  <sortState xmlns:xlrd2="http://schemas.microsoft.com/office/spreadsheetml/2017/richdata2" ref="A5:H61">
    <sortCondition ref="E4:E61"/>
  </sortState>
  <tableColumns count="8">
    <tableColumn id="1" xr3:uid="{D41D8711-C5AA-478E-AB78-F353CD9B68DC}" name="Eintragsart"/>
    <tableColumn id="2" xr3:uid="{DDA51B9D-C3FC-4C5A-B3BE-FAC39572D73D}" name="Details" dataDxfId="58"/>
    <tableColumn id="3" xr3:uid="{650CBAB5-60D2-402C-8B21-5A8AB4CF48AE}" name="Check"/>
    <tableColumn id="4" xr3:uid="{338A778C-C7F4-4199-9911-35C4C3CA4187}" name="Bahnhof" dataDxfId="57"/>
    <tableColumn id="5" xr3:uid="{192AF1DA-0A10-4C41-BED1-779AF6FC04AF}" name="Uhrzeit" dataDxfId="56"/>
    <tableColumn id="8" xr3:uid="{59175AA9-226E-4E30-8562-802722F5C699}" name="Datum" dataDxfId="55"/>
    <tableColumn id="6" xr3:uid="{CFAD6810-6BAF-4A53-9060-E947E29734E5}" name="Sonstiges/Verspätung" dataDxfId="54"/>
    <tableColumn id="7" xr3:uid="{461D9030-24AF-4505-942E-A435F1D61AF4}" name="Punkte" dataDxfId="53"/>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DDBB09-EE5D-4E7E-8F05-7899105849E5}" name="Logbuch" displayName="Logbuch" ref="A4:H41" totalsRowShown="0" headerRowDxfId="52">
  <autoFilter ref="A4:H41" xr:uid="{5F11A63A-D6DE-47B4-8680-EC4D4E6DBA8F}"/>
  <tableColumns count="8">
    <tableColumn id="1" xr3:uid="{D709E82B-A14F-4F62-81AF-190F258631C9}" name="Eintragsart"/>
    <tableColumn id="3" xr3:uid="{04EC4863-1242-44CC-9E7E-39E154F258B1}" name="Check"/>
    <tableColumn id="2" xr3:uid="{A29258D5-F1CA-4774-9CA4-180373A229A3}" name="Details" dataDxfId="51">
      <calculatedColumnFormula array="1">_xlfn.SWITCH(Logbuch[[#This Row],[Eintragsart]],
$Y$1,IF(B4=$Y$2,C4,""),
$AA$1,IF(Logbuch[[#This Row],[Check]]=$AA$8,
_xlfn.LET(
 _xlpm.ende,$J$6+($J$6&lt;$J$5),
 _xlpm.zeit,E5+(E5&lt;0.6),
 _xlpm.lang,INT(((_xlpm.ende-$J$5)*1440)/10)*$J$9,
 IF(
  _xlpm.zeit&lt;=_xlpm.ende,
  MIN(_xlpm.lang,
  INT(((_xlpm.ende-_xlpm.zeit)*1440)/10)*$J$9),
  MAX(-300,
   -1*(MIN(3,INT((_xlpm.zeit-_xlpm.ende)*144+1))*25+
   MAX(0,INT((_xlpm.zeit-_xlpm.ende)*144-1.9))*50))
 )
),
IF(Logbuch[[#This Row],[Check]]=$AA$9,
MIN(INT(($J$8-$J$7)*144)*$J$9,INT((E5-$J$7)*144)*$J$9),"")),
""
)</calculatedColumnFormula>
    </tableColumn>
    <tableColumn id="4" xr3:uid="{F353B182-1208-4A18-B16A-44C6DE208777}" name="Bahnhof" dataDxfId="50">
      <calculatedColumnFormula array="1">IFERROR(
_xlfn.IFS(
AND(Logbuch[[#This Row],[Eintragsart]]=$Z$1,Logbuch[[#This Row],[Details]]),_xlfn.XLOOKUP(IF(Logbuch[[#This Row],[Eintragsart]]=$Z$1,Logbuch[[#This Row],[Details]],""),Ziehung[LosID],Ziehung[Bahnhof],FALSE,0),
AND(Logbuch[[#This Row],[Eintragsart]]=$Y$1,Logbuch[[#This Row],[Check]]="Einstieg"),D4),
"")</calculatedColumnFormula>
    </tableColumn>
    <tableColumn id="5" xr3:uid="{4EC2F3C9-6C07-4B96-AEFF-0F1D7E27F052}" name="Uhrzeit" dataDxfId="49"/>
    <tableColumn id="8" xr3:uid="{95D05864-AB4A-4FD5-BABD-688D6D7A9D28}" name="Datum" dataDxfId="48">
      <calculatedColumnFormula>F4</calculatedColumnFormula>
    </tableColumn>
    <tableColumn id="6" xr3:uid="{459A476C-6F3F-4808-B75E-854A18FFEC28}" name="Verspätung" dataDxfId="47">
      <calculatedColumnFormula array="1">_xlfn.LET(
    _xlpm.letzteAusstieg, IFERROR(MAX(_xlfn._xlws.FILTER(ROW($B4:B$5), $B4:B$5=$Y$3)), 0),
    _xlpm.ersteEinstieg, IFERROR(MIN(_xlfn._xlws.FILTER(ROW(C6:$C$1007), C6:$C$1007=$Y$2)), 0),
    _xlpm.wertAus, INDEX(E:E, _xlpm.letzteAusstieg) + IF(ISNUMBER(INDEX(G4:G$5, _xlpm.letzteAusstieg)),INDEX(G4:G$5, _xlpm.letzteAusstieg),0),
    _xlpm.wertEin, INDEX(E:E, _xlpm.ersteEinstieg) + IF(ISNUMBER(INDEX(G6:G$1007, _xlpm.ersteEinstieg-ROW(G5))),INDEX(G6:G$1007, _xlpm.ersteEinstieg-ROW(G5)),0),
    _xlpm.diff, (_xlpm.wertEin - _xlpm.wertAus) * 24 * 60,
    _xlpm.minuteSoll, IFERROR(_xlfn.XLOOKUP(C5, 'Ziehung 2025'!A:A, 'Ziehung 2025'!H:H),0),
    IF(OR(B5=$Z$3, B5=$Z$4), IF(_xlpm.diff&lt;_xlpm.minuteSoll,(_xlpm.diff - _xlpm.minuteSoll)*2,"OK"), "")
)</calculatedColumnFormula>
    </tableColumn>
    <tableColumn id="7" xr3:uid="{E2FE3FF5-05B0-43EA-AA6B-FFEE9D5B520B}" name="Punkte" dataDxfId="46">
      <calculatedColumnFormula array="1">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calculatedColumnFormula>
    </tableColumn>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6BF55-E7E4-4A69-83C0-062625F52338}" name="Ziehung" displayName="Ziehung" ref="A1:K197" totalsRowShown="0" headerRowDxfId="45" dataDxfId="43" headerRowBorderDxfId="44" tableBorderDxfId="42" totalsRowBorderDxfId="41">
  <autoFilter ref="A1:K197" xr:uid="{5176BF55-E7E4-4A69-83C0-062625F52338}"/>
  <tableColumns count="11">
    <tableColumn id="1" xr3:uid="{D72374BE-0147-4CD2-822A-68AB1AA1AA5C}" name="LosID" dataDxfId="40"/>
    <tableColumn id="2" xr3:uid="{0E6265C1-AD76-4449-B1F3-07F6656E2111}" name="Adresse" dataDxfId="39"/>
    <tableColumn id="3" xr3:uid="{01F0849C-C660-4046-8419-F39352586BAC}" name="Bahnhof" dataDxfId="38"/>
    <tableColumn id="4" xr3:uid="{3F29CF98-219B-4FF5-AEF4-1904876DD9EC}" name="Punkte Bahnhof" dataDxfId="37"/>
    <tableColumn id="5" xr3:uid="{FB33E577-5BAD-4BB5-9C17-D1C106D9FAB0}" name="Punkte Aufgabe" dataDxfId="36"/>
    <tableColumn id="6" xr3:uid="{B58E8CD7-4720-4EB9-B3B8-2EF79D23E14A}" name="Punkte Bonus" dataDxfId="35"/>
    <tableColumn id="7" xr3:uid="{31106C5F-0F68-4611-976A-6DFE4DFB500F}" name="Beschreibung" dataDxfId="34"/>
    <tableColumn id="8" xr3:uid="{DCCFFB09-3520-4E74-B5D7-8D6F1C3876D9}" name="Zeit-bedarf (min)" dataDxfId="33"/>
    <tableColumn id="9" xr3:uid="{DA1023FE-3C71-45DD-AC10-5209C82D8462}" name="Distanz (km)" dataDxfId="32"/>
    <tableColumn id="10" xr3:uid="{369541E8-BA1F-48B7-897A-5F1DEAF0C246}" name="Breitengrad" dataDxfId="31"/>
    <tableColumn id="11" xr3:uid="{55933DCB-9B47-4740-A07A-B662E17D4769}" name="Längengrad" dataDxfId="30"/>
  </tableColumns>
  <tableStyleInfo name="TableStyleMedium1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08675EE-7355-4E59-98C2-5ABA5A10F0C7}" name="Hafas" displayName="Hafas" ref="A1:E7504" totalsRowShown="0" headerRowDxfId="29" headerRowBorderDxfId="28" tableBorderDxfId="27">
  <autoFilter ref="A1:E7504" xr:uid="{A08675EE-7355-4E59-98C2-5ABA5A10F0C7}"/>
  <tableColumns count="5">
    <tableColumn id="1" xr3:uid="{B3540A78-9933-46C2-8186-033731AAE1A8}" name="NAME" dataDxfId="26"/>
    <tableColumn id="2" xr3:uid="{2348E44C-8050-48F3-B4EC-9167D0F5C26B}" name="HafasNr"/>
    <tableColumn id="3" xr3:uid="{B98BFC90-A537-4872-B168-90BE2AE94560}" name="Fahrten"/>
    <tableColumn id="4" xr3:uid="{1AE879D9-BA60-45BA-96FD-DEAAA549811A}" name="Breitengrad Bahnhof" dataDxfId="25"/>
    <tableColumn id="5" xr3:uid="{0FF91518-340C-4195-BEBC-BA85830BEE97}" name="Längengrad Bahnhof" dataDxfId="24"/>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8D40B3-C7E8-4803-8AE7-95581F2DD487}" name="Lose" displayName="Lose" ref="A1:W595" totalsRowShown="0" headerRowDxfId="76">
  <autoFilter ref="A1:W595" xr:uid="{1F8D40B3-C7E8-4803-8AE7-95581F2DD487}">
    <filterColumn colId="1">
      <filters>
        <filter val="Power Railers"/>
      </filters>
    </filterColumn>
  </autoFilter>
  <tableColumns count="23">
    <tableColumn id="1" xr3:uid="{1A7AD8A8-BC0E-4CB4-9BB4-BED47BFD66BE}" name="Valide?" dataDxfId="75">
      <calculatedColumnFormula>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calculatedColumnFormula>
    </tableColumn>
    <tableColumn id="11" xr3:uid="{90F9A33B-4240-4551-A5B8-9339133560EC}" name="Zuordnung" dataDxfId="74"/>
    <tableColumn id="2" xr3:uid="{2DE9B47E-0FEB-47C5-ADE9-AC89CA5E4570}" name="LosID"/>
    <tableColumn id="3" xr3:uid="{E93AC22E-716C-4D1A-8B05-8DFE729B8FD6}" name="Beschreibung" dataDxfId="73"/>
    <tableColumn id="4" xr3:uid="{223FE143-A0A1-43E7-A129-98FDE32AB72B}" name="Google Adresse"/>
    <tableColumn id="5" xr3:uid="{A7313F79-396B-4F3C-BC57-F8AC4959812F}" name="Google Koordinaten"/>
    <tableColumn id="6" xr3:uid="{CD141C6A-460E-4BB8-89C7-0B70DC161FC1}" name="Gehzeit (min)"/>
    <tableColumn id="7" xr3:uid="{6C1205B9-0F5E-40B1-AA01-D55B468C1194}" name="Aufgaben-zeit (min)"/>
    <tableColumn id="8" xr3:uid="{3C83E80B-0F77-4D9F-A8C5-19220884EF46}" name="Distanz (km)"/>
    <tableColumn id="9" xr3:uid="{9E9CCB20-8BCD-4E51-B2B8-A8C6B4ED8428}" name="Bonus-punkte"/>
    <tableColumn id="10" xr3:uid="{FBDEC9AC-01B2-4897-9432-A48AEAF365A8}" name="Bahnhof" dataDxfId="72">
      <calculatedColumnFormula array="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calculatedColumnFormula>
    </tableColumn>
    <tableColumn id="13" xr3:uid="{A0BE1C91-E094-4657-897D-632A3A9EC6E4}" name="Breitengrad Aufgabe" dataDxfId="71">
      <calculatedColumnFormula>IFERROR(LEFT(TRIM(Lose[[#This Row],[Google Koordinaten]]),9),"")</calculatedColumnFormula>
    </tableColumn>
    <tableColumn id="14" xr3:uid="{2339B6C6-482F-453F-B253-ADDC8CC49FE3}" name="Längengrad Aufgabe" dataDxfId="70">
      <calculatedColumnFormula>IFERROR(MID(TRIM(Lose[[#This Row],[Google Koordinaten]]),
FIND(",",TRIM(Lose[[#This Row],[Google Koordinaten]])) + 2,9),"")</calculatedColumnFormula>
    </tableColumn>
    <tableColumn id="17" xr3:uid="{A30AE5EE-9BEE-4B69-A11E-4DAEEEC79876}" name="Punkte Bahnhof" dataDxfId="69">
      <calculatedColumnFormula>IF(Lose[[#This Row],[Bahn-hofs-zeit]]=0,0,MROUND(30*25^((Lose[[#This Row],[Bahn-hofs-zeit]]-_xlfn.MINIFS(Lose[Bahn-hofs-zeit],Lose[Bahn-hofs-zeit],"&gt;0"))/(MAX(Lose[Bahn-hofs-zeit])-_xlfn.MINIFS(Lose[Bahn-hofs-zeit],Lose[Bahn-hofs-zeit],"&gt;0"))),5))</calculatedColumnFormula>
    </tableColumn>
    <tableColumn id="18" xr3:uid="{16795AA1-B0D8-4135-B561-51465298404E}" name="Punkte Aufgabe" dataDxfId="68">
      <calculatedColumnFormula>IF(Lose[[#This Row],[Gehzeit (min)]]="",0,CEILING(3*(Lose[[#This Row],[Gehzeit (min)]]+Lose[[#This Row],[Aufgaben-zeit (min)]]),5))</calculatedColumnFormula>
    </tableColumn>
    <tableColumn id="24" xr3:uid="{E7F230DD-E4EA-4D3D-9256-34D228020834}" name="Bahn-hofs-zeit" dataDxfId="67"/>
    <tableColumn id="19" xr3:uid="{EDC0761E-8626-446B-9CA6-2550B97FEF1C}" name="Check Km/h" dataDxfId="66">
      <calculatedColumnFormula>IFERROR(ROUND(Lose[[#This Row],[Distanz (km)]]*60/Lose[[#This Row],[Gehzeit (min)]],1),"")</calculatedColumnFormula>
    </tableColumn>
    <tableColumn id="20" xr3:uid="{A0D573A3-1248-47F8-94EF-F0F28B2C2708}" name="Check Distanz" dataDxfId="65">
      <calculatedColumnFormula>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calculatedColumnFormula>
    </tableColumn>
    <tableColumn id="21" xr3:uid="{D11D96C4-36C7-4227-A6AD-6EED9EF807FF}" name="Check Umweg" dataDxfId="64">
      <calculatedColumnFormula>IFERROR(Lose[[#This Row],[Distanz (km)]]-Lose[[#This Row],[Check Distanz]],"")</calculatedColumnFormula>
    </tableColumn>
    <tableColumn id="22" xr3:uid="{FD8DB139-3505-4358-B16C-1E80D87D9A9F}" name="Check % Umweg" dataDxfId="63" dataCellStyle="Prozent">
      <calculatedColumnFormula>IFERROR(Lose[[#This Row],[Check Umweg]]/Lose[[#This Row],[Check Distanz]],"")</calculatedColumnFormula>
    </tableColumn>
    <tableColumn id="15" xr3:uid="{8B3DBCBD-1A5B-4743-93B7-9E3F35C67C11}" name="Zufallszahl" dataDxfId="62">
      <calculatedColumnFormula>IF(RIGHT(Lose[[#This Row],[LosID]],1)="b",_xlfn.XLOOKUP(REPLACE(Lose[[#This Row],[LosID]],LEN(Lose[[#This Row],[LosID]]),1,"a"),Lose[LosID],Lose[Zufallszahl],"",0),RAND())</calculatedColumnFormula>
    </tableColumn>
    <tableColumn id="16" xr3:uid="{AC49F3F1-9DDB-4898-B63B-7C18DCC16442}" name="Ziehung" dataDxfId="61">
      <calculatedColumnFormula array="1">Lose[[#This Row],[Zufallszahl]]&gt;=IFERROR(LARGE((LEFT(Lose[LosID],FIND("-",Lose[LosID])-1)=LEFT(Lose[[#This Row],[LosID]],FIND("-",Lose[[#This Row],[LosID]])-1))*Lose[Zufallszahl],_xlfn.XLOOKUP(LEFT(Lose[[#This Row],[LosID]],FIND("-",Lose[[#This Row],[LosID]])-1),Ziehungsanzahl[Kürzel],Ziehungsanzahl[Kontingent],FALSE,0)),9999)</calculatedColumnFormula>
    </tableColumn>
    <tableColumn id="12" xr3:uid="{4C12521F-4800-49BC-9EE0-8344841F5BD6}" name="Validierung Orga-Team" dataDxfId="6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D30270-256A-4763-B9F6-66DA3D82543E}" name="Ziehungsanzahl" displayName="Ziehungsanzahl" ref="A1:F19" totalsRowShown="0">
  <autoFilter ref="A1:F19" xr:uid="{16D30270-256A-4763-B9F6-66DA3D82543E}"/>
  <sortState xmlns:xlrd2="http://schemas.microsoft.com/office/spreadsheetml/2017/richdata2" ref="A2:E19">
    <sortCondition ref="B1:B19"/>
  </sortState>
  <tableColumns count="6">
    <tableColumn id="1" xr3:uid="{EB6F641C-DF45-4EBE-8183-C67607730B46}" name="Lostopf"/>
    <tableColumn id="2" xr3:uid="{87B61643-4AE4-463C-955E-0F44DAF106DE}" name="Kürzel"/>
    <tableColumn id="3" xr3:uid="{D182F191-699F-4EEB-AD92-57E065CCCE7B}" name="#Lose" dataDxfId="23">
      <calculatedColumnFormula>IFERROR(COUNTIF(Lose[LosID],B2&amp;"-*"),"")</calculatedColumnFormula>
    </tableColumn>
    <tableColumn id="4" xr3:uid="{37821EDE-2037-41AE-9F41-BC3DC69D9F3F}" name="Kontingent"/>
    <tableColumn id="5" xr3:uid="{817CC890-D8A3-4F9C-B39D-332F7ABD7C5C}" name="Kommentar"/>
    <tableColumn id="6" xr3:uid="{44975F5E-EB38-4831-8E87-FF1A89DA9239}" name="Validiert Orga-Team"/>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3871FB-A991-4245-842E-D786C145BDC6}" name="Teilnehmer" displayName="Teilnehmer" ref="A2:G60" totalsRowShown="0" headerRowDxfId="22" dataDxfId="21" tableBorderDxfId="20">
  <autoFilter ref="A2:G60" xr:uid="{3B3871FB-A991-4245-842E-D786C145BDC6}"/>
  <tableColumns count="7">
    <tableColumn id="1" xr3:uid="{86985109-E816-48E5-9FAF-8E2647E10DC4}" name="Team" dataDxfId="19"/>
    <tableColumn id="2" xr3:uid="{C351A2E6-817E-488F-91CD-FAE6D2365C03}" name="Chef" dataDxfId="18"/>
    <tableColumn id="3" xr3:uid="{DB954E40-98FA-4C39-A9ED-8BAEEF433565}" name="Name" dataDxfId="17"/>
    <tableColumn id="4" xr3:uid="{9923BD5F-C34B-4A66-9C97-CDE283627CE7}" name="E-Mail" dataDxfId="16"/>
    <tableColumn id="5" xr3:uid="{64CFBD31-1FEB-48FE-8BD1-C4D23CC23AFA}" name="Bemerkung" dataDxfId="15"/>
    <tableColumn id="6" xr3:uid="{63A38D4A-CA17-4DF8-8343-5F3A34E7FE7F}" name="Zimmer (lfd.)" dataDxfId="14"/>
    <tableColumn id="7" xr3:uid="{990C1D94-6490-4324-A287-6BA0FB0A9E85}" name="Zimmer-Nr. (vor Ort)" dataDxfId="13"/>
  </tableColumns>
  <tableStyleInfo name="TableStyleMedium2"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57" dT="2026-06-01T11:35:32.84" personId="{1D1008D4-9852-4DA7-93AA-6FBBB567F42E}" id="{3D608802-B92B-4BBA-A443-91EC7B5265DF}">
    <text>Ist wirklich so, da man ein Hotelgelände umgehen muss.</text>
  </threadedComment>
  <threadedComment ref="A314" dT="2026-06-03T22:07:20.01" personId="{1D1008D4-9852-4DA7-93AA-6FBBB567F42E}" id="{820D0512-63D9-428C-9F8F-51472DB1A931}">
    <text>Ist korrekt: Um vom Bahnhof zum Minigolfplatz zu kommen, muss man einen Umweg über den Bü südwestlich des Bahnhofs gehen.</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microsoft.com/office/2019/04/relationships/namedSheetView" Target="../namedSheetViews/namedSheetView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34EDE-1BD0-420E-9B47-37A103F670F3}">
  <dimension ref="A1:AD103"/>
  <sheetViews>
    <sheetView workbookViewId="0">
      <selection activeCell="L21" sqref="L21"/>
    </sheetView>
  </sheetViews>
  <sheetFormatPr baseColWidth="10" defaultColWidth="11.42578125" defaultRowHeight="15"/>
  <cols>
    <col min="1" max="1" width="15.42578125" bestFit="1" customWidth="1"/>
    <col min="2" max="2" width="9.42578125" bestFit="1" customWidth="1"/>
    <col min="3" max="3" width="22.140625" customWidth="1"/>
    <col min="4" max="4" width="27.140625" customWidth="1"/>
    <col min="5" max="5" width="11.42578125" style="56" bestFit="1"/>
    <col min="6" max="6" width="11.42578125" style="53" bestFit="1"/>
    <col min="7" max="7" width="19.140625" customWidth="1"/>
    <col min="9" max="9" width="2.42578125" customWidth="1"/>
    <col min="11" max="11" width="32" bestFit="1" customWidth="1"/>
    <col min="12" max="12" width="15.140625" bestFit="1" customWidth="1"/>
  </cols>
  <sheetData>
    <row r="1" spans="1:30" ht="15.75" thickBot="1">
      <c r="U1" s="32"/>
      <c r="V1" s="32"/>
      <c r="W1" s="32"/>
      <c r="X1" s="32"/>
      <c r="Y1" s="32" t="s">
        <v>0</v>
      </c>
      <c r="Z1" s="32" t="s">
        <v>1</v>
      </c>
      <c r="AA1" s="32" t="s">
        <v>2</v>
      </c>
      <c r="AB1" s="32"/>
      <c r="AC1" s="32"/>
      <c r="AD1" s="32"/>
    </row>
    <row r="2" spans="1:30" ht="24" thickBot="1">
      <c r="A2" s="38" t="s">
        <v>3</v>
      </c>
      <c r="B2" s="110" t="s">
        <v>4</v>
      </c>
      <c r="C2" s="110"/>
      <c r="D2" s="111"/>
      <c r="E2" s="57"/>
      <c r="F2" s="54"/>
      <c r="G2" s="39" t="s">
        <v>5</v>
      </c>
      <c r="H2" s="48">
        <f>SUM(Logbuch6[Punkte])+SUM(J18:J40)</f>
        <v>3042</v>
      </c>
      <c r="I2" s="35"/>
      <c r="J2" s="39" t="s">
        <v>6</v>
      </c>
      <c r="K2" s="37">
        <f ca="1">NOW()</f>
        <v>46248.663077777775</v>
      </c>
      <c r="U2" s="32"/>
      <c r="V2" s="32"/>
      <c r="W2" s="32"/>
      <c r="X2" s="32"/>
      <c r="Y2" s="32" t="s">
        <v>7</v>
      </c>
      <c r="Z2" s="32" t="s">
        <v>8</v>
      </c>
      <c r="AA2" s="32" t="s">
        <v>9</v>
      </c>
      <c r="AB2" s="32"/>
      <c r="AC2" s="32" t="s">
        <v>8</v>
      </c>
      <c r="AD2" s="32">
        <v>1</v>
      </c>
    </row>
    <row r="3" spans="1:30" ht="15.75" thickBot="1">
      <c r="U3" s="32"/>
      <c r="V3" s="32"/>
      <c r="W3" s="32"/>
      <c r="X3" s="32"/>
      <c r="Y3" s="32" t="s">
        <v>10</v>
      </c>
      <c r="Z3" s="32" t="s">
        <v>11</v>
      </c>
      <c r="AA3" s="32" t="s">
        <v>12</v>
      </c>
      <c r="AB3" s="32"/>
      <c r="AC3" s="32" t="s">
        <v>11</v>
      </c>
      <c r="AD3" s="32">
        <v>2</v>
      </c>
    </row>
    <row r="4" spans="1:30">
      <c r="A4" s="32" t="s">
        <v>13</v>
      </c>
      <c r="B4" s="33" t="s">
        <v>14</v>
      </c>
      <c r="C4" s="32" t="s">
        <v>15</v>
      </c>
      <c r="D4" s="32" t="s">
        <v>16</v>
      </c>
      <c r="E4" s="58" t="s">
        <v>6</v>
      </c>
      <c r="F4" s="55" t="s">
        <v>17</v>
      </c>
      <c r="G4" s="32" t="s">
        <v>18</v>
      </c>
      <c r="H4" s="32" t="s">
        <v>5</v>
      </c>
      <c r="J4" s="40" t="s">
        <v>6</v>
      </c>
      <c r="K4" s="41" t="s">
        <v>19</v>
      </c>
      <c r="U4" s="32"/>
      <c r="V4" s="32"/>
      <c r="W4" s="32"/>
      <c r="X4" s="32"/>
      <c r="Y4" s="32"/>
      <c r="Z4" s="32" t="s">
        <v>20</v>
      </c>
      <c r="AA4" s="32" t="s">
        <v>21</v>
      </c>
      <c r="AB4" s="32"/>
      <c r="AC4" s="32" t="s">
        <v>20</v>
      </c>
      <c r="AD4" s="32">
        <v>3</v>
      </c>
    </row>
    <row r="5" spans="1:30">
      <c r="A5" t="s">
        <v>2</v>
      </c>
      <c r="B5">
        <v>-25</v>
      </c>
      <c r="C5" t="s">
        <v>9</v>
      </c>
      <c r="D5" t="s">
        <v>22</v>
      </c>
      <c r="E5" s="56">
        <v>0.375</v>
      </c>
      <c r="F5" s="53">
        <v>46215</v>
      </c>
      <c r="G5" t="s">
        <v>23</v>
      </c>
      <c r="H5" s="46">
        <v>-25</v>
      </c>
      <c r="J5" s="42">
        <v>0.93402777777777779</v>
      </c>
      <c r="K5" s="43" t="s">
        <v>24</v>
      </c>
      <c r="U5" s="32"/>
      <c r="V5" s="32"/>
      <c r="W5" s="32"/>
      <c r="X5" s="32"/>
      <c r="Y5" s="32"/>
      <c r="Z5" s="32"/>
      <c r="AA5" s="32" t="s">
        <v>25</v>
      </c>
      <c r="AB5" s="32"/>
      <c r="AC5" s="32"/>
      <c r="AD5" s="32"/>
    </row>
    <row r="6" spans="1:30">
      <c r="A6" t="s">
        <v>0</v>
      </c>
      <c r="B6" t="s">
        <v>26</v>
      </c>
      <c r="C6" t="s">
        <v>7</v>
      </c>
      <c r="D6" t="s">
        <v>22</v>
      </c>
      <c r="E6" s="56">
        <v>0.40416666666666662</v>
      </c>
      <c r="F6" s="53">
        <v>46215</v>
      </c>
      <c r="H6" s="46" t="s">
        <v>23</v>
      </c>
      <c r="J6" s="42">
        <v>0.97569444444444442</v>
      </c>
      <c r="K6" s="43" t="s">
        <v>27</v>
      </c>
      <c r="U6" s="32"/>
      <c r="V6" s="32"/>
      <c r="W6" s="32"/>
      <c r="X6" s="32"/>
      <c r="Y6" s="32"/>
      <c r="Z6" s="32"/>
      <c r="AA6" s="32" t="s">
        <v>28</v>
      </c>
      <c r="AB6" s="32"/>
      <c r="AC6" s="32"/>
      <c r="AD6" s="32"/>
    </row>
    <row r="7" spans="1:30">
      <c r="A7" t="s">
        <v>0</v>
      </c>
      <c r="B7" t="s">
        <v>26</v>
      </c>
      <c r="C7" t="s">
        <v>10</v>
      </c>
      <c r="D7" t="s">
        <v>29</v>
      </c>
      <c r="E7" s="56">
        <v>0.41180555555555554</v>
      </c>
      <c r="F7" s="53">
        <v>46215</v>
      </c>
      <c r="H7" s="46" t="s">
        <v>23</v>
      </c>
      <c r="J7" s="42">
        <v>0.22222222222222221</v>
      </c>
      <c r="K7" s="43" t="s">
        <v>30</v>
      </c>
      <c r="U7" s="32"/>
      <c r="V7" s="32"/>
      <c r="W7" s="32"/>
      <c r="X7" s="32"/>
      <c r="Y7" s="32"/>
      <c r="Z7" s="32"/>
      <c r="AA7" s="32" t="s">
        <v>31</v>
      </c>
      <c r="AB7" s="32"/>
      <c r="AC7" s="32"/>
      <c r="AD7" s="32"/>
    </row>
    <row r="8" spans="1:30">
      <c r="A8" t="s">
        <v>1</v>
      </c>
      <c r="B8" t="s">
        <v>32</v>
      </c>
      <c r="C8" t="s">
        <v>20</v>
      </c>
      <c r="D8" t="s">
        <v>33</v>
      </c>
      <c r="E8" s="56">
        <v>0.41250000000000003</v>
      </c>
      <c r="F8" s="53">
        <v>46215</v>
      </c>
      <c r="G8" t="s">
        <v>23</v>
      </c>
      <c r="H8" s="46">
        <v>0</v>
      </c>
      <c r="J8" s="42">
        <v>0.30555555555555552</v>
      </c>
      <c r="K8" s="43" t="s">
        <v>34</v>
      </c>
      <c r="U8" s="32"/>
      <c r="V8" s="32"/>
      <c r="W8" s="32"/>
      <c r="X8" s="32"/>
      <c r="Y8" s="32"/>
      <c r="Z8" s="32"/>
      <c r="AA8" s="32" t="s">
        <v>35</v>
      </c>
      <c r="AB8" s="32"/>
      <c r="AC8" s="32"/>
      <c r="AD8" s="32"/>
    </row>
    <row r="9" spans="1:30" ht="15.75" thickBot="1">
      <c r="A9" t="s">
        <v>0</v>
      </c>
      <c r="B9" t="s">
        <v>36</v>
      </c>
      <c r="C9" t="s">
        <v>7</v>
      </c>
      <c r="D9" t="s">
        <v>29</v>
      </c>
      <c r="E9" s="56">
        <v>0.41944444444444445</v>
      </c>
      <c r="F9" s="53">
        <v>46215</v>
      </c>
      <c r="H9" s="46" t="s">
        <v>23</v>
      </c>
      <c r="J9" s="44">
        <v>25</v>
      </c>
      <c r="K9" s="45" t="s">
        <v>5</v>
      </c>
      <c r="U9" s="32"/>
      <c r="V9" s="32"/>
      <c r="W9" s="32"/>
      <c r="X9" s="32"/>
      <c r="Y9" s="32"/>
      <c r="Z9" s="32"/>
      <c r="AA9" s="32"/>
      <c r="AB9" s="32"/>
      <c r="AC9" s="32"/>
      <c r="AD9" s="32"/>
    </row>
    <row r="10" spans="1:30" ht="15.75" thickBot="1">
      <c r="A10" t="s">
        <v>0</v>
      </c>
      <c r="B10" t="s">
        <v>37</v>
      </c>
      <c r="C10" t="s">
        <v>7</v>
      </c>
      <c r="D10" t="s">
        <v>22</v>
      </c>
      <c r="E10" s="56">
        <v>0.4201388888888889</v>
      </c>
      <c r="F10" s="53">
        <v>46215</v>
      </c>
      <c r="G10">
        <v>30</v>
      </c>
      <c r="H10" s="46" t="s">
        <v>23</v>
      </c>
      <c r="U10" s="32"/>
      <c r="V10" s="32"/>
      <c r="W10" s="32"/>
      <c r="X10" s="32"/>
      <c r="Y10" s="32"/>
      <c r="Z10" s="32"/>
      <c r="AA10" s="32"/>
      <c r="AB10" s="32"/>
      <c r="AC10" s="32"/>
      <c r="AD10" s="32"/>
    </row>
    <row r="11" spans="1:30">
      <c r="A11" t="s">
        <v>0</v>
      </c>
      <c r="B11" t="s">
        <v>36</v>
      </c>
      <c r="C11" t="s">
        <v>10</v>
      </c>
      <c r="D11" t="s">
        <v>38</v>
      </c>
      <c r="E11" s="56">
        <v>0.42708333333333331</v>
      </c>
      <c r="F11" s="53">
        <v>46215</v>
      </c>
      <c r="H11" s="46" t="s">
        <v>23</v>
      </c>
      <c r="J11" s="40" t="s">
        <v>39</v>
      </c>
      <c r="K11" s="41" t="s">
        <v>16</v>
      </c>
      <c r="L11" s="51" t="s">
        <v>3</v>
      </c>
      <c r="M11" s="51" t="s">
        <v>40</v>
      </c>
      <c r="U11" s="32"/>
      <c r="V11" s="32"/>
      <c r="W11" s="32"/>
      <c r="X11" s="32"/>
      <c r="Y11" s="32"/>
      <c r="Z11" s="32"/>
      <c r="AA11" s="32"/>
      <c r="AB11" s="32"/>
      <c r="AC11" s="32"/>
      <c r="AD11" s="32"/>
    </row>
    <row r="12" spans="1:30">
      <c r="A12" t="s">
        <v>1</v>
      </c>
      <c r="B12" t="s">
        <v>41</v>
      </c>
      <c r="C12" t="s">
        <v>8</v>
      </c>
      <c r="D12" t="s">
        <v>42</v>
      </c>
      <c r="E12" s="56">
        <v>0.45833333333333331</v>
      </c>
      <c r="F12" s="53">
        <v>46215</v>
      </c>
      <c r="G12" t="s">
        <v>23</v>
      </c>
      <c r="H12" s="46">
        <v>60</v>
      </c>
      <c r="J12" s="42" t="s">
        <v>43</v>
      </c>
      <c r="K12" s="43" t="s">
        <v>44</v>
      </c>
      <c r="L12" s="51" t="str">
        <f>$B$2</f>
        <v>Die Hemmschuhe</v>
      </c>
      <c r="M12" s="51" t="s">
        <v>23</v>
      </c>
      <c r="U12" s="32"/>
      <c r="V12" s="32"/>
      <c r="W12" s="32"/>
      <c r="X12" s="32"/>
      <c r="Y12" s="32"/>
      <c r="Z12" s="32"/>
      <c r="AB12" s="32"/>
      <c r="AC12" s="32"/>
      <c r="AD12" s="32"/>
    </row>
    <row r="13" spans="1:30">
      <c r="A13" t="s">
        <v>0</v>
      </c>
      <c r="B13" t="s">
        <v>37</v>
      </c>
      <c r="C13" t="s">
        <v>7</v>
      </c>
      <c r="D13" t="s">
        <v>42</v>
      </c>
      <c r="E13" s="56">
        <v>0.46458333333333335</v>
      </c>
      <c r="F13" s="53">
        <v>46215</v>
      </c>
      <c r="G13">
        <v>30</v>
      </c>
      <c r="H13" s="46" t="s">
        <v>23</v>
      </c>
      <c r="J13" s="42" t="s">
        <v>45</v>
      </c>
      <c r="K13" s="43" t="s">
        <v>46</v>
      </c>
      <c r="L13" s="51" t="str">
        <f>$B$2</f>
        <v>Die Hemmschuhe</v>
      </c>
      <c r="M13" s="51" t="s">
        <v>23</v>
      </c>
    </row>
    <row r="14" spans="1:30">
      <c r="A14" t="s">
        <v>0</v>
      </c>
      <c r="B14" t="s">
        <v>37</v>
      </c>
      <c r="C14" t="s">
        <v>10</v>
      </c>
      <c r="D14" t="s">
        <v>42</v>
      </c>
      <c r="E14" s="56">
        <v>0.46527777777777773</v>
      </c>
      <c r="F14" s="53">
        <v>46215</v>
      </c>
      <c r="G14">
        <v>30</v>
      </c>
      <c r="H14" s="46" t="s">
        <v>23</v>
      </c>
      <c r="J14" s="42" t="s">
        <v>47</v>
      </c>
      <c r="K14" s="43" t="s">
        <v>48</v>
      </c>
      <c r="L14" s="51" t="str">
        <f>$B$2</f>
        <v>Die Hemmschuhe</v>
      </c>
      <c r="M14" s="51" t="s">
        <v>23</v>
      </c>
    </row>
    <row r="15" spans="1:30">
      <c r="A15" t="s">
        <v>0</v>
      </c>
      <c r="B15" t="s">
        <v>37</v>
      </c>
      <c r="C15" t="s">
        <v>7</v>
      </c>
      <c r="D15" t="s">
        <v>49</v>
      </c>
      <c r="E15" s="56">
        <v>0.53055555555555556</v>
      </c>
      <c r="F15" s="53">
        <v>46215</v>
      </c>
      <c r="G15">
        <v>26</v>
      </c>
      <c r="H15" s="46" t="s">
        <v>23</v>
      </c>
      <c r="J15" s="42" t="s">
        <v>50</v>
      </c>
      <c r="K15" s="43" t="s">
        <v>48</v>
      </c>
      <c r="L15" s="51" t="str">
        <f>$B$2</f>
        <v>Die Hemmschuhe</v>
      </c>
      <c r="M15" s="51" t="s">
        <v>23</v>
      </c>
    </row>
    <row r="16" spans="1:30" ht="15.75" thickBot="1">
      <c r="A16" t="s">
        <v>1</v>
      </c>
      <c r="B16" t="s">
        <v>51</v>
      </c>
      <c r="C16" t="s">
        <v>8</v>
      </c>
      <c r="D16" t="s">
        <v>52</v>
      </c>
      <c r="E16" s="56">
        <v>0.54722222222222228</v>
      </c>
      <c r="F16" s="53">
        <v>46215</v>
      </c>
      <c r="G16" t="s">
        <v>23</v>
      </c>
      <c r="H16" s="46">
        <v>180</v>
      </c>
    </row>
    <row r="17" spans="1:11">
      <c r="A17" t="s">
        <v>1</v>
      </c>
      <c r="B17" t="s">
        <v>53</v>
      </c>
      <c r="C17" t="s">
        <v>8</v>
      </c>
      <c r="D17" t="s">
        <v>54</v>
      </c>
      <c r="E17" s="56">
        <v>0.55208333333333337</v>
      </c>
      <c r="F17" s="53">
        <v>46215</v>
      </c>
      <c r="G17" t="s">
        <v>23</v>
      </c>
      <c r="H17" s="46">
        <v>225</v>
      </c>
      <c r="J17" s="40" t="s">
        <v>55</v>
      </c>
      <c r="K17" s="41" t="s">
        <v>56</v>
      </c>
    </row>
    <row r="18" spans="1:11">
      <c r="A18" t="s">
        <v>0</v>
      </c>
      <c r="B18" t="s">
        <v>57</v>
      </c>
      <c r="C18" t="s">
        <v>7</v>
      </c>
      <c r="D18" t="s">
        <v>49</v>
      </c>
      <c r="E18" s="56">
        <v>0.5541666666666667</v>
      </c>
      <c r="F18" s="53">
        <v>46215</v>
      </c>
      <c r="G18">
        <v>1</v>
      </c>
      <c r="H18" s="46" t="s">
        <v>23</v>
      </c>
      <c r="J18" s="47">
        <v>0</v>
      </c>
      <c r="K18" s="43" t="s">
        <v>58</v>
      </c>
    </row>
    <row r="19" spans="1:11">
      <c r="A19" t="s">
        <v>0</v>
      </c>
      <c r="B19" t="s">
        <v>57</v>
      </c>
      <c r="C19" t="s">
        <v>10</v>
      </c>
      <c r="D19" t="s">
        <v>48</v>
      </c>
      <c r="E19" s="56">
        <v>0.55694444444444446</v>
      </c>
      <c r="F19" s="53">
        <v>46215</v>
      </c>
      <c r="G19">
        <v>2</v>
      </c>
      <c r="H19" s="46" t="s">
        <v>23</v>
      </c>
      <c r="J19" s="47">
        <v>75</v>
      </c>
      <c r="K19" s="43" t="s">
        <v>59</v>
      </c>
    </row>
    <row r="20" spans="1:11">
      <c r="A20" t="s">
        <v>2</v>
      </c>
      <c r="C20" t="s">
        <v>25</v>
      </c>
      <c r="D20" t="s">
        <v>48</v>
      </c>
      <c r="E20" s="56">
        <v>0.55833333333333335</v>
      </c>
      <c r="F20" s="53">
        <v>46215</v>
      </c>
      <c r="H20" s="46">
        <v>0</v>
      </c>
      <c r="J20" s="47">
        <v>75</v>
      </c>
      <c r="K20" s="43" t="s">
        <v>60</v>
      </c>
    </row>
    <row r="21" spans="1:11">
      <c r="A21" t="s">
        <v>0</v>
      </c>
      <c r="B21" t="s">
        <v>57</v>
      </c>
      <c r="C21" t="s">
        <v>7</v>
      </c>
      <c r="D21" t="s">
        <v>48</v>
      </c>
      <c r="E21" s="56">
        <v>0.55694444444444446</v>
      </c>
      <c r="F21" s="53">
        <v>46215</v>
      </c>
      <c r="G21">
        <v>2</v>
      </c>
      <c r="H21" s="46" t="s">
        <v>23</v>
      </c>
      <c r="J21" s="47">
        <v>0</v>
      </c>
      <c r="K21" s="43" t="s">
        <v>61</v>
      </c>
    </row>
    <row r="22" spans="1:11">
      <c r="A22" t="s">
        <v>0</v>
      </c>
      <c r="B22" t="s">
        <v>57</v>
      </c>
      <c r="C22" t="s">
        <v>10</v>
      </c>
      <c r="D22" t="s">
        <v>54</v>
      </c>
      <c r="E22" s="56">
        <v>0.55902777777777779</v>
      </c>
      <c r="F22" s="53">
        <v>46215</v>
      </c>
      <c r="G22">
        <v>4</v>
      </c>
      <c r="H22" s="46" t="s">
        <v>23</v>
      </c>
      <c r="J22" s="47">
        <v>75</v>
      </c>
      <c r="K22" s="43" t="s">
        <v>62</v>
      </c>
    </row>
    <row r="23" spans="1:11">
      <c r="A23" t="s">
        <v>0</v>
      </c>
      <c r="B23" t="s">
        <v>57</v>
      </c>
      <c r="C23" t="s">
        <v>7</v>
      </c>
      <c r="D23" t="s">
        <v>54</v>
      </c>
      <c r="E23" s="56">
        <v>0.55902777777777779</v>
      </c>
      <c r="F23" s="53">
        <v>46215</v>
      </c>
      <c r="G23">
        <v>4</v>
      </c>
      <c r="H23" s="46" t="s">
        <v>23</v>
      </c>
      <c r="J23" s="47">
        <v>75</v>
      </c>
      <c r="K23" s="43" t="s">
        <v>63</v>
      </c>
    </row>
    <row r="24" spans="1:11">
      <c r="A24" t="s">
        <v>0</v>
      </c>
      <c r="B24" t="s">
        <v>57</v>
      </c>
      <c r="C24" t="s">
        <v>10</v>
      </c>
      <c r="D24" t="s">
        <v>64</v>
      </c>
      <c r="E24" s="56">
        <v>0.59583333333333333</v>
      </c>
      <c r="F24" s="53">
        <v>46215</v>
      </c>
      <c r="G24">
        <v>3</v>
      </c>
      <c r="H24" s="46" t="s">
        <v>23</v>
      </c>
      <c r="J24" s="47">
        <v>75</v>
      </c>
      <c r="K24" s="43" t="s">
        <v>65</v>
      </c>
    </row>
    <row r="25" spans="1:11">
      <c r="A25" t="s">
        <v>1</v>
      </c>
      <c r="B25" t="s">
        <v>66</v>
      </c>
      <c r="C25" t="s">
        <v>8</v>
      </c>
      <c r="D25" t="s">
        <v>64</v>
      </c>
      <c r="E25" s="56">
        <v>0.60416666666666663</v>
      </c>
      <c r="F25" s="53">
        <v>46215</v>
      </c>
      <c r="G25" t="s">
        <v>23</v>
      </c>
      <c r="H25" s="46">
        <v>145</v>
      </c>
      <c r="J25" s="47">
        <v>0</v>
      </c>
      <c r="K25" s="43" t="s">
        <v>67</v>
      </c>
    </row>
    <row r="26" spans="1:11">
      <c r="A26" t="s">
        <v>0</v>
      </c>
      <c r="B26" t="s">
        <v>68</v>
      </c>
      <c r="C26" t="s">
        <v>7</v>
      </c>
      <c r="D26" t="s">
        <v>64</v>
      </c>
      <c r="E26" s="56">
        <v>0.61111111111111105</v>
      </c>
      <c r="F26" s="53">
        <v>46215</v>
      </c>
      <c r="H26" s="46" t="s">
        <v>23</v>
      </c>
      <c r="J26" s="47">
        <v>0</v>
      </c>
      <c r="K26" s="43" t="s">
        <v>69</v>
      </c>
    </row>
    <row r="27" spans="1:11">
      <c r="A27" t="s">
        <v>0</v>
      </c>
      <c r="B27" t="s">
        <v>68</v>
      </c>
      <c r="C27" t="s">
        <v>10</v>
      </c>
      <c r="D27" t="s">
        <v>70</v>
      </c>
      <c r="E27" s="56">
        <v>0.6381944444444444</v>
      </c>
      <c r="F27" s="53">
        <v>46215</v>
      </c>
      <c r="H27" s="46" t="s">
        <v>23</v>
      </c>
      <c r="J27" s="47">
        <v>0</v>
      </c>
      <c r="K27" s="43" t="s">
        <v>71</v>
      </c>
    </row>
    <row r="28" spans="1:11">
      <c r="A28" t="s">
        <v>1</v>
      </c>
      <c r="B28" t="s">
        <v>72</v>
      </c>
      <c r="C28" t="s">
        <v>8</v>
      </c>
      <c r="D28" t="s">
        <v>73</v>
      </c>
      <c r="E28" s="56">
        <v>0.64444444444444449</v>
      </c>
      <c r="F28" s="53">
        <v>46215</v>
      </c>
      <c r="G28" t="s">
        <v>23</v>
      </c>
      <c r="H28" s="46">
        <v>330</v>
      </c>
      <c r="J28" s="47">
        <v>75</v>
      </c>
      <c r="K28" s="43" t="s">
        <v>74</v>
      </c>
    </row>
    <row r="29" spans="1:11">
      <c r="A29" t="s">
        <v>0</v>
      </c>
      <c r="B29" t="s">
        <v>75</v>
      </c>
      <c r="C29" t="s">
        <v>7</v>
      </c>
      <c r="D29" t="s">
        <v>70</v>
      </c>
      <c r="E29" s="56">
        <v>0.64513888888888882</v>
      </c>
      <c r="F29" s="53">
        <v>46215</v>
      </c>
      <c r="H29" s="46" t="s">
        <v>23</v>
      </c>
      <c r="J29" s="47">
        <v>0</v>
      </c>
      <c r="K29" s="43" t="s">
        <v>76</v>
      </c>
    </row>
    <row r="30" spans="1:11">
      <c r="A30" t="s">
        <v>0</v>
      </c>
      <c r="B30" t="s">
        <v>75</v>
      </c>
      <c r="C30" t="s">
        <v>10</v>
      </c>
      <c r="D30" t="s">
        <v>73</v>
      </c>
      <c r="E30" s="56">
        <v>0.65069444444444446</v>
      </c>
      <c r="F30" s="53">
        <v>46215</v>
      </c>
      <c r="H30" s="46" t="s">
        <v>23</v>
      </c>
      <c r="J30" s="47">
        <v>0</v>
      </c>
      <c r="K30" s="43" t="s">
        <v>77</v>
      </c>
    </row>
    <row r="31" spans="1:11" ht="15.75" thickBot="1">
      <c r="A31" t="s">
        <v>0</v>
      </c>
      <c r="B31" t="s">
        <v>75</v>
      </c>
      <c r="C31" t="s">
        <v>7</v>
      </c>
      <c r="D31" t="s">
        <v>73</v>
      </c>
      <c r="E31" s="56">
        <v>0.65138888888888891</v>
      </c>
      <c r="F31" s="53">
        <v>46215</v>
      </c>
      <c r="H31" s="46" t="s">
        <v>23</v>
      </c>
      <c r="J31" s="47">
        <v>75</v>
      </c>
      <c r="K31" s="45" t="s">
        <v>78</v>
      </c>
    </row>
    <row r="32" spans="1:11">
      <c r="A32" t="s">
        <v>0</v>
      </c>
      <c r="B32" t="s">
        <v>75</v>
      </c>
      <c r="C32" t="s">
        <v>10</v>
      </c>
      <c r="D32" t="s">
        <v>79</v>
      </c>
      <c r="E32" s="56">
        <v>0.66041666666666665</v>
      </c>
      <c r="F32" s="53">
        <v>46215</v>
      </c>
      <c r="H32" s="46" t="s">
        <v>23</v>
      </c>
    </row>
    <row r="33" spans="1:15">
      <c r="A33" t="s">
        <v>1</v>
      </c>
      <c r="B33" t="s">
        <v>80</v>
      </c>
      <c r="C33" t="s">
        <v>11</v>
      </c>
      <c r="D33" t="s">
        <v>79</v>
      </c>
      <c r="E33" s="56">
        <v>0.66249999999999998</v>
      </c>
      <c r="F33" s="53">
        <v>46215</v>
      </c>
      <c r="G33" t="s">
        <v>81</v>
      </c>
      <c r="H33" s="46">
        <v>390</v>
      </c>
    </row>
    <row r="34" spans="1:15">
      <c r="A34" t="s">
        <v>2</v>
      </c>
      <c r="B34">
        <v>-14</v>
      </c>
      <c r="C34" t="s">
        <v>12</v>
      </c>
      <c r="D34" t="s">
        <v>79</v>
      </c>
      <c r="E34" s="56">
        <v>0.66249999999999998</v>
      </c>
      <c r="F34" s="53">
        <v>46215</v>
      </c>
      <c r="G34" t="s">
        <v>23</v>
      </c>
      <c r="H34" s="46">
        <v>-14</v>
      </c>
      <c r="M34" t="s">
        <v>23</v>
      </c>
    </row>
    <row r="35" spans="1:15">
      <c r="A35" t="s">
        <v>0</v>
      </c>
      <c r="B35" t="s">
        <v>75</v>
      </c>
      <c r="C35" t="s">
        <v>7</v>
      </c>
      <c r="D35" t="s">
        <v>79</v>
      </c>
      <c r="E35" s="56">
        <v>0.6694444444444444</v>
      </c>
      <c r="F35" s="53">
        <v>46215</v>
      </c>
      <c r="H35" s="46" t="s">
        <v>23</v>
      </c>
      <c r="O35" s="34"/>
    </row>
    <row r="36" spans="1:15">
      <c r="A36" t="s">
        <v>0</v>
      </c>
      <c r="B36" t="s">
        <v>75</v>
      </c>
      <c r="C36" t="s">
        <v>10</v>
      </c>
      <c r="D36" t="s">
        <v>70</v>
      </c>
      <c r="E36" s="56">
        <v>0.68541666666666667</v>
      </c>
      <c r="F36" s="53">
        <v>46215</v>
      </c>
      <c r="H36" s="46" t="s">
        <v>23</v>
      </c>
      <c r="O36" s="34"/>
    </row>
    <row r="37" spans="1:15">
      <c r="A37" t="s">
        <v>0</v>
      </c>
      <c r="B37" t="s">
        <v>82</v>
      </c>
      <c r="C37" t="s">
        <v>7</v>
      </c>
      <c r="D37" t="s">
        <v>83</v>
      </c>
      <c r="E37" s="56">
        <v>0.71180555555555547</v>
      </c>
      <c r="F37" s="53">
        <v>46215</v>
      </c>
      <c r="H37" s="46" t="s">
        <v>23</v>
      </c>
      <c r="O37" s="34"/>
    </row>
    <row r="38" spans="1:15">
      <c r="A38" t="s">
        <v>0</v>
      </c>
      <c r="B38" t="s">
        <v>84</v>
      </c>
      <c r="C38" t="s">
        <v>10</v>
      </c>
      <c r="D38" t="s">
        <v>85</v>
      </c>
      <c r="E38" s="56">
        <v>0.75138888888888899</v>
      </c>
      <c r="F38" s="53">
        <v>46215</v>
      </c>
      <c r="G38">
        <v>79</v>
      </c>
      <c r="H38" s="46" t="s">
        <v>23</v>
      </c>
      <c r="O38" s="34"/>
    </row>
    <row r="39" spans="1:15">
      <c r="A39" t="s">
        <v>0</v>
      </c>
      <c r="B39" t="s">
        <v>86</v>
      </c>
      <c r="C39" t="s">
        <v>7</v>
      </c>
      <c r="D39" t="s">
        <v>85</v>
      </c>
      <c r="E39" s="56">
        <v>0.78194444444444444</v>
      </c>
      <c r="F39" s="53">
        <v>46215</v>
      </c>
      <c r="G39">
        <v>4</v>
      </c>
      <c r="H39" s="46" t="s">
        <v>23</v>
      </c>
      <c r="O39" s="34"/>
    </row>
    <row r="40" spans="1:15">
      <c r="A40" t="s">
        <v>0</v>
      </c>
      <c r="B40" t="s">
        <v>86</v>
      </c>
      <c r="C40" t="s">
        <v>10</v>
      </c>
      <c r="D40" t="s">
        <v>87</v>
      </c>
      <c r="E40" s="56">
        <v>0.78333333333333333</v>
      </c>
      <c r="F40" s="53">
        <v>46215</v>
      </c>
      <c r="G40">
        <v>4</v>
      </c>
      <c r="H40" s="46" t="s">
        <v>23</v>
      </c>
      <c r="O40" s="34"/>
    </row>
    <row r="41" spans="1:15">
      <c r="A41" t="s">
        <v>0</v>
      </c>
      <c r="B41" t="s">
        <v>82</v>
      </c>
      <c r="C41" t="s">
        <v>7</v>
      </c>
      <c r="D41" t="s">
        <v>85</v>
      </c>
      <c r="E41" s="56">
        <v>0.78472222222222221</v>
      </c>
      <c r="F41" s="53">
        <v>46215</v>
      </c>
      <c r="G41">
        <v>-2</v>
      </c>
      <c r="H41" s="46" t="s">
        <v>23</v>
      </c>
      <c r="O41" s="34"/>
    </row>
    <row r="42" spans="1:15">
      <c r="A42" t="s">
        <v>1</v>
      </c>
      <c r="B42" t="s">
        <v>88</v>
      </c>
      <c r="C42" t="s">
        <v>20</v>
      </c>
      <c r="D42" t="s">
        <v>87</v>
      </c>
      <c r="E42" s="56">
        <v>0.78611111111111109</v>
      </c>
      <c r="F42" s="53">
        <v>46215</v>
      </c>
      <c r="G42" t="s">
        <v>89</v>
      </c>
      <c r="H42" s="46">
        <v>0</v>
      </c>
      <c r="O42" s="34"/>
    </row>
    <row r="43" spans="1:15">
      <c r="A43" t="s">
        <v>0</v>
      </c>
      <c r="B43" t="s">
        <v>84</v>
      </c>
      <c r="C43" t="s">
        <v>7</v>
      </c>
      <c r="D43" t="s">
        <v>90</v>
      </c>
      <c r="E43" s="56">
        <v>0.79652777777777783</v>
      </c>
      <c r="F43" s="53">
        <v>46215</v>
      </c>
      <c r="G43">
        <v>90</v>
      </c>
      <c r="H43" s="46" t="s">
        <v>23</v>
      </c>
      <c r="O43" s="34"/>
    </row>
    <row r="44" spans="1:15">
      <c r="A44" t="s">
        <v>0</v>
      </c>
      <c r="B44" t="s">
        <v>91</v>
      </c>
      <c r="C44" t="s">
        <v>10</v>
      </c>
      <c r="D44" t="s">
        <v>90</v>
      </c>
      <c r="E44" s="56">
        <v>0.86597222222222225</v>
      </c>
      <c r="F44" s="53">
        <v>46215</v>
      </c>
      <c r="H44" s="46" t="s">
        <v>23</v>
      </c>
      <c r="O44" s="34"/>
    </row>
    <row r="45" spans="1:15">
      <c r="A45" t="s">
        <v>0</v>
      </c>
      <c r="B45" t="s">
        <v>91</v>
      </c>
      <c r="C45" t="s">
        <v>7</v>
      </c>
      <c r="D45" t="s">
        <v>92</v>
      </c>
      <c r="E45" s="56">
        <v>0.90555555555555556</v>
      </c>
      <c r="F45" s="53">
        <v>46215</v>
      </c>
      <c r="H45" s="46" t="s">
        <v>23</v>
      </c>
      <c r="O45" s="34"/>
    </row>
    <row r="46" spans="1:15">
      <c r="A46" t="s">
        <v>0</v>
      </c>
      <c r="B46" t="s">
        <v>93</v>
      </c>
      <c r="C46" t="s">
        <v>10</v>
      </c>
      <c r="D46" t="s">
        <v>92</v>
      </c>
      <c r="E46" s="56">
        <v>0.9159722222222223</v>
      </c>
      <c r="F46" s="53">
        <v>46215</v>
      </c>
      <c r="H46" s="46" t="s">
        <v>23</v>
      </c>
      <c r="O46" s="34"/>
    </row>
    <row r="47" spans="1:15">
      <c r="A47" t="s">
        <v>0</v>
      </c>
      <c r="B47" t="s">
        <v>93</v>
      </c>
      <c r="C47" t="s">
        <v>7</v>
      </c>
      <c r="D47" t="s">
        <v>94</v>
      </c>
      <c r="E47" s="56">
        <v>0.96944444444444444</v>
      </c>
      <c r="F47" s="53">
        <v>46215</v>
      </c>
      <c r="H47" s="46" t="s">
        <v>23</v>
      </c>
      <c r="O47" s="34"/>
    </row>
    <row r="48" spans="1:15">
      <c r="A48" t="s">
        <v>2</v>
      </c>
      <c r="B48">
        <v>0</v>
      </c>
      <c r="C48" t="s">
        <v>28</v>
      </c>
      <c r="D48" t="s">
        <v>94</v>
      </c>
      <c r="E48" s="56">
        <v>0.93333333333333335</v>
      </c>
      <c r="F48" s="53">
        <v>46215</v>
      </c>
      <c r="G48" t="s">
        <v>23</v>
      </c>
      <c r="H48" s="46">
        <v>0</v>
      </c>
      <c r="O48" s="34"/>
    </row>
    <row r="49" spans="1:15">
      <c r="A49" t="s">
        <v>2</v>
      </c>
      <c r="B49">
        <v>0</v>
      </c>
      <c r="C49" t="s">
        <v>31</v>
      </c>
      <c r="D49" t="s">
        <v>94</v>
      </c>
      <c r="E49" s="56">
        <v>0.22291666666666668</v>
      </c>
      <c r="F49" s="53">
        <v>46216</v>
      </c>
      <c r="G49" t="s">
        <v>23</v>
      </c>
      <c r="H49" s="46">
        <v>0</v>
      </c>
      <c r="O49" s="34"/>
    </row>
    <row r="50" spans="1:15">
      <c r="A50" t="s">
        <v>1</v>
      </c>
      <c r="B50" t="s">
        <v>95</v>
      </c>
      <c r="C50" t="s">
        <v>11</v>
      </c>
      <c r="D50" t="s">
        <v>94</v>
      </c>
      <c r="E50" s="56">
        <v>0.23402777777777778</v>
      </c>
      <c r="F50" s="53">
        <v>46216</v>
      </c>
      <c r="G50" t="s">
        <v>96</v>
      </c>
      <c r="H50" s="46">
        <v>135</v>
      </c>
      <c r="O50" s="34"/>
    </row>
    <row r="51" spans="1:15">
      <c r="A51" t="s">
        <v>0</v>
      </c>
      <c r="B51" t="s">
        <v>97</v>
      </c>
      <c r="C51" t="s">
        <v>7</v>
      </c>
      <c r="D51" t="s">
        <v>98</v>
      </c>
      <c r="E51" s="56">
        <v>0.24097222222222223</v>
      </c>
      <c r="F51" s="53">
        <v>46216</v>
      </c>
      <c r="G51" t="s">
        <v>23</v>
      </c>
      <c r="H51" s="46" t="s">
        <v>23</v>
      </c>
      <c r="O51" s="34"/>
    </row>
    <row r="52" spans="1:15">
      <c r="A52" t="s">
        <v>0</v>
      </c>
      <c r="B52" t="s">
        <v>97</v>
      </c>
      <c r="C52" t="s">
        <v>10</v>
      </c>
      <c r="D52" t="s">
        <v>99</v>
      </c>
      <c r="E52" s="56">
        <v>0.24791666666666667</v>
      </c>
      <c r="F52" s="53">
        <v>46216</v>
      </c>
      <c r="G52" t="s">
        <v>23</v>
      </c>
      <c r="H52" s="46" t="s">
        <v>23</v>
      </c>
      <c r="O52" s="34"/>
    </row>
    <row r="53" spans="1:15">
      <c r="A53" t="s">
        <v>1</v>
      </c>
      <c r="B53" t="s">
        <v>100</v>
      </c>
      <c r="C53" t="s">
        <v>11</v>
      </c>
      <c r="D53" t="s">
        <v>101</v>
      </c>
      <c r="E53" s="56">
        <v>0.24861111111111112</v>
      </c>
      <c r="F53" s="53">
        <v>46216</v>
      </c>
      <c r="G53" t="s">
        <v>23</v>
      </c>
      <c r="H53" s="46">
        <v>80</v>
      </c>
      <c r="O53" s="34"/>
    </row>
    <row r="54" spans="1:15">
      <c r="A54" t="s">
        <v>1</v>
      </c>
      <c r="B54" t="s">
        <v>102</v>
      </c>
      <c r="C54" t="s">
        <v>11</v>
      </c>
      <c r="D54" t="s">
        <v>94</v>
      </c>
      <c r="E54" s="56">
        <v>0.24930555555555556</v>
      </c>
      <c r="F54" s="53">
        <v>46216</v>
      </c>
      <c r="G54" t="s">
        <v>23</v>
      </c>
      <c r="H54" s="46">
        <v>45</v>
      </c>
      <c r="O54" s="34"/>
    </row>
    <row r="55" spans="1:15">
      <c r="A55" t="s">
        <v>1</v>
      </c>
      <c r="B55" t="s">
        <v>103</v>
      </c>
      <c r="C55" t="s">
        <v>11</v>
      </c>
      <c r="D55" t="s">
        <v>94</v>
      </c>
      <c r="E55" s="56">
        <v>0.25</v>
      </c>
      <c r="F55" s="53">
        <v>46216</v>
      </c>
      <c r="G55" t="s">
        <v>23</v>
      </c>
      <c r="H55" s="46">
        <v>70</v>
      </c>
      <c r="O55" s="34"/>
    </row>
    <row r="56" spans="1:15">
      <c r="A56" t="s">
        <v>0</v>
      </c>
      <c r="B56" t="s">
        <v>104</v>
      </c>
      <c r="C56" t="s">
        <v>7</v>
      </c>
      <c r="D56" t="s">
        <v>105</v>
      </c>
      <c r="E56" s="56">
        <v>0.25694444444444448</v>
      </c>
      <c r="F56" s="53">
        <v>46216</v>
      </c>
      <c r="G56" t="s">
        <v>23</v>
      </c>
      <c r="H56" s="46" t="s">
        <v>23</v>
      </c>
      <c r="O56" s="34"/>
    </row>
    <row r="57" spans="1:15">
      <c r="A57" t="s">
        <v>0</v>
      </c>
      <c r="B57" t="s">
        <v>104</v>
      </c>
      <c r="C57" t="s">
        <v>10</v>
      </c>
      <c r="D57" t="s">
        <v>106</v>
      </c>
      <c r="E57" s="56">
        <v>0.26041666666666669</v>
      </c>
      <c r="F57" s="53">
        <v>46216</v>
      </c>
      <c r="G57" t="s">
        <v>23</v>
      </c>
      <c r="H57" s="46" t="s">
        <v>23</v>
      </c>
      <c r="O57" s="34"/>
    </row>
    <row r="58" spans="1:15">
      <c r="A58" t="s">
        <v>1</v>
      </c>
      <c r="B58" t="s">
        <v>107</v>
      </c>
      <c r="C58" t="s">
        <v>11</v>
      </c>
      <c r="D58" t="s">
        <v>94</v>
      </c>
      <c r="E58" s="56">
        <v>0.2729166666666667</v>
      </c>
      <c r="F58" s="53">
        <v>46216</v>
      </c>
      <c r="G58" t="s">
        <v>23</v>
      </c>
      <c r="H58" s="46">
        <v>70</v>
      </c>
      <c r="O58" s="34"/>
    </row>
    <row r="59" spans="1:15">
      <c r="A59" t="s">
        <v>1</v>
      </c>
      <c r="B59" t="s">
        <v>108</v>
      </c>
      <c r="C59" t="s">
        <v>11</v>
      </c>
      <c r="D59" t="s">
        <v>109</v>
      </c>
      <c r="E59" s="56">
        <v>0.27916666666666673</v>
      </c>
      <c r="F59" s="53">
        <v>46216</v>
      </c>
      <c r="G59" t="s">
        <v>23</v>
      </c>
      <c r="H59" s="46">
        <v>30</v>
      </c>
    </row>
    <row r="60" spans="1:15">
      <c r="A60" t="s">
        <v>0</v>
      </c>
      <c r="B60" t="s">
        <v>110</v>
      </c>
      <c r="C60" t="s">
        <v>7</v>
      </c>
      <c r="D60" t="s">
        <v>111</v>
      </c>
      <c r="E60" s="56">
        <v>0.27986111111111112</v>
      </c>
      <c r="F60" s="53">
        <v>46216</v>
      </c>
      <c r="G60" t="s">
        <v>23</v>
      </c>
      <c r="H60" s="46" t="s">
        <v>23</v>
      </c>
    </row>
    <row r="61" spans="1:15">
      <c r="A61" t="s">
        <v>0</v>
      </c>
      <c r="B61" t="s">
        <v>110</v>
      </c>
      <c r="C61" t="s">
        <v>10</v>
      </c>
      <c r="D61" t="s">
        <v>109</v>
      </c>
      <c r="E61" s="56">
        <v>0.28263888888888888</v>
      </c>
      <c r="F61" s="53">
        <v>46216</v>
      </c>
      <c r="G61" t="s">
        <v>23</v>
      </c>
      <c r="H61" s="46" t="s">
        <v>23</v>
      </c>
    </row>
    <row r="62" spans="1:15">
      <c r="A62" t="s">
        <v>0</v>
      </c>
      <c r="B62" t="s">
        <v>112</v>
      </c>
      <c r="C62" t="s">
        <v>7</v>
      </c>
      <c r="D62" t="s">
        <v>109</v>
      </c>
      <c r="E62" s="56">
        <v>0.28611111111111115</v>
      </c>
      <c r="F62" s="53">
        <v>46216</v>
      </c>
      <c r="G62" t="s">
        <v>23</v>
      </c>
      <c r="H62" s="46" t="s">
        <v>23</v>
      </c>
    </row>
    <row r="63" spans="1:15">
      <c r="A63" t="s">
        <v>0</v>
      </c>
      <c r="B63" t="s">
        <v>112</v>
      </c>
      <c r="C63" t="s">
        <v>10</v>
      </c>
      <c r="D63" t="s">
        <v>113</v>
      </c>
      <c r="E63" s="56">
        <v>0.28888888888888892</v>
      </c>
      <c r="F63" s="53">
        <v>46216</v>
      </c>
      <c r="G63" t="s">
        <v>23</v>
      </c>
      <c r="H63" s="46" t="s">
        <v>23</v>
      </c>
    </row>
    <row r="64" spans="1:15">
      <c r="A64" t="s">
        <v>1</v>
      </c>
      <c r="B64" t="s">
        <v>114</v>
      </c>
      <c r="C64" t="s">
        <v>11</v>
      </c>
      <c r="D64" t="s">
        <v>115</v>
      </c>
      <c r="E64" s="56">
        <v>0.29236111111111113</v>
      </c>
      <c r="F64" s="53">
        <v>46216</v>
      </c>
      <c r="G64" t="s">
        <v>23</v>
      </c>
      <c r="H64" s="46">
        <v>15</v>
      </c>
    </row>
    <row r="65" spans="1:8">
      <c r="A65" t="s">
        <v>0</v>
      </c>
      <c r="B65" t="s">
        <v>116</v>
      </c>
      <c r="C65" t="s">
        <v>7</v>
      </c>
      <c r="D65" t="s">
        <v>113</v>
      </c>
      <c r="E65" s="56">
        <v>0.29930555555555555</v>
      </c>
      <c r="F65" s="53">
        <v>46216</v>
      </c>
      <c r="G65" t="s">
        <v>23</v>
      </c>
      <c r="H65" s="46" t="s">
        <v>23</v>
      </c>
    </row>
    <row r="66" spans="1:8">
      <c r="A66" t="s">
        <v>0</v>
      </c>
      <c r="B66" t="s">
        <v>116</v>
      </c>
      <c r="C66" t="s">
        <v>10</v>
      </c>
      <c r="D66" t="s">
        <v>94</v>
      </c>
      <c r="E66" s="56">
        <v>0.3034722222222222</v>
      </c>
      <c r="F66" s="53">
        <v>46216</v>
      </c>
      <c r="G66" t="s">
        <v>23</v>
      </c>
      <c r="H66" s="46" t="s">
        <v>23</v>
      </c>
    </row>
    <row r="67" spans="1:8">
      <c r="A67" t="s">
        <v>0</v>
      </c>
      <c r="B67" t="s">
        <v>117</v>
      </c>
      <c r="C67" t="s">
        <v>7</v>
      </c>
      <c r="D67" t="s">
        <v>94</v>
      </c>
      <c r="E67" s="56">
        <v>0.31736111111111115</v>
      </c>
      <c r="F67" s="53">
        <v>46216</v>
      </c>
      <c r="G67" t="s">
        <v>23</v>
      </c>
      <c r="H67" s="46" t="s">
        <v>23</v>
      </c>
    </row>
    <row r="68" spans="1:8">
      <c r="A68" t="s">
        <v>0</v>
      </c>
      <c r="B68" t="s">
        <v>117</v>
      </c>
      <c r="C68" t="s">
        <v>10</v>
      </c>
      <c r="D68" t="s">
        <v>118</v>
      </c>
      <c r="E68" s="56">
        <v>0.39166666666666666</v>
      </c>
      <c r="F68" s="53">
        <v>46216</v>
      </c>
      <c r="G68" t="s">
        <v>23</v>
      </c>
      <c r="H68" s="46" t="s">
        <v>23</v>
      </c>
    </row>
    <row r="69" spans="1:8">
      <c r="A69" t="s">
        <v>1</v>
      </c>
      <c r="B69" t="s">
        <v>119</v>
      </c>
      <c r="C69" t="s">
        <v>8</v>
      </c>
      <c r="D69" t="s">
        <v>118</v>
      </c>
      <c r="E69" s="56">
        <v>0.39583333333333331</v>
      </c>
      <c r="F69" s="53">
        <v>46216</v>
      </c>
      <c r="G69" t="s">
        <v>23</v>
      </c>
      <c r="H69" s="46">
        <v>90</v>
      </c>
    </row>
    <row r="70" spans="1:8">
      <c r="A70" t="s">
        <v>0</v>
      </c>
      <c r="B70" t="s">
        <v>120</v>
      </c>
      <c r="C70" t="s">
        <v>7</v>
      </c>
      <c r="D70" t="s">
        <v>118</v>
      </c>
      <c r="E70" s="56">
        <v>0.40277777777777773</v>
      </c>
      <c r="F70" s="53">
        <v>46216</v>
      </c>
      <c r="G70" t="s">
        <v>23</v>
      </c>
      <c r="H70" s="46" t="s">
        <v>23</v>
      </c>
    </row>
    <row r="71" spans="1:8">
      <c r="A71" t="s">
        <v>0</v>
      </c>
      <c r="B71" t="s">
        <v>120</v>
      </c>
      <c r="C71" t="s">
        <v>10</v>
      </c>
      <c r="D71" t="s">
        <v>121</v>
      </c>
      <c r="E71" s="56">
        <v>0.4055555555555555</v>
      </c>
      <c r="F71" s="53">
        <v>46216</v>
      </c>
      <c r="G71" t="s">
        <v>23</v>
      </c>
      <c r="H71" s="46" t="s">
        <v>23</v>
      </c>
    </row>
    <row r="72" spans="1:8">
      <c r="A72" t="s">
        <v>1</v>
      </c>
      <c r="B72" t="s">
        <v>122</v>
      </c>
      <c r="C72" t="s">
        <v>20</v>
      </c>
      <c r="D72" t="s">
        <v>121</v>
      </c>
      <c r="E72" s="56">
        <v>0.41736111111111113</v>
      </c>
      <c r="F72" s="53">
        <v>46216</v>
      </c>
      <c r="G72" t="s">
        <v>123</v>
      </c>
      <c r="H72" s="46">
        <v>0</v>
      </c>
    </row>
    <row r="73" spans="1:8">
      <c r="A73" t="s">
        <v>2</v>
      </c>
      <c r="B73">
        <v>-14</v>
      </c>
      <c r="C73" t="s">
        <v>12</v>
      </c>
      <c r="D73" t="s">
        <v>23</v>
      </c>
      <c r="E73" s="56">
        <v>0.41736111111111113</v>
      </c>
      <c r="F73" s="53">
        <v>46216</v>
      </c>
      <c r="G73" t="s">
        <v>23</v>
      </c>
      <c r="H73" s="46">
        <v>-14</v>
      </c>
    </row>
    <row r="74" spans="1:8">
      <c r="A74" t="s">
        <v>0</v>
      </c>
      <c r="B74" t="s">
        <v>120</v>
      </c>
      <c r="C74" t="s">
        <v>7</v>
      </c>
      <c r="D74" t="s">
        <v>121</v>
      </c>
      <c r="E74" s="56">
        <v>0.42430555555555555</v>
      </c>
      <c r="F74" s="53">
        <v>46216</v>
      </c>
      <c r="G74" t="s">
        <v>23</v>
      </c>
      <c r="H74" s="46" t="s">
        <v>23</v>
      </c>
    </row>
    <row r="75" spans="1:8">
      <c r="A75" t="s">
        <v>0</v>
      </c>
      <c r="B75" t="s">
        <v>120</v>
      </c>
      <c r="C75" t="s">
        <v>10</v>
      </c>
      <c r="D75" t="s">
        <v>118</v>
      </c>
      <c r="E75" s="56">
        <v>0.4284722222222222</v>
      </c>
      <c r="F75" s="53">
        <v>46216</v>
      </c>
      <c r="G75" t="s">
        <v>23</v>
      </c>
      <c r="H75" s="46" t="s">
        <v>23</v>
      </c>
    </row>
    <row r="76" spans="1:8">
      <c r="A76" t="s">
        <v>0</v>
      </c>
      <c r="B76" t="s">
        <v>124</v>
      </c>
      <c r="C76" t="s">
        <v>7</v>
      </c>
      <c r="D76" t="s">
        <v>118</v>
      </c>
      <c r="E76" s="56">
        <v>0.43611111111111112</v>
      </c>
      <c r="F76" s="53">
        <v>46216</v>
      </c>
      <c r="G76" t="s">
        <v>23</v>
      </c>
      <c r="H76" s="46" t="s">
        <v>23</v>
      </c>
    </row>
    <row r="77" spans="1:8">
      <c r="A77" t="s">
        <v>0</v>
      </c>
      <c r="B77" t="s">
        <v>124</v>
      </c>
      <c r="C77" t="s">
        <v>10</v>
      </c>
      <c r="D77" t="s">
        <v>125</v>
      </c>
      <c r="E77" s="56">
        <v>0.47986111111111113</v>
      </c>
      <c r="F77" s="53">
        <v>46216</v>
      </c>
      <c r="G77" t="s">
        <v>23</v>
      </c>
      <c r="H77" s="46" t="s">
        <v>23</v>
      </c>
    </row>
    <row r="78" spans="1:8">
      <c r="A78" t="s">
        <v>1</v>
      </c>
      <c r="B78" t="s">
        <v>126</v>
      </c>
      <c r="C78" t="s">
        <v>8</v>
      </c>
      <c r="D78" t="s">
        <v>125</v>
      </c>
      <c r="E78" s="56">
        <v>0.48055555555555557</v>
      </c>
      <c r="F78" s="53">
        <v>46216</v>
      </c>
      <c r="G78" t="s">
        <v>23</v>
      </c>
      <c r="H78" s="46">
        <v>180</v>
      </c>
    </row>
    <row r="79" spans="1:8">
      <c r="A79" t="s">
        <v>1</v>
      </c>
      <c r="B79" t="s">
        <v>127</v>
      </c>
      <c r="C79" t="s">
        <v>8</v>
      </c>
      <c r="D79" t="s">
        <v>46</v>
      </c>
      <c r="E79" s="56">
        <v>0.48125000000000001</v>
      </c>
      <c r="F79" s="53">
        <v>46216</v>
      </c>
      <c r="G79" t="s">
        <v>23</v>
      </c>
      <c r="H79" s="46">
        <v>245</v>
      </c>
    </row>
    <row r="80" spans="1:8">
      <c r="A80" t="s">
        <v>0</v>
      </c>
      <c r="B80" t="s">
        <v>128</v>
      </c>
      <c r="C80" t="s">
        <v>7</v>
      </c>
      <c r="D80" t="s">
        <v>125</v>
      </c>
      <c r="E80" s="56">
        <v>0.48541666666666666</v>
      </c>
      <c r="F80" s="53">
        <v>46216</v>
      </c>
      <c r="G80" t="s">
        <v>23</v>
      </c>
      <c r="H80" s="46" t="s">
        <v>23</v>
      </c>
    </row>
    <row r="81" spans="1:8">
      <c r="A81" t="s">
        <v>0</v>
      </c>
      <c r="B81" t="s">
        <v>128</v>
      </c>
      <c r="C81" t="s">
        <v>10</v>
      </c>
      <c r="D81" t="s">
        <v>46</v>
      </c>
      <c r="E81" s="56">
        <v>0.48680555555555555</v>
      </c>
      <c r="F81" s="53">
        <v>46216</v>
      </c>
      <c r="G81" t="s">
        <v>23</v>
      </c>
      <c r="H81" s="46" t="s">
        <v>23</v>
      </c>
    </row>
    <row r="82" spans="1:8">
      <c r="A82" t="s">
        <v>0</v>
      </c>
      <c r="B82" t="s">
        <v>128</v>
      </c>
      <c r="C82" t="s">
        <v>7</v>
      </c>
      <c r="D82" t="s">
        <v>46</v>
      </c>
      <c r="E82" s="56">
        <v>0.48680555555555555</v>
      </c>
      <c r="F82" s="53">
        <v>46216</v>
      </c>
      <c r="G82" t="s">
        <v>23</v>
      </c>
      <c r="H82" s="46" t="s">
        <v>23</v>
      </c>
    </row>
    <row r="83" spans="1:8">
      <c r="A83" t="s">
        <v>0</v>
      </c>
      <c r="B83" t="s">
        <v>128</v>
      </c>
      <c r="C83" t="s">
        <v>10</v>
      </c>
      <c r="D83" t="s">
        <v>129</v>
      </c>
      <c r="E83" s="56">
        <v>0.49583333333333335</v>
      </c>
      <c r="F83" s="53">
        <v>46216</v>
      </c>
      <c r="G83" t="s">
        <v>23</v>
      </c>
      <c r="H83" s="46" t="s">
        <v>23</v>
      </c>
    </row>
    <row r="84" spans="1:8">
      <c r="A84" t="s">
        <v>0</v>
      </c>
      <c r="B84" t="s">
        <v>130</v>
      </c>
      <c r="C84" t="s">
        <v>7</v>
      </c>
      <c r="D84" t="s">
        <v>129</v>
      </c>
      <c r="E84" s="56">
        <v>0.4993055555555555</v>
      </c>
      <c r="F84" s="53">
        <v>46216</v>
      </c>
      <c r="G84" t="s">
        <v>23</v>
      </c>
      <c r="H84" s="46" t="s">
        <v>23</v>
      </c>
    </row>
    <row r="85" spans="1:8">
      <c r="A85" t="s">
        <v>0</v>
      </c>
      <c r="B85" t="s">
        <v>130</v>
      </c>
      <c r="C85" t="s">
        <v>10</v>
      </c>
      <c r="D85" t="s">
        <v>131</v>
      </c>
      <c r="E85" s="56">
        <v>0.50486111111111109</v>
      </c>
      <c r="F85" s="53">
        <v>46216</v>
      </c>
      <c r="G85" t="s">
        <v>23</v>
      </c>
      <c r="H85" s="46" t="s">
        <v>23</v>
      </c>
    </row>
    <row r="86" spans="1:8">
      <c r="A86" t="s">
        <v>0</v>
      </c>
      <c r="B86" t="s">
        <v>132</v>
      </c>
      <c r="C86" t="s">
        <v>7</v>
      </c>
      <c r="D86" t="s">
        <v>131</v>
      </c>
      <c r="E86" s="56">
        <v>0.5083333333333333</v>
      </c>
      <c r="F86" s="53">
        <v>46216</v>
      </c>
      <c r="G86" t="s">
        <v>23</v>
      </c>
      <c r="H86" s="46" t="s">
        <v>23</v>
      </c>
    </row>
    <row r="87" spans="1:8">
      <c r="A87" t="s">
        <v>0</v>
      </c>
      <c r="B87" t="s">
        <v>132</v>
      </c>
      <c r="C87" t="s">
        <v>10</v>
      </c>
      <c r="D87" t="s">
        <v>133</v>
      </c>
      <c r="E87" s="56">
        <v>0.51666666666666672</v>
      </c>
      <c r="F87" s="53">
        <v>46216</v>
      </c>
      <c r="G87" t="s">
        <v>23</v>
      </c>
      <c r="H87" s="46" t="s">
        <v>23</v>
      </c>
    </row>
    <row r="88" spans="1:8">
      <c r="A88" t="s">
        <v>0</v>
      </c>
      <c r="B88" t="s">
        <v>134</v>
      </c>
      <c r="C88" t="s">
        <v>7</v>
      </c>
      <c r="D88" t="s">
        <v>133</v>
      </c>
      <c r="E88" s="56">
        <v>0.5229166666666667</v>
      </c>
      <c r="F88" s="53">
        <v>46216</v>
      </c>
      <c r="G88" t="s">
        <v>23</v>
      </c>
      <c r="H88" s="46" t="s">
        <v>23</v>
      </c>
    </row>
    <row r="89" spans="1:8">
      <c r="A89" t="s">
        <v>0</v>
      </c>
      <c r="B89" t="s">
        <v>134</v>
      </c>
      <c r="C89" t="s">
        <v>10</v>
      </c>
      <c r="D89" t="s">
        <v>135</v>
      </c>
      <c r="E89" s="56">
        <v>0.52916666666666667</v>
      </c>
      <c r="F89" s="53">
        <v>46216</v>
      </c>
      <c r="G89" t="s">
        <v>23</v>
      </c>
      <c r="H89" s="46" t="s">
        <v>23</v>
      </c>
    </row>
    <row r="90" spans="1:8">
      <c r="A90" t="s">
        <v>0</v>
      </c>
      <c r="B90" t="s">
        <v>136</v>
      </c>
      <c r="C90" t="s">
        <v>7</v>
      </c>
      <c r="D90" t="s">
        <v>135</v>
      </c>
      <c r="E90" s="56">
        <v>0.54722222222222217</v>
      </c>
      <c r="F90" s="53">
        <v>46216</v>
      </c>
      <c r="G90" t="s">
        <v>23</v>
      </c>
      <c r="H90" s="46" t="s">
        <v>23</v>
      </c>
    </row>
    <row r="91" spans="1:8">
      <c r="A91" t="s">
        <v>0</v>
      </c>
      <c r="B91" t="s">
        <v>136</v>
      </c>
      <c r="C91" t="s">
        <v>10</v>
      </c>
      <c r="D91" t="s">
        <v>137</v>
      </c>
      <c r="E91" s="56">
        <v>0.55486111111111114</v>
      </c>
      <c r="F91" s="53">
        <v>46216</v>
      </c>
      <c r="G91" t="s">
        <v>23</v>
      </c>
      <c r="H91" s="46" t="s">
        <v>23</v>
      </c>
    </row>
    <row r="92" spans="1:8">
      <c r="A92" t="s">
        <v>1</v>
      </c>
      <c r="B92" t="s">
        <v>138</v>
      </c>
      <c r="C92" t="s">
        <v>8</v>
      </c>
      <c r="D92" t="s">
        <v>137</v>
      </c>
      <c r="E92" s="56">
        <v>0.5552083333333333</v>
      </c>
      <c r="F92" s="53">
        <v>46216</v>
      </c>
      <c r="G92" t="s">
        <v>23</v>
      </c>
      <c r="H92" s="46">
        <v>210</v>
      </c>
    </row>
    <row r="93" spans="1:8">
      <c r="A93" t="s">
        <v>0</v>
      </c>
      <c r="B93" t="s">
        <v>136</v>
      </c>
      <c r="C93" t="s">
        <v>7</v>
      </c>
      <c r="D93" t="s">
        <v>137</v>
      </c>
      <c r="E93" s="56">
        <v>0.55555555555555558</v>
      </c>
      <c r="F93" s="53">
        <v>46216</v>
      </c>
      <c r="G93" t="s">
        <v>23</v>
      </c>
      <c r="H93" s="46" t="s">
        <v>23</v>
      </c>
    </row>
    <row r="94" spans="1:8">
      <c r="A94" t="s">
        <v>0</v>
      </c>
      <c r="B94" t="s">
        <v>136</v>
      </c>
      <c r="C94" t="s">
        <v>10</v>
      </c>
      <c r="D94" t="s">
        <v>44</v>
      </c>
      <c r="E94" s="56">
        <v>0.57361111111111118</v>
      </c>
      <c r="F94" s="53">
        <v>46216</v>
      </c>
      <c r="G94" t="s">
        <v>23</v>
      </c>
      <c r="H94" s="46" t="s">
        <v>23</v>
      </c>
    </row>
    <row r="95" spans="1:8">
      <c r="A95" t="s">
        <v>1</v>
      </c>
      <c r="B95" t="s">
        <v>139</v>
      </c>
      <c r="C95" t="s">
        <v>11</v>
      </c>
      <c r="D95" t="s">
        <v>44</v>
      </c>
      <c r="E95" s="56">
        <v>0.57430555555555551</v>
      </c>
      <c r="F95" s="53">
        <v>46216</v>
      </c>
      <c r="G95" t="s">
        <v>140</v>
      </c>
      <c r="H95" s="46">
        <v>100</v>
      </c>
    </row>
    <row r="96" spans="1:8">
      <c r="A96" t="s">
        <v>0</v>
      </c>
      <c r="B96" t="s">
        <v>141</v>
      </c>
      <c r="C96" t="s">
        <v>7</v>
      </c>
      <c r="D96" t="s">
        <v>44</v>
      </c>
      <c r="E96" s="56">
        <v>0.57708333333333328</v>
      </c>
      <c r="F96" s="53">
        <v>46216</v>
      </c>
      <c r="G96" t="s">
        <v>23</v>
      </c>
      <c r="H96" s="46" t="s">
        <v>23</v>
      </c>
    </row>
    <row r="97" spans="1:8">
      <c r="A97" t="s">
        <v>0</v>
      </c>
      <c r="B97" t="s">
        <v>141</v>
      </c>
      <c r="C97" t="s">
        <v>10</v>
      </c>
      <c r="D97" t="s">
        <v>142</v>
      </c>
      <c r="E97" s="56">
        <v>0.5805555555555556</v>
      </c>
      <c r="F97" s="53">
        <v>46216</v>
      </c>
      <c r="G97" t="s">
        <v>23</v>
      </c>
      <c r="H97" s="46" t="s">
        <v>23</v>
      </c>
    </row>
    <row r="98" spans="1:8">
      <c r="A98" t="s">
        <v>0</v>
      </c>
      <c r="B98" t="s">
        <v>143</v>
      </c>
      <c r="C98" t="s">
        <v>7</v>
      </c>
      <c r="D98" t="s">
        <v>142</v>
      </c>
      <c r="E98" s="56">
        <v>0.58611111111111114</v>
      </c>
      <c r="F98" s="53">
        <v>46216</v>
      </c>
      <c r="G98" t="s">
        <v>23</v>
      </c>
      <c r="H98" s="46" t="s">
        <v>23</v>
      </c>
    </row>
    <row r="99" spans="1:8">
      <c r="A99" t="s">
        <v>2</v>
      </c>
      <c r="B99">
        <v>-100</v>
      </c>
      <c r="C99" t="s">
        <v>21</v>
      </c>
      <c r="D99" t="s">
        <v>23</v>
      </c>
      <c r="E99" s="56">
        <v>0.58680555555555558</v>
      </c>
      <c r="F99" s="53">
        <v>46216</v>
      </c>
      <c r="G99" t="s">
        <v>23</v>
      </c>
      <c r="H99" s="46">
        <v>-100</v>
      </c>
    </row>
    <row r="100" spans="1:8">
      <c r="A100" t="s">
        <v>0</v>
      </c>
      <c r="B100" t="s">
        <v>143</v>
      </c>
      <c r="C100" t="s">
        <v>7</v>
      </c>
      <c r="D100" t="s">
        <v>144</v>
      </c>
      <c r="E100" s="56">
        <v>0.73541666666666661</v>
      </c>
      <c r="F100" s="53">
        <v>46216</v>
      </c>
      <c r="G100" t="s">
        <v>23</v>
      </c>
      <c r="H100" s="46" t="s">
        <v>23</v>
      </c>
    </row>
    <row r="101" spans="1:8">
      <c r="A101" t="s">
        <v>1</v>
      </c>
      <c r="B101" t="s">
        <v>145</v>
      </c>
      <c r="C101" t="s">
        <v>11</v>
      </c>
      <c r="D101" t="s">
        <v>144</v>
      </c>
      <c r="E101" s="56">
        <v>0.74236111111111114</v>
      </c>
      <c r="F101" s="53">
        <v>46216</v>
      </c>
      <c r="G101" t="s">
        <v>23</v>
      </c>
      <c r="H101" s="46">
        <v>70</v>
      </c>
    </row>
    <row r="102" spans="1:8">
      <c r="A102" t="s">
        <v>0</v>
      </c>
      <c r="B102" t="s">
        <v>146</v>
      </c>
      <c r="C102" t="s">
        <v>7</v>
      </c>
      <c r="D102" t="s">
        <v>147</v>
      </c>
      <c r="E102" s="56">
        <v>0.74930555555555556</v>
      </c>
      <c r="F102" s="53">
        <v>46216</v>
      </c>
      <c r="G102" t="s">
        <v>23</v>
      </c>
      <c r="H102" s="46" t="s">
        <v>23</v>
      </c>
    </row>
    <row r="103" spans="1:8">
      <c r="A103" t="s">
        <v>0</v>
      </c>
      <c r="B103" t="s">
        <v>146</v>
      </c>
      <c r="C103" t="s">
        <v>10</v>
      </c>
      <c r="D103" t="s">
        <v>22</v>
      </c>
      <c r="E103" s="56">
        <v>0.75138888888888899</v>
      </c>
      <c r="F103" s="53">
        <v>46216</v>
      </c>
      <c r="G103" t="s">
        <v>23</v>
      </c>
      <c r="H103" s="46" t="s">
        <v>23</v>
      </c>
    </row>
  </sheetData>
  <mergeCells count="1">
    <mergeCell ref="B2:D2"/>
  </mergeCells>
  <conditionalFormatting sqref="J18:J31">
    <cfRule type="iconSet" priority="1">
      <iconSet iconSet="3Symbols2">
        <cfvo type="percent" val="0"/>
        <cfvo type="num" val="5"/>
        <cfvo type="num" val="70"/>
      </iconSet>
    </cfRule>
  </conditionalFormatting>
  <conditionalFormatting sqref="L25:L31">
    <cfRule type="iconSet" priority="2">
      <iconSet iconSet="3Symbols2">
        <cfvo type="percent" val="0"/>
        <cfvo type="percent" val="33"/>
        <cfvo type="percent" val="67"/>
      </iconSet>
    </cfRule>
  </conditionalFormatting>
  <dataValidations count="2">
    <dataValidation type="list" allowBlank="1" showInputMessage="1" showErrorMessage="1" sqref="A5:A103" xr:uid="{3EF74F5D-F92B-47A4-86F0-B7AA4CEC7C42}">
      <formula1>$Y$1:$AA$1</formula1>
    </dataValidation>
    <dataValidation type="list" allowBlank="1" showInputMessage="1" showErrorMessage="1" sqref="C5:C103" xr:uid="{6FEA6564-2342-4F70-9120-FE0A8800AAB5}">
      <formula1>INDIRECT(A5)</formula1>
    </dataValidation>
  </dataValidations>
  <pageMargins left="0.7" right="0.7" top="0.78740157499999996" bottom="0.78740157499999996" header="0.3" footer="0.3"/>
  <headerFooter>
    <oddHeader>&amp;L&amp;"DB Neo Office"&amp;11&amp;KEC0016           DB Intern / DB internal&amp;1#_x000D_</oddHead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31880-1C49-4518-9CB3-2BAB3639BAC4}">
  <sheetPr codeName="Tabelle2">
    <tabColor theme="7"/>
  </sheetPr>
  <dimension ref="A1:N427"/>
  <sheetViews>
    <sheetView workbookViewId="0">
      <pane xSplit="1" ySplit="1" topLeftCell="B2" activePane="bottomRight" state="frozen"/>
      <selection pane="topRight" activeCell="C1" sqref="C1"/>
      <selection pane="bottomLeft" activeCell="A2" sqref="A2"/>
      <selection pane="bottomRight" activeCell="C31" sqref="C31"/>
    </sheetView>
  </sheetViews>
  <sheetFormatPr baseColWidth="10" defaultColWidth="11.42578125" defaultRowHeight="15"/>
  <cols>
    <col min="1" max="1" width="11.42578125" customWidth="1"/>
    <col min="2" max="2" width="22.7109375" bestFit="1" customWidth="1"/>
    <col min="3" max="3" width="40" bestFit="1" customWidth="1"/>
    <col min="4" max="4" width="9.42578125" style="9" bestFit="1" customWidth="1"/>
    <col min="5" max="5" width="10.140625" style="9" customWidth="1"/>
    <col min="6" max="6" width="8.42578125" style="9" bestFit="1" customWidth="1"/>
    <col min="7" max="7" width="35.42578125" customWidth="1"/>
    <col min="8" max="8" width="10.42578125" style="9" customWidth="1"/>
    <col min="9" max="9" width="8.42578125" style="5" customWidth="1"/>
    <col min="10" max="13" width="13.42578125" customWidth="1"/>
  </cols>
  <sheetData>
    <row r="1" spans="1:14" s="4" customFormat="1" ht="43.5">
      <c r="A1" s="3" t="s">
        <v>148</v>
      </c>
      <c r="B1" s="3" t="s">
        <v>149</v>
      </c>
      <c r="C1" s="3" t="s">
        <v>16</v>
      </c>
      <c r="D1" s="6" t="s">
        <v>150</v>
      </c>
      <c r="E1" s="6" t="s">
        <v>151</v>
      </c>
      <c r="F1" s="6" t="s">
        <v>152</v>
      </c>
      <c r="G1" s="3" t="s">
        <v>153</v>
      </c>
      <c r="H1" s="6" t="s">
        <v>154</v>
      </c>
      <c r="I1" s="7" t="s">
        <v>155</v>
      </c>
      <c r="J1" s="3" t="s">
        <v>156</v>
      </c>
      <c r="K1" s="3" t="s">
        <v>157</v>
      </c>
      <c r="L1" s="3" t="s">
        <v>158</v>
      </c>
      <c r="M1" s="3" t="s">
        <v>159</v>
      </c>
      <c r="N1" s="3" t="s">
        <v>56</v>
      </c>
    </row>
    <row r="2" spans="1:14">
      <c r="A2" s="2" t="s">
        <v>160</v>
      </c>
      <c r="B2" s="2">
        <v>0</v>
      </c>
      <c r="C2" s="2" t="s">
        <v>161</v>
      </c>
      <c r="D2" s="8">
        <v>45</v>
      </c>
      <c r="E2" s="8">
        <v>45</v>
      </c>
      <c r="F2" s="8">
        <v>0</v>
      </c>
      <c r="G2" s="2" t="s">
        <v>162</v>
      </c>
      <c r="H2" s="8">
        <v>0</v>
      </c>
      <c r="I2" s="10">
        <v>0</v>
      </c>
      <c r="J2" s="2" t="s">
        <v>163</v>
      </c>
      <c r="K2" s="2" t="s">
        <v>164</v>
      </c>
      <c r="L2" s="2" t="s">
        <v>23</v>
      </c>
      <c r="M2" s="2" t="s">
        <v>23</v>
      </c>
      <c r="N2" t="s">
        <v>58</v>
      </c>
    </row>
    <row r="3" spans="1:14">
      <c r="A3" s="2" t="s">
        <v>165</v>
      </c>
      <c r="B3" s="2">
        <v>0</v>
      </c>
      <c r="C3" s="2" t="s">
        <v>166</v>
      </c>
      <c r="D3" s="8">
        <v>50</v>
      </c>
      <c r="E3" s="8">
        <v>50</v>
      </c>
      <c r="F3" s="8">
        <v>0</v>
      </c>
      <c r="G3" s="2" t="s">
        <v>167</v>
      </c>
      <c r="H3" s="8">
        <v>0</v>
      </c>
      <c r="I3" s="10">
        <v>0</v>
      </c>
      <c r="J3" s="2" t="s">
        <v>168</v>
      </c>
      <c r="K3" s="2" t="s">
        <v>169</v>
      </c>
      <c r="L3" s="2" t="s">
        <v>23</v>
      </c>
      <c r="M3" s="2" t="s">
        <v>23</v>
      </c>
      <c r="N3" t="s">
        <v>58</v>
      </c>
    </row>
    <row r="4" spans="1:14">
      <c r="A4" s="2" t="s">
        <v>170</v>
      </c>
      <c r="B4" s="2">
        <v>0</v>
      </c>
      <c r="C4" s="2" t="s">
        <v>171</v>
      </c>
      <c r="D4" s="8">
        <v>65</v>
      </c>
      <c r="E4" s="8">
        <v>65</v>
      </c>
      <c r="F4" s="8">
        <v>0</v>
      </c>
      <c r="G4" s="2" t="s">
        <v>172</v>
      </c>
      <c r="H4" s="8">
        <v>0</v>
      </c>
      <c r="I4" s="10">
        <v>0</v>
      </c>
      <c r="J4" s="2" t="s">
        <v>173</v>
      </c>
      <c r="K4" s="2" t="s">
        <v>174</v>
      </c>
      <c r="L4" s="2" t="s">
        <v>23</v>
      </c>
      <c r="M4" s="2" t="s">
        <v>23</v>
      </c>
      <c r="N4" t="s">
        <v>58</v>
      </c>
    </row>
    <row r="5" spans="1:14">
      <c r="A5" s="2" t="s">
        <v>175</v>
      </c>
      <c r="B5" s="2">
        <v>0</v>
      </c>
      <c r="C5" s="2" t="s">
        <v>176</v>
      </c>
      <c r="D5" s="8">
        <v>115</v>
      </c>
      <c r="E5" s="8">
        <v>115</v>
      </c>
      <c r="F5" s="8">
        <v>0</v>
      </c>
      <c r="G5" s="2" t="s">
        <v>177</v>
      </c>
      <c r="H5" s="8">
        <v>0</v>
      </c>
      <c r="I5" s="10">
        <v>0</v>
      </c>
      <c r="J5" s="2" t="s">
        <v>178</v>
      </c>
      <c r="K5" s="2" t="s">
        <v>179</v>
      </c>
      <c r="L5" s="2" t="s">
        <v>23</v>
      </c>
      <c r="M5" s="2" t="s">
        <v>23</v>
      </c>
      <c r="N5" t="s">
        <v>58</v>
      </c>
    </row>
    <row r="6" spans="1:14">
      <c r="A6" s="2" t="s">
        <v>180</v>
      </c>
      <c r="B6" s="2">
        <v>0</v>
      </c>
      <c r="C6" s="2" t="s">
        <v>181</v>
      </c>
      <c r="D6" s="8">
        <v>45</v>
      </c>
      <c r="E6" s="8">
        <v>45</v>
      </c>
      <c r="F6" s="8">
        <v>0</v>
      </c>
      <c r="G6" s="2" t="s">
        <v>182</v>
      </c>
      <c r="H6" s="8">
        <v>0</v>
      </c>
      <c r="I6" s="10">
        <v>0</v>
      </c>
      <c r="J6" s="2" t="s">
        <v>183</v>
      </c>
      <c r="K6" s="2" t="s">
        <v>184</v>
      </c>
      <c r="L6" s="2" t="s">
        <v>23</v>
      </c>
      <c r="M6" s="2" t="s">
        <v>23</v>
      </c>
      <c r="N6" t="s">
        <v>58</v>
      </c>
    </row>
    <row r="7" spans="1:14">
      <c r="A7" s="2" t="s">
        <v>185</v>
      </c>
      <c r="B7" s="2">
        <v>0</v>
      </c>
      <c r="C7" s="2" t="s">
        <v>186</v>
      </c>
      <c r="D7" s="8">
        <v>50</v>
      </c>
      <c r="E7" s="8">
        <v>50</v>
      </c>
      <c r="F7" s="8">
        <v>0</v>
      </c>
      <c r="G7" s="2" t="s">
        <v>187</v>
      </c>
      <c r="H7" s="8">
        <v>0</v>
      </c>
      <c r="I7" s="10">
        <v>0</v>
      </c>
      <c r="J7" s="2" t="s">
        <v>188</v>
      </c>
      <c r="K7" s="2" t="s">
        <v>189</v>
      </c>
      <c r="L7" s="2" t="s">
        <v>23</v>
      </c>
      <c r="M7" s="2" t="s">
        <v>23</v>
      </c>
      <c r="N7" t="s">
        <v>58</v>
      </c>
    </row>
    <row r="8" spans="1:14">
      <c r="A8" s="2" t="s">
        <v>190</v>
      </c>
      <c r="B8" s="2">
        <v>0</v>
      </c>
      <c r="C8" s="2" t="s">
        <v>191</v>
      </c>
      <c r="D8" s="8">
        <v>115</v>
      </c>
      <c r="E8" s="8">
        <v>115</v>
      </c>
      <c r="F8" s="8">
        <v>0</v>
      </c>
      <c r="G8" s="2" t="s">
        <v>192</v>
      </c>
      <c r="H8" s="8">
        <v>0</v>
      </c>
      <c r="I8" s="10">
        <v>0</v>
      </c>
      <c r="J8" s="2" t="s">
        <v>193</v>
      </c>
      <c r="K8" s="2" t="s">
        <v>194</v>
      </c>
      <c r="L8" s="2" t="s">
        <v>23</v>
      </c>
      <c r="M8" s="2" t="s">
        <v>23</v>
      </c>
      <c r="N8" t="s">
        <v>58</v>
      </c>
    </row>
    <row r="9" spans="1:14">
      <c r="A9" s="2" t="s">
        <v>195</v>
      </c>
      <c r="B9" s="2">
        <v>0</v>
      </c>
      <c r="C9" s="2" t="s">
        <v>196</v>
      </c>
      <c r="D9" s="8">
        <v>115</v>
      </c>
      <c r="E9" s="8">
        <v>115</v>
      </c>
      <c r="F9" s="8">
        <v>0</v>
      </c>
      <c r="G9" s="2" t="s">
        <v>197</v>
      </c>
      <c r="H9" s="8">
        <v>0</v>
      </c>
      <c r="I9" s="10">
        <v>0</v>
      </c>
      <c r="J9" s="2" t="s">
        <v>198</v>
      </c>
      <c r="K9" s="2" t="s">
        <v>199</v>
      </c>
      <c r="L9" s="2" t="s">
        <v>23</v>
      </c>
      <c r="M9" s="2" t="s">
        <v>23</v>
      </c>
      <c r="N9" t="s">
        <v>58</v>
      </c>
    </row>
    <row r="10" spans="1:14">
      <c r="A10" s="2" t="s">
        <v>200</v>
      </c>
      <c r="B10" s="2">
        <v>0</v>
      </c>
      <c r="C10" s="2" t="s">
        <v>201</v>
      </c>
      <c r="D10" s="8">
        <v>65</v>
      </c>
      <c r="E10" s="8">
        <v>65</v>
      </c>
      <c r="F10" s="8">
        <v>0</v>
      </c>
      <c r="G10" s="2" t="s">
        <v>202</v>
      </c>
      <c r="H10" s="8">
        <v>0</v>
      </c>
      <c r="I10" s="10">
        <v>0</v>
      </c>
      <c r="J10" s="2" t="s">
        <v>203</v>
      </c>
      <c r="K10" s="2" t="s">
        <v>204</v>
      </c>
      <c r="L10" s="2" t="s">
        <v>23</v>
      </c>
      <c r="M10" s="2" t="s">
        <v>23</v>
      </c>
      <c r="N10" t="s">
        <v>58</v>
      </c>
    </row>
    <row r="11" spans="1:14">
      <c r="A11" s="2" t="s">
        <v>205</v>
      </c>
      <c r="B11" s="2">
        <v>0</v>
      </c>
      <c r="C11" s="2" t="s">
        <v>206</v>
      </c>
      <c r="D11" s="8">
        <v>45</v>
      </c>
      <c r="E11" s="8">
        <v>45</v>
      </c>
      <c r="F11" s="8">
        <v>0</v>
      </c>
      <c r="G11" s="2" t="s">
        <v>207</v>
      </c>
      <c r="H11" s="8">
        <v>0</v>
      </c>
      <c r="I11" s="10">
        <v>0</v>
      </c>
      <c r="J11" s="2" t="s">
        <v>208</v>
      </c>
      <c r="K11" s="2" t="s">
        <v>209</v>
      </c>
      <c r="L11" s="2" t="s">
        <v>23</v>
      </c>
      <c r="M11" s="2" t="s">
        <v>23</v>
      </c>
      <c r="N11" t="s">
        <v>58</v>
      </c>
    </row>
    <row r="12" spans="1:14">
      <c r="A12" s="2" t="s">
        <v>210</v>
      </c>
      <c r="B12" s="2">
        <v>0</v>
      </c>
      <c r="C12" s="2" t="s">
        <v>211</v>
      </c>
      <c r="D12" s="8">
        <v>40</v>
      </c>
      <c r="E12" s="8">
        <v>40</v>
      </c>
      <c r="F12" s="8">
        <v>0</v>
      </c>
      <c r="G12" s="2" t="s">
        <v>212</v>
      </c>
      <c r="H12" s="8">
        <v>0</v>
      </c>
      <c r="I12" s="10">
        <v>0</v>
      </c>
      <c r="J12" s="2" t="s">
        <v>213</v>
      </c>
      <c r="K12" s="2" t="s">
        <v>214</v>
      </c>
      <c r="L12" s="2" t="s">
        <v>23</v>
      </c>
      <c r="M12" s="2" t="s">
        <v>23</v>
      </c>
      <c r="N12" t="s">
        <v>58</v>
      </c>
    </row>
    <row r="13" spans="1:14">
      <c r="A13" s="2" t="s">
        <v>215</v>
      </c>
      <c r="B13" s="2">
        <v>0</v>
      </c>
      <c r="C13" s="2" t="s">
        <v>216</v>
      </c>
      <c r="D13" s="8">
        <v>135</v>
      </c>
      <c r="E13" s="8">
        <v>135</v>
      </c>
      <c r="F13" s="8">
        <v>0</v>
      </c>
      <c r="G13" s="2" t="s">
        <v>217</v>
      </c>
      <c r="H13" s="8">
        <v>0</v>
      </c>
      <c r="I13" s="10">
        <v>0</v>
      </c>
      <c r="J13" s="2" t="s">
        <v>218</v>
      </c>
      <c r="K13" s="2" t="s">
        <v>219</v>
      </c>
      <c r="L13" s="2" t="s">
        <v>23</v>
      </c>
      <c r="M13" s="2" t="s">
        <v>23</v>
      </c>
      <c r="N13" t="s">
        <v>58</v>
      </c>
    </row>
    <row r="14" spans="1:14">
      <c r="A14" s="2" t="s">
        <v>220</v>
      </c>
      <c r="B14" s="2">
        <v>0</v>
      </c>
      <c r="C14" s="2" t="s">
        <v>221</v>
      </c>
      <c r="D14" s="8">
        <v>170</v>
      </c>
      <c r="E14" s="8">
        <v>170</v>
      </c>
      <c r="F14" s="8">
        <v>0</v>
      </c>
      <c r="G14" s="2" t="s">
        <v>222</v>
      </c>
      <c r="H14" s="8">
        <v>0</v>
      </c>
      <c r="I14" s="10">
        <v>0</v>
      </c>
      <c r="J14" s="2" t="s">
        <v>223</v>
      </c>
      <c r="K14" s="2" t="s">
        <v>224</v>
      </c>
      <c r="L14" s="2" t="s">
        <v>23</v>
      </c>
      <c r="M14" s="2" t="s">
        <v>23</v>
      </c>
      <c r="N14" t="s">
        <v>58</v>
      </c>
    </row>
    <row r="15" spans="1:14">
      <c r="A15" s="2" t="s">
        <v>225</v>
      </c>
      <c r="B15" s="2">
        <v>0</v>
      </c>
      <c r="C15" s="2" t="s">
        <v>226</v>
      </c>
      <c r="D15" s="8">
        <v>90</v>
      </c>
      <c r="E15" s="8">
        <v>90</v>
      </c>
      <c r="F15" s="8">
        <v>0</v>
      </c>
      <c r="G15" s="2" t="s">
        <v>227</v>
      </c>
      <c r="H15" s="8">
        <v>0</v>
      </c>
      <c r="I15" s="10">
        <v>0</v>
      </c>
      <c r="J15" s="2" t="s">
        <v>228</v>
      </c>
      <c r="K15" s="2" t="s">
        <v>229</v>
      </c>
      <c r="L15" s="2" t="s">
        <v>23</v>
      </c>
      <c r="M15" s="2" t="s">
        <v>23</v>
      </c>
      <c r="N15" t="s">
        <v>58</v>
      </c>
    </row>
    <row r="16" spans="1:14">
      <c r="A16" s="2" t="s">
        <v>230</v>
      </c>
      <c r="B16" s="2">
        <v>0</v>
      </c>
      <c r="C16" s="2" t="s">
        <v>231</v>
      </c>
      <c r="D16" s="8">
        <v>75</v>
      </c>
      <c r="E16" s="8">
        <v>75</v>
      </c>
      <c r="F16" s="8">
        <v>0</v>
      </c>
      <c r="G16" s="2" t="s">
        <v>232</v>
      </c>
      <c r="H16" s="8">
        <v>0</v>
      </c>
      <c r="I16" s="10">
        <v>0</v>
      </c>
      <c r="J16" s="2" t="s">
        <v>233</v>
      </c>
      <c r="K16" s="2" t="s">
        <v>234</v>
      </c>
      <c r="L16" s="2" t="s">
        <v>23</v>
      </c>
      <c r="M16" s="2" t="s">
        <v>23</v>
      </c>
      <c r="N16" t="s">
        <v>58</v>
      </c>
    </row>
    <row r="17" spans="1:14">
      <c r="A17" s="2" t="s">
        <v>235</v>
      </c>
      <c r="B17" s="2">
        <v>0</v>
      </c>
      <c r="C17" s="2" t="s">
        <v>236</v>
      </c>
      <c r="D17" s="8">
        <v>135</v>
      </c>
      <c r="E17" s="8">
        <v>135</v>
      </c>
      <c r="F17" s="8">
        <v>0</v>
      </c>
      <c r="G17" s="2" t="s">
        <v>237</v>
      </c>
      <c r="H17" s="8">
        <v>0</v>
      </c>
      <c r="I17" s="10">
        <v>0</v>
      </c>
      <c r="J17" s="2" t="s">
        <v>238</v>
      </c>
      <c r="K17" s="2" t="s">
        <v>239</v>
      </c>
      <c r="L17" s="2" t="s">
        <v>23</v>
      </c>
      <c r="M17" s="2" t="s">
        <v>23</v>
      </c>
      <c r="N17" t="s">
        <v>58</v>
      </c>
    </row>
    <row r="18" spans="1:14">
      <c r="A18" s="2" t="s">
        <v>240</v>
      </c>
      <c r="B18" s="2" t="s">
        <v>241</v>
      </c>
      <c r="C18" s="2" t="s">
        <v>242</v>
      </c>
      <c r="D18" s="8">
        <v>70</v>
      </c>
      <c r="E18" s="8">
        <v>65</v>
      </c>
      <c r="F18" s="8">
        <v>0</v>
      </c>
      <c r="G18" s="2" t="s">
        <v>243</v>
      </c>
      <c r="H18" s="8">
        <v>21</v>
      </c>
      <c r="I18" s="10">
        <v>0.6</v>
      </c>
      <c r="J18" s="2" t="s">
        <v>244</v>
      </c>
      <c r="K18" s="2" t="s">
        <v>245</v>
      </c>
      <c r="L18" s="2" t="s">
        <v>246</v>
      </c>
      <c r="M18" s="2" t="s">
        <v>247</v>
      </c>
      <c r="N18" t="s">
        <v>59</v>
      </c>
    </row>
    <row r="19" spans="1:14">
      <c r="A19" s="2" t="s">
        <v>95</v>
      </c>
      <c r="B19" s="2" t="s">
        <v>248</v>
      </c>
      <c r="C19" s="2" t="s">
        <v>94</v>
      </c>
      <c r="D19" s="8">
        <v>0</v>
      </c>
      <c r="E19" s="8">
        <v>135</v>
      </c>
      <c r="F19" s="8">
        <v>0</v>
      </c>
      <c r="G19" s="2" t="s">
        <v>249</v>
      </c>
      <c r="H19" s="8">
        <v>45</v>
      </c>
      <c r="I19" s="10">
        <v>1.5</v>
      </c>
      <c r="J19" s="2" t="s">
        <v>250</v>
      </c>
      <c r="K19" s="2" t="s">
        <v>251</v>
      </c>
      <c r="L19" s="2" t="s">
        <v>252</v>
      </c>
      <c r="M19" s="2" t="s">
        <v>253</v>
      </c>
      <c r="N19" t="s">
        <v>59</v>
      </c>
    </row>
    <row r="20" spans="1:14">
      <c r="A20" s="2" t="s">
        <v>254</v>
      </c>
      <c r="B20" s="2" t="s">
        <v>255</v>
      </c>
      <c r="C20" s="2" t="s">
        <v>256</v>
      </c>
      <c r="D20" s="8">
        <v>60</v>
      </c>
      <c r="E20" s="8">
        <v>135</v>
      </c>
      <c r="F20" s="8">
        <v>10</v>
      </c>
      <c r="G20" s="2" t="s">
        <v>257</v>
      </c>
      <c r="H20" s="8">
        <v>44</v>
      </c>
      <c r="I20" s="10">
        <v>1.2</v>
      </c>
      <c r="J20" s="2" t="s">
        <v>258</v>
      </c>
      <c r="K20" s="2" t="s">
        <v>259</v>
      </c>
      <c r="L20" s="2" t="s">
        <v>260</v>
      </c>
      <c r="M20" s="2" t="s">
        <v>261</v>
      </c>
      <c r="N20" t="s">
        <v>59</v>
      </c>
    </row>
    <row r="21" spans="1:14">
      <c r="A21" s="2" t="s">
        <v>262</v>
      </c>
      <c r="B21" s="2" t="s">
        <v>263</v>
      </c>
      <c r="C21" s="2" t="s">
        <v>264</v>
      </c>
      <c r="D21" s="8">
        <v>45</v>
      </c>
      <c r="E21" s="8">
        <v>180</v>
      </c>
      <c r="F21" s="8">
        <v>15</v>
      </c>
      <c r="G21" s="2" t="s">
        <v>265</v>
      </c>
      <c r="H21" s="8">
        <v>60</v>
      </c>
      <c r="I21" s="10">
        <v>1.4</v>
      </c>
      <c r="J21" s="2" t="s">
        <v>266</v>
      </c>
      <c r="K21" s="2" t="s">
        <v>267</v>
      </c>
      <c r="L21" s="2" t="s">
        <v>268</v>
      </c>
      <c r="M21" s="2" t="s">
        <v>269</v>
      </c>
      <c r="N21" t="s">
        <v>59</v>
      </c>
    </row>
    <row r="22" spans="1:14">
      <c r="A22" s="2" t="s">
        <v>270</v>
      </c>
      <c r="B22" s="2" t="s">
        <v>271</v>
      </c>
      <c r="C22" s="2" t="s">
        <v>272</v>
      </c>
      <c r="D22" s="8">
        <v>45</v>
      </c>
      <c r="E22" s="8">
        <v>60</v>
      </c>
      <c r="F22" s="8">
        <v>0</v>
      </c>
      <c r="G22" s="2" t="s">
        <v>273</v>
      </c>
      <c r="H22" s="8">
        <v>20</v>
      </c>
      <c r="I22" s="10">
        <v>0.75</v>
      </c>
      <c r="J22" s="2" t="s">
        <v>274</v>
      </c>
      <c r="K22" s="2" t="s">
        <v>275</v>
      </c>
      <c r="L22" s="2" t="s">
        <v>276</v>
      </c>
      <c r="M22" s="2" t="s">
        <v>277</v>
      </c>
      <c r="N22" t="s">
        <v>59</v>
      </c>
    </row>
    <row r="23" spans="1:14">
      <c r="A23" s="2" t="s">
        <v>278</v>
      </c>
      <c r="B23" s="2" t="s">
        <v>279</v>
      </c>
      <c r="C23" s="2" t="s">
        <v>280</v>
      </c>
      <c r="D23" s="8">
        <v>50</v>
      </c>
      <c r="E23" s="8">
        <v>180</v>
      </c>
      <c r="F23" s="8">
        <v>0</v>
      </c>
      <c r="G23" s="2" t="s">
        <v>281</v>
      </c>
      <c r="H23" s="8">
        <v>60</v>
      </c>
      <c r="I23" s="10">
        <v>1.9</v>
      </c>
      <c r="J23" s="2" t="s">
        <v>282</v>
      </c>
      <c r="K23" s="2" t="s">
        <v>283</v>
      </c>
      <c r="L23" s="2" t="s">
        <v>284</v>
      </c>
      <c r="M23" s="2" t="s">
        <v>285</v>
      </c>
      <c r="N23" t="s">
        <v>59</v>
      </c>
    </row>
    <row r="24" spans="1:14">
      <c r="A24" s="2" t="s">
        <v>119</v>
      </c>
      <c r="B24" s="2" t="s">
        <v>286</v>
      </c>
      <c r="C24" s="2" t="s">
        <v>118</v>
      </c>
      <c r="D24" s="8">
        <v>90</v>
      </c>
      <c r="E24" s="8">
        <v>180</v>
      </c>
      <c r="F24" s="8">
        <v>20</v>
      </c>
      <c r="G24" s="2" t="s">
        <v>287</v>
      </c>
      <c r="H24" s="8">
        <v>60</v>
      </c>
      <c r="I24" s="10">
        <v>2</v>
      </c>
      <c r="J24" s="2" t="s">
        <v>288</v>
      </c>
      <c r="K24" s="2" t="s">
        <v>289</v>
      </c>
      <c r="L24" s="2" t="s">
        <v>290</v>
      </c>
      <c r="M24" s="2" t="s">
        <v>291</v>
      </c>
      <c r="N24" t="s">
        <v>59</v>
      </c>
    </row>
    <row r="25" spans="1:14">
      <c r="A25" s="2" t="s">
        <v>292</v>
      </c>
      <c r="B25" s="2" t="s">
        <v>293</v>
      </c>
      <c r="C25" s="2" t="s">
        <v>294</v>
      </c>
      <c r="D25" s="8">
        <v>45</v>
      </c>
      <c r="E25" s="8">
        <v>70</v>
      </c>
      <c r="F25" s="8">
        <v>0</v>
      </c>
      <c r="G25" s="2" t="s">
        <v>295</v>
      </c>
      <c r="H25" s="8">
        <v>22</v>
      </c>
      <c r="I25" s="10">
        <v>0.8</v>
      </c>
      <c r="J25" s="2" t="s">
        <v>296</v>
      </c>
      <c r="K25" s="2" t="s">
        <v>297</v>
      </c>
      <c r="L25" s="2" t="s">
        <v>298</v>
      </c>
      <c r="M25" s="2" t="s">
        <v>299</v>
      </c>
      <c r="N25" t="s">
        <v>59</v>
      </c>
    </row>
    <row r="26" spans="1:14">
      <c r="A26" s="2" t="s">
        <v>300</v>
      </c>
      <c r="B26" s="2" t="s">
        <v>301</v>
      </c>
      <c r="C26" s="2" t="s">
        <v>302</v>
      </c>
      <c r="D26" s="8">
        <v>60</v>
      </c>
      <c r="E26" s="8">
        <v>30</v>
      </c>
      <c r="F26" s="8">
        <v>20</v>
      </c>
      <c r="G26" s="2" t="s">
        <v>303</v>
      </c>
      <c r="H26" s="8">
        <v>10</v>
      </c>
      <c r="I26" s="10">
        <v>0.4</v>
      </c>
      <c r="J26" s="2" t="s">
        <v>304</v>
      </c>
      <c r="K26" s="2" t="s">
        <v>305</v>
      </c>
      <c r="L26" s="2" t="s">
        <v>306</v>
      </c>
      <c r="M26" s="2" t="s">
        <v>307</v>
      </c>
      <c r="N26" t="s">
        <v>59</v>
      </c>
    </row>
    <row r="27" spans="1:14">
      <c r="A27" s="2" t="s">
        <v>308</v>
      </c>
      <c r="B27" s="2" t="s">
        <v>309</v>
      </c>
      <c r="C27" s="2" t="s">
        <v>310</v>
      </c>
      <c r="D27" s="8">
        <v>125</v>
      </c>
      <c r="E27" s="8">
        <v>30</v>
      </c>
      <c r="F27" s="8">
        <v>0</v>
      </c>
      <c r="G27" s="2" t="s">
        <v>311</v>
      </c>
      <c r="H27" s="8">
        <v>10</v>
      </c>
      <c r="I27" s="10">
        <v>0.3</v>
      </c>
      <c r="J27" s="2" t="s">
        <v>312</v>
      </c>
      <c r="K27" s="2" t="s">
        <v>313</v>
      </c>
      <c r="L27" s="2" t="s">
        <v>314</v>
      </c>
      <c r="M27" s="2" t="s">
        <v>315</v>
      </c>
      <c r="N27" t="s">
        <v>59</v>
      </c>
    </row>
    <row r="28" spans="1:14">
      <c r="A28" s="2" t="s">
        <v>316</v>
      </c>
      <c r="B28" s="2" t="s">
        <v>317</v>
      </c>
      <c r="C28" s="2" t="s">
        <v>318</v>
      </c>
      <c r="D28" s="8">
        <v>0</v>
      </c>
      <c r="E28" s="8">
        <v>60</v>
      </c>
      <c r="F28" s="8">
        <v>20</v>
      </c>
      <c r="G28" s="2" t="s">
        <v>319</v>
      </c>
      <c r="H28" s="8">
        <v>30</v>
      </c>
      <c r="I28" s="10">
        <v>1</v>
      </c>
      <c r="J28" s="2" t="s">
        <v>320</v>
      </c>
      <c r="K28" s="2" t="s">
        <v>321</v>
      </c>
      <c r="L28" s="2" t="s">
        <v>322</v>
      </c>
      <c r="M28" s="2" t="s">
        <v>323</v>
      </c>
      <c r="N28" t="s">
        <v>60</v>
      </c>
    </row>
    <row r="29" spans="1:14">
      <c r="A29" s="2" t="s">
        <v>324</v>
      </c>
      <c r="B29" s="2" t="s">
        <v>325</v>
      </c>
      <c r="C29" s="2" t="s">
        <v>326</v>
      </c>
      <c r="D29" s="8">
        <v>0</v>
      </c>
      <c r="E29" s="8">
        <v>40</v>
      </c>
      <c r="F29" s="8">
        <v>0</v>
      </c>
      <c r="G29" s="2" t="s">
        <v>327</v>
      </c>
      <c r="H29" s="8">
        <v>18</v>
      </c>
      <c r="I29" s="10">
        <v>0.6</v>
      </c>
      <c r="J29" s="2" t="s">
        <v>328</v>
      </c>
      <c r="K29" s="2" t="s">
        <v>329</v>
      </c>
      <c r="L29" s="2" t="s">
        <v>330</v>
      </c>
      <c r="M29" s="2" t="s">
        <v>331</v>
      </c>
      <c r="N29" t="s">
        <v>60</v>
      </c>
    </row>
    <row r="30" spans="1:14">
      <c r="A30" s="2" t="s">
        <v>332</v>
      </c>
      <c r="B30" s="2" t="s">
        <v>333</v>
      </c>
      <c r="C30" s="2" t="s">
        <v>334</v>
      </c>
      <c r="D30" s="8">
        <v>0</v>
      </c>
      <c r="E30" s="8">
        <v>30</v>
      </c>
      <c r="F30" s="8">
        <v>20</v>
      </c>
      <c r="G30" s="2" t="s">
        <v>335</v>
      </c>
      <c r="H30" s="8">
        <v>15</v>
      </c>
      <c r="I30" s="10">
        <v>0.5</v>
      </c>
      <c r="J30" s="2" t="s">
        <v>336</v>
      </c>
      <c r="K30" s="2" t="s">
        <v>337</v>
      </c>
      <c r="L30" s="2" t="s">
        <v>338</v>
      </c>
      <c r="M30" s="2" t="s">
        <v>339</v>
      </c>
      <c r="N30" t="s">
        <v>60</v>
      </c>
    </row>
    <row r="31" spans="1:14">
      <c r="A31" s="2" t="s">
        <v>340</v>
      </c>
      <c r="B31" s="2" t="s">
        <v>341</v>
      </c>
      <c r="C31" s="2" t="s">
        <v>342</v>
      </c>
      <c r="D31" s="8">
        <v>0</v>
      </c>
      <c r="E31" s="8">
        <v>30</v>
      </c>
      <c r="F31" s="8">
        <v>20</v>
      </c>
      <c r="G31" s="2" t="s">
        <v>343</v>
      </c>
      <c r="H31" s="8">
        <v>15</v>
      </c>
      <c r="I31" s="10">
        <v>0.4</v>
      </c>
      <c r="J31" s="2" t="s">
        <v>344</v>
      </c>
      <c r="K31" s="2" t="s">
        <v>345</v>
      </c>
      <c r="L31" s="2" t="s">
        <v>346</v>
      </c>
      <c r="M31" s="2" t="s">
        <v>347</v>
      </c>
      <c r="N31" t="s">
        <v>60</v>
      </c>
    </row>
    <row r="32" spans="1:14">
      <c r="A32" s="2" t="s">
        <v>145</v>
      </c>
      <c r="B32" s="2" t="s">
        <v>348</v>
      </c>
      <c r="C32" s="2" t="s">
        <v>144</v>
      </c>
      <c r="D32" s="8">
        <v>0</v>
      </c>
      <c r="E32" s="8">
        <v>70</v>
      </c>
      <c r="F32" s="8">
        <v>10</v>
      </c>
      <c r="G32" s="2" t="s">
        <v>349</v>
      </c>
      <c r="H32" s="8">
        <v>35</v>
      </c>
      <c r="I32" s="10">
        <v>1.1000000000000001</v>
      </c>
      <c r="J32" s="2" t="s">
        <v>350</v>
      </c>
      <c r="K32" s="2" t="s">
        <v>351</v>
      </c>
      <c r="L32" s="2" t="s">
        <v>352</v>
      </c>
      <c r="M32" s="2" t="s">
        <v>353</v>
      </c>
      <c r="N32" t="s">
        <v>60</v>
      </c>
    </row>
    <row r="33" spans="1:14">
      <c r="A33" s="2" t="s">
        <v>354</v>
      </c>
      <c r="B33" s="2" t="s">
        <v>355</v>
      </c>
      <c r="C33" s="2" t="s">
        <v>356</v>
      </c>
      <c r="D33" s="8">
        <v>0</v>
      </c>
      <c r="E33" s="8">
        <v>35</v>
      </c>
      <c r="F33" s="8">
        <v>0</v>
      </c>
      <c r="G33" s="2" t="s">
        <v>357</v>
      </c>
      <c r="H33" s="8">
        <v>17</v>
      </c>
      <c r="I33" s="10">
        <v>0.6</v>
      </c>
      <c r="J33" s="2" t="s">
        <v>358</v>
      </c>
      <c r="K33" s="2" t="s">
        <v>359</v>
      </c>
      <c r="L33" s="2" t="s">
        <v>360</v>
      </c>
      <c r="M33" s="2" t="s">
        <v>361</v>
      </c>
      <c r="N33" t="s">
        <v>60</v>
      </c>
    </row>
    <row r="34" spans="1:14">
      <c r="A34" s="2" t="s">
        <v>362</v>
      </c>
      <c r="B34" s="2" t="s">
        <v>363</v>
      </c>
      <c r="C34" s="2" t="s">
        <v>364</v>
      </c>
      <c r="D34" s="8">
        <v>0</v>
      </c>
      <c r="E34" s="8">
        <v>90</v>
      </c>
      <c r="F34" s="8">
        <v>0</v>
      </c>
      <c r="G34" s="2" t="s">
        <v>365</v>
      </c>
      <c r="H34" s="8">
        <v>44</v>
      </c>
      <c r="I34" s="10">
        <v>1.6</v>
      </c>
      <c r="J34" s="2" t="s">
        <v>366</v>
      </c>
      <c r="K34" s="2" t="s">
        <v>367</v>
      </c>
      <c r="L34" s="2" t="s">
        <v>368</v>
      </c>
      <c r="M34" s="2" t="s">
        <v>369</v>
      </c>
      <c r="N34" t="s">
        <v>60</v>
      </c>
    </row>
    <row r="35" spans="1:14">
      <c r="A35" s="2" t="s">
        <v>32</v>
      </c>
      <c r="B35" s="2" t="s">
        <v>370</v>
      </c>
      <c r="C35" s="2" t="s">
        <v>33</v>
      </c>
      <c r="D35" s="8">
        <v>0</v>
      </c>
      <c r="E35" s="8">
        <v>80</v>
      </c>
      <c r="F35" s="8">
        <v>15</v>
      </c>
      <c r="G35" s="2" t="s">
        <v>371</v>
      </c>
      <c r="H35" s="8">
        <v>3</v>
      </c>
      <c r="I35" s="10">
        <v>1.5</v>
      </c>
      <c r="J35" s="2" t="s">
        <v>372</v>
      </c>
      <c r="K35" s="2" t="s">
        <v>373</v>
      </c>
      <c r="L35" s="2" t="s">
        <v>374</v>
      </c>
      <c r="M35" s="2" t="s">
        <v>375</v>
      </c>
      <c r="N35" t="s">
        <v>60</v>
      </c>
    </row>
    <row r="36" spans="1:14">
      <c r="A36" s="2" t="s">
        <v>376</v>
      </c>
      <c r="B36" s="2" t="s">
        <v>377</v>
      </c>
      <c r="C36" s="2" t="s">
        <v>378</v>
      </c>
      <c r="D36" s="8">
        <v>50</v>
      </c>
      <c r="E36" s="8">
        <v>85</v>
      </c>
      <c r="F36" s="8">
        <v>0</v>
      </c>
      <c r="G36" s="2" t="s">
        <v>379</v>
      </c>
      <c r="H36" s="8">
        <v>28</v>
      </c>
      <c r="I36" s="10">
        <v>0.7</v>
      </c>
      <c r="J36" s="2" t="s">
        <v>380</v>
      </c>
      <c r="K36" s="2" t="s">
        <v>381</v>
      </c>
      <c r="L36" s="2" t="s">
        <v>382</v>
      </c>
      <c r="M36" s="2" t="s">
        <v>383</v>
      </c>
      <c r="N36" t="s">
        <v>61</v>
      </c>
    </row>
    <row r="37" spans="1:14">
      <c r="A37" s="2" t="s">
        <v>384</v>
      </c>
      <c r="B37" s="2" t="s">
        <v>385</v>
      </c>
      <c r="C37" s="2" t="s">
        <v>386</v>
      </c>
      <c r="D37" s="8">
        <v>75</v>
      </c>
      <c r="E37" s="8">
        <v>105</v>
      </c>
      <c r="F37" s="8">
        <v>10</v>
      </c>
      <c r="G37" s="2" t="s">
        <v>387</v>
      </c>
      <c r="H37" s="8">
        <v>34</v>
      </c>
      <c r="I37" s="10">
        <v>1</v>
      </c>
      <c r="J37" s="2" t="s">
        <v>388</v>
      </c>
      <c r="K37" s="2" t="s">
        <v>389</v>
      </c>
      <c r="L37" s="2" t="s">
        <v>390</v>
      </c>
      <c r="M37" s="2" t="s">
        <v>391</v>
      </c>
      <c r="N37" t="s">
        <v>61</v>
      </c>
    </row>
    <row r="38" spans="1:14">
      <c r="A38" s="2" t="s">
        <v>392</v>
      </c>
      <c r="B38" s="2" t="s">
        <v>393</v>
      </c>
      <c r="C38" s="2" t="s">
        <v>394</v>
      </c>
      <c r="D38" s="8">
        <v>135</v>
      </c>
      <c r="E38" s="8">
        <v>75</v>
      </c>
      <c r="F38" s="8">
        <v>10</v>
      </c>
      <c r="G38" s="2" t="s">
        <v>395</v>
      </c>
      <c r="H38" s="8">
        <v>24</v>
      </c>
      <c r="I38" s="10">
        <v>0.65</v>
      </c>
      <c r="J38" s="2" t="s">
        <v>396</v>
      </c>
      <c r="K38" s="2" t="s">
        <v>397</v>
      </c>
      <c r="L38" s="2" t="s">
        <v>398</v>
      </c>
      <c r="M38" s="2" t="s">
        <v>399</v>
      </c>
      <c r="N38" t="s">
        <v>61</v>
      </c>
    </row>
    <row r="39" spans="1:14">
      <c r="A39" s="2" t="s">
        <v>400</v>
      </c>
      <c r="B39" s="2" t="s">
        <v>401</v>
      </c>
      <c r="C39" s="2" t="s">
        <v>402</v>
      </c>
      <c r="D39" s="8">
        <v>155</v>
      </c>
      <c r="E39" s="8">
        <v>110</v>
      </c>
      <c r="F39" s="8">
        <v>0</v>
      </c>
      <c r="G39" s="2" t="s">
        <v>403</v>
      </c>
      <c r="H39" s="8">
        <v>36</v>
      </c>
      <c r="I39" s="10">
        <v>1.3</v>
      </c>
      <c r="J39" s="2" t="s">
        <v>404</v>
      </c>
      <c r="K39" s="2" t="s">
        <v>405</v>
      </c>
      <c r="L39" s="2" t="s">
        <v>406</v>
      </c>
      <c r="M39" s="2" t="s">
        <v>407</v>
      </c>
      <c r="N39" t="s">
        <v>61</v>
      </c>
    </row>
    <row r="40" spans="1:14">
      <c r="A40" s="2" t="s">
        <v>408</v>
      </c>
      <c r="B40" s="2" t="s">
        <v>409</v>
      </c>
      <c r="C40" s="2" t="s">
        <v>410</v>
      </c>
      <c r="D40" s="8">
        <v>155</v>
      </c>
      <c r="E40" s="8">
        <v>150</v>
      </c>
      <c r="F40" s="8">
        <v>0</v>
      </c>
      <c r="G40" s="2" t="s">
        <v>411</v>
      </c>
      <c r="H40" s="8">
        <v>50</v>
      </c>
      <c r="I40" s="10">
        <v>1.5</v>
      </c>
      <c r="J40" s="2" t="s">
        <v>412</v>
      </c>
      <c r="K40" s="2" t="s">
        <v>413</v>
      </c>
      <c r="L40" s="2" t="s">
        <v>414</v>
      </c>
      <c r="M40" s="2" t="s">
        <v>415</v>
      </c>
      <c r="N40" t="s">
        <v>61</v>
      </c>
    </row>
    <row r="41" spans="1:14">
      <c r="A41" s="2" t="s">
        <v>416</v>
      </c>
      <c r="B41" s="2" t="s">
        <v>417</v>
      </c>
      <c r="C41" s="2" t="s">
        <v>418</v>
      </c>
      <c r="D41" s="8">
        <v>380</v>
      </c>
      <c r="E41" s="8">
        <v>135</v>
      </c>
      <c r="F41" s="8">
        <v>0</v>
      </c>
      <c r="G41" s="2" t="s">
        <v>419</v>
      </c>
      <c r="H41" s="8">
        <v>45</v>
      </c>
      <c r="I41" s="10">
        <v>1.2</v>
      </c>
      <c r="J41" s="2" t="s">
        <v>420</v>
      </c>
      <c r="K41" s="2" t="s">
        <v>421</v>
      </c>
      <c r="L41" s="2" t="s">
        <v>422</v>
      </c>
      <c r="M41" s="2" t="s">
        <v>423</v>
      </c>
      <c r="N41" t="s">
        <v>61</v>
      </c>
    </row>
    <row r="42" spans="1:14">
      <c r="A42" s="2" t="s">
        <v>424</v>
      </c>
      <c r="B42" s="2" t="s">
        <v>425</v>
      </c>
      <c r="C42" s="2" t="s">
        <v>426</v>
      </c>
      <c r="D42" s="8">
        <v>380</v>
      </c>
      <c r="E42" s="8">
        <v>180</v>
      </c>
      <c r="F42" s="8">
        <v>0</v>
      </c>
      <c r="G42" s="2" t="s">
        <v>427</v>
      </c>
      <c r="H42" s="8">
        <v>60</v>
      </c>
      <c r="I42" s="10">
        <v>1.9</v>
      </c>
      <c r="J42" s="2" t="s">
        <v>428</v>
      </c>
      <c r="K42" s="2" t="s">
        <v>429</v>
      </c>
      <c r="L42" s="2" t="s">
        <v>430</v>
      </c>
      <c r="M42" s="2" t="s">
        <v>431</v>
      </c>
      <c r="N42" t="s">
        <v>61</v>
      </c>
    </row>
    <row r="43" spans="1:14">
      <c r="A43" s="2" t="s">
        <v>432</v>
      </c>
      <c r="B43" s="2" t="s">
        <v>433</v>
      </c>
      <c r="C43" s="2" t="s">
        <v>434</v>
      </c>
      <c r="D43" s="8">
        <v>60</v>
      </c>
      <c r="E43" s="8">
        <v>165</v>
      </c>
      <c r="F43" s="8">
        <v>0</v>
      </c>
      <c r="G43" s="2" t="s">
        <v>435</v>
      </c>
      <c r="H43" s="8">
        <v>55</v>
      </c>
      <c r="I43" s="10">
        <v>1.5</v>
      </c>
      <c r="J43" s="2" t="s">
        <v>436</v>
      </c>
      <c r="K43" s="2" t="s">
        <v>437</v>
      </c>
      <c r="L43" s="2" t="s">
        <v>438</v>
      </c>
      <c r="M43" s="2" t="s">
        <v>439</v>
      </c>
      <c r="N43" t="s">
        <v>61</v>
      </c>
    </row>
    <row r="44" spans="1:14">
      <c r="A44" s="2" t="s">
        <v>440</v>
      </c>
      <c r="B44" s="2" t="s">
        <v>441</v>
      </c>
      <c r="C44" s="2" t="s">
        <v>442</v>
      </c>
      <c r="D44" s="8">
        <v>50</v>
      </c>
      <c r="E44" s="8">
        <v>150</v>
      </c>
      <c r="F44" s="8">
        <v>0</v>
      </c>
      <c r="G44" s="2" t="s">
        <v>443</v>
      </c>
      <c r="H44" s="8">
        <v>50</v>
      </c>
      <c r="I44" s="10">
        <v>1.8</v>
      </c>
      <c r="J44" s="2" t="s">
        <v>444</v>
      </c>
      <c r="K44" s="2" t="s">
        <v>445</v>
      </c>
      <c r="L44" s="2" t="s">
        <v>446</v>
      </c>
      <c r="M44" s="2" t="s">
        <v>447</v>
      </c>
      <c r="N44" t="s">
        <v>61</v>
      </c>
    </row>
    <row r="45" spans="1:14">
      <c r="A45" s="2" t="s">
        <v>448</v>
      </c>
      <c r="B45" s="2" t="s">
        <v>449</v>
      </c>
      <c r="C45" s="2" t="s">
        <v>450</v>
      </c>
      <c r="D45" s="8">
        <v>115</v>
      </c>
      <c r="E45" s="8">
        <v>55</v>
      </c>
      <c r="F45" s="8">
        <v>0</v>
      </c>
      <c r="G45" s="2" t="s">
        <v>451</v>
      </c>
      <c r="H45" s="8">
        <v>17</v>
      </c>
      <c r="I45" s="10">
        <v>0.65</v>
      </c>
      <c r="J45" s="2" t="s">
        <v>452</v>
      </c>
      <c r="K45" s="2" t="s">
        <v>453</v>
      </c>
      <c r="L45" s="2" t="s">
        <v>454</v>
      </c>
      <c r="M45" s="2" t="s">
        <v>455</v>
      </c>
      <c r="N45" t="s">
        <v>61</v>
      </c>
    </row>
    <row r="46" spans="1:14">
      <c r="A46" s="2" t="s">
        <v>456</v>
      </c>
      <c r="B46" s="2" t="s">
        <v>457</v>
      </c>
      <c r="C46" s="2" t="s">
        <v>458</v>
      </c>
      <c r="D46" s="8">
        <v>195</v>
      </c>
      <c r="E46" s="8">
        <v>15</v>
      </c>
      <c r="F46" s="8">
        <v>0</v>
      </c>
      <c r="G46" s="2" t="s">
        <v>459</v>
      </c>
      <c r="H46" s="8">
        <v>5</v>
      </c>
      <c r="I46" s="10">
        <v>0.1</v>
      </c>
      <c r="J46" s="2" t="s">
        <v>460</v>
      </c>
      <c r="K46" s="2" t="s">
        <v>461</v>
      </c>
      <c r="L46" s="2" t="s">
        <v>462</v>
      </c>
      <c r="M46" s="2" t="s">
        <v>463</v>
      </c>
      <c r="N46" t="s">
        <v>62</v>
      </c>
    </row>
    <row r="47" spans="1:14">
      <c r="A47" s="2" t="s">
        <v>464</v>
      </c>
      <c r="B47" s="2" t="s">
        <v>465</v>
      </c>
      <c r="C47" s="2" t="s">
        <v>466</v>
      </c>
      <c r="D47" s="8">
        <v>305</v>
      </c>
      <c r="E47" s="8">
        <v>45</v>
      </c>
      <c r="F47" s="8">
        <v>0</v>
      </c>
      <c r="G47" s="2" t="s">
        <v>467</v>
      </c>
      <c r="H47" s="8">
        <v>15</v>
      </c>
      <c r="I47" s="10">
        <v>0.4</v>
      </c>
      <c r="J47" s="2" t="s">
        <v>468</v>
      </c>
      <c r="K47" s="2" t="s">
        <v>469</v>
      </c>
      <c r="L47" s="2" t="s">
        <v>470</v>
      </c>
      <c r="M47" s="2" t="s">
        <v>471</v>
      </c>
      <c r="N47" t="s">
        <v>62</v>
      </c>
    </row>
    <row r="48" spans="1:14">
      <c r="A48" s="2" t="s">
        <v>472</v>
      </c>
      <c r="B48" s="2" t="s">
        <v>473</v>
      </c>
      <c r="C48" s="2" t="s">
        <v>474</v>
      </c>
      <c r="D48" s="8">
        <v>105</v>
      </c>
      <c r="E48" s="8">
        <v>90</v>
      </c>
      <c r="F48" s="8">
        <v>0</v>
      </c>
      <c r="G48" s="2" t="s">
        <v>475</v>
      </c>
      <c r="H48" s="8">
        <v>30</v>
      </c>
      <c r="I48" s="10">
        <v>1.1000000000000001</v>
      </c>
      <c r="J48" s="2" t="s">
        <v>476</v>
      </c>
      <c r="K48" s="2" t="s">
        <v>477</v>
      </c>
      <c r="L48" s="2" t="s">
        <v>478</v>
      </c>
      <c r="M48" s="2" t="s">
        <v>479</v>
      </c>
      <c r="N48" t="s">
        <v>62</v>
      </c>
    </row>
    <row r="49" spans="1:14">
      <c r="A49" s="2" t="s">
        <v>480</v>
      </c>
      <c r="B49" s="2" t="s">
        <v>481</v>
      </c>
      <c r="C49" s="2" t="s">
        <v>482</v>
      </c>
      <c r="D49" s="8">
        <v>445</v>
      </c>
      <c r="E49" s="8">
        <v>60</v>
      </c>
      <c r="F49" s="8">
        <v>20</v>
      </c>
      <c r="G49" s="2" t="s">
        <v>483</v>
      </c>
      <c r="H49" s="8">
        <v>20</v>
      </c>
      <c r="I49" s="10">
        <v>0.75</v>
      </c>
      <c r="J49" s="2" t="s">
        <v>484</v>
      </c>
      <c r="K49" s="2" t="s">
        <v>485</v>
      </c>
      <c r="L49" s="2" t="s">
        <v>486</v>
      </c>
      <c r="M49" s="2" t="s">
        <v>487</v>
      </c>
      <c r="N49" t="s">
        <v>62</v>
      </c>
    </row>
    <row r="50" spans="1:14">
      <c r="A50" s="2" t="s">
        <v>122</v>
      </c>
      <c r="B50" s="2" t="s">
        <v>488</v>
      </c>
      <c r="C50" s="2" t="s">
        <v>121</v>
      </c>
      <c r="D50" s="8">
        <v>90</v>
      </c>
      <c r="E50" s="8">
        <v>90</v>
      </c>
      <c r="F50" s="8">
        <v>10</v>
      </c>
      <c r="G50" s="2" t="s">
        <v>489</v>
      </c>
      <c r="H50" s="8">
        <v>30</v>
      </c>
      <c r="I50" s="10">
        <v>1</v>
      </c>
      <c r="J50" s="2" t="s">
        <v>490</v>
      </c>
      <c r="K50" s="2" t="s">
        <v>491</v>
      </c>
      <c r="L50" s="2" t="s">
        <v>492</v>
      </c>
      <c r="M50" s="2" t="s">
        <v>493</v>
      </c>
      <c r="N50" t="s">
        <v>62</v>
      </c>
    </row>
    <row r="51" spans="1:14">
      <c r="A51" s="2" t="s">
        <v>494</v>
      </c>
      <c r="B51" s="2" t="s">
        <v>495</v>
      </c>
      <c r="C51" s="2" t="s">
        <v>496</v>
      </c>
      <c r="D51" s="8">
        <v>80</v>
      </c>
      <c r="E51" s="8">
        <v>90</v>
      </c>
      <c r="F51" s="8">
        <v>0</v>
      </c>
      <c r="G51" s="2" t="s">
        <v>497</v>
      </c>
      <c r="H51" s="8">
        <v>30</v>
      </c>
      <c r="I51" s="10">
        <v>1</v>
      </c>
      <c r="J51" s="2" t="s">
        <v>498</v>
      </c>
      <c r="K51" s="2" t="s">
        <v>499</v>
      </c>
      <c r="L51" s="2" t="s">
        <v>500</v>
      </c>
      <c r="M51" s="2" t="s">
        <v>501</v>
      </c>
      <c r="N51" t="s">
        <v>62</v>
      </c>
    </row>
    <row r="52" spans="1:14">
      <c r="A52" s="2" t="s">
        <v>502</v>
      </c>
      <c r="B52" s="2" t="s">
        <v>503</v>
      </c>
      <c r="C52" s="2" t="s">
        <v>504</v>
      </c>
      <c r="D52" s="8">
        <v>85</v>
      </c>
      <c r="E52" s="8">
        <v>100</v>
      </c>
      <c r="F52" s="8">
        <v>0</v>
      </c>
      <c r="G52" s="2" t="s">
        <v>505</v>
      </c>
      <c r="H52" s="8">
        <v>32</v>
      </c>
      <c r="I52" s="10">
        <v>1.2</v>
      </c>
      <c r="J52" s="2" t="s">
        <v>506</v>
      </c>
      <c r="K52" s="2" t="s">
        <v>507</v>
      </c>
      <c r="L52" s="2" t="s">
        <v>508</v>
      </c>
      <c r="M52" s="2" t="s">
        <v>509</v>
      </c>
      <c r="N52" t="s">
        <v>62</v>
      </c>
    </row>
    <row r="53" spans="1:14">
      <c r="A53" s="2" t="s">
        <v>510</v>
      </c>
      <c r="B53" s="2" t="s">
        <v>511</v>
      </c>
      <c r="C53" s="2" t="s">
        <v>512</v>
      </c>
      <c r="D53" s="8">
        <v>180</v>
      </c>
      <c r="E53" s="8">
        <v>90</v>
      </c>
      <c r="F53" s="8">
        <v>0</v>
      </c>
      <c r="G53" s="2" t="s">
        <v>513</v>
      </c>
      <c r="H53" s="8">
        <v>30</v>
      </c>
      <c r="I53" s="10">
        <v>1.2</v>
      </c>
      <c r="J53" s="2" t="s">
        <v>514</v>
      </c>
      <c r="K53" s="2" t="s">
        <v>515</v>
      </c>
      <c r="L53" s="2" t="s">
        <v>516</v>
      </c>
      <c r="M53" s="2" t="s">
        <v>517</v>
      </c>
      <c r="N53" t="s">
        <v>62</v>
      </c>
    </row>
    <row r="54" spans="1:14">
      <c r="A54" s="2" t="s">
        <v>518</v>
      </c>
      <c r="B54" s="2" t="s">
        <v>519</v>
      </c>
      <c r="C54" s="2" t="s">
        <v>520</v>
      </c>
      <c r="D54" s="8">
        <v>195</v>
      </c>
      <c r="E54" s="8">
        <v>60</v>
      </c>
      <c r="F54" s="8">
        <v>5</v>
      </c>
      <c r="G54" s="2" t="s">
        <v>521</v>
      </c>
      <c r="H54" s="8">
        <v>19</v>
      </c>
      <c r="I54" s="10">
        <v>0.75</v>
      </c>
      <c r="J54" s="2" t="s">
        <v>522</v>
      </c>
      <c r="K54" s="2" t="s">
        <v>523</v>
      </c>
      <c r="L54" s="2" t="s">
        <v>524</v>
      </c>
      <c r="M54" s="2" t="s">
        <v>525</v>
      </c>
      <c r="N54" t="s">
        <v>62</v>
      </c>
    </row>
    <row r="55" spans="1:14">
      <c r="A55" s="2" t="s">
        <v>526</v>
      </c>
      <c r="B55" s="2" t="s">
        <v>527</v>
      </c>
      <c r="C55" s="2" t="s">
        <v>528</v>
      </c>
      <c r="D55" s="8">
        <v>380</v>
      </c>
      <c r="E55" s="8">
        <v>60</v>
      </c>
      <c r="F55" s="8">
        <v>0</v>
      </c>
      <c r="G55" s="2" t="s">
        <v>529</v>
      </c>
      <c r="H55" s="8">
        <v>20</v>
      </c>
      <c r="I55" s="10">
        <v>0.5</v>
      </c>
      <c r="J55" s="2" t="s">
        <v>530</v>
      </c>
      <c r="K55" s="2" t="s">
        <v>531</v>
      </c>
      <c r="L55" s="2" t="s">
        <v>532</v>
      </c>
      <c r="M55" s="2" t="s">
        <v>533</v>
      </c>
      <c r="N55" t="s">
        <v>62</v>
      </c>
    </row>
    <row r="56" spans="1:14">
      <c r="A56" s="2" t="s">
        <v>534</v>
      </c>
      <c r="B56" s="2" t="s">
        <v>535</v>
      </c>
      <c r="C56" s="2" t="s">
        <v>536</v>
      </c>
      <c r="D56" s="8">
        <v>135</v>
      </c>
      <c r="E56" s="8">
        <v>150</v>
      </c>
      <c r="F56" s="8">
        <v>0</v>
      </c>
      <c r="G56" s="2" t="s">
        <v>537</v>
      </c>
      <c r="H56" s="8">
        <v>50</v>
      </c>
      <c r="I56" s="10">
        <v>1.6</v>
      </c>
      <c r="J56" s="2" t="s">
        <v>538</v>
      </c>
      <c r="K56" s="2" t="s">
        <v>539</v>
      </c>
      <c r="L56" s="2" t="s">
        <v>540</v>
      </c>
      <c r="M56" s="2" t="s">
        <v>541</v>
      </c>
      <c r="N56" t="s">
        <v>63</v>
      </c>
    </row>
    <row r="57" spans="1:14">
      <c r="A57" s="2" t="s">
        <v>542</v>
      </c>
      <c r="B57" s="2" t="s">
        <v>543</v>
      </c>
      <c r="C57" s="2" t="s">
        <v>544</v>
      </c>
      <c r="D57" s="8">
        <v>115</v>
      </c>
      <c r="E57" s="8">
        <v>45</v>
      </c>
      <c r="F57" s="8">
        <v>0</v>
      </c>
      <c r="G57" s="2" t="s">
        <v>545</v>
      </c>
      <c r="H57" s="8">
        <v>15</v>
      </c>
      <c r="I57" s="10">
        <v>0.5</v>
      </c>
      <c r="J57" s="2" t="s">
        <v>546</v>
      </c>
      <c r="K57" s="2" t="s">
        <v>547</v>
      </c>
      <c r="L57" s="2" t="s">
        <v>548</v>
      </c>
      <c r="M57" s="2" t="s">
        <v>549</v>
      </c>
      <c r="N57" t="s">
        <v>63</v>
      </c>
    </row>
    <row r="58" spans="1:14">
      <c r="A58" s="2" t="s">
        <v>80</v>
      </c>
      <c r="B58" s="2" t="s">
        <v>550</v>
      </c>
      <c r="C58" s="2" t="s">
        <v>79</v>
      </c>
      <c r="D58" s="8">
        <v>330</v>
      </c>
      <c r="E58" s="8">
        <v>60</v>
      </c>
      <c r="F58" s="8">
        <v>0</v>
      </c>
      <c r="G58" s="2" t="s">
        <v>551</v>
      </c>
      <c r="H58" s="8">
        <v>20</v>
      </c>
      <c r="I58" s="10">
        <v>0.8</v>
      </c>
      <c r="J58" s="2" t="s">
        <v>552</v>
      </c>
      <c r="K58" s="2" t="s">
        <v>553</v>
      </c>
      <c r="L58" s="2" t="s">
        <v>554</v>
      </c>
      <c r="M58" s="2" t="s">
        <v>555</v>
      </c>
      <c r="N58" t="s">
        <v>63</v>
      </c>
    </row>
    <row r="59" spans="1:14">
      <c r="A59" s="2" t="s">
        <v>556</v>
      </c>
      <c r="B59" s="2" t="s">
        <v>557</v>
      </c>
      <c r="C59" s="2" t="s">
        <v>558</v>
      </c>
      <c r="D59" s="8">
        <v>80</v>
      </c>
      <c r="E59" s="8">
        <v>110</v>
      </c>
      <c r="F59" s="8">
        <v>20</v>
      </c>
      <c r="G59" s="2" t="s">
        <v>559</v>
      </c>
      <c r="H59" s="8">
        <v>36</v>
      </c>
      <c r="I59" s="10">
        <v>1.3</v>
      </c>
      <c r="J59" s="2" t="s">
        <v>560</v>
      </c>
      <c r="K59" s="2" t="s">
        <v>561</v>
      </c>
      <c r="L59" s="2" t="s">
        <v>562</v>
      </c>
      <c r="M59" s="2" t="s">
        <v>563</v>
      </c>
      <c r="N59" t="s">
        <v>63</v>
      </c>
    </row>
    <row r="60" spans="1:14">
      <c r="A60" s="2" t="s">
        <v>564</v>
      </c>
      <c r="B60" s="2" t="s">
        <v>565</v>
      </c>
      <c r="C60" s="2" t="s">
        <v>566</v>
      </c>
      <c r="D60" s="8">
        <v>40</v>
      </c>
      <c r="E60" s="8">
        <v>30</v>
      </c>
      <c r="F60" s="8">
        <v>0</v>
      </c>
      <c r="G60" s="2" t="s">
        <v>567</v>
      </c>
      <c r="H60" s="8">
        <v>10</v>
      </c>
      <c r="I60" s="10">
        <v>0.35</v>
      </c>
      <c r="J60" s="2" t="s">
        <v>568</v>
      </c>
      <c r="K60" s="2" t="s">
        <v>569</v>
      </c>
      <c r="L60" s="2" t="s">
        <v>570</v>
      </c>
      <c r="M60" s="2" t="s">
        <v>571</v>
      </c>
      <c r="N60" t="s">
        <v>63</v>
      </c>
    </row>
    <row r="61" spans="1:14">
      <c r="A61" s="2" t="s">
        <v>53</v>
      </c>
      <c r="B61" s="2" t="s">
        <v>572</v>
      </c>
      <c r="C61" s="2" t="s">
        <v>54</v>
      </c>
      <c r="D61" s="8">
        <v>225</v>
      </c>
      <c r="E61" s="8">
        <v>45</v>
      </c>
      <c r="F61" s="8">
        <v>0</v>
      </c>
      <c r="G61" s="2" t="s">
        <v>567</v>
      </c>
      <c r="H61" s="8">
        <v>15</v>
      </c>
      <c r="I61" s="10">
        <v>0.55000000000000004</v>
      </c>
      <c r="J61" s="2" t="s">
        <v>573</v>
      </c>
      <c r="K61" s="2" t="s">
        <v>574</v>
      </c>
      <c r="L61" s="2" t="s">
        <v>575</v>
      </c>
      <c r="M61" s="2" t="s">
        <v>576</v>
      </c>
      <c r="N61" t="s">
        <v>63</v>
      </c>
    </row>
    <row r="62" spans="1:14">
      <c r="A62" s="2" t="s">
        <v>577</v>
      </c>
      <c r="B62" s="2" t="s">
        <v>578</v>
      </c>
      <c r="C62" s="2" t="s">
        <v>579</v>
      </c>
      <c r="D62" s="8">
        <v>90</v>
      </c>
      <c r="E62" s="8">
        <v>45</v>
      </c>
      <c r="F62" s="8">
        <v>0</v>
      </c>
      <c r="G62" s="2" t="s">
        <v>580</v>
      </c>
      <c r="H62" s="8">
        <v>15</v>
      </c>
      <c r="I62" s="10">
        <v>0.5</v>
      </c>
      <c r="J62" s="2" t="s">
        <v>581</v>
      </c>
      <c r="K62" s="2" t="s">
        <v>582</v>
      </c>
      <c r="L62" s="2" t="s">
        <v>583</v>
      </c>
      <c r="M62" s="2" t="s">
        <v>584</v>
      </c>
      <c r="N62" t="s">
        <v>63</v>
      </c>
    </row>
    <row r="63" spans="1:14">
      <c r="A63" s="2" t="s">
        <v>585</v>
      </c>
      <c r="B63" s="2" t="s">
        <v>586</v>
      </c>
      <c r="C63" s="2" t="s">
        <v>587</v>
      </c>
      <c r="D63" s="8">
        <v>135</v>
      </c>
      <c r="E63" s="8">
        <v>15</v>
      </c>
      <c r="F63" s="8">
        <v>0</v>
      </c>
      <c r="G63" s="2" t="s">
        <v>588</v>
      </c>
      <c r="H63" s="8">
        <v>5</v>
      </c>
      <c r="I63" s="10">
        <v>0.1</v>
      </c>
      <c r="J63" s="2" t="s">
        <v>589</v>
      </c>
      <c r="K63" s="2" t="s">
        <v>590</v>
      </c>
      <c r="L63" s="2" t="s">
        <v>591</v>
      </c>
      <c r="M63" s="2" t="s">
        <v>592</v>
      </c>
      <c r="N63" t="s">
        <v>63</v>
      </c>
    </row>
    <row r="64" spans="1:14">
      <c r="A64" s="2" t="s">
        <v>593</v>
      </c>
      <c r="B64" s="2" t="s">
        <v>594</v>
      </c>
      <c r="C64" s="2" t="s">
        <v>595</v>
      </c>
      <c r="D64" s="8">
        <v>155</v>
      </c>
      <c r="E64" s="8">
        <v>135</v>
      </c>
      <c r="F64" s="8">
        <v>0</v>
      </c>
      <c r="G64" s="2" t="s">
        <v>596</v>
      </c>
      <c r="H64" s="8">
        <v>45</v>
      </c>
      <c r="I64" s="10">
        <v>1.3</v>
      </c>
      <c r="J64" s="2" t="s">
        <v>597</v>
      </c>
      <c r="K64" s="2" t="s">
        <v>598</v>
      </c>
      <c r="L64" s="2" t="s">
        <v>599</v>
      </c>
      <c r="M64" s="2" t="s">
        <v>600</v>
      </c>
      <c r="N64" t="s">
        <v>63</v>
      </c>
    </row>
    <row r="65" spans="1:14">
      <c r="A65" s="2" t="s">
        <v>138</v>
      </c>
      <c r="B65" s="2" t="s">
        <v>601</v>
      </c>
      <c r="C65" s="2" t="s">
        <v>137</v>
      </c>
      <c r="D65" s="8">
        <v>210</v>
      </c>
      <c r="E65" s="8">
        <v>15</v>
      </c>
      <c r="F65" s="8">
        <v>0</v>
      </c>
      <c r="G65" s="2" t="s">
        <v>567</v>
      </c>
      <c r="H65" s="8">
        <v>5</v>
      </c>
      <c r="I65" s="10">
        <v>0.15</v>
      </c>
      <c r="J65" s="2" t="s">
        <v>602</v>
      </c>
      <c r="K65" s="2" t="s">
        <v>603</v>
      </c>
      <c r="L65" s="2" t="s">
        <v>604</v>
      </c>
      <c r="M65" s="2" t="s">
        <v>605</v>
      </c>
      <c r="N65" t="s">
        <v>63</v>
      </c>
    </row>
    <row r="66" spans="1:14">
      <c r="A66" s="2" t="s">
        <v>102</v>
      </c>
      <c r="B66" s="2" t="s">
        <v>606</v>
      </c>
      <c r="C66" s="2" t="s">
        <v>94</v>
      </c>
      <c r="D66" s="8">
        <v>0</v>
      </c>
      <c r="E66" s="8">
        <v>45</v>
      </c>
      <c r="F66" s="8">
        <v>0</v>
      </c>
      <c r="G66" s="2" t="s">
        <v>607</v>
      </c>
      <c r="H66" s="8">
        <v>21</v>
      </c>
      <c r="I66" s="10">
        <v>0.7</v>
      </c>
      <c r="J66" s="2" t="s">
        <v>250</v>
      </c>
      <c r="K66" s="2" t="s">
        <v>251</v>
      </c>
      <c r="L66" s="2" t="s">
        <v>608</v>
      </c>
      <c r="M66" s="2" t="s">
        <v>609</v>
      </c>
      <c r="N66" t="s">
        <v>65</v>
      </c>
    </row>
    <row r="67" spans="1:14">
      <c r="A67" s="2" t="s">
        <v>610</v>
      </c>
      <c r="B67" s="2" t="s">
        <v>611</v>
      </c>
      <c r="C67" s="2" t="s">
        <v>612</v>
      </c>
      <c r="D67" s="8">
        <v>0</v>
      </c>
      <c r="E67" s="8">
        <v>35</v>
      </c>
      <c r="F67" s="8">
        <v>0</v>
      </c>
      <c r="G67" s="2" t="s">
        <v>613</v>
      </c>
      <c r="H67" s="8">
        <v>16</v>
      </c>
      <c r="I67" s="10">
        <v>0.55000000000000004</v>
      </c>
      <c r="J67" s="2" t="s">
        <v>614</v>
      </c>
      <c r="K67" s="2" t="s">
        <v>615</v>
      </c>
      <c r="L67" s="2" t="s">
        <v>616</v>
      </c>
      <c r="M67" s="2" t="s">
        <v>617</v>
      </c>
      <c r="N67" t="s">
        <v>65</v>
      </c>
    </row>
    <row r="68" spans="1:14">
      <c r="A68" s="2" t="s">
        <v>103</v>
      </c>
      <c r="B68" s="2" t="s">
        <v>618</v>
      </c>
      <c r="C68" s="2" t="s">
        <v>94</v>
      </c>
      <c r="D68" s="8">
        <v>0</v>
      </c>
      <c r="E68" s="8">
        <v>70</v>
      </c>
      <c r="F68" s="8">
        <v>0</v>
      </c>
      <c r="G68" s="2" t="s">
        <v>619</v>
      </c>
      <c r="H68" s="8">
        <v>35</v>
      </c>
      <c r="I68" s="10">
        <v>1.2</v>
      </c>
      <c r="J68" s="2" t="s">
        <v>250</v>
      </c>
      <c r="K68" s="2" t="s">
        <v>251</v>
      </c>
      <c r="L68" s="2" t="s">
        <v>620</v>
      </c>
      <c r="M68" s="2" t="s">
        <v>621</v>
      </c>
      <c r="N68" t="s">
        <v>65</v>
      </c>
    </row>
    <row r="69" spans="1:14">
      <c r="A69" s="2" t="s">
        <v>108</v>
      </c>
      <c r="B69" s="2" t="s">
        <v>622</v>
      </c>
      <c r="C69" s="2" t="s">
        <v>109</v>
      </c>
      <c r="D69" s="8">
        <v>0</v>
      </c>
      <c r="E69" s="8">
        <v>30</v>
      </c>
      <c r="F69" s="8">
        <v>0</v>
      </c>
      <c r="G69" s="2" t="s">
        <v>623</v>
      </c>
      <c r="H69" s="8">
        <v>15</v>
      </c>
      <c r="I69" s="10">
        <v>0.4</v>
      </c>
      <c r="J69" s="2" t="s">
        <v>624</v>
      </c>
      <c r="K69" s="2" t="s">
        <v>625</v>
      </c>
      <c r="L69" s="2" t="s">
        <v>626</v>
      </c>
      <c r="M69" s="2" t="s">
        <v>627</v>
      </c>
      <c r="N69" t="s">
        <v>65</v>
      </c>
    </row>
    <row r="70" spans="1:14">
      <c r="A70" s="2" t="s">
        <v>107</v>
      </c>
      <c r="B70" s="2" t="s">
        <v>628</v>
      </c>
      <c r="C70" s="2" t="s">
        <v>94</v>
      </c>
      <c r="D70" s="8">
        <v>0</v>
      </c>
      <c r="E70" s="8">
        <v>70</v>
      </c>
      <c r="F70" s="8">
        <v>0</v>
      </c>
      <c r="G70" s="2" t="s">
        <v>629</v>
      </c>
      <c r="H70" s="8">
        <v>35</v>
      </c>
      <c r="I70" s="10">
        <v>1.2</v>
      </c>
      <c r="J70" s="2" t="s">
        <v>250</v>
      </c>
      <c r="K70" s="2" t="s">
        <v>251</v>
      </c>
      <c r="L70" s="2" t="s">
        <v>630</v>
      </c>
      <c r="M70" s="2" t="s">
        <v>631</v>
      </c>
      <c r="N70" t="s">
        <v>65</v>
      </c>
    </row>
    <row r="71" spans="1:14">
      <c r="A71" s="2" t="s">
        <v>100</v>
      </c>
      <c r="B71" s="2" t="s">
        <v>632</v>
      </c>
      <c r="C71" s="2" t="s">
        <v>101</v>
      </c>
      <c r="D71" s="8">
        <v>0</v>
      </c>
      <c r="E71" s="8">
        <v>80</v>
      </c>
      <c r="F71" s="8">
        <v>0</v>
      </c>
      <c r="G71" s="2" t="s">
        <v>633</v>
      </c>
      <c r="H71" s="8">
        <v>40</v>
      </c>
      <c r="I71" s="10">
        <v>1.3</v>
      </c>
      <c r="J71" s="2" t="s">
        <v>634</v>
      </c>
      <c r="K71" s="2" t="s">
        <v>635</v>
      </c>
      <c r="L71" s="2" t="s">
        <v>636</v>
      </c>
      <c r="M71" s="2" t="s">
        <v>637</v>
      </c>
      <c r="N71" t="s">
        <v>65</v>
      </c>
    </row>
    <row r="72" spans="1:14">
      <c r="A72" s="2" t="s">
        <v>114</v>
      </c>
      <c r="B72" s="2" t="s">
        <v>638</v>
      </c>
      <c r="C72" s="2" t="s">
        <v>115</v>
      </c>
      <c r="D72" s="8">
        <v>0</v>
      </c>
      <c r="E72" s="8">
        <v>15</v>
      </c>
      <c r="F72" s="8">
        <v>0</v>
      </c>
      <c r="G72" s="2" t="s">
        <v>639</v>
      </c>
      <c r="H72" s="8">
        <v>7</v>
      </c>
      <c r="I72" s="10">
        <v>0.2</v>
      </c>
      <c r="J72" s="2" t="s">
        <v>640</v>
      </c>
      <c r="K72" s="2" t="s">
        <v>641</v>
      </c>
      <c r="L72" s="2" t="s">
        <v>642</v>
      </c>
      <c r="M72" s="2" t="s">
        <v>643</v>
      </c>
      <c r="N72" t="s">
        <v>65</v>
      </c>
    </row>
    <row r="73" spans="1:14">
      <c r="A73" s="2" t="s">
        <v>644</v>
      </c>
      <c r="B73" s="2" t="s">
        <v>645</v>
      </c>
      <c r="C73" s="2" t="s">
        <v>646</v>
      </c>
      <c r="D73" s="8">
        <v>0</v>
      </c>
      <c r="E73" s="8">
        <v>120</v>
      </c>
      <c r="F73" s="8">
        <v>0</v>
      </c>
      <c r="G73" s="2" t="s">
        <v>647</v>
      </c>
      <c r="H73" s="8">
        <v>60</v>
      </c>
      <c r="I73" s="10">
        <v>2.2999999999999998</v>
      </c>
      <c r="J73" s="2" t="s">
        <v>648</v>
      </c>
      <c r="K73" s="2" t="s">
        <v>649</v>
      </c>
      <c r="L73" s="2" t="s">
        <v>650</v>
      </c>
      <c r="M73" s="2" t="s">
        <v>651</v>
      </c>
      <c r="N73" t="s">
        <v>65</v>
      </c>
    </row>
    <row r="74" spans="1:14">
      <c r="A74" s="2" t="s">
        <v>652</v>
      </c>
      <c r="B74" s="2" t="s">
        <v>653</v>
      </c>
      <c r="C74" s="2" t="s">
        <v>654</v>
      </c>
      <c r="D74" s="8">
        <v>170</v>
      </c>
      <c r="E74" s="8">
        <v>20</v>
      </c>
      <c r="F74" s="8">
        <v>5</v>
      </c>
      <c r="G74" s="2" t="s">
        <v>655</v>
      </c>
      <c r="H74" s="8">
        <v>6</v>
      </c>
      <c r="I74" s="10">
        <v>0.2</v>
      </c>
      <c r="J74" s="2" t="s">
        <v>656</v>
      </c>
      <c r="K74" s="2" t="s">
        <v>657</v>
      </c>
      <c r="L74" s="2" t="s">
        <v>658</v>
      </c>
      <c r="M74" s="2" t="s">
        <v>659</v>
      </c>
      <c r="N74" t="s">
        <v>67</v>
      </c>
    </row>
    <row r="75" spans="1:14">
      <c r="A75" s="2" t="s">
        <v>660</v>
      </c>
      <c r="B75" s="2" t="s">
        <v>661</v>
      </c>
      <c r="C75" s="2" t="s">
        <v>662</v>
      </c>
      <c r="D75" s="8">
        <v>330</v>
      </c>
      <c r="E75" s="8">
        <v>45</v>
      </c>
      <c r="F75" s="8">
        <v>10</v>
      </c>
      <c r="G75" s="2" t="s">
        <v>663</v>
      </c>
      <c r="H75" s="8">
        <v>14</v>
      </c>
      <c r="I75" s="10">
        <v>0.5</v>
      </c>
      <c r="J75" s="2" t="s">
        <v>664</v>
      </c>
      <c r="K75" s="2" t="s">
        <v>665</v>
      </c>
      <c r="L75" s="2" t="s">
        <v>666</v>
      </c>
      <c r="M75" s="2" t="s">
        <v>667</v>
      </c>
      <c r="N75" t="s">
        <v>67</v>
      </c>
    </row>
    <row r="76" spans="1:14">
      <c r="A76" s="2" t="s">
        <v>668</v>
      </c>
      <c r="B76" s="2" t="s">
        <v>669</v>
      </c>
      <c r="C76" s="2" t="s">
        <v>670</v>
      </c>
      <c r="D76" s="8">
        <v>170</v>
      </c>
      <c r="E76" s="8">
        <v>70</v>
      </c>
      <c r="F76" s="8">
        <v>10</v>
      </c>
      <c r="G76" s="2" t="s">
        <v>671</v>
      </c>
      <c r="H76" s="8">
        <v>22</v>
      </c>
      <c r="I76" s="10">
        <v>0.8</v>
      </c>
      <c r="J76" s="2" t="s">
        <v>672</v>
      </c>
      <c r="K76" s="2" t="s">
        <v>673</v>
      </c>
      <c r="L76" s="2" t="s">
        <v>674</v>
      </c>
      <c r="M76" s="2" t="s">
        <v>675</v>
      </c>
      <c r="N76" t="s">
        <v>67</v>
      </c>
    </row>
    <row r="77" spans="1:14">
      <c r="A77" s="2" t="s">
        <v>676</v>
      </c>
      <c r="B77" s="2" t="s">
        <v>677</v>
      </c>
      <c r="C77" s="2" t="s">
        <v>678</v>
      </c>
      <c r="D77" s="8">
        <v>145</v>
      </c>
      <c r="E77" s="8">
        <v>125</v>
      </c>
      <c r="F77" s="8">
        <v>10</v>
      </c>
      <c r="G77" s="2" t="s">
        <v>679</v>
      </c>
      <c r="H77" s="8">
        <v>41</v>
      </c>
      <c r="I77" s="10">
        <v>1.4</v>
      </c>
      <c r="J77" s="2" t="s">
        <v>680</v>
      </c>
      <c r="K77" s="2" t="s">
        <v>681</v>
      </c>
      <c r="L77" s="2" t="s">
        <v>682</v>
      </c>
      <c r="M77" s="2" t="s">
        <v>683</v>
      </c>
      <c r="N77" t="s">
        <v>67</v>
      </c>
    </row>
    <row r="78" spans="1:14">
      <c r="A78" s="2" t="s">
        <v>684</v>
      </c>
      <c r="B78" s="2" t="s">
        <v>685</v>
      </c>
      <c r="C78" s="2" t="s">
        <v>686</v>
      </c>
      <c r="D78" s="8">
        <v>60</v>
      </c>
      <c r="E78" s="8">
        <v>25</v>
      </c>
      <c r="F78" s="8">
        <v>10</v>
      </c>
      <c r="G78" s="2" t="s">
        <v>687</v>
      </c>
      <c r="H78" s="8">
        <v>8</v>
      </c>
      <c r="I78" s="10">
        <v>0.25</v>
      </c>
      <c r="J78" s="2" t="s">
        <v>688</v>
      </c>
      <c r="K78" s="2" t="s">
        <v>689</v>
      </c>
      <c r="L78" s="2" t="s">
        <v>690</v>
      </c>
      <c r="M78" s="2" t="s">
        <v>691</v>
      </c>
      <c r="N78" t="s">
        <v>67</v>
      </c>
    </row>
    <row r="79" spans="1:14">
      <c r="A79" s="2" t="s">
        <v>692</v>
      </c>
      <c r="B79" s="2" t="s">
        <v>693</v>
      </c>
      <c r="C79" s="2" t="s">
        <v>694</v>
      </c>
      <c r="D79" s="8">
        <v>65</v>
      </c>
      <c r="E79" s="8">
        <v>105</v>
      </c>
      <c r="F79" s="8">
        <v>10</v>
      </c>
      <c r="G79" s="2" t="s">
        <v>695</v>
      </c>
      <c r="H79" s="8">
        <v>35</v>
      </c>
      <c r="I79" s="10">
        <v>1.1000000000000001</v>
      </c>
      <c r="J79" s="2" t="s">
        <v>696</v>
      </c>
      <c r="K79" s="2" t="s">
        <v>697</v>
      </c>
      <c r="L79" s="2" t="s">
        <v>698</v>
      </c>
      <c r="M79" s="2" t="s">
        <v>699</v>
      </c>
      <c r="N79" t="s">
        <v>67</v>
      </c>
    </row>
    <row r="80" spans="1:14">
      <c r="A80" s="2" t="s">
        <v>700</v>
      </c>
      <c r="B80" s="2" t="s">
        <v>701</v>
      </c>
      <c r="C80" s="2" t="s">
        <v>702</v>
      </c>
      <c r="D80" s="8">
        <v>155</v>
      </c>
      <c r="E80" s="8">
        <v>40</v>
      </c>
      <c r="F80" s="8">
        <v>10</v>
      </c>
      <c r="G80" s="2" t="s">
        <v>703</v>
      </c>
      <c r="H80" s="8">
        <v>12</v>
      </c>
      <c r="I80" s="10">
        <v>0.4</v>
      </c>
      <c r="J80" s="2" t="s">
        <v>704</v>
      </c>
      <c r="K80" s="2" t="s">
        <v>705</v>
      </c>
      <c r="L80" s="2" t="s">
        <v>706</v>
      </c>
      <c r="M80" s="2" t="s">
        <v>707</v>
      </c>
      <c r="N80" t="s">
        <v>67</v>
      </c>
    </row>
    <row r="81" spans="1:14">
      <c r="A81" s="2" t="s">
        <v>126</v>
      </c>
      <c r="B81" s="2" t="s">
        <v>708</v>
      </c>
      <c r="C81" s="2" t="s">
        <v>125</v>
      </c>
      <c r="D81" s="8">
        <v>180</v>
      </c>
      <c r="E81" s="8">
        <v>60</v>
      </c>
      <c r="F81" s="8">
        <v>10</v>
      </c>
      <c r="G81" s="2" t="s">
        <v>709</v>
      </c>
      <c r="H81" s="8">
        <v>20</v>
      </c>
      <c r="I81" s="10">
        <v>0.75</v>
      </c>
      <c r="J81" s="2" t="s">
        <v>710</v>
      </c>
      <c r="K81" s="2" t="s">
        <v>711</v>
      </c>
      <c r="L81" s="2" t="s">
        <v>712</v>
      </c>
      <c r="M81" s="2" t="s">
        <v>713</v>
      </c>
      <c r="N81" t="s">
        <v>67</v>
      </c>
    </row>
    <row r="82" spans="1:14">
      <c r="A82" s="2" t="s">
        <v>714</v>
      </c>
      <c r="B82" s="2" t="s">
        <v>715</v>
      </c>
      <c r="C82" s="2" t="s">
        <v>716</v>
      </c>
      <c r="D82" s="8">
        <v>45</v>
      </c>
      <c r="E82" s="8">
        <v>15</v>
      </c>
      <c r="F82" s="8">
        <v>5</v>
      </c>
      <c r="G82" s="2" t="s">
        <v>717</v>
      </c>
      <c r="H82" s="8">
        <v>5</v>
      </c>
      <c r="I82" s="10">
        <v>0.1</v>
      </c>
      <c r="J82" s="2" t="s">
        <v>718</v>
      </c>
      <c r="K82" s="2" t="s">
        <v>719</v>
      </c>
      <c r="L82" s="2" t="s">
        <v>720</v>
      </c>
      <c r="M82" s="2" t="s">
        <v>721</v>
      </c>
      <c r="N82" t="s">
        <v>67</v>
      </c>
    </row>
    <row r="83" spans="1:14">
      <c r="A83" s="2" t="s">
        <v>722</v>
      </c>
      <c r="B83" s="2" t="s">
        <v>723</v>
      </c>
      <c r="C83" s="2" t="s">
        <v>724</v>
      </c>
      <c r="D83" s="8">
        <v>115</v>
      </c>
      <c r="E83" s="8">
        <v>90</v>
      </c>
      <c r="F83" s="8">
        <v>0</v>
      </c>
      <c r="G83" s="2" t="s">
        <v>725</v>
      </c>
      <c r="H83" s="8">
        <v>30</v>
      </c>
      <c r="I83" s="10">
        <v>1</v>
      </c>
      <c r="J83" s="2" t="s">
        <v>726</v>
      </c>
      <c r="K83" s="2" t="s">
        <v>727</v>
      </c>
      <c r="L83" s="2" t="s">
        <v>728</v>
      </c>
      <c r="M83" s="2" t="s">
        <v>729</v>
      </c>
      <c r="N83" t="s">
        <v>67</v>
      </c>
    </row>
    <row r="84" spans="1:14">
      <c r="A84" s="2" t="s">
        <v>730</v>
      </c>
      <c r="B84" s="2" t="s">
        <v>731</v>
      </c>
      <c r="C84" s="2" t="s">
        <v>732</v>
      </c>
      <c r="D84" s="8">
        <v>55</v>
      </c>
      <c r="E84" s="8">
        <v>45</v>
      </c>
      <c r="F84" s="8">
        <v>0</v>
      </c>
      <c r="G84" s="2" t="s">
        <v>733</v>
      </c>
      <c r="H84" s="8">
        <v>14</v>
      </c>
      <c r="I84" s="10">
        <v>0.45</v>
      </c>
      <c r="J84" s="2" t="s">
        <v>734</v>
      </c>
      <c r="K84" s="2" t="s">
        <v>735</v>
      </c>
      <c r="L84" s="2" t="s">
        <v>736</v>
      </c>
      <c r="M84" s="2" t="s">
        <v>737</v>
      </c>
      <c r="N84" t="s">
        <v>69</v>
      </c>
    </row>
    <row r="85" spans="1:14">
      <c r="A85" s="2" t="s">
        <v>738</v>
      </c>
      <c r="B85" s="2" t="s">
        <v>739</v>
      </c>
      <c r="C85" s="2" t="s">
        <v>740</v>
      </c>
      <c r="D85" s="8">
        <v>40</v>
      </c>
      <c r="E85" s="8">
        <v>40</v>
      </c>
      <c r="F85" s="8">
        <v>0</v>
      </c>
      <c r="G85" s="2" t="s">
        <v>741</v>
      </c>
      <c r="H85" s="8">
        <v>12</v>
      </c>
      <c r="I85" s="10">
        <v>0.4</v>
      </c>
      <c r="J85" s="2" t="s">
        <v>742</v>
      </c>
      <c r="K85" s="2" t="s">
        <v>743</v>
      </c>
      <c r="L85" s="2" t="s">
        <v>744</v>
      </c>
      <c r="M85" s="2" t="s">
        <v>745</v>
      </c>
      <c r="N85" t="s">
        <v>69</v>
      </c>
    </row>
    <row r="86" spans="1:14">
      <c r="A86" s="2" t="s">
        <v>746</v>
      </c>
      <c r="B86" s="2" t="s">
        <v>747</v>
      </c>
      <c r="C86" s="2" t="s">
        <v>748</v>
      </c>
      <c r="D86" s="8">
        <v>40</v>
      </c>
      <c r="E86" s="8">
        <v>75</v>
      </c>
      <c r="F86" s="8">
        <v>20</v>
      </c>
      <c r="G86" s="2" t="s">
        <v>749</v>
      </c>
      <c r="H86" s="8">
        <v>25</v>
      </c>
      <c r="I86" s="10">
        <v>0.8</v>
      </c>
      <c r="J86" s="2" t="s">
        <v>750</v>
      </c>
      <c r="K86" s="2" t="s">
        <v>751</v>
      </c>
      <c r="L86" s="2" t="s">
        <v>752</v>
      </c>
      <c r="M86" s="2" t="s">
        <v>753</v>
      </c>
      <c r="N86" t="s">
        <v>69</v>
      </c>
    </row>
    <row r="87" spans="1:14">
      <c r="A87" s="2" t="s">
        <v>754</v>
      </c>
      <c r="B87" s="2" t="s">
        <v>755</v>
      </c>
      <c r="C87" s="2" t="s">
        <v>756</v>
      </c>
      <c r="D87" s="8">
        <v>75</v>
      </c>
      <c r="E87" s="8">
        <v>75</v>
      </c>
      <c r="F87" s="8">
        <v>0</v>
      </c>
      <c r="G87" s="2" t="s">
        <v>757</v>
      </c>
      <c r="H87" s="8">
        <v>25</v>
      </c>
      <c r="I87" s="10">
        <v>0.8</v>
      </c>
      <c r="J87" s="2" t="s">
        <v>758</v>
      </c>
      <c r="K87" s="2" t="s">
        <v>759</v>
      </c>
      <c r="L87" s="2" t="s">
        <v>760</v>
      </c>
      <c r="M87" s="2" t="s">
        <v>761</v>
      </c>
      <c r="N87" t="s">
        <v>69</v>
      </c>
    </row>
    <row r="88" spans="1:14">
      <c r="A88" s="2" t="s">
        <v>762</v>
      </c>
      <c r="B88" s="2" t="s">
        <v>763</v>
      </c>
      <c r="C88" s="2" t="s">
        <v>764</v>
      </c>
      <c r="D88" s="8">
        <v>70</v>
      </c>
      <c r="E88" s="8">
        <v>75</v>
      </c>
      <c r="F88" s="8">
        <v>0</v>
      </c>
      <c r="G88" s="2" t="s">
        <v>765</v>
      </c>
      <c r="H88" s="8">
        <v>25</v>
      </c>
      <c r="I88" s="10">
        <v>0.75</v>
      </c>
      <c r="J88" s="2" t="s">
        <v>766</v>
      </c>
      <c r="K88" s="2" t="s">
        <v>767</v>
      </c>
      <c r="L88" s="2" t="s">
        <v>768</v>
      </c>
      <c r="M88" s="2" t="s">
        <v>769</v>
      </c>
      <c r="N88" t="s">
        <v>69</v>
      </c>
    </row>
    <row r="89" spans="1:14">
      <c r="A89" s="2" t="s">
        <v>770</v>
      </c>
      <c r="B89" s="2" t="s">
        <v>771</v>
      </c>
      <c r="C89" s="2" t="s">
        <v>772</v>
      </c>
      <c r="D89" s="8">
        <v>40</v>
      </c>
      <c r="E89" s="8">
        <v>75</v>
      </c>
      <c r="F89" s="8">
        <v>0</v>
      </c>
      <c r="G89" s="2" t="s">
        <v>773</v>
      </c>
      <c r="H89" s="8">
        <v>25</v>
      </c>
      <c r="I89" s="10">
        <v>1</v>
      </c>
      <c r="J89" s="2" t="s">
        <v>774</v>
      </c>
      <c r="K89" s="2" t="s">
        <v>775</v>
      </c>
      <c r="L89" s="2" t="s">
        <v>776</v>
      </c>
      <c r="M89" s="2" t="s">
        <v>777</v>
      </c>
      <c r="N89" t="s">
        <v>69</v>
      </c>
    </row>
    <row r="90" spans="1:14">
      <c r="A90" s="2" t="s">
        <v>778</v>
      </c>
      <c r="B90" s="2" t="s">
        <v>779</v>
      </c>
      <c r="C90" s="2" t="s">
        <v>780</v>
      </c>
      <c r="D90" s="8">
        <v>35</v>
      </c>
      <c r="E90" s="8">
        <v>40</v>
      </c>
      <c r="F90" s="8">
        <v>0</v>
      </c>
      <c r="G90" s="2" t="s">
        <v>781</v>
      </c>
      <c r="H90" s="8">
        <v>12</v>
      </c>
      <c r="I90" s="10">
        <v>0.35</v>
      </c>
      <c r="J90" s="2" t="s">
        <v>782</v>
      </c>
      <c r="K90" s="2" t="s">
        <v>783</v>
      </c>
      <c r="L90" s="2" t="s">
        <v>784</v>
      </c>
      <c r="M90" s="2" t="s">
        <v>785</v>
      </c>
      <c r="N90" t="s">
        <v>69</v>
      </c>
    </row>
    <row r="91" spans="1:14">
      <c r="A91" s="2" t="s">
        <v>786</v>
      </c>
      <c r="B91" s="2" t="s">
        <v>787</v>
      </c>
      <c r="C91" s="2" t="s">
        <v>788</v>
      </c>
      <c r="D91" s="8">
        <v>50</v>
      </c>
      <c r="E91" s="8">
        <v>55</v>
      </c>
      <c r="F91" s="8">
        <v>0</v>
      </c>
      <c r="G91" s="2" t="s">
        <v>789</v>
      </c>
      <c r="H91" s="8">
        <v>18</v>
      </c>
      <c r="I91" s="10">
        <v>0.6</v>
      </c>
      <c r="J91" s="2" t="s">
        <v>790</v>
      </c>
      <c r="K91" s="2" t="s">
        <v>791</v>
      </c>
      <c r="L91" s="2" t="s">
        <v>792</v>
      </c>
      <c r="M91" s="2" t="s">
        <v>793</v>
      </c>
      <c r="N91" t="s">
        <v>69</v>
      </c>
    </row>
    <row r="92" spans="1:14">
      <c r="A92" s="2" t="s">
        <v>794</v>
      </c>
      <c r="B92" s="2" t="s">
        <v>795</v>
      </c>
      <c r="C92" s="2" t="s">
        <v>796</v>
      </c>
      <c r="D92" s="8">
        <v>65</v>
      </c>
      <c r="E92" s="8">
        <v>45</v>
      </c>
      <c r="F92" s="8">
        <v>10</v>
      </c>
      <c r="G92" s="2" t="s">
        <v>797</v>
      </c>
      <c r="H92" s="8">
        <v>15</v>
      </c>
      <c r="I92" s="10">
        <v>0.5</v>
      </c>
      <c r="J92" s="2" t="s">
        <v>798</v>
      </c>
      <c r="K92" s="2" t="s">
        <v>799</v>
      </c>
      <c r="L92" s="2" t="s">
        <v>800</v>
      </c>
      <c r="M92" s="2" t="s">
        <v>801</v>
      </c>
      <c r="N92" t="s">
        <v>69</v>
      </c>
    </row>
    <row r="93" spans="1:14">
      <c r="A93" s="2" t="s">
        <v>802</v>
      </c>
      <c r="B93" s="2" t="s">
        <v>803</v>
      </c>
      <c r="C93" s="2" t="s">
        <v>804</v>
      </c>
      <c r="D93" s="8">
        <v>40</v>
      </c>
      <c r="E93" s="8">
        <v>75</v>
      </c>
      <c r="F93" s="8">
        <v>0</v>
      </c>
      <c r="G93" s="2" t="s">
        <v>805</v>
      </c>
      <c r="H93" s="8">
        <v>25</v>
      </c>
      <c r="I93" s="10">
        <v>0.9</v>
      </c>
      <c r="J93" s="2" t="s">
        <v>806</v>
      </c>
      <c r="K93" s="2" t="s">
        <v>807</v>
      </c>
      <c r="L93" s="2" t="s">
        <v>808</v>
      </c>
      <c r="M93" s="2" t="s">
        <v>809</v>
      </c>
      <c r="N93" t="s">
        <v>69</v>
      </c>
    </row>
    <row r="94" spans="1:14">
      <c r="A94" s="2" t="s">
        <v>810</v>
      </c>
      <c r="B94" s="2" t="s">
        <v>811</v>
      </c>
      <c r="C94" s="2" t="s">
        <v>812</v>
      </c>
      <c r="D94" s="8">
        <v>140</v>
      </c>
      <c r="E94" s="8">
        <v>110</v>
      </c>
      <c r="F94" s="8">
        <v>0</v>
      </c>
      <c r="G94" s="2" t="s">
        <v>813</v>
      </c>
      <c r="H94" s="8">
        <v>36</v>
      </c>
      <c r="I94" s="10">
        <v>1.3</v>
      </c>
      <c r="J94" s="2" t="s">
        <v>814</v>
      </c>
      <c r="K94" s="2" t="s">
        <v>815</v>
      </c>
      <c r="L94" s="2" t="s">
        <v>816</v>
      </c>
      <c r="M94" s="2" t="s">
        <v>817</v>
      </c>
      <c r="N94" t="s">
        <v>71</v>
      </c>
    </row>
    <row r="95" spans="1:14">
      <c r="A95" s="2" t="s">
        <v>818</v>
      </c>
      <c r="B95" s="2" t="s">
        <v>819</v>
      </c>
      <c r="C95" s="2" t="s">
        <v>820</v>
      </c>
      <c r="D95" s="8">
        <v>150</v>
      </c>
      <c r="E95" s="8">
        <v>35</v>
      </c>
      <c r="F95" s="8">
        <v>0</v>
      </c>
      <c r="G95" s="2" t="s">
        <v>821</v>
      </c>
      <c r="H95" s="8">
        <v>11</v>
      </c>
      <c r="I95" s="10">
        <v>0.4</v>
      </c>
      <c r="J95" s="2" t="s">
        <v>822</v>
      </c>
      <c r="K95" s="2" t="s">
        <v>823</v>
      </c>
      <c r="L95" s="2" t="s">
        <v>824</v>
      </c>
      <c r="M95" s="2" t="s">
        <v>825</v>
      </c>
      <c r="N95" t="s">
        <v>71</v>
      </c>
    </row>
    <row r="96" spans="1:14">
      <c r="A96" s="2" t="s">
        <v>826</v>
      </c>
      <c r="B96" s="2" t="s">
        <v>827</v>
      </c>
      <c r="C96" s="2" t="s">
        <v>828</v>
      </c>
      <c r="D96" s="8">
        <v>355</v>
      </c>
      <c r="E96" s="8">
        <v>90</v>
      </c>
      <c r="F96" s="8">
        <v>10</v>
      </c>
      <c r="G96" s="2" t="s">
        <v>829</v>
      </c>
      <c r="H96" s="8">
        <v>30</v>
      </c>
      <c r="I96" s="10">
        <v>0.9</v>
      </c>
      <c r="J96" s="2" t="s">
        <v>830</v>
      </c>
      <c r="K96" s="2" t="s">
        <v>831</v>
      </c>
      <c r="L96" s="2" t="s">
        <v>832</v>
      </c>
      <c r="M96" s="2" t="s">
        <v>833</v>
      </c>
      <c r="N96" t="s">
        <v>71</v>
      </c>
    </row>
    <row r="97" spans="1:14">
      <c r="A97" s="2" t="s">
        <v>834</v>
      </c>
      <c r="B97" s="2" t="s">
        <v>835</v>
      </c>
      <c r="C97" s="2" t="s">
        <v>836</v>
      </c>
      <c r="D97" s="8">
        <v>325</v>
      </c>
      <c r="E97" s="8">
        <v>90</v>
      </c>
      <c r="F97" s="8">
        <v>0</v>
      </c>
      <c r="G97" s="2" t="s">
        <v>837</v>
      </c>
      <c r="H97" s="8">
        <v>30</v>
      </c>
      <c r="I97" s="10">
        <v>0.95</v>
      </c>
      <c r="J97" s="2" t="s">
        <v>838</v>
      </c>
      <c r="K97" s="2" t="s">
        <v>839</v>
      </c>
      <c r="L97" s="2" t="s">
        <v>840</v>
      </c>
      <c r="M97" s="2" t="s">
        <v>841</v>
      </c>
      <c r="N97" t="s">
        <v>71</v>
      </c>
    </row>
    <row r="98" spans="1:14">
      <c r="A98" s="2" t="s">
        <v>842</v>
      </c>
      <c r="B98" s="2" t="s">
        <v>843</v>
      </c>
      <c r="C98" s="2" t="s">
        <v>844</v>
      </c>
      <c r="D98" s="8">
        <v>155</v>
      </c>
      <c r="E98" s="8">
        <v>35</v>
      </c>
      <c r="F98" s="8">
        <v>20</v>
      </c>
      <c r="G98" s="2" t="s">
        <v>845</v>
      </c>
      <c r="H98" s="8">
        <v>11</v>
      </c>
      <c r="I98" s="10">
        <v>0.45</v>
      </c>
      <c r="J98" s="2" t="s">
        <v>846</v>
      </c>
      <c r="K98" s="2" t="s">
        <v>847</v>
      </c>
      <c r="L98" s="2" t="s">
        <v>848</v>
      </c>
      <c r="M98" s="2" t="s">
        <v>849</v>
      </c>
      <c r="N98" t="s">
        <v>71</v>
      </c>
    </row>
    <row r="99" spans="1:14">
      <c r="A99" s="2" t="s">
        <v>850</v>
      </c>
      <c r="B99" s="2" t="s">
        <v>851</v>
      </c>
      <c r="C99" s="2" t="s">
        <v>852</v>
      </c>
      <c r="D99" s="8">
        <v>110</v>
      </c>
      <c r="E99" s="8">
        <v>15</v>
      </c>
      <c r="F99" s="8">
        <v>0</v>
      </c>
      <c r="G99" s="2" t="s">
        <v>853</v>
      </c>
      <c r="H99" s="8">
        <v>4</v>
      </c>
      <c r="I99" s="10">
        <v>0.13</v>
      </c>
      <c r="J99" s="2" t="s">
        <v>854</v>
      </c>
      <c r="K99" s="2" t="s">
        <v>855</v>
      </c>
      <c r="L99" s="2" t="s">
        <v>856</v>
      </c>
      <c r="M99" s="2" t="s">
        <v>857</v>
      </c>
      <c r="N99" t="s">
        <v>71</v>
      </c>
    </row>
    <row r="100" spans="1:14">
      <c r="A100" s="2" t="s">
        <v>858</v>
      </c>
      <c r="B100" s="2" t="s">
        <v>859</v>
      </c>
      <c r="C100" s="2" t="s">
        <v>860</v>
      </c>
      <c r="D100" s="8">
        <v>125</v>
      </c>
      <c r="E100" s="8">
        <v>50</v>
      </c>
      <c r="F100" s="8">
        <v>0</v>
      </c>
      <c r="G100" s="2" t="s">
        <v>861</v>
      </c>
      <c r="H100" s="8">
        <v>16</v>
      </c>
      <c r="I100" s="10">
        <v>0.65</v>
      </c>
      <c r="J100" s="2" t="s">
        <v>862</v>
      </c>
      <c r="K100" s="2" t="s">
        <v>863</v>
      </c>
      <c r="L100" s="2" t="s">
        <v>864</v>
      </c>
      <c r="M100" s="2" t="s">
        <v>865</v>
      </c>
      <c r="N100" t="s">
        <v>71</v>
      </c>
    </row>
    <row r="101" spans="1:14">
      <c r="A101" s="2" t="s">
        <v>866</v>
      </c>
      <c r="B101" s="2" t="s">
        <v>867</v>
      </c>
      <c r="C101" s="2" t="s">
        <v>868</v>
      </c>
      <c r="D101" s="8">
        <v>295</v>
      </c>
      <c r="E101" s="8">
        <v>25</v>
      </c>
      <c r="F101" s="8">
        <v>0</v>
      </c>
      <c r="G101" s="2" t="s">
        <v>869</v>
      </c>
      <c r="H101" s="8">
        <v>8</v>
      </c>
      <c r="I101" s="10">
        <v>0.2</v>
      </c>
      <c r="J101" s="2" t="s">
        <v>870</v>
      </c>
      <c r="K101" s="2" t="s">
        <v>871</v>
      </c>
      <c r="L101" s="2" t="s">
        <v>872</v>
      </c>
      <c r="M101" s="2" t="s">
        <v>873</v>
      </c>
      <c r="N101" t="s">
        <v>71</v>
      </c>
    </row>
    <row r="102" spans="1:14">
      <c r="A102" s="2" t="s">
        <v>874</v>
      </c>
      <c r="B102" s="2" t="s">
        <v>875</v>
      </c>
      <c r="C102" s="2" t="s">
        <v>876</v>
      </c>
      <c r="D102" s="8">
        <v>380</v>
      </c>
      <c r="E102" s="8">
        <v>135</v>
      </c>
      <c r="F102" s="8">
        <v>0</v>
      </c>
      <c r="G102" s="2" t="s">
        <v>877</v>
      </c>
      <c r="H102" s="8">
        <v>45</v>
      </c>
      <c r="I102" s="10">
        <v>1.5</v>
      </c>
      <c r="J102" s="2" t="s">
        <v>878</v>
      </c>
      <c r="K102" s="2" t="s">
        <v>879</v>
      </c>
      <c r="L102" s="2" t="s">
        <v>880</v>
      </c>
      <c r="M102" s="2" t="s">
        <v>881</v>
      </c>
      <c r="N102" t="s">
        <v>74</v>
      </c>
    </row>
    <row r="103" spans="1:14">
      <c r="A103" s="2" t="s">
        <v>882</v>
      </c>
      <c r="B103" s="2" t="s">
        <v>883</v>
      </c>
      <c r="C103" s="2" t="s">
        <v>884</v>
      </c>
      <c r="D103" s="8">
        <v>60</v>
      </c>
      <c r="E103" s="8">
        <v>85</v>
      </c>
      <c r="F103" s="8">
        <v>0</v>
      </c>
      <c r="G103" s="2" t="s">
        <v>885</v>
      </c>
      <c r="H103" s="8">
        <v>28</v>
      </c>
      <c r="I103" s="10">
        <v>1.1000000000000001</v>
      </c>
      <c r="J103" s="2" t="s">
        <v>886</v>
      </c>
      <c r="K103" s="2" t="s">
        <v>887</v>
      </c>
      <c r="L103" s="2" t="s">
        <v>888</v>
      </c>
      <c r="M103" s="2" t="s">
        <v>889</v>
      </c>
      <c r="N103" t="s">
        <v>74</v>
      </c>
    </row>
    <row r="104" spans="1:14">
      <c r="A104" s="2" t="s">
        <v>890</v>
      </c>
      <c r="B104" s="2" t="s">
        <v>891</v>
      </c>
      <c r="C104" s="2" t="s">
        <v>892</v>
      </c>
      <c r="D104" s="8">
        <v>115</v>
      </c>
      <c r="E104" s="8">
        <v>90</v>
      </c>
      <c r="F104" s="8">
        <v>10</v>
      </c>
      <c r="G104" s="2" t="s">
        <v>893</v>
      </c>
      <c r="H104" s="8">
        <v>30</v>
      </c>
      <c r="I104" s="10">
        <v>0.8</v>
      </c>
      <c r="J104" s="2" t="s">
        <v>894</v>
      </c>
      <c r="K104" s="2" t="s">
        <v>895</v>
      </c>
      <c r="L104" s="2" t="s">
        <v>896</v>
      </c>
      <c r="M104" s="2" t="s">
        <v>897</v>
      </c>
      <c r="N104" t="s">
        <v>74</v>
      </c>
    </row>
    <row r="105" spans="1:14">
      <c r="A105" s="2" t="s">
        <v>139</v>
      </c>
      <c r="B105" s="2" t="s">
        <v>898</v>
      </c>
      <c r="C105" s="2" t="s">
        <v>44</v>
      </c>
      <c r="D105" s="8">
        <v>85</v>
      </c>
      <c r="E105" s="8">
        <v>15</v>
      </c>
      <c r="F105" s="8">
        <v>50</v>
      </c>
      <c r="G105" s="2" t="s">
        <v>899</v>
      </c>
      <c r="H105" s="8">
        <v>5</v>
      </c>
      <c r="I105" s="10">
        <v>0.14000000000000001</v>
      </c>
      <c r="J105" s="2" t="s">
        <v>900</v>
      </c>
      <c r="K105" s="2" t="s">
        <v>901</v>
      </c>
      <c r="L105" s="2" t="s">
        <v>902</v>
      </c>
      <c r="M105" s="2" t="s">
        <v>903</v>
      </c>
      <c r="N105" t="s">
        <v>74</v>
      </c>
    </row>
    <row r="106" spans="1:14">
      <c r="A106" s="2" t="s">
        <v>904</v>
      </c>
      <c r="B106" s="2" t="s">
        <v>905</v>
      </c>
      <c r="C106" s="2" t="s">
        <v>906</v>
      </c>
      <c r="D106" s="8">
        <v>210</v>
      </c>
      <c r="E106" s="8">
        <v>130</v>
      </c>
      <c r="F106" s="8">
        <v>0</v>
      </c>
      <c r="G106" s="2" t="s">
        <v>907</v>
      </c>
      <c r="H106" s="8">
        <v>42</v>
      </c>
      <c r="I106" s="10">
        <v>1.5</v>
      </c>
      <c r="J106" s="2" t="s">
        <v>908</v>
      </c>
      <c r="K106" s="2" t="s">
        <v>909</v>
      </c>
      <c r="L106" s="2" t="s">
        <v>910</v>
      </c>
      <c r="M106" s="2" t="s">
        <v>911</v>
      </c>
      <c r="N106" t="s">
        <v>74</v>
      </c>
    </row>
    <row r="107" spans="1:14">
      <c r="A107" s="2" t="s">
        <v>912</v>
      </c>
      <c r="B107" s="2" t="s">
        <v>913</v>
      </c>
      <c r="C107" s="2" t="s">
        <v>914</v>
      </c>
      <c r="D107" s="8">
        <v>115</v>
      </c>
      <c r="E107" s="8">
        <v>90</v>
      </c>
      <c r="F107" s="8">
        <v>0</v>
      </c>
      <c r="G107" s="2" t="s">
        <v>915</v>
      </c>
      <c r="H107" s="8">
        <v>30</v>
      </c>
      <c r="I107" s="10">
        <v>1</v>
      </c>
      <c r="J107" s="2" t="s">
        <v>916</v>
      </c>
      <c r="K107" s="2" t="s">
        <v>917</v>
      </c>
      <c r="L107" s="2" t="s">
        <v>918</v>
      </c>
      <c r="M107" s="2" t="s">
        <v>919</v>
      </c>
      <c r="N107" t="s">
        <v>74</v>
      </c>
    </row>
    <row r="108" spans="1:14">
      <c r="A108" s="2" t="s">
        <v>127</v>
      </c>
      <c r="B108" s="2" t="s">
        <v>920</v>
      </c>
      <c r="C108" s="2" t="s">
        <v>46</v>
      </c>
      <c r="D108" s="8">
        <v>245</v>
      </c>
      <c r="E108" s="8">
        <v>60</v>
      </c>
      <c r="F108" s="8">
        <v>0</v>
      </c>
      <c r="G108" s="2" t="s">
        <v>921</v>
      </c>
      <c r="H108" s="8">
        <v>20</v>
      </c>
      <c r="I108" s="10">
        <v>0.75</v>
      </c>
      <c r="J108" s="2" t="s">
        <v>922</v>
      </c>
      <c r="K108" s="2" t="s">
        <v>923</v>
      </c>
      <c r="L108" s="2" t="s">
        <v>924</v>
      </c>
      <c r="M108" s="2" t="s">
        <v>925</v>
      </c>
      <c r="N108" t="s">
        <v>74</v>
      </c>
    </row>
    <row r="109" spans="1:14">
      <c r="A109" s="2" t="s">
        <v>926</v>
      </c>
      <c r="B109" s="2" t="s">
        <v>927</v>
      </c>
      <c r="C109" s="2" t="s">
        <v>928</v>
      </c>
      <c r="D109" s="8">
        <v>245</v>
      </c>
      <c r="E109" s="8">
        <v>10</v>
      </c>
      <c r="F109" s="8">
        <v>55</v>
      </c>
      <c r="G109" s="2" t="s">
        <v>929</v>
      </c>
      <c r="H109" s="8">
        <v>2</v>
      </c>
      <c r="I109" s="10">
        <v>7.0000000000000007E-2</v>
      </c>
      <c r="J109" s="2" t="s">
        <v>930</v>
      </c>
      <c r="K109" s="2" t="s">
        <v>931</v>
      </c>
      <c r="L109" s="2" t="s">
        <v>932</v>
      </c>
      <c r="M109" s="2" t="s">
        <v>933</v>
      </c>
      <c r="N109" t="s">
        <v>74</v>
      </c>
    </row>
    <row r="110" spans="1:14">
      <c r="A110" s="2" t="s">
        <v>934</v>
      </c>
      <c r="B110" s="2" t="s">
        <v>935</v>
      </c>
      <c r="C110" s="2" t="s">
        <v>936</v>
      </c>
      <c r="D110" s="8">
        <v>85</v>
      </c>
      <c r="E110" s="8">
        <v>90</v>
      </c>
      <c r="F110" s="8">
        <v>0</v>
      </c>
      <c r="G110" s="2" t="s">
        <v>937</v>
      </c>
      <c r="H110" s="8">
        <v>30</v>
      </c>
      <c r="I110" s="10">
        <v>1.1000000000000001</v>
      </c>
      <c r="J110" s="2" t="s">
        <v>938</v>
      </c>
      <c r="K110" s="2" t="s">
        <v>939</v>
      </c>
      <c r="L110" s="2" t="s">
        <v>940</v>
      </c>
      <c r="M110" s="2" t="s">
        <v>941</v>
      </c>
      <c r="N110" t="s">
        <v>74</v>
      </c>
    </row>
    <row r="111" spans="1:14">
      <c r="A111" s="2" t="s">
        <v>942</v>
      </c>
      <c r="B111" s="2" t="s">
        <v>943</v>
      </c>
      <c r="C111" s="2" t="s">
        <v>944</v>
      </c>
      <c r="D111" s="8">
        <v>105</v>
      </c>
      <c r="E111" s="8">
        <v>45</v>
      </c>
      <c r="F111" s="8">
        <v>0</v>
      </c>
      <c r="G111" s="2" t="s">
        <v>945</v>
      </c>
      <c r="H111" s="8">
        <v>15</v>
      </c>
      <c r="I111" s="10">
        <v>0.5</v>
      </c>
      <c r="J111" s="2" t="s">
        <v>946</v>
      </c>
      <c r="K111" s="2" t="s">
        <v>947</v>
      </c>
      <c r="L111" s="2" t="s">
        <v>948</v>
      </c>
      <c r="M111" s="2" t="s">
        <v>949</v>
      </c>
      <c r="N111" t="s">
        <v>74</v>
      </c>
    </row>
    <row r="112" spans="1:14">
      <c r="A112" s="2" t="s">
        <v>950</v>
      </c>
      <c r="B112" s="2" t="s">
        <v>951</v>
      </c>
      <c r="C112" s="2" t="s">
        <v>952</v>
      </c>
      <c r="D112" s="8">
        <v>285</v>
      </c>
      <c r="E112" s="8">
        <v>120</v>
      </c>
      <c r="F112" s="8">
        <v>0</v>
      </c>
      <c r="G112" s="2" t="s">
        <v>953</v>
      </c>
      <c r="H112" s="8">
        <v>40</v>
      </c>
      <c r="I112" s="10">
        <v>1.5</v>
      </c>
      <c r="J112" s="2" t="s">
        <v>954</v>
      </c>
      <c r="K112" s="2" t="s">
        <v>955</v>
      </c>
      <c r="L112" s="2" t="s">
        <v>956</v>
      </c>
      <c r="M112" s="2" t="s">
        <v>957</v>
      </c>
      <c r="N112" t="s">
        <v>76</v>
      </c>
    </row>
    <row r="113" spans="1:14">
      <c r="A113" s="2" t="s">
        <v>958</v>
      </c>
      <c r="B113" s="2" t="s">
        <v>959</v>
      </c>
      <c r="C113" s="2" t="s">
        <v>960</v>
      </c>
      <c r="D113" s="8">
        <v>155</v>
      </c>
      <c r="E113" s="8">
        <v>75</v>
      </c>
      <c r="F113" s="8">
        <v>0</v>
      </c>
      <c r="G113" s="2" t="s">
        <v>961</v>
      </c>
      <c r="H113" s="8">
        <v>25</v>
      </c>
      <c r="I113" s="10">
        <v>0.8</v>
      </c>
      <c r="J113" s="2" t="s">
        <v>962</v>
      </c>
      <c r="K113" s="2" t="s">
        <v>963</v>
      </c>
      <c r="L113" s="2" t="s">
        <v>964</v>
      </c>
      <c r="M113" s="2" t="s">
        <v>965</v>
      </c>
      <c r="N113" t="s">
        <v>76</v>
      </c>
    </row>
    <row r="114" spans="1:14">
      <c r="A114" s="2" t="s">
        <v>51</v>
      </c>
      <c r="B114" s="2" t="s">
        <v>966</v>
      </c>
      <c r="C114" s="2" t="s">
        <v>52</v>
      </c>
      <c r="D114" s="8">
        <v>180</v>
      </c>
      <c r="E114" s="8">
        <v>150</v>
      </c>
      <c r="F114" s="8">
        <v>0</v>
      </c>
      <c r="G114" s="2" t="s">
        <v>967</v>
      </c>
      <c r="H114" s="8">
        <v>50</v>
      </c>
      <c r="I114" s="10">
        <v>2</v>
      </c>
      <c r="J114" s="2" t="s">
        <v>968</v>
      </c>
      <c r="K114" s="2" t="s">
        <v>969</v>
      </c>
      <c r="L114" s="2" t="s">
        <v>970</v>
      </c>
      <c r="M114" s="2" t="s">
        <v>971</v>
      </c>
      <c r="N114" t="s">
        <v>76</v>
      </c>
    </row>
    <row r="115" spans="1:14">
      <c r="A115" s="2" t="s">
        <v>41</v>
      </c>
      <c r="B115" s="2" t="s">
        <v>972</v>
      </c>
      <c r="C115" s="2" t="s">
        <v>42</v>
      </c>
      <c r="D115" s="8">
        <v>60</v>
      </c>
      <c r="E115" s="8">
        <v>60</v>
      </c>
      <c r="F115" s="8">
        <v>5</v>
      </c>
      <c r="G115" s="2" t="s">
        <v>973</v>
      </c>
      <c r="H115" s="8">
        <v>20</v>
      </c>
      <c r="I115" s="10">
        <v>0.6</v>
      </c>
      <c r="J115" s="2" t="s">
        <v>974</v>
      </c>
      <c r="K115" s="2" t="s">
        <v>975</v>
      </c>
      <c r="L115" s="2" t="s">
        <v>976</v>
      </c>
      <c r="M115" s="2" t="s">
        <v>977</v>
      </c>
      <c r="N115" t="s">
        <v>76</v>
      </c>
    </row>
    <row r="116" spans="1:14">
      <c r="A116" s="2" t="s">
        <v>978</v>
      </c>
      <c r="B116" s="2" t="s">
        <v>979</v>
      </c>
      <c r="C116" s="2" t="s">
        <v>980</v>
      </c>
      <c r="D116" s="8">
        <v>50</v>
      </c>
      <c r="E116" s="8">
        <v>180</v>
      </c>
      <c r="F116" s="8">
        <v>5</v>
      </c>
      <c r="G116" s="2" t="s">
        <v>981</v>
      </c>
      <c r="H116" s="8">
        <v>60</v>
      </c>
      <c r="I116" s="10">
        <v>2</v>
      </c>
      <c r="J116" s="2" t="s">
        <v>982</v>
      </c>
      <c r="K116" s="2" t="s">
        <v>983</v>
      </c>
      <c r="L116" s="2" t="s">
        <v>984</v>
      </c>
      <c r="M116" s="2" t="s">
        <v>985</v>
      </c>
      <c r="N116" t="s">
        <v>76</v>
      </c>
    </row>
    <row r="117" spans="1:14">
      <c r="A117" s="2" t="s">
        <v>986</v>
      </c>
      <c r="B117" s="2" t="s">
        <v>987</v>
      </c>
      <c r="C117" s="2" t="s">
        <v>988</v>
      </c>
      <c r="D117" s="8">
        <v>60</v>
      </c>
      <c r="E117" s="8">
        <v>45</v>
      </c>
      <c r="F117" s="8">
        <v>0</v>
      </c>
      <c r="G117" s="2" t="s">
        <v>989</v>
      </c>
      <c r="H117" s="8">
        <v>15</v>
      </c>
      <c r="I117" s="10">
        <v>0.6</v>
      </c>
      <c r="J117" s="2" t="s">
        <v>990</v>
      </c>
      <c r="K117" s="2" t="s">
        <v>991</v>
      </c>
      <c r="L117" s="2" t="s">
        <v>992</v>
      </c>
      <c r="M117" s="2" t="s">
        <v>993</v>
      </c>
      <c r="N117" t="s">
        <v>76</v>
      </c>
    </row>
    <row r="118" spans="1:14">
      <c r="A118" s="2" t="s">
        <v>994</v>
      </c>
      <c r="B118" s="2" t="s">
        <v>995</v>
      </c>
      <c r="C118" s="2" t="s">
        <v>996</v>
      </c>
      <c r="D118" s="8">
        <v>100</v>
      </c>
      <c r="E118" s="8">
        <v>30</v>
      </c>
      <c r="F118" s="8">
        <v>0</v>
      </c>
      <c r="G118" s="2" t="s">
        <v>997</v>
      </c>
      <c r="H118" s="8">
        <v>10</v>
      </c>
      <c r="I118" s="10">
        <v>0.3</v>
      </c>
      <c r="J118" s="2" t="s">
        <v>998</v>
      </c>
      <c r="K118" s="2" t="s">
        <v>999</v>
      </c>
      <c r="L118" s="2" t="s">
        <v>1000</v>
      </c>
      <c r="M118" s="2" t="s">
        <v>1001</v>
      </c>
      <c r="N118" t="s">
        <v>76</v>
      </c>
    </row>
    <row r="119" spans="1:14">
      <c r="A119" s="2" t="s">
        <v>1002</v>
      </c>
      <c r="B119" s="2" t="s">
        <v>1003</v>
      </c>
      <c r="C119" s="2" t="s">
        <v>1004</v>
      </c>
      <c r="D119" s="8">
        <v>115</v>
      </c>
      <c r="E119" s="8">
        <v>20</v>
      </c>
      <c r="F119" s="8">
        <v>0</v>
      </c>
      <c r="G119" s="2" t="s">
        <v>1005</v>
      </c>
      <c r="H119" s="8">
        <v>6</v>
      </c>
      <c r="I119" s="10">
        <v>0.2</v>
      </c>
      <c r="J119" s="2" t="s">
        <v>1006</v>
      </c>
      <c r="K119" s="2" t="s">
        <v>1007</v>
      </c>
      <c r="L119" s="2" t="s">
        <v>1008</v>
      </c>
      <c r="M119" s="2" t="s">
        <v>1009</v>
      </c>
      <c r="N119" t="s">
        <v>76</v>
      </c>
    </row>
    <row r="120" spans="1:14">
      <c r="A120" s="2" t="s">
        <v>1010</v>
      </c>
      <c r="B120" s="2" t="s">
        <v>1011</v>
      </c>
      <c r="C120" s="2" t="s">
        <v>1012</v>
      </c>
      <c r="D120" s="8">
        <v>135</v>
      </c>
      <c r="E120" s="8">
        <v>135</v>
      </c>
      <c r="F120" s="8">
        <v>0</v>
      </c>
      <c r="G120" s="2" t="s">
        <v>1013</v>
      </c>
      <c r="H120" s="8">
        <v>45</v>
      </c>
      <c r="I120" s="10">
        <v>1.1000000000000001</v>
      </c>
      <c r="J120" s="2" t="s">
        <v>1014</v>
      </c>
      <c r="K120" s="2" t="s">
        <v>1015</v>
      </c>
      <c r="L120" s="2" t="s">
        <v>1016</v>
      </c>
      <c r="M120" s="2" t="s">
        <v>1017</v>
      </c>
      <c r="N120" t="s">
        <v>77</v>
      </c>
    </row>
    <row r="121" spans="1:14">
      <c r="A121" s="2" t="s">
        <v>1018</v>
      </c>
      <c r="B121" s="2" t="s">
        <v>1019</v>
      </c>
      <c r="C121" s="2" t="s">
        <v>1020</v>
      </c>
      <c r="D121" s="8">
        <v>80</v>
      </c>
      <c r="E121" s="8">
        <v>135</v>
      </c>
      <c r="F121" s="8">
        <v>0</v>
      </c>
      <c r="G121" s="2" t="s">
        <v>1021</v>
      </c>
      <c r="H121" s="8">
        <v>45</v>
      </c>
      <c r="I121" s="10">
        <v>1.4</v>
      </c>
      <c r="J121" s="2" t="s">
        <v>1022</v>
      </c>
      <c r="K121" s="2" t="s">
        <v>1023</v>
      </c>
      <c r="L121" s="2" t="s">
        <v>1024</v>
      </c>
      <c r="M121" s="2" t="s">
        <v>1025</v>
      </c>
      <c r="N121" t="s">
        <v>77</v>
      </c>
    </row>
    <row r="122" spans="1:14">
      <c r="A122" s="2" t="s">
        <v>1026</v>
      </c>
      <c r="B122" s="2" t="s">
        <v>1027</v>
      </c>
      <c r="C122" s="2" t="s">
        <v>1028</v>
      </c>
      <c r="D122" s="8">
        <v>115</v>
      </c>
      <c r="E122" s="8">
        <v>105</v>
      </c>
      <c r="F122" s="8">
        <v>0</v>
      </c>
      <c r="G122" s="2" t="s">
        <v>1029</v>
      </c>
      <c r="H122" s="8">
        <v>35</v>
      </c>
      <c r="I122" s="10">
        <v>0.9</v>
      </c>
      <c r="J122" s="2" t="s">
        <v>1030</v>
      </c>
      <c r="K122" s="2" t="s">
        <v>1031</v>
      </c>
      <c r="L122" s="2" t="s">
        <v>1032</v>
      </c>
      <c r="M122" s="2" t="s">
        <v>1033</v>
      </c>
      <c r="N122" t="s">
        <v>77</v>
      </c>
    </row>
    <row r="123" spans="1:14">
      <c r="A123" s="2" t="s">
        <v>1034</v>
      </c>
      <c r="B123" s="2" t="s">
        <v>1035</v>
      </c>
      <c r="C123" s="2" t="s">
        <v>1036</v>
      </c>
      <c r="D123" s="8">
        <v>60</v>
      </c>
      <c r="E123" s="8">
        <v>105</v>
      </c>
      <c r="F123" s="8">
        <v>0</v>
      </c>
      <c r="G123" s="2" t="s">
        <v>1037</v>
      </c>
      <c r="H123" s="8">
        <v>35</v>
      </c>
      <c r="I123" s="10">
        <v>0.7</v>
      </c>
      <c r="J123" s="2" t="s">
        <v>1038</v>
      </c>
      <c r="K123" s="2" t="s">
        <v>1039</v>
      </c>
      <c r="L123" s="2" t="s">
        <v>1040</v>
      </c>
      <c r="M123" s="2" t="s">
        <v>1041</v>
      </c>
      <c r="N123" t="s">
        <v>77</v>
      </c>
    </row>
    <row r="124" spans="1:14">
      <c r="A124" s="2" t="s">
        <v>1042</v>
      </c>
      <c r="B124" s="2" t="s">
        <v>1043</v>
      </c>
      <c r="C124" s="2" t="s">
        <v>1044</v>
      </c>
      <c r="D124" s="8">
        <v>100</v>
      </c>
      <c r="E124" s="8">
        <v>165</v>
      </c>
      <c r="F124" s="8">
        <v>0</v>
      </c>
      <c r="G124" s="2" t="s">
        <v>1045</v>
      </c>
      <c r="H124" s="8">
        <v>55</v>
      </c>
      <c r="I124" s="10">
        <v>1.4</v>
      </c>
      <c r="J124" s="2" t="s">
        <v>1046</v>
      </c>
      <c r="K124" s="2" t="s">
        <v>1047</v>
      </c>
      <c r="L124" s="2" t="s">
        <v>1048</v>
      </c>
      <c r="M124" s="2" t="s">
        <v>1049</v>
      </c>
      <c r="N124" t="s">
        <v>77</v>
      </c>
    </row>
    <row r="125" spans="1:14">
      <c r="A125" s="2" t="s">
        <v>1050</v>
      </c>
      <c r="B125" s="2" t="s">
        <v>1051</v>
      </c>
      <c r="C125" s="2" t="s">
        <v>1052</v>
      </c>
      <c r="D125" s="8">
        <v>210</v>
      </c>
      <c r="E125" s="8">
        <v>105</v>
      </c>
      <c r="F125" s="8">
        <v>0</v>
      </c>
      <c r="G125" s="2" t="s">
        <v>1053</v>
      </c>
      <c r="H125" s="8">
        <v>35</v>
      </c>
      <c r="I125" s="10">
        <v>1.1000000000000001</v>
      </c>
      <c r="J125" s="2" t="s">
        <v>1054</v>
      </c>
      <c r="K125" s="2" t="s">
        <v>1055</v>
      </c>
      <c r="L125" s="2" t="s">
        <v>1056</v>
      </c>
      <c r="M125" s="2" t="s">
        <v>1057</v>
      </c>
      <c r="N125" t="s">
        <v>77</v>
      </c>
    </row>
    <row r="126" spans="1:14">
      <c r="A126" s="2" t="s">
        <v>1058</v>
      </c>
      <c r="B126" s="2" t="s">
        <v>1059</v>
      </c>
      <c r="C126" s="2" t="s">
        <v>1060</v>
      </c>
      <c r="D126" s="8">
        <v>115</v>
      </c>
      <c r="E126" s="8">
        <v>150</v>
      </c>
      <c r="F126" s="8">
        <v>0</v>
      </c>
      <c r="G126" s="2" t="s">
        <v>1061</v>
      </c>
      <c r="H126" s="8">
        <v>50</v>
      </c>
      <c r="I126" s="10">
        <v>1.1000000000000001</v>
      </c>
      <c r="J126" s="2" t="s">
        <v>1062</v>
      </c>
      <c r="K126" s="2" t="s">
        <v>1063</v>
      </c>
      <c r="L126" s="2" t="s">
        <v>1064</v>
      </c>
      <c r="M126" s="2" t="s">
        <v>1065</v>
      </c>
      <c r="N126" t="s">
        <v>77</v>
      </c>
    </row>
    <row r="127" spans="1:14">
      <c r="A127" s="2" t="s">
        <v>1066</v>
      </c>
      <c r="B127" s="2" t="s">
        <v>1067</v>
      </c>
      <c r="C127" s="2" t="s">
        <v>1068</v>
      </c>
      <c r="D127" s="8">
        <v>135</v>
      </c>
      <c r="E127" s="8">
        <v>105</v>
      </c>
      <c r="F127" s="8">
        <v>0</v>
      </c>
      <c r="G127" s="2" t="s">
        <v>1069</v>
      </c>
      <c r="H127" s="8">
        <v>35</v>
      </c>
      <c r="I127" s="10">
        <v>1</v>
      </c>
      <c r="J127" s="2" t="s">
        <v>1070</v>
      </c>
      <c r="K127" s="2" t="s">
        <v>1071</v>
      </c>
      <c r="L127" s="2" t="s">
        <v>1072</v>
      </c>
      <c r="M127" s="2" t="s">
        <v>1073</v>
      </c>
      <c r="N127" t="s">
        <v>77</v>
      </c>
    </row>
    <row r="128" spans="1:14">
      <c r="A128" s="2" t="s">
        <v>1074</v>
      </c>
      <c r="B128" s="2" t="s">
        <v>1075</v>
      </c>
      <c r="C128" s="2" t="s">
        <v>1076</v>
      </c>
      <c r="D128" s="8">
        <v>50</v>
      </c>
      <c r="E128" s="8">
        <v>180</v>
      </c>
      <c r="F128" s="8">
        <v>0</v>
      </c>
      <c r="G128" s="2" t="s">
        <v>1077</v>
      </c>
      <c r="H128" s="8">
        <v>60</v>
      </c>
      <c r="I128" s="10">
        <v>1.8</v>
      </c>
      <c r="J128" s="2" t="s">
        <v>1078</v>
      </c>
      <c r="K128" s="2" t="s">
        <v>1079</v>
      </c>
      <c r="L128" s="2" t="s">
        <v>1080</v>
      </c>
      <c r="M128" s="2" t="s">
        <v>1081</v>
      </c>
      <c r="N128" t="s">
        <v>77</v>
      </c>
    </row>
    <row r="129" spans="1:14">
      <c r="A129" s="2" t="s">
        <v>1082</v>
      </c>
      <c r="B129" s="2" t="s">
        <v>1083</v>
      </c>
      <c r="C129" s="2" t="s">
        <v>1084</v>
      </c>
      <c r="D129" s="8">
        <v>60</v>
      </c>
      <c r="E129" s="8">
        <v>135</v>
      </c>
      <c r="F129" s="8">
        <v>0</v>
      </c>
      <c r="G129" s="2" t="s">
        <v>1085</v>
      </c>
      <c r="H129" s="8">
        <v>45</v>
      </c>
      <c r="I129" s="10">
        <v>1.1000000000000001</v>
      </c>
      <c r="J129" s="2" t="s">
        <v>1086</v>
      </c>
      <c r="K129" s="2" t="s">
        <v>1087</v>
      </c>
      <c r="L129" s="2" t="s">
        <v>1088</v>
      </c>
      <c r="M129" s="2" t="s">
        <v>1089</v>
      </c>
      <c r="N129" t="s">
        <v>77</v>
      </c>
    </row>
    <row r="130" spans="1:14">
      <c r="A130" s="2" t="s">
        <v>1090</v>
      </c>
      <c r="B130" s="2" t="s">
        <v>1091</v>
      </c>
      <c r="C130" s="2" t="s">
        <v>1092</v>
      </c>
      <c r="D130" s="8">
        <v>155</v>
      </c>
      <c r="E130" s="8">
        <v>175</v>
      </c>
      <c r="F130" s="8">
        <v>0</v>
      </c>
      <c r="G130" s="2" t="s">
        <v>1093</v>
      </c>
      <c r="H130" s="8">
        <v>58</v>
      </c>
      <c r="I130" s="10">
        <v>2.1</v>
      </c>
      <c r="J130" s="2" t="s">
        <v>1094</v>
      </c>
      <c r="K130" s="2" t="s">
        <v>1095</v>
      </c>
      <c r="L130" s="2" t="s">
        <v>1096</v>
      </c>
      <c r="M130" s="2" t="s">
        <v>1097</v>
      </c>
      <c r="N130" t="s">
        <v>78</v>
      </c>
    </row>
    <row r="131" spans="1:14">
      <c r="A131" s="2" t="s">
        <v>1098</v>
      </c>
      <c r="B131" s="2" t="s">
        <v>1099</v>
      </c>
      <c r="C131" s="2" t="s">
        <v>1100</v>
      </c>
      <c r="D131" s="8">
        <v>285</v>
      </c>
      <c r="E131" s="8">
        <v>180</v>
      </c>
      <c r="F131" s="8">
        <v>0</v>
      </c>
      <c r="G131" s="2" t="s">
        <v>1101</v>
      </c>
      <c r="H131" s="8">
        <v>60</v>
      </c>
      <c r="I131" s="10">
        <v>2</v>
      </c>
      <c r="J131" s="2" t="s">
        <v>1102</v>
      </c>
      <c r="K131" s="2" t="s">
        <v>1103</v>
      </c>
      <c r="L131" s="2" t="s">
        <v>1104</v>
      </c>
      <c r="M131" s="2" t="s">
        <v>1105</v>
      </c>
      <c r="N131" t="s">
        <v>78</v>
      </c>
    </row>
    <row r="132" spans="1:14">
      <c r="A132" s="2" t="s">
        <v>1106</v>
      </c>
      <c r="B132" s="2" t="s">
        <v>1107</v>
      </c>
      <c r="C132" s="2" t="s">
        <v>171</v>
      </c>
      <c r="D132" s="8">
        <v>65</v>
      </c>
      <c r="E132" s="8">
        <v>10</v>
      </c>
      <c r="F132" s="8">
        <v>0</v>
      </c>
      <c r="G132" s="2" t="s">
        <v>1108</v>
      </c>
      <c r="H132" s="8">
        <v>2</v>
      </c>
      <c r="I132" s="10">
        <v>0.05</v>
      </c>
      <c r="J132" s="2" t="s">
        <v>173</v>
      </c>
      <c r="K132" s="2" t="s">
        <v>174</v>
      </c>
      <c r="L132" s="2" t="s">
        <v>1109</v>
      </c>
      <c r="M132" s="2" t="s">
        <v>1110</v>
      </c>
      <c r="N132" t="s">
        <v>78</v>
      </c>
    </row>
    <row r="133" spans="1:14">
      <c r="A133" s="2" t="s">
        <v>1111</v>
      </c>
      <c r="B133" s="2" t="s">
        <v>1112</v>
      </c>
      <c r="C133" s="2" t="s">
        <v>1113</v>
      </c>
      <c r="D133" s="8">
        <v>125</v>
      </c>
      <c r="E133" s="8">
        <v>140</v>
      </c>
      <c r="F133" s="8">
        <v>20</v>
      </c>
      <c r="G133" s="2" t="s">
        <v>1114</v>
      </c>
      <c r="H133" s="8">
        <v>46</v>
      </c>
      <c r="I133" s="10">
        <v>1.5</v>
      </c>
      <c r="J133" s="2" t="s">
        <v>1115</v>
      </c>
      <c r="K133" s="2" t="s">
        <v>1116</v>
      </c>
      <c r="L133" s="2" t="s">
        <v>1117</v>
      </c>
      <c r="M133" s="2" t="s">
        <v>1118</v>
      </c>
      <c r="N133" t="s">
        <v>78</v>
      </c>
    </row>
    <row r="134" spans="1:14">
      <c r="A134" s="2" t="s">
        <v>66</v>
      </c>
      <c r="B134" s="2" t="s">
        <v>1119</v>
      </c>
      <c r="C134" s="2" t="s">
        <v>64</v>
      </c>
      <c r="D134" s="8">
        <v>145</v>
      </c>
      <c r="E134" s="8">
        <v>180</v>
      </c>
      <c r="F134" s="8">
        <v>15</v>
      </c>
      <c r="G134" s="2" t="s">
        <v>1120</v>
      </c>
      <c r="H134" s="8">
        <v>60</v>
      </c>
      <c r="I134" s="10">
        <v>1.6</v>
      </c>
      <c r="J134" s="2" t="s">
        <v>1121</v>
      </c>
      <c r="K134" s="2" t="s">
        <v>1122</v>
      </c>
      <c r="L134" s="2" t="s">
        <v>1123</v>
      </c>
      <c r="M134" s="2" t="s">
        <v>1124</v>
      </c>
      <c r="N134" t="s">
        <v>78</v>
      </c>
    </row>
    <row r="135" spans="1:14">
      <c r="A135" s="2" t="s">
        <v>1125</v>
      </c>
      <c r="B135" s="2" t="s">
        <v>1126</v>
      </c>
      <c r="C135" s="2" t="s">
        <v>1127</v>
      </c>
      <c r="D135" s="8">
        <v>80</v>
      </c>
      <c r="E135" s="8">
        <v>15</v>
      </c>
      <c r="F135" s="8">
        <v>10</v>
      </c>
      <c r="G135" s="2" t="s">
        <v>1128</v>
      </c>
      <c r="H135" s="8">
        <v>5</v>
      </c>
      <c r="I135" s="10">
        <v>0.2</v>
      </c>
      <c r="J135" s="2" t="s">
        <v>1129</v>
      </c>
      <c r="K135" s="2" t="s">
        <v>1130</v>
      </c>
      <c r="L135" s="2" t="s">
        <v>1131</v>
      </c>
      <c r="M135" s="2" t="s">
        <v>1132</v>
      </c>
      <c r="N135" t="s">
        <v>78</v>
      </c>
    </row>
    <row r="136" spans="1:14">
      <c r="A136" s="2" t="s">
        <v>1133</v>
      </c>
      <c r="B136" s="2" t="s">
        <v>1134</v>
      </c>
      <c r="C136" s="2" t="s">
        <v>1135</v>
      </c>
      <c r="D136" s="8">
        <v>155</v>
      </c>
      <c r="E136" s="8">
        <v>135</v>
      </c>
      <c r="F136" s="8">
        <v>0</v>
      </c>
      <c r="G136" s="2" t="s">
        <v>1136</v>
      </c>
      <c r="H136" s="8">
        <v>45</v>
      </c>
      <c r="I136" s="10">
        <v>1.4</v>
      </c>
      <c r="J136" s="2" t="s">
        <v>1137</v>
      </c>
      <c r="K136" s="2" t="s">
        <v>1138</v>
      </c>
      <c r="L136" s="2" t="s">
        <v>1139</v>
      </c>
      <c r="M136" s="2" t="s">
        <v>1140</v>
      </c>
      <c r="N136" t="s">
        <v>78</v>
      </c>
    </row>
    <row r="137" spans="1:14">
      <c r="A137" s="2" t="s">
        <v>72</v>
      </c>
      <c r="B137" s="2" t="s">
        <v>1141</v>
      </c>
      <c r="C137" s="2" t="s">
        <v>73</v>
      </c>
      <c r="D137" s="8">
        <v>330</v>
      </c>
      <c r="E137" s="8">
        <v>30</v>
      </c>
      <c r="F137" s="8">
        <v>10</v>
      </c>
      <c r="G137" s="2" t="s">
        <v>1142</v>
      </c>
      <c r="H137" s="8">
        <v>10</v>
      </c>
      <c r="I137" s="10">
        <v>0.35</v>
      </c>
      <c r="J137" s="2" t="s">
        <v>1143</v>
      </c>
      <c r="K137" s="2" t="s">
        <v>1144</v>
      </c>
      <c r="L137" s="2" t="s">
        <v>1145</v>
      </c>
      <c r="M137" s="2" t="s">
        <v>1146</v>
      </c>
      <c r="N137" t="s">
        <v>78</v>
      </c>
    </row>
    <row r="138" spans="1:14">
      <c r="A138" s="2" t="s">
        <v>1147</v>
      </c>
      <c r="B138" s="2" t="s">
        <v>1148</v>
      </c>
      <c r="C138" s="2" t="s">
        <v>1149</v>
      </c>
      <c r="D138" s="8">
        <v>695</v>
      </c>
      <c r="E138" s="8">
        <v>15</v>
      </c>
      <c r="F138" s="8">
        <v>20</v>
      </c>
      <c r="G138" s="2" t="s">
        <v>1150</v>
      </c>
      <c r="H138" s="8">
        <v>5</v>
      </c>
      <c r="I138" s="10">
        <v>0.1</v>
      </c>
      <c r="J138" s="2" t="s">
        <v>1151</v>
      </c>
      <c r="K138" s="2" t="s">
        <v>1152</v>
      </c>
      <c r="L138" s="2" t="s">
        <v>1153</v>
      </c>
      <c r="M138" s="2" t="s">
        <v>1154</v>
      </c>
      <c r="N138" t="s">
        <v>78</v>
      </c>
    </row>
    <row r="139" spans="1:14">
      <c r="A139" s="2" t="s">
        <v>1155</v>
      </c>
      <c r="B139" s="2" t="s">
        <v>1156</v>
      </c>
      <c r="C139" s="2" t="s">
        <v>1157</v>
      </c>
      <c r="D139" s="8">
        <v>225</v>
      </c>
      <c r="E139" s="8">
        <v>15</v>
      </c>
      <c r="F139" s="8">
        <v>10</v>
      </c>
      <c r="G139" s="2" t="s">
        <v>1158</v>
      </c>
      <c r="H139" s="8">
        <v>5</v>
      </c>
      <c r="I139" s="10">
        <v>0.1</v>
      </c>
      <c r="J139" s="2" t="s">
        <v>1159</v>
      </c>
      <c r="K139" s="2" t="s">
        <v>1160</v>
      </c>
      <c r="L139" s="2" t="s">
        <v>1161</v>
      </c>
      <c r="M139" s="2" t="s">
        <v>1162</v>
      </c>
      <c r="N139" t="s">
        <v>78</v>
      </c>
    </row>
    <row r="140" spans="1:14">
      <c r="A140" s="2" t="s">
        <v>88</v>
      </c>
      <c r="B140" s="2" t="s">
        <v>1163</v>
      </c>
      <c r="C140" s="2" t="s">
        <v>87</v>
      </c>
      <c r="D140" s="8">
        <v>170</v>
      </c>
      <c r="E140" s="8">
        <v>40</v>
      </c>
      <c r="F140" s="8">
        <v>20</v>
      </c>
      <c r="G140" s="2" t="s">
        <v>1164</v>
      </c>
      <c r="H140" s="8">
        <v>12</v>
      </c>
      <c r="I140" s="10">
        <v>0.35</v>
      </c>
      <c r="J140" s="2" t="s">
        <v>1165</v>
      </c>
      <c r="K140" s="2" t="s">
        <v>1166</v>
      </c>
      <c r="L140" s="2" t="s">
        <v>1167</v>
      </c>
      <c r="M140" s="2" t="s">
        <v>1168</v>
      </c>
      <c r="N140" t="s">
        <v>78</v>
      </c>
    </row>
    <row r="141" spans="1:14">
      <c r="A141" s="2" t="s">
        <v>1169</v>
      </c>
      <c r="B141" s="2" t="s">
        <v>1170</v>
      </c>
      <c r="C141" s="2" t="s">
        <v>1171</v>
      </c>
      <c r="D141" s="8">
        <v>125</v>
      </c>
      <c r="E141" s="8">
        <v>40</v>
      </c>
      <c r="F141" s="8">
        <v>0</v>
      </c>
      <c r="G141" s="2" t="s">
        <v>1172</v>
      </c>
      <c r="H141" s="8">
        <v>12</v>
      </c>
      <c r="I141" s="10">
        <v>0.35</v>
      </c>
      <c r="J141" s="2" t="s">
        <v>1173</v>
      </c>
      <c r="K141" s="2" t="s">
        <v>1174</v>
      </c>
      <c r="L141" s="2" t="s">
        <v>1175</v>
      </c>
      <c r="M141" s="2" t="s">
        <v>1176</v>
      </c>
      <c r="N141" t="s">
        <v>78</v>
      </c>
    </row>
    <row r="142" spans="1:14">
      <c r="A142" s="2" t="s">
        <v>1177</v>
      </c>
      <c r="B142" s="2" t="s">
        <v>1178</v>
      </c>
      <c r="C142" s="2" t="s">
        <v>1179</v>
      </c>
      <c r="D142" s="8">
        <v>145</v>
      </c>
      <c r="E142" s="8">
        <v>75</v>
      </c>
      <c r="F142" s="8">
        <v>10</v>
      </c>
      <c r="G142" s="2" t="s">
        <v>1180</v>
      </c>
      <c r="H142" s="8">
        <v>24</v>
      </c>
      <c r="I142" s="10">
        <v>0.95</v>
      </c>
      <c r="J142" s="2" t="s">
        <v>1181</v>
      </c>
      <c r="K142" s="2" t="s">
        <v>1182</v>
      </c>
      <c r="L142" s="2" t="s">
        <v>1183</v>
      </c>
      <c r="M142" s="2" t="s">
        <v>1184</v>
      </c>
      <c r="N142" t="s">
        <v>78</v>
      </c>
    </row>
    <row r="143" spans="1:14">
      <c r="A143" s="2" t="s">
        <v>1185</v>
      </c>
      <c r="B143" s="2" t="s">
        <v>1186</v>
      </c>
      <c r="C143" s="2" t="s">
        <v>1187</v>
      </c>
      <c r="D143" s="8">
        <v>75</v>
      </c>
      <c r="E143" s="8">
        <v>120</v>
      </c>
      <c r="F143" s="8">
        <v>20</v>
      </c>
      <c r="G143" s="2" t="s">
        <v>1188</v>
      </c>
      <c r="H143" s="8">
        <v>40</v>
      </c>
      <c r="I143" s="10">
        <v>1.2</v>
      </c>
      <c r="J143" s="2" t="s">
        <v>1189</v>
      </c>
      <c r="K143" s="2" t="s">
        <v>1190</v>
      </c>
      <c r="L143" s="2" t="s">
        <v>1191</v>
      </c>
      <c r="M143" s="2" t="s">
        <v>1192</v>
      </c>
      <c r="N143" t="s">
        <v>78</v>
      </c>
    </row>
    <row r="144" spans="1:14">
      <c r="A144" s="2" t="s">
        <v>1193</v>
      </c>
      <c r="B144" s="2" t="s">
        <v>1194</v>
      </c>
      <c r="C144" s="2" t="s">
        <v>1195</v>
      </c>
      <c r="D144" s="8">
        <v>265</v>
      </c>
      <c r="E144" s="8">
        <v>30</v>
      </c>
      <c r="F144" s="8">
        <v>0</v>
      </c>
      <c r="G144" s="2" t="s">
        <v>1196</v>
      </c>
      <c r="H144" s="8">
        <v>10</v>
      </c>
      <c r="I144" s="10">
        <v>0.2</v>
      </c>
      <c r="J144" s="2" t="s">
        <v>1197</v>
      </c>
      <c r="K144" s="2" t="s">
        <v>1198</v>
      </c>
      <c r="L144" s="2" t="s">
        <v>1199</v>
      </c>
      <c r="M144" s="2" t="s">
        <v>1200</v>
      </c>
      <c r="N144" t="s">
        <v>78</v>
      </c>
    </row>
    <row r="145" spans="1:14">
      <c r="A145" s="2" t="s">
        <v>1177</v>
      </c>
      <c r="B145" s="2" t="s">
        <v>1178</v>
      </c>
      <c r="C145" s="2" t="s">
        <v>1179</v>
      </c>
      <c r="D145" s="8">
        <v>145</v>
      </c>
      <c r="E145" s="8">
        <v>75</v>
      </c>
      <c r="F145" s="8">
        <v>10</v>
      </c>
      <c r="G145" s="2" t="s">
        <v>1180</v>
      </c>
      <c r="H145" s="8">
        <v>24</v>
      </c>
      <c r="I145" s="10">
        <v>0.95</v>
      </c>
      <c r="J145" s="2" t="s">
        <v>1181</v>
      </c>
      <c r="K145" s="2" t="s">
        <v>1182</v>
      </c>
      <c r="L145" s="2" t="s">
        <v>1183</v>
      </c>
      <c r="M145" s="2" t="s">
        <v>1184</v>
      </c>
      <c r="N145" t="s">
        <v>78</v>
      </c>
    </row>
    <row r="146" spans="1:14">
      <c r="A146" s="2" t="s">
        <v>1185</v>
      </c>
      <c r="B146" s="2" t="s">
        <v>1186</v>
      </c>
      <c r="C146" s="2" t="s">
        <v>1187</v>
      </c>
      <c r="D146" s="8">
        <v>75</v>
      </c>
      <c r="E146" s="8">
        <v>120</v>
      </c>
      <c r="F146" s="8">
        <v>20</v>
      </c>
      <c r="G146" s="2" t="s">
        <v>1188</v>
      </c>
      <c r="H146" s="8">
        <v>40</v>
      </c>
      <c r="I146" s="10">
        <v>1.2</v>
      </c>
      <c r="J146" s="2" t="s">
        <v>1189</v>
      </c>
      <c r="K146" s="2" t="s">
        <v>1190</v>
      </c>
      <c r="L146" s="2" t="s">
        <v>1191</v>
      </c>
      <c r="M146" s="2" t="s">
        <v>1192</v>
      </c>
      <c r="N146" t="s">
        <v>78</v>
      </c>
    </row>
    <row r="147" spans="1:14">
      <c r="A147" s="2" t="s">
        <v>1193</v>
      </c>
      <c r="B147" s="2" t="s">
        <v>1194</v>
      </c>
      <c r="C147" s="2" t="s">
        <v>1195</v>
      </c>
      <c r="D147" s="8">
        <v>265</v>
      </c>
      <c r="E147" s="8">
        <v>30</v>
      </c>
      <c r="F147" s="8">
        <v>0</v>
      </c>
      <c r="G147" s="2" t="s">
        <v>1196</v>
      </c>
      <c r="H147" s="8">
        <v>10</v>
      </c>
      <c r="I147" s="10">
        <v>0.2</v>
      </c>
      <c r="J147" s="2" t="s">
        <v>1197</v>
      </c>
      <c r="K147" s="2" t="s">
        <v>1198</v>
      </c>
      <c r="L147" s="2" t="s">
        <v>1199</v>
      </c>
      <c r="M147" s="2" t="s">
        <v>1200</v>
      </c>
      <c r="N147" t="s">
        <v>78</v>
      </c>
    </row>
    <row r="148" spans="1:14">
      <c r="A148" s="2" t="s">
        <v>23</v>
      </c>
      <c r="B148" s="2" t="s">
        <v>23</v>
      </c>
      <c r="C148" s="2" t="s">
        <v>23</v>
      </c>
      <c r="D148" s="8" t="s">
        <v>23</v>
      </c>
      <c r="E148" s="8" t="s">
        <v>23</v>
      </c>
      <c r="F148" s="8" t="s">
        <v>23</v>
      </c>
      <c r="G148" s="2" t="s">
        <v>23</v>
      </c>
      <c r="H148" s="8" t="s">
        <v>23</v>
      </c>
      <c r="I148" s="10" t="s">
        <v>23</v>
      </c>
      <c r="J148" s="2" t="s">
        <v>23</v>
      </c>
      <c r="K148" s="2" t="s">
        <v>23</v>
      </c>
      <c r="L148" s="2" t="s">
        <v>23</v>
      </c>
      <c r="M148" s="2" t="s">
        <v>23</v>
      </c>
      <c r="N148" t="s">
        <v>23</v>
      </c>
    </row>
    <row r="149" spans="1:14">
      <c r="A149" s="2" t="s">
        <v>23</v>
      </c>
      <c r="B149" s="2" t="s">
        <v>23</v>
      </c>
      <c r="C149" s="2" t="s">
        <v>23</v>
      </c>
      <c r="D149" s="8" t="s">
        <v>23</v>
      </c>
      <c r="E149" s="8" t="s">
        <v>23</v>
      </c>
      <c r="F149" s="8" t="s">
        <v>23</v>
      </c>
      <c r="G149" s="2" t="s">
        <v>23</v>
      </c>
      <c r="H149" s="8" t="s">
        <v>23</v>
      </c>
      <c r="I149" s="10" t="s">
        <v>23</v>
      </c>
      <c r="J149" s="2" t="s">
        <v>23</v>
      </c>
      <c r="K149" s="2" t="s">
        <v>23</v>
      </c>
      <c r="L149" s="2" t="s">
        <v>23</v>
      </c>
      <c r="M149" s="2" t="s">
        <v>23</v>
      </c>
      <c r="N149" t="s">
        <v>23</v>
      </c>
    </row>
    <row r="150" spans="1:14">
      <c r="A150" s="2" t="s">
        <v>23</v>
      </c>
      <c r="B150" s="2" t="s">
        <v>23</v>
      </c>
      <c r="C150" s="2" t="s">
        <v>23</v>
      </c>
      <c r="D150" s="8" t="s">
        <v>23</v>
      </c>
      <c r="E150" s="8" t="s">
        <v>23</v>
      </c>
      <c r="F150" s="8" t="s">
        <v>23</v>
      </c>
      <c r="G150" s="2" t="s">
        <v>23</v>
      </c>
      <c r="H150" s="8" t="s">
        <v>23</v>
      </c>
      <c r="I150" s="10" t="s">
        <v>23</v>
      </c>
      <c r="J150" s="2" t="s">
        <v>23</v>
      </c>
      <c r="K150" s="2" t="s">
        <v>23</v>
      </c>
      <c r="L150" s="2" t="s">
        <v>23</v>
      </c>
      <c r="M150" s="2" t="s">
        <v>23</v>
      </c>
      <c r="N150" t="s">
        <v>23</v>
      </c>
    </row>
    <row r="151" spans="1:14">
      <c r="A151" s="2" t="s">
        <v>23</v>
      </c>
      <c r="B151" s="2" t="s">
        <v>23</v>
      </c>
      <c r="C151" s="2" t="s">
        <v>23</v>
      </c>
      <c r="D151" s="8" t="s">
        <v>23</v>
      </c>
      <c r="E151" s="8" t="s">
        <v>23</v>
      </c>
      <c r="F151" s="8" t="s">
        <v>23</v>
      </c>
      <c r="G151" s="2" t="s">
        <v>23</v>
      </c>
      <c r="H151" s="8" t="s">
        <v>23</v>
      </c>
      <c r="I151" s="10" t="s">
        <v>23</v>
      </c>
      <c r="J151" s="2" t="s">
        <v>23</v>
      </c>
      <c r="K151" s="2" t="s">
        <v>23</v>
      </c>
      <c r="L151" s="2" t="s">
        <v>23</v>
      </c>
      <c r="M151" s="2" t="s">
        <v>23</v>
      </c>
      <c r="N151" t="s">
        <v>23</v>
      </c>
    </row>
    <row r="152" spans="1:14">
      <c r="A152" s="2" t="s">
        <v>23</v>
      </c>
      <c r="B152" s="2" t="s">
        <v>23</v>
      </c>
      <c r="C152" s="2" t="s">
        <v>23</v>
      </c>
      <c r="D152" s="8" t="s">
        <v>23</v>
      </c>
      <c r="E152" s="8" t="s">
        <v>23</v>
      </c>
      <c r="F152" s="8" t="s">
        <v>23</v>
      </c>
      <c r="G152" s="2" t="s">
        <v>23</v>
      </c>
      <c r="H152" s="8" t="s">
        <v>23</v>
      </c>
      <c r="I152" s="10" t="s">
        <v>23</v>
      </c>
      <c r="J152" s="2" t="s">
        <v>23</v>
      </c>
      <c r="K152" s="2" t="s">
        <v>23</v>
      </c>
      <c r="L152" s="2" t="s">
        <v>23</v>
      </c>
      <c r="M152" s="2" t="s">
        <v>23</v>
      </c>
      <c r="N152" t="s">
        <v>23</v>
      </c>
    </row>
    <row r="153" spans="1:14">
      <c r="A153" s="2" t="s">
        <v>23</v>
      </c>
      <c r="B153" s="2" t="s">
        <v>23</v>
      </c>
      <c r="C153" s="2" t="s">
        <v>23</v>
      </c>
      <c r="D153" s="8" t="s">
        <v>23</v>
      </c>
      <c r="E153" s="8" t="s">
        <v>23</v>
      </c>
      <c r="F153" s="8" t="s">
        <v>23</v>
      </c>
      <c r="G153" s="2" t="s">
        <v>23</v>
      </c>
      <c r="H153" s="8" t="s">
        <v>23</v>
      </c>
      <c r="I153" s="10" t="s">
        <v>23</v>
      </c>
      <c r="J153" s="2" t="s">
        <v>23</v>
      </c>
      <c r="K153" s="2" t="s">
        <v>23</v>
      </c>
      <c r="L153" s="2" t="s">
        <v>23</v>
      </c>
      <c r="M153" s="2" t="s">
        <v>23</v>
      </c>
      <c r="N153" t="s">
        <v>23</v>
      </c>
    </row>
    <row r="154" spans="1:14">
      <c r="A154" s="2" t="s">
        <v>23</v>
      </c>
      <c r="B154" s="2" t="s">
        <v>23</v>
      </c>
      <c r="C154" s="2" t="s">
        <v>23</v>
      </c>
      <c r="D154" s="8" t="s">
        <v>23</v>
      </c>
      <c r="E154" s="8" t="s">
        <v>23</v>
      </c>
      <c r="F154" s="8" t="s">
        <v>23</v>
      </c>
      <c r="G154" s="2" t="s">
        <v>23</v>
      </c>
      <c r="H154" s="8" t="s">
        <v>23</v>
      </c>
      <c r="I154" s="10" t="s">
        <v>23</v>
      </c>
      <c r="J154" s="2" t="s">
        <v>23</v>
      </c>
      <c r="K154" s="2" t="s">
        <v>23</v>
      </c>
      <c r="L154" s="2" t="s">
        <v>23</v>
      </c>
      <c r="M154" s="2" t="s">
        <v>23</v>
      </c>
      <c r="N154" t="s">
        <v>23</v>
      </c>
    </row>
    <row r="155" spans="1:14">
      <c r="A155" s="2" t="s">
        <v>23</v>
      </c>
      <c r="B155" s="2" t="s">
        <v>23</v>
      </c>
      <c r="C155" s="2" t="s">
        <v>23</v>
      </c>
      <c r="D155" s="8" t="s">
        <v>23</v>
      </c>
      <c r="E155" s="8" t="s">
        <v>23</v>
      </c>
      <c r="F155" s="8" t="s">
        <v>23</v>
      </c>
      <c r="G155" s="2" t="s">
        <v>23</v>
      </c>
      <c r="H155" s="8" t="s">
        <v>23</v>
      </c>
      <c r="I155" s="10" t="s">
        <v>23</v>
      </c>
      <c r="J155" s="2" t="s">
        <v>23</v>
      </c>
      <c r="K155" s="2" t="s">
        <v>23</v>
      </c>
      <c r="L155" s="2" t="s">
        <v>23</v>
      </c>
      <c r="M155" s="2" t="s">
        <v>23</v>
      </c>
      <c r="N155" t="s">
        <v>23</v>
      </c>
    </row>
    <row r="156" spans="1:14">
      <c r="A156" s="2" t="s">
        <v>23</v>
      </c>
      <c r="B156" s="2" t="s">
        <v>23</v>
      </c>
      <c r="C156" s="2" t="s">
        <v>23</v>
      </c>
      <c r="D156" s="8" t="s">
        <v>23</v>
      </c>
      <c r="E156" s="8" t="s">
        <v>23</v>
      </c>
      <c r="F156" s="8" t="s">
        <v>23</v>
      </c>
      <c r="G156" s="2" t="s">
        <v>23</v>
      </c>
      <c r="H156" s="8" t="s">
        <v>23</v>
      </c>
      <c r="I156" s="10" t="s">
        <v>23</v>
      </c>
      <c r="J156" s="2" t="s">
        <v>23</v>
      </c>
      <c r="K156" s="2" t="s">
        <v>23</v>
      </c>
      <c r="L156" s="2" t="s">
        <v>23</v>
      </c>
      <c r="M156" s="2" t="s">
        <v>23</v>
      </c>
      <c r="N156" t="s">
        <v>23</v>
      </c>
    </row>
    <row r="157" spans="1:14">
      <c r="A157" s="2" t="s">
        <v>23</v>
      </c>
      <c r="B157" s="2" t="s">
        <v>23</v>
      </c>
      <c r="C157" s="2" t="s">
        <v>23</v>
      </c>
      <c r="D157" s="8" t="s">
        <v>23</v>
      </c>
      <c r="E157" s="8" t="s">
        <v>23</v>
      </c>
      <c r="F157" s="8" t="s">
        <v>23</v>
      </c>
      <c r="G157" s="2" t="s">
        <v>23</v>
      </c>
      <c r="H157" s="8" t="s">
        <v>23</v>
      </c>
      <c r="I157" s="10" t="s">
        <v>23</v>
      </c>
      <c r="J157" s="2" t="s">
        <v>23</v>
      </c>
      <c r="K157" s="2" t="s">
        <v>23</v>
      </c>
      <c r="L157" s="2" t="s">
        <v>23</v>
      </c>
      <c r="M157" s="2" t="s">
        <v>23</v>
      </c>
      <c r="N157" t="s">
        <v>23</v>
      </c>
    </row>
    <row r="158" spans="1:14">
      <c r="A158" s="2" t="s">
        <v>23</v>
      </c>
      <c r="B158" s="2" t="s">
        <v>23</v>
      </c>
      <c r="C158" s="2" t="s">
        <v>23</v>
      </c>
      <c r="D158" s="8" t="s">
        <v>23</v>
      </c>
      <c r="E158" s="8" t="s">
        <v>23</v>
      </c>
      <c r="F158" s="8" t="s">
        <v>23</v>
      </c>
      <c r="G158" s="2" t="s">
        <v>23</v>
      </c>
      <c r="H158" s="8" t="s">
        <v>23</v>
      </c>
      <c r="I158" s="10" t="s">
        <v>23</v>
      </c>
      <c r="J158" s="2" t="s">
        <v>23</v>
      </c>
      <c r="K158" s="2" t="s">
        <v>23</v>
      </c>
      <c r="L158" s="2" t="s">
        <v>23</v>
      </c>
      <c r="M158" s="2" t="s">
        <v>23</v>
      </c>
      <c r="N158" t="s">
        <v>23</v>
      </c>
    </row>
    <row r="159" spans="1:14">
      <c r="A159" s="2" t="s">
        <v>23</v>
      </c>
      <c r="B159" s="2" t="s">
        <v>23</v>
      </c>
      <c r="C159" s="2" t="s">
        <v>23</v>
      </c>
      <c r="D159" s="8" t="s">
        <v>23</v>
      </c>
      <c r="E159" s="8" t="s">
        <v>23</v>
      </c>
      <c r="F159" s="8" t="s">
        <v>23</v>
      </c>
      <c r="G159" s="2" t="s">
        <v>23</v>
      </c>
      <c r="H159" s="8" t="s">
        <v>23</v>
      </c>
      <c r="I159" s="10" t="s">
        <v>23</v>
      </c>
      <c r="J159" s="2" t="s">
        <v>23</v>
      </c>
      <c r="K159" s="2" t="s">
        <v>23</v>
      </c>
      <c r="L159" s="2" t="s">
        <v>23</v>
      </c>
      <c r="M159" s="2" t="s">
        <v>23</v>
      </c>
      <c r="N159" t="s">
        <v>23</v>
      </c>
    </row>
    <row r="160" spans="1:14">
      <c r="A160" s="2" t="s">
        <v>23</v>
      </c>
      <c r="B160" s="2" t="s">
        <v>23</v>
      </c>
      <c r="C160" s="2" t="s">
        <v>23</v>
      </c>
      <c r="D160" s="8" t="s">
        <v>23</v>
      </c>
      <c r="E160" s="8" t="s">
        <v>23</v>
      </c>
      <c r="F160" s="8" t="s">
        <v>23</v>
      </c>
      <c r="G160" s="2" t="s">
        <v>23</v>
      </c>
      <c r="H160" s="8" t="s">
        <v>23</v>
      </c>
      <c r="I160" s="10" t="s">
        <v>23</v>
      </c>
      <c r="J160" s="2" t="s">
        <v>23</v>
      </c>
      <c r="K160" s="2" t="s">
        <v>23</v>
      </c>
      <c r="L160" s="2" t="s">
        <v>23</v>
      </c>
      <c r="M160" s="2" t="s">
        <v>23</v>
      </c>
      <c r="N160" t="s">
        <v>23</v>
      </c>
    </row>
    <row r="161" spans="1:14">
      <c r="A161" s="2" t="s">
        <v>23</v>
      </c>
      <c r="B161" s="2" t="s">
        <v>23</v>
      </c>
      <c r="C161" s="2" t="s">
        <v>23</v>
      </c>
      <c r="D161" s="8" t="s">
        <v>23</v>
      </c>
      <c r="E161" s="8" t="s">
        <v>23</v>
      </c>
      <c r="F161" s="8" t="s">
        <v>23</v>
      </c>
      <c r="G161" s="2" t="s">
        <v>23</v>
      </c>
      <c r="H161" s="8" t="s">
        <v>23</v>
      </c>
      <c r="I161" s="10" t="s">
        <v>23</v>
      </c>
      <c r="J161" s="2" t="s">
        <v>23</v>
      </c>
      <c r="K161" s="2" t="s">
        <v>23</v>
      </c>
      <c r="L161" s="2" t="s">
        <v>23</v>
      </c>
      <c r="M161" s="2" t="s">
        <v>23</v>
      </c>
      <c r="N161" t="s">
        <v>23</v>
      </c>
    </row>
    <row r="162" spans="1:14">
      <c r="A162" s="2" t="s">
        <v>23</v>
      </c>
      <c r="B162" s="2" t="s">
        <v>23</v>
      </c>
      <c r="C162" s="2" t="s">
        <v>23</v>
      </c>
      <c r="D162" s="8" t="s">
        <v>23</v>
      </c>
      <c r="E162" s="8" t="s">
        <v>23</v>
      </c>
      <c r="F162" s="8" t="s">
        <v>23</v>
      </c>
      <c r="G162" s="2" t="s">
        <v>23</v>
      </c>
      <c r="H162" s="8" t="s">
        <v>23</v>
      </c>
      <c r="I162" s="10" t="s">
        <v>23</v>
      </c>
      <c r="J162" s="2" t="s">
        <v>23</v>
      </c>
      <c r="K162" s="2" t="s">
        <v>23</v>
      </c>
      <c r="L162" s="2" t="s">
        <v>23</v>
      </c>
      <c r="M162" s="2" t="s">
        <v>23</v>
      </c>
      <c r="N162" t="s">
        <v>23</v>
      </c>
    </row>
    <row r="163" spans="1:14">
      <c r="A163" s="2" t="s">
        <v>23</v>
      </c>
      <c r="B163" s="2" t="s">
        <v>23</v>
      </c>
      <c r="C163" s="2" t="s">
        <v>23</v>
      </c>
      <c r="D163" s="8" t="s">
        <v>23</v>
      </c>
      <c r="E163" s="8" t="s">
        <v>23</v>
      </c>
      <c r="F163" s="8" t="s">
        <v>23</v>
      </c>
      <c r="G163" s="2" t="s">
        <v>23</v>
      </c>
      <c r="H163" s="8" t="s">
        <v>23</v>
      </c>
      <c r="I163" s="10" t="s">
        <v>23</v>
      </c>
      <c r="J163" s="2" t="s">
        <v>23</v>
      </c>
      <c r="K163" s="2" t="s">
        <v>23</v>
      </c>
      <c r="L163" s="2" t="s">
        <v>23</v>
      </c>
      <c r="M163" s="2" t="s">
        <v>23</v>
      </c>
      <c r="N163" t="s">
        <v>23</v>
      </c>
    </row>
    <row r="164" spans="1:14">
      <c r="A164" s="2" t="s">
        <v>23</v>
      </c>
      <c r="B164" s="2" t="s">
        <v>23</v>
      </c>
      <c r="C164" s="2" t="s">
        <v>23</v>
      </c>
      <c r="D164" s="8" t="s">
        <v>23</v>
      </c>
      <c r="E164" s="8" t="s">
        <v>23</v>
      </c>
      <c r="F164" s="8" t="s">
        <v>23</v>
      </c>
      <c r="G164" s="2" t="s">
        <v>23</v>
      </c>
      <c r="H164" s="8" t="s">
        <v>23</v>
      </c>
      <c r="I164" s="10" t="s">
        <v>23</v>
      </c>
      <c r="J164" s="2" t="s">
        <v>23</v>
      </c>
      <c r="K164" s="2" t="s">
        <v>23</v>
      </c>
      <c r="L164" s="2" t="s">
        <v>23</v>
      </c>
      <c r="M164" s="2" t="s">
        <v>23</v>
      </c>
      <c r="N164" t="s">
        <v>23</v>
      </c>
    </row>
    <row r="165" spans="1:14">
      <c r="A165" s="2" t="s">
        <v>23</v>
      </c>
      <c r="B165" s="2" t="s">
        <v>23</v>
      </c>
      <c r="C165" s="2" t="s">
        <v>23</v>
      </c>
      <c r="D165" s="8" t="s">
        <v>23</v>
      </c>
      <c r="E165" s="8" t="s">
        <v>23</v>
      </c>
      <c r="F165" s="8" t="s">
        <v>23</v>
      </c>
      <c r="G165" s="2" t="s">
        <v>23</v>
      </c>
      <c r="H165" s="8" t="s">
        <v>23</v>
      </c>
      <c r="I165" s="10" t="s">
        <v>23</v>
      </c>
      <c r="J165" s="2" t="s">
        <v>23</v>
      </c>
      <c r="K165" s="2" t="s">
        <v>23</v>
      </c>
      <c r="L165" s="2" t="s">
        <v>23</v>
      </c>
      <c r="M165" s="2" t="s">
        <v>23</v>
      </c>
      <c r="N165" t="s">
        <v>23</v>
      </c>
    </row>
    <row r="166" spans="1:14">
      <c r="A166" s="2" t="s">
        <v>23</v>
      </c>
      <c r="B166" s="2" t="s">
        <v>23</v>
      </c>
      <c r="C166" s="2" t="s">
        <v>23</v>
      </c>
      <c r="D166" s="8" t="s">
        <v>23</v>
      </c>
      <c r="E166" s="8" t="s">
        <v>23</v>
      </c>
      <c r="F166" s="8" t="s">
        <v>23</v>
      </c>
      <c r="G166" s="2" t="s">
        <v>23</v>
      </c>
      <c r="H166" s="8" t="s">
        <v>23</v>
      </c>
      <c r="I166" s="10" t="s">
        <v>23</v>
      </c>
      <c r="J166" s="2" t="s">
        <v>23</v>
      </c>
      <c r="K166" s="2" t="s">
        <v>23</v>
      </c>
      <c r="L166" s="2" t="s">
        <v>23</v>
      </c>
      <c r="M166" s="2" t="s">
        <v>23</v>
      </c>
      <c r="N166" t="s">
        <v>23</v>
      </c>
    </row>
    <row r="167" spans="1:14">
      <c r="A167" s="2" t="s">
        <v>23</v>
      </c>
      <c r="B167" s="2" t="s">
        <v>23</v>
      </c>
      <c r="C167" s="2" t="s">
        <v>23</v>
      </c>
      <c r="D167" s="8" t="s">
        <v>23</v>
      </c>
      <c r="E167" s="8" t="s">
        <v>23</v>
      </c>
      <c r="F167" s="8" t="s">
        <v>23</v>
      </c>
      <c r="G167" s="2" t="s">
        <v>23</v>
      </c>
      <c r="H167" s="8" t="s">
        <v>23</v>
      </c>
      <c r="I167" s="10" t="s">
        <v>23</v>
      </c>
      <c r="J167" s="2" t="s">
        <v>23</v>
      </c>
      <c r="K167" s="2" t="s">
        <v>23</v>
      </c>
      <c r="L167" s="2" t="s">
        <v>23</v>
      </c>
      <c r="M167" s="2" t="s">
        <v>23</v>
      </c>
      <c r="N167" t="s">
        <v>23</v>
      </c>
    </row>
    <row r="168" spans="1:14">
      <c r="A168" s="2" t="s">
        <v>23</v>
      </c>
      <c r="B168" s="2" t="s">
        <v>23</v>
      </c>
      <c r="C168" s="2" t="s">
        <v>23</v>
      </c>
      <c r="D168" s="8" t="s">
        <v>23</v>
      </c>
      <c r="E168" s="8" t="s">
        <v>23</v>
      </c>
      <c r="F168" s="8" t="s">
        <v>23</v>
      </c>
      <c r="G168" s="2" t="s">
        <v>23</v>
      </c>
      <c r="H168" s="8" t="s">
        <v>23</v>
      </c>
      <c r="I168" s="10" t="s">
        <v>23</v>
      </c>
      <c r="J168" s="2" t="s">
        <v>23</v>
      </c>
      <c r="K168" s="2" t="s">
        <v>23</v>
      </c>
      <c r="L168" s="2" t="s">
        <v>23</v>
      </c>
      <c r="M168" s="2" t="s">
        <v>23</v>
      </c>
      <c r="N168" t="s">
        <v>23</v>
      </c>
    </row>
    <row r="169" spans="1:14">
      <c r="A169" s="2" t="s">
        <v>23</v>
      </c>
      <c r="B169" s="2" t="s">
        <v>23</v>
      </c>
      <c r="C169" s="2" t="s">
        <v>23</v>
      </c>
      <c r="D169" s="8" t="s">
        <v>23</v>
      </c>
      <c r="E169" s="8" t="s">
        <v>23</v>
      </c>
      <c r="F169" s="8" t="s">
        <v>23</v>
      </c>
      <c r="G169" s="2" t="s">
        <v>23</v>
      </c>
      <c r="H169" s="8" t="s">
        <v>23</v>
      </c>
      <c r="I169" s="10" t="s">
        <v>23</v>
      </c>
      <c r="J169" s="2" t="s">
        <v>23</v>
      </c>
      <c r="K169" s="2" t="s">
        <v>23</v>
      </c>
      <c r="L169" s="2" t="s">
        <v>23</v>
      </c>
      <c r="M169" s="2" t="s">
        <v>23</v>
      </c>
      <c r="N169" t="s">
        <v>23</v>
      </c>
    </row>
    <row r="170" spans="1:14">
      <c r="A170" s="2" t="s">
        <v>23</v>
      </c>
      <c r="B170" s="2" t="s">
        <v>23</v>
      </c>
      <c r="C170" s="2" t="s">
        <v>23</v>
      </c>
      <c r="D170" s="8" t="s">
        <v>23</v>
      </c>
      <c r="E170" s="8" t="s">
        <v>23</v>
      </c>
      <c r="F170" s="8" t="s">
        <v>23</v>
      </c>
      <c r="G170" s="2" t="s">
        <v>23</v>
      </c>
      <c r="H170" s="8" t="s">
        <v>23</v>
      </c>
      <c r="I170" s="10" t="s">
        <v>23</v>
      </c>
      <c r="J170" s="2" t="s">
        <v>23</v>
      </c>
      <c r="K170" s="2" t="s">
        <v>23</v>
      </c>
      <c r="L170" s="2" t="s">
        <v>23</v>
      </c>
      <c r="M170" s="2" t="s">
        <v>23</v>
      </c>
      <c r="N170" t="s">
        <v>23</v>
      </c>
    </row>
    <row r="171" spans="1:14">
      <c r="A171" s="2" t="s">
        <v>23</v>
      </c>
      <c r="B171" s="2" t="s">
        <v>23</v>
      </c>
      <c r="C171" s="2" t="s">
        <v>23</v>
      </c>
      <c r="D171" s="8" t="s">
        <v>23</v>
      </c>
      <c r="E171" s="8" t="s">
        <v>23</v>
      </c>
      <c r="F171" s="8" t="s">
        <v>23</v>
      </c>
      <c r="G171" s="2" t="s">
        <v>23</v>
      </c>
      <c r="H171" s="8" t="s">
        <v>23</v>
      </c>
      <c r="I171" s="10" t="s">
        <v>23</v>
      </c>
      <c r="J171" s="2" t="s">
        <v>23</v>
      </c>
      <c r="K171" s="2" t="s">
        <v>23</v>
      </c>
      <c r="L171" s="2" t="s">
        <v>23</v>
      </c>
      <c r="M171" s="2" t="s">
        <v>23</v>
      </c>
      <c r="N171" t="s">
        <v>23</v>
      </c>
    </row>
    <row r="172" spans="1:14">
      <c r="A172" s="2" t="s">
        <v>23</v>
      </c>
      <c r="B172" s="2" t="s">
        <v>23</v>
      </c>
      <c r="C172" s="2" t="s">
        <v>23</v>
      </c>
      <c r="D172" s="8" t="s">
        <v>23</v>
      </c>
      <c r="E172" s="8" t="s">
        <v>23</v>
      </c>
      <c r="F172" s="8" t="s">
        <v>23</v>
      </c>
      <c r="G172" s="2" t="s">
        <v>23</v>
      </c>
      <c r="H172" s="8" t="s">
        <v>23</v>
      </c>
      <c r="I172" s="10" t="s">
        <v>23</v>
      </c>
      <c r="J172" s="2" t="s">
        <v>23</v>
      </c>
      <c r="K172" s="2" t="s">
        <v>23</v>
      </c>
      <c r="L172" s="2" t="s">
        <v>23</v>
      </c>
      <c r="M172" s="2" t="s">
        <v>23</v>
      </c>
      <c r="N172" t="s">
        <v>23</v>
      </c>
    </row>
    <row r="173" spans="1:14">
      <c r="A173" s="2" t="s">
        <v>23</v>
      </c>
      <c r="B173" s="2" t="s">
        <v>23</v>
      </c>
      <c r="C173" s="2" t="s">
        <v>23</v>
      </c>
      <c r="D173" s="8" t="s">
        <v>23</v>
      </c>
      <c r="E173" s="8" t="s">
        <v>23</v>
      </c>
      <c r="F173" s="8" t="s">
        <v>23</v>
      </c>
      <c r="G173" s="2" t="s">
        <v>23</v>
      </c>
      <c r="H173" s="8" t="s">
        <v>23</v>
      </c>
      <c r="I173" s="10" t="s">
        <v>23</v>
      </c>
      <c r="J173" s="2" t="s">
        <v>23</v>
      </c>
      <c r="K173" s="2" t="s">
        <v>23</v>
      </c>
      <c r="L173" s="2" t="s">
        <v>23</v>
      </c>
      <c r="M173" s="2" t="s">
        <v>23</v>
      </c>
      <c r="N173" t="s">
        <v>23</v>
      </c>
    </row>
    <row r="174" spans="1:14">
      <c r="A174" s="2" t="s">
        <v>23</v>
      </c>
      <c r="B174" s="2" t="s">
        <v>23</v>
      </c>
      <c r="C174" s="2" t="s">
        <v>23</v>
      </c>
      <c r="D174" s="8" t="s">
        <v>23</v>
      </c>
      <c r="E174" s="8" t="s">
        <v>23</v>
      </c>
      <c r="F174" s="8" t="s">
        <v>23</v>
      </c>
      <c r="G174" s="2" t="s">
        <v>23</v>
      </c>
      <c r="H174" s="8" t="s">
        <v>23</v>
      </c>
      <c r="I174" s="10" t="s">
        <v>23</v>
      </c>
      <c r="J174" s="2" t="s">
        <v>23</v>
      </c>
      <c r="K174" s="2" t="s">
        <v>23</v>
      </c>
      <c r="L174" s="2" t="s">
        <v>23</v>
      </c>
      <c r="M174" s="2" t="s">
        <v>23</v>
      </c>
      <c r="N174" t="s">
        <v>23</v>
      </c>
    </row>
    <row r="175" spans="1:14">
      <c r="A175" s="2" t="s">
        <v>23</v>
      </c>
      <c r="B175" s="2" t="s">
        <v>23</v>
      </c>
      <c r="C175" s="2" t="s">
        <v>23</v>
      </c>
      <c r="D175" s="8" t="s">
        <v>23</v>
      </c>
      <c r="E175" s="8" t="s">
        <v>23</v>
      </c>
      <c r="F175" s="8" t="s">
        <v>23</v>
      </c>
      <c r="G175" s="2" t="s">
        <v>23</v>
      </c>
      <c r="H175" s="8" t="s">
        <v>23</v>
      </c>
      <c r="I175" s="10" t="s">
        <v>23</v>
      </c>
      <c r="J175" s="2" t="s">
        <v>23</v>
      </c>
      <c r="K175" s="2" t="s">
        <v>23</v>
      </c>
      <c r="L175" s="2" t="s">
        <v>23</v>
      </c>
      <c r="M175" s="2" t="s">
        <v>23</v>
      </c>
      <c r="N175" t="s">
        <v>23</v>
      </c>
    </row>
    <row r="176" spans="1:14">
      <c r="A176" s="2" t="s">
        <v>23</v>
      </c>
      <c r="B176" s="2" t="s">
        <v>23</v>
      </c>
      <c r="C176" s="2" t="s">
        <v>23</v>
      </c>
      <c r="D176" s="8" t="s">
        <v>23</v>
      </c>
      <c r="E176" s="8" t="s">
        <v>23</v>
      </c>
      <c r="F176" s="8" t="s">
        <v>23</v>
      </c>
      <c r="G176" s="2" t="s">
        <v>23</v>
      </c>
      <c r="H176" s="8" t="s">
        <v>23</v>
      </c>
      <c r="I176" s="10" t="s">
        <v>23</v>
      </c>
      <c r="J176" s="2" t="s">
        <v>23</v>
      </c>
      <c r="K176" s="2" t="s">
        <v>23</v>
      </c>
      <c r="L176" s="2" t="s">
        <v>23</v>
      </c>
      <c r="M176" s="2" t="s">
        <v>23</v>
      </c>
      <c r="N176" t="s">
        <v>23</v>
      </c>
    </row>
    <row r="177" spans="1:14">
      <c r="A177" s="2" t="s">
        <v>23</v>
      </c>
      <c r="B177" s="2" t="s">
        <v>23</v>
      </c>
      <c r="C177" s="2" t="s">
        <v>23</v>
      </c>
      <c r="D177" s="8" t="s">
        <v>23</v>
      </c>
      <c r="E177" s="8" t="s">
        <v>23</v>
      </c>
      <c r="F177" s="8" t="s">
        <v>23</v>
      </c>
      <c r="G177" s="2" t="s">
        <v>23</v>
      </c>
      <c r="H177" s="8" t="s">
        <v>23</v>
      </c>
      <c r="I177" s="10" t="s">
        <v>23</v>
      </c>
      <c r="J177" s="2" t="s">
        <v>23</v>
      </c>
      <c r="K177" s="2" t="s">
        <v>23</v>
      </c>
      <c r="L177" s="2" t="s">
        <v>23</v>
      </c>
      <c r="M177" s="2" t="s">
        <v>23</v>
      </c>
      <c r="N177" t="s">
        <v>23</v>
      </c>
    </row>
    <row r="178" spans="1:14">
      <c r="A178" s="2" t="s">
        <v>23</v>
      </c>
      <c r="B178" s="2" t="s">
        <v>23</v>
      </c>
      <c r="C178" s="2" t="s">
        <v>23</v>
      </c>
      <c r="D178" s="8" t="s">
        <v>23</v>
      </c>
      <c r="E178" s="8" t="s">
        <v>23</v>
      </c>
      <c r="F178" s="8" t="s">
        <v>23</v>
      </c>
      <c r="G178" s="2" t="s">
        <v>23</v>
      </c>
      <c r="H178" s="8" t="s">
        <v>23</v>
      </c>
      <c r="I178" s="10" t="s">
        <v>23</v>
      </c>
      <c r="J178" s="2" t="s">
        <v>23</v>
      </c>
      <c r="K178" s="2" t="s">
        <v>23</v>
      </c>
      <c r="L178" s="2" t="s">
        <v>23</v>
      </c>
      <c r="M178" s="2" t="s">
        <v>23</v>
      </c>
      <c r="N178" t="s">
        <v>23</v>
      </c>
    </row>
    <row r="179" spans="1:14">
      <c r="A179" s="2" t="s">
        <v>23</v>
      </c>
      <c r="B179" s="2" t="s">
        <v>23</v>
      </c>
      <c r="C179" s="2" t="s">
        <v>23</v>
      </c>
      <c r="D179" s="8" t="s">
        <v>23</v>
      </c>
      <c r="E179" s="8" t="s">
        <v>23</v>
      </c>
      <c r="F179" s="8" t="s">
        <v>23</v>
      </c>
      <c r="G179" s="2" t="s">
        <v>23</v>
      </c>
      <c r="H179" s="8" t="s">
        <v>23</v>
      </c>
      <c r="I179" s="10" t="s">
        <v>23</v>
      </c>
      <c r="J179" s="2" t="s">
        <v>23</v>
      </c>
      <c r="K179" s="2" t="s">
        <v>23</v>
      </c>
      <c r="L179" s="2" t="s">
        <v>23</v>
      </c>
      <c r="M179" s="2" t="s">
        <v>23</v>
      </c>
      <c r="N179" t="s">
        <v>23</v>
      </c>
    </row>
    <row r="180" spans="1:14">
      <c r="A180" s="2" t="s">
        <v>23</v>
      </c>
      <c r="B180" s="2" t="s">
        <v>23</v>
      </c>
      <c r="C180" s="2" t="s">
        <v>23</v>
      </c>
      <c r="D180" s="8" t="s">
        <v>23</v>
      </c>
      <c r="E180" s="8" t="s">
        <v>23</v>
      </c>
      <c r="F180" s="8" t="s">
        <v>23</v>
      </c>
      <c r="G180" s="2" t="s">
        <v>23</v>
      </c>
      <c r="H180" s="8" t="s">
        <v>23</v>
      </c>
      <c r="I180" s="10" t="s">
        <v>23</v>
      </c>
      <c r="J180" s="2" t="s">
        <v>23</v>
      </c>
      <c r="K180" s="2" t="s">
        <v>23</v>
      </c>
      <c r="L180" s="2" t="s">
        <v>23</v>
      </c>
      <c r="M180" s="2" t="s">
        <v>23</v>
      </c>
      <c r="N180" t="s">
        <v>23</v>
      </c>
    </row>
    <row r="181" spans="1:14">
      <c r="A181" s="2" t="s">
        <v>23</v>
      </c>
      <c r="B181" s="2" t="s">
        <v>23</v>
      </c>
      <c r="C181" s="2" t="s">
        <v>23</v>
      </c>
      <c r="D181" s="8" t="s">
        <v>23</v>
      </c>
      <c r="E181" s="8" t="s">
        <v>23</v>
      </c>
      <c r="F181" s="8" t="s">
        <v>23</v>
      </c>
      <c r="G181" s="2" t="s">
        <v>23</v>
      </c>
      <c r="H181" s="8" t="s">
        <v>23</v>
      </c>
      <c r="I181" s="10" t="s">
        <v>23</v>
      </c>
      <c r="J181" s="2" t="s">
        <v>23</v>
      </c>
      <c r="K181" s="2" t="s">
        <v>23</v>
      </c>
      <c r="L181" s="2" t="s">
        <v>23</v>
      </c>
      <c r="M181" s="2" t="s">
        <v>23</v>
      </c>
      <c r="N181" t="s">
        <v>23</v>
      </c>
    </row>
    <row r="182" spans="1:14">
      <c r="A182" s="2" t="s">
        <v>23</v>
      </c>
      <c r="B182" s="2" t="s">
        <v>23</v>
      </c>
      <c r="C182" s="2" t="s">
        <v>23</v>
      </c>
      <c r="D182" s="8" t="s">
        <v>23</v>
      </c>
      <c r="E182" s="8" t="s">
        <v>23</v>
      </c>
      <c r="F182" s="8" t="s">
        <v>23</v>
      </c>
      <c r="G182" s="2" t="s">
        <v>23</v>
      </c>
      <c r="H182" s="8" t="s">
        <v>23</v>
      </c>
      <c r="I182" s="10" t="s">
        <v>23</v>
      </c>
      <c r="J182" s="2" t="s">
        <v>23</v>
      </c>
      <c r="K182" s="2" t="s">
        <v>23</v>
      </c>
      <c r="L182" s="2" t="s">
        <v>23</v>
      </c>
      <c r="M182" s="2" t="s">
        <v>23</v>
      </c>
      <c r="N182" t="s">
        <v>23</v>
      </c>
    </row>
    <row r="183" spans="1:14">
      <c r="A183" s="2" t="s">
        <v>23</v>
      </c>
      <c r="B183" s="2" t="s">
        <v>23</v>
      </c>
      <c r="C183" s="2" t="s">
        <v>23</v>
      </c>
      <c r="D183" s="8" t="s">
        <v>23</v>
      </c>
      <c r="E183" s="8" t="s">
        <v>23</v>
      </c>
      <c r="F183" s="8" t="s">
        <v>23</v>
      </c>
      <c r="G183" s="2" t="s">
        <v>23</v>
      </c>
      <c r="H183" s="8" t="s">
        <v>23</v>
      </c>
      <c r="I183" s="10" t="s">
        <v>23</v>
      </c>
      <c r="J183" s="2" t="s">
        <v>23</v>
      </c>
      <c r="K183" s="2" t="s">
        <v>23</v>
      </c>
      <c r="L183" s="2" t="s">
        <v>23</v>
      </c>
      <c r="M183" s="2" t="s">
        <v>23</v>
      </c>
      <c r="N183" t="s">
        <v>23</v>
      </c>
    </row>
    <row r="184" spans="1:14">
      <c r="A184" s="2" t="s">
        <v>23</v>
      </c>
      <c r="B184" s="2" t="s">
        <v>23</v>
      </c>
      <c r="C184" s="2" t="s">
        <v>23</v>
      </c>
      <c r="D184" s="8" t="s">
        <v>23</v>
      </c>
      <c r="E184" s="8" t="s">
        <v>23</v>
      </c>
      <c r="F184" s="8" t="s">
        <v>23</v>
      </c>
      <c r="G184" s="2" t="s">
        <v>23</v>
      </c>
      <c r="H184" s="8" t="s">
        <v>23</v>
      </c>
      <c r="I184" s="10" t="s">
        <v>23</v>
      </c>
      <c r="J184" s="2" t="s">
        <v>23</v>
      </c>
      <c r="K184" s="2" t="s">
        <v>23</v>
      </c>
      <c r="L184" s="2" t="s">
        <v>23</v>
      </c>
      <c r="M184" s="2" t="s">
        <v>23</v>
      </c>
      <c r="N184" t="s">
        <v>23</v>
      </c>
    </row>
    <row r="185" spans="1:14">
      <c r="A185" s="2" t="s">
        <v>23</v>
      </c>
      <c r="B185" s="2" t="s">
        <v>23</v>
      </c>
      <c r="C185" s="2" t="s">
        <v>23</v>
      </c>
      <c r="D185" s="8" t="s">
        <v>23</v>
      </c>
      <c r="E185" s="8" t="s">
        <v>23</v>
      </c>
      <c r="F185" s="8" t="s">
        <v>23</v>
      </c>
      <c r="G185" s="2" t="s">
        <v>23</v>
      </c>
      <c r="H185" s="8" t="s">
        <v>23</v>
      </c>
      <c r="I185" s="10" t="s">
        <v>23</v>
      </c>
      <c r="J185" s="2" t="s">
        <v>23</v>
      </c>
      <c r="K185" s="2" t="s">
        <v>23</v>
      </c>
      <c r="L185" s="2" t="s">
        <v>23</v>
      </c>
      <c r="M185" s="2" t="s">
        <v>23</v>
      </c>
      <c r="N185" t="s">
        <v>23</v>
      </c>
    </row>
    <row r="186" spans="1:14">
      <c r="A186" s="2" t="s">
        <v>23</v>
      </c>
      <c r="B186" s="2" t="s">
        <v>23</v>
      </c>
      <c r="C186" s="2" t="s">
        <v>23</v>
      </c>
      <c r="D186" s="8" t="s">
        <v>23</v>
      </c>
      <c r="E186" s="8" t="s">
        <v>23</v>
      </c>
      <c r="F186" s="8" t="s">
        <v>23</v>
      </c>
      <c r="G186" s="2" t="s">
        <v>23</v>
      </c>
      <c r="H186" s="8" t="s">
        <v>23</v>
      </c>
      <c r="I186" s="10" t="s">
        <v>23</v>
      </c>
      <c r="J186" s="2" t="s">
        <v>23</v>
      </c>
      <c r="K186" s="2" t="s">
        <v>23</v>
      </c>
      <c r="L186" s="2" t="s">
        <v>23</v>
      </c>
      <c r="M186" s="2" t="s">
        <v>23</v>
      </c>
      <c r="N186" t="s">
        <v>23</v>
      </c>
    </row>
    <row r="187" spans="1:14">
      <c r="A187" s="2" t="s">
        <v>23</v>
      </c>
      <c r="B187" s="2" t="s">
        <v>23</v>
      </c>
      <c r="C187" s="2" t="s">
        <v>23</v>
      </c>
      <c r="D187" s="8" t="s">
        <v>23</v>
      </c>
      <c r="E187" s="8" t="s">
        <v>23</v>
      </c>
      <c r="F187" s="8" t="s">
        <v>23</v>
      </c>
      <c r="G187" s="2" t="s">
        <v>23</v>
      </c>
      <c r="H187" s="8" t="s">
        <v>23</v>
      </c>
      <c r="I187" s="10" t="s">
        <v>23</v>
      </c>
      <c r="J187" s="2" t="s">
        <v>23</v>
      </c>
      <c r="K187" s="2" t="s">
        <v>23</v>
      </c>
      <c r="L187" s="2" t="s">
        <v>23</v>
      </c>
      <c r="M187" s="2" t="s">
        <v>23</v>
      </c>
      <c r="N187" t="s">
        <v>23</v>
      </c>
    </row>
    <row r="188" spans="1:14">
      <c r="A188" s="2" t="s">
        <v>23</v>
      </c>
      <c r="B188" s="2" t="s">
        <v>23</v>
      </c>
      <c r="C188" s="2" t="s">
        <v>23</v>
      </c>
      <c r="D188" s="8" t="s">
        <v>23</v>
      </c>
      <c r="E188" s="8" t="s">
        <v>23</v>
      </c>
      <c r="F188" s="8" t="s">
        <v>23</v>
      </c>
      <c r="G188" s="2" t="s">
        <v>23</v>
      </c>
      <c r="H188" s="8" t="s">
        <v>23</v>
      </c>
      <c r="I188" s="10" t="s">
        <v>23</v>
      </c>
      <c r="J188" s="2" t="s">
        <v>23</v>
      </c>
      <c r="K188" s="2" t="s">
        <v>23</v>
      </c>
      <c r="L188" s="2" t="s">
        <v>23</v>
      </c>
      <c r="M188" s="2" t="s">
        <v>23</v>
      </c>
      <c r="N188" t="s">
        <v>23</v>
      </c>
    </row>
    <row r="189" spans="1:14">
      <c r="A189" s="2" t="s">
        <v>23</v>
      </c>
      <c r="B189" s="2" t="s">
        <v>23</v>
      </c>
      <c r="C189" s="2" t="s">
        <v>23</v>
      </c>
      <c r="D189" s="8" t="s">
        <v>23</v>
      </c>
      <c r="E189" s="8" t="s">
        <v>23</v>
      </c>
      <c r="F189" s="8" t="s">
        <v>23</v>
      </c>
      <c r="G189" s="2" t="s">
        <v>23</v>
      </c>
      <c r="H189" s="8" t="s">
        <v>23</v>
      </c>
      <c r="I189" s="10" t="s">
        <v>23</v>
      </c>
      <c r="J189" s="2" t="s">
        <v>23</v>
      </c>
      <c r="K189" s="2" t="s">
        <v>23</v>
      </c>
      <c r="L189" s="2" t="s">
        <v>23</v>
      </c>
      <c r="M189" s="2" t="s">
        <v>23</v>
      </c>
      <c r="N189" t="s">
        <v>23</v>
      </c>
    </row>
    <row r="190" spans="1:14">
      <c r="A190" s="2" t="s">
        <v>23</v>
      </c>
      <c r="B190" s="2" t="s">
        <v>23</v>
      </c>
      <c r="C190" s="2" t="s">
        <v>23</v>
      </c>
      <c r="D190" s="8" t="s">
        <v>23</v>
      </c>
      <c r="E190" s="8" t="s">
        <v>23</v>
      </c>
      <c r="F190" s="8" t="s">
        <v>23</v>
      </c>
      <c r="G190" s="2" t="s">
        <v>23</v>
      </c>
      <c r="H190" s="8" t="s">
        <v>23</v>
      </c>
      <c r="I190" s="10" t="s">
        <v>23</v>
      </c>
      <c r="J190" s="2" t="s">
        <v>23</v>
      </c>
      <c r="K190" s="2" t="s">
        <v>23</v>
      </c>
      <c r="L190" s="2" t="s">
        <v>23</v>
      </c>
      <c r="M190" s="2" t="s">
        <v>23</v>
      </c>
      <c r="N190" t="s">
        <v>23</v>
      </c>
    </row>
    <row r="191" spans="1:14">
      <c r="A191" s="2" t="s">
        <v>23</v>
      </c>
      <c r="B191" s="2" t="s">
        <v>23</v>
      </c>
      <c r="C191" s="2" t="s">
        <v>23</v>
      </c>
      <c r="D191" s="8" t="s">
        <v>23</v>
      </c>
      <c r="E191" s="8" t="s">
        <v>23</v>
      </c>
      <c r="F191" s="8" t="s">
        <v>23</v>
      </c>
      <c r="G191" s="2" t="s">
        <v>23</v>
      </c>
      <c r="H191" s="8" t="s">
        <v>23</v>
      </c>
      <c r="I191" s="10" t="s">
        <v>23</v>
      </c>
      <c r="J191" s="2" t="s">
        <v>23</v>
      </c>
      <c r="K191" s="2" t="s">
        <v>23</v>
      </c>
      <c r="L191" s="2" t="s">
        <v>23</v>
      </c>
      <c r="M191" s="2" t="s">
        <v>23</v>
      </c>
      <c r="N191" t="s">
        <v>23</v>
      </c>
    </row>
    <row r="192" spans="1:14">
      <c r="A192" s="2" t="s">
        <v>23</v>
      </c>
      <c r="B192" s="2" t="s">
        <v>23</v>
      </c>
      <c r="C192" s="2" t="s">
        <v>23</v>
      </c>
      <c r="D192" s="8" t="s">
        <v>23</v>
      </c>
      <c r="E192" s="8" t="s">
        <v>23</v>
      </c>
      <c r="F192" s="8" t="s">
        <v>23</v>
      </c>
      <c r="G192" s="2" t="s">
        <v>23</v>
      </c>
      <c r="H192" s="8" t="s">
        <v>23</v>
      </c>
      <c r="I192" s="10" t="s">
        <v>23</v>
      </c>
      <c r="J192" s="2" t="s">
        <v>23</v>
      </c>
      <c r="K192" s="2" t="s">
        <v>23</v>
      </c>
      <c r="L192" s="2" t="s">
        <v>23</v>
      </c>
      <c r="M192" s="2" t="s">
        <v>23</v>
      </c>
      <c r="N192" t="s">
        <v>23</v>
      </c>
    </row>
    <row r="193" spans="1:14">
      <c r="A193" s="2" t="s">
        <v>23</v>
      </c>
      <c r="B193" s="2" t="s">
        <v>23</v>
      </c>
      <c r="C193" s="2" t="s">
        <v>23</v>
      </c>
      <c r="D193" s="8" t="s">
        <v>23</v>
      </c>
      <c r="E193" s="8" t="s">
        <v>23</v>
      </c>
      <c r="F193" s="8" t="s">
        <v>23</v>
      </c>
      <c r="G193" s="2" t="s">
        <v>23</v>
      </c>
      <c r="H193" s="8" t="s">
        <v>23</v>
      </c>
      <c r="I193" s="10" t="s">
        <v>23</v>
      </c>
      <c r="J193" s="2" t="s">
        <v>23</v>
      </c>
      <c r="K193" s="2" t="s">
        <v>23</v>
      </c>
      <c r="L193" s="2" t="s">
        <v>23</v>
      </c>
      <c r="M193" s="2" t="s">
        <v>23</v>
      </c>
      <c r="N193" t="s">
        <v>23</v>
      </c>
    </row>
    <row r="194" spans="1:14">
      <c r="A194" s="2" t="s">
        <v>23</v>
      </c>
      <c r="B194" s="2" t="s">
        <v>23</v>
      </c>
      <c r="C194" s="2" t="s">
        <v>23</v>
      </c>
      <c r="D194" s="8" t="s">
        <v>23</v>
      </c>
      <c r="E194" s="8" t="s">
        <v>23</v>
      </c>
      <c r="F194" s="8" t="s">
        <v>23</v>
      </c>
      <c r="G194" s="2" t="s">
        <v>23</v>
      </c>
      <c r="H194" s="8" t="s">
        <v>23</v>
      </c>
      <c r="I194" s="10" t="s">
        <v>23</v>
      </c>
      <c r="J194" s="2" t="s">
        <v>23</v>
      </c>
      <c r="K194" s="2" t="s">
        <v>23</v>
      </c>
      <c r="L194" s="2" t="s">
        <v>23</v>
      </c>
      <c r="M194" s="2" t="s">
        <v>23</v>
      </c>
      <c r="N194" t="s">
        <v>23</v>
      </c>
    </row>
    <row r="195" spans="1:14">
      <c r="A195" s="2" t="s">
        <v>23</v>
      </c>
      <c r="B195" s="2" t="s">
        <v>23</v>
      </c>
      <c r="C195" s="2" t="s">
        <v>23</v>
      </c>
      <c r="D195" s="8" t="s">
        <v>23</v>
      </c>
      <c r="E195" s="8" t="s">
        <v>23</v>
      </c>
      <c r="F195" s="8" t="s">
        <v>23</v>
      </c>
      <c r="G195" s="2" t="s">
        <v>23</v>
      </c>
      <c r="H195" s="8" t="s">
        <v>23</v>
      </c>
      <c r="I195" s="10" t="s">
        <v>23</v>
      </c>
      <c r="J195" s="2" t="s">
        <v>23</v>
      </c>
      <c r="K195" s="2" t="s">
        <v>23</v>
      </c>
      <c r="L195" s="2" t="s">
        <v>23</v>
      </c>
      <c r="M195" s="2" t="s">
        <v>23</v>
      </c>
      <c r="N195" t="s">
        <v>23</v>
      </c>
    </row>
    <row r="196" spans="1:14">
      <c r="A196" s="2" t="s">
        <v>23</v>
      </c>
      <c r="B196" s="2" t="s">
        <v>23</v>
      </c>
      <c r="C196" s="2" t="s">
        <v>23</v>
      </c>
      <c r="D196" s="8" t="s">
        <v>23</v>
      </c>
      <c r="E196" s="8" t="s">
        <v>23</v>
      </c>
      <c r="F196" s="8" t="s">
        <v>23</v>
      </c>
      <c r="G196" s="2" t="s">
        <v>23</v>
      </c>
      <c r="H196" s="8" t="s">
        <v>23</v>
      </c>
      <c r="I196" s="10" t="s">
        <v>23</v>
      </c>
      <c r="J196" s="2" t="s">
        <v>23</v>
      </c>
      <c r="K196" s="2" t="s">
        <v>23</v>
      </c>
      <c r="L196" s="2" t="s">
        <v>23</v>
      </c>
      <c r="M196" s="2" t="s">
        <v>23</v>
      </c>
      <c r="N196" t="s">
        <v>23</v>
      </c>
    </row>
    <row r="197" spans="1:14">
      <c r="A197" s="2" t="s">
        <v>23</v>
      </c>
      <c r="B197" s="2" t="s">
        <v>23</v>
      </c>
      <c r="C197" s="2" t="s">
        <v>23</v>
      </c>
      <c r="D197" s="8" t="s">
        <v>23</v>
      </c>
      <c r="E197" s="8" t="s">
        <v>23</v>
      </c>
      <c r="F197" s="8" t="s">
        <v>23</v>
      </c>
      <c r="G197" s="2" t="s">
        <v>23</v>
      </c>
      <c r="H197" s="8" t="s">
        <v>23</v>
      </c>
      <c r="I197" s="10" t="s">
        <v>23</v>
      </c>
      <c r="J197" s="2" t="s">
        <v>23</v>
      </c>
      <c r="K197" s="2" t="s">
        <v>23</v>
      </c>
      <c r="L197" s="2" t="s">
        <v>23</v>
      </c>
      <c r="M197" s="2" t="s">
        <v>23</v>
      </c>
      <c r="N197" t="s">
        <v>23</v>
      </c>
    </row>
    <row r="198" spans="1:14">
      <c r="A198" s="2" t="s">
        <v>23</v>
      </c>
      <c r="B198" s="2" t="s">
        <v>23</v>
      </c>
      <c r="C198" s="2" t="s">
        <v>23</v>
      </c>
      <c r="D198" s="8" t="s">
        <v>23</v>
      </c>
      <c r="E198" s="8" t="s">
        <v>23</v>
      </c>
      <c r="F198" s="8" t="s">
        <v>23</v>
      </c>
      <c r="G198" s="2" t="s">
        <v>23</v>
      </c>
      <c r="H198" s="8" t="s">
        <v>23</v>
      </c>
      <c r="I198" s="10" t="s">
        <v>23</v>
      </c>
      <c r="J198" s="2" t="s">
        <v>23</v>
      </c>
      <c r="K198" s="2" t="s">
        <v>23</v>
      </c>
      <c r="L198" s="2" t="s">
        <v>23</v>
      </c>
      <c r="M198" s="2" t="s">
        <v>23</v>
      </c>
      <c r="N198" t="s">
        <v>23</v>
      </c>
    </row>
    <row r="199" spans="1:14">
      <c r="A199" s="2" t="s">
        <v>23</v>
      </c>
      <c r="B199" s="2" t="s">
        <v>23</v>
      </c>
      <c r="C199" s="2" t="s">
        <v>23</v>
      </c>
      <c r="D199" s="8" t="s">
        <v>23</v>
      </c>
      <c r="E199" s="8" t="s">
        <v>23</v>
      </c>
      <c r="F199" s="8" t="s">
        <v>23</v>
      </c>
      <c r="G199" s="2" t="s">
        <v>23</v>
      </c>
      <c r="H199" s="8" t="s">
        <v>23</v>
      </c>
      <c r="I199" s="10" t="s">
        <v>23</v>
      </c>
      <c r="J199" s="2" t="s">
        <v>23</v>
      </c>
      <c r="K199" s="2" t="s">
        <v>23</v>
      </c>
      <c r="L199" s="2" t="s">
        <v>23</v>
      </c>
      <c r="M199" s="2" t="s">
        <v>23</v>
      </c>
      <c r="N199" t="s">
        <v>23</v>
      </c>
    </row>
    <row r="200" spans="1:14">
      <c r="A200" s="2" t="s">
        <v>23</v>
      </c>
      <c r="B200" s="2" t="s">
        <v>23</v>
      </c>
      <c r="C200" s="2" t="s">
        <v>23</v>
      </c>
      <c r="D200" s="8" t="s">
        <v>23</v>
      </c>
      <c r="E200" s="8" t="s">
        <v>23</v>
      </c>
      <c r="F200" s="8" t="s">
        <v>23</v>
      </c>
      <c r="G200" s="2" t="s">
        <v>23</v>
      </c>
      <c r="H200" s="8" t="s">
        <v>23</v>
      </c>
      <c r="I200" s="10" t="s">
        <v>23</v>
      </c>
      <c r="J200" s="2" t="s">
        <v>23</v>
      </c>
      <c r="K200" s="2" t="s">
        <v>23</v>
      </c>
      <c r="L200" s="2" t="s">
        <v>23</v>
      </c>
      <c r="M200" s="2" t="s">
        <v>23</v>
      </c>
      <c r="N200" t="s">
        <v>23</v>
      </c>
    </row>
    <row r="201" spans="1:14">
      <c r="A201" s="2" t="s">
        <v>23</v>
      </c>
      <c r="B201" s="2" t="s">
        <v>23</v>
      </c>
      <c r="C201" s="2" t="s">
        <v>23</v>
      </c>
      <c r="D201" s="8" t="s">
        <v>23</v>
      </c>
      <c r="E201" s="8" t="s">
        <v>23</v>
      </c>
      <c r="F201" s="8" t="s">
        <v>23</v>
      </c>
      <c r="G201" s="2" t="s">
        <v>23</v>
      </c>
      <c r="H201" s="8" t="s">
        <v>23</v>
      </c>
      <c r="I201" s="10" t="s">
        <v>23</v>
      </c>
      <c r="J201" s="2" t="s">
        <v>23</v>
      </c>
      <c r="K201" s="2" t="s">
        <v>23</v>
      </c>
      <c r="L201" s="2" t="s">
        <v>23</v>
      </c>
      <c r="M201" s="2" t="s">
        <v>23</v>
      </c>
      <c r="N201" t="s">
        <v>23</v>
      </c>
    </row>
    <row r="202" spans="1:14">
      <c r="A202" s="2" t="s">
        <v>23</v>
      </c>
      <c r="B202" s="2" t="s">
        <v>23</v>
      </c>
      <c r="C202" s="2" t="s">
        <v>23</v>
      </c>
      <c r="D202" s="8" t="s">
        <v>23</v>
      </c>
      <c r="E202" s="8" t="s">
        <v>23</v>
      </c>
      <c r="F202" s="8" t="s">
        <v>23</v>
      </c>
      <c r="G202" s="2" t="s">
        <v>23</v>
      </c>
      <c r="H202" s="8" t="s">
        <v>23</v>
      </c>
      <c r="I202" s="10" t="s">
        <v>23</v>
      </c>
      <c r="J202" s="2" t="s">
        <v>23</v>
      </c>
      <c r="K202" s="2" t="s">
        <v>23</v>
      </c>
      <c r="L202" s="2" t="s">
        <v>23</v>
      </c>
      <c r="M202" s="2" t="s">
        <v>23</v>
      </c>
      <c r="N202" t="s">
        <v>23</v>
      </c>
    </row>
    <row r="203" spans="1:14">
      <c r="A203" s="2" t="s">
        <v>23</v>
      </c>
      <c r="B203" s="2" t="s">
        <v>23</v>
      </c>
      <c r="C203" s="2" t="s">
        <v>23</v>
      </c>
      <c r="D203" s="8" t="s">
        <v>23</v>
      </c>
      <c r="E203" s="8" t="s">
        <v>23</v>
      </c>
      <c r="F203" s="8" t="s">
        <v>23</v>
      </c>
      <c r="G203" s="2" t="s">
        <v>23</v>
      </c>
      <c r="H203" s="8" t="s">
        <v>23</v>
      </c>
      <c r="I203" s="10" t="s">
        <v>23</v>
      </c>
      <c r="J203" s="2" t="s">
        <v>23</v>
      </c>
      <c r="K203" s="2" t="s">
        <v>23</v>
      </c>
      <c r="L203" s="2" t="s">
        <v>23</v>
      </c>
      <c r="M203" s="2" t="s">
        <v>23</v>
      </c>
      <c r="N203" t="s">
        <v>23</v>
      </c>
    </row>
    <row r="204" spans="1:14">
      <c r="A204" s="2" t="s">
        <v>23</v>
      </c>
      <c r="B204" s="2" t="s">
        <v>23</v>
      </c>
      <c r="C204" s="2" t="s">
        <v>23</v>
      </c>
      <c r="D204" s="8" t="s">
        <v>23</v>
      </c>
      <c r="E204" s="8" t="s">
        <v>23</v>
      </c>
      <c r="F204" s="8" t="s">
        <v>23</v>
      </c>
      <c r="G204" s="2" t="s">
        <v>23</v>
      </c>
      <c r="H204" s="8" t="s">
        <v>23</v>
      </c>
      <c r="I204" s="10" t="s">
        <v>23</v>
      </c>
      <c r="J204" s="2" t="s">
        <v>23</v>
      </c>
      <c r="K204" s="2" t="s">
        <v>23</v>
      </c>
      <c r="L204" s="2" t="s">
        <v>23</v>
      </c>
      <c r="M204" s="2" t="s">
        <v>23</v>
      </c>
      <c r="N204" t="s">
        <v>23</v>
      </c>
    </row>
    <row r="205" spans="1:14">
      <c r="A205" s="2" t="s">
        <v>23</v>
      </c>
      <c r="B205" s="2" t="s">
        <v>23</v>
      </c>
      <c r="C205" s="2" t="s">
        <v>23</v>
      </c>
      <c r="D205" s="8" t="s">
        <v>23</v>
      </c>
      <c r="E205" s="8" t="s">
        <v>23</v>
      </c>
      <c r="F205" s="8" t="s">
        <v>23</v>
      </c>
      <c r="G205" s="2" t="s">
        <v>23</v>
      </c>
      <c r="H205" s="8" t="s">
        <v>23</v>
      </c>
      <c r="I205" s="10" t="s">
        <v>23</v>
      </c>
      <c r="J205" s="2" t="s">
        <v>23</v>
      </c>
      <c r="K205" s="2" t="s">
        <v>23</v>
      </c>
      <c r="L205" s="2" t="s">
        <v>23</v>
      </c>
      <c r="M205" s="2" t="s">
        <v>23</v>
      </c>
      <c r="N205" t="s">
        <v>23</v>
      </c>
    </row>
    <row r="206" spans="1:14">
      <c r="A206" s="2" t="s">
        <v>23</v>
      </c>
      <c r="B206" s="2" t="s">
        <v>23</v>
      </c>
      <c r="C206" s="2" t="s">
        <v>23</v>
      </c>
      <c r="D206" s="8" t="s">
        <v>23</v>
      </c>
      <c r="E206" s="8" t="s">
        <v>23</v>
      </c>
      <c r="F206" s="8" t="s">
        <v>23</v>
      </c>
      <c r="G206" s="2" t="s">
        <v>23</v>
      </c>
      <c r="H206" s="8" t="s">
        <v>23</v>
      </c>
      <c r="I206" s="10" t="s">
        <v>23</v>
      </c>
      <c r="J206" s="2" t="s">
        <v>23</v>
      </c>
      <c r="K206" s="2" t="s">
        <v>23</v>
      </c>
      <c r="L206" s="2" t="s">
        <v>23</v>
      </c>
      <c r="M206" s="2" t="s">
        <v>23</v>
      </c>
      <c r="N206" t="s">
        <v>23</v>
      </c>
    </row>
    <row r="207" spans="1:14">
      <c r="A207" s="2" t="s">
        <v>23</v>
      </c>
      <c r="B207" s="2" t="s">
        <v>23</v>
      </c>
      <c r="C207" s="2" t="s">
        <v>23</v>
      </c>
      <c r="D207" s="8" t="s">
        <v>23</v>
      </c>
      <c r="E207" s="8" t="s">
        <v>23</v>
      </c>
      <c r="F207" s="8" t="s">
        <v>23</v>
      </c>
      <c r="G207" s="2" t="s">
        <v>23</v>
      </c>
      <c r="H207" s="8" t="s">
        <v>23</v>
      </c>
      <c r="I207" s="10" t="s">
        <v>23</v>
      </c>
      <c r="J207" s="2" t="s">
        <v>23</v>
      </c>
      <c r="K207" s="2" t="s">
        <v>23</v>
      </c>
      <c r="L207" s="2" t="s">
        <v>23</v>
      </c>
      <c r="M207" s="2" t="s">
        <v>23</v>
      </c>
      <c r="N207" t="s">
        <v>23</v>
      </c>
    </row>
    <row r="208" spans="1:14">
      <c r="A208" s="2" t="s">
        <v>23</v>
      </c>
      <c r="B208" s="2" t="s">
        <v>23</v>
      </c>
      <c r="C208" s="2" t="s">
        <v>23</v>
      </c>
      <c r="D208" s="8" t="s">
        <v>23</v>
      </c>
      <c r="E208" s="8" t="s">
        <v>23</v>
      </c>
      <c r="F208" s="8" t="s">
        <v>23</v>
      </c>
      <c r="G208" s="2" t="s">
        <v>23</v>
      </c>
      <c r="H208" s="8" t="s">
        <v>23</v>
      </c>
      <c r="I208" s="10" t="s">
        <v>23</v>
      </c>
      <c r="J208" s="2" t="s">
        <v>23</v>
      </c>
      <c r="K208" s="2" t="s">
        <v>23</v>
      </c>
      <c r="L208" s="2" t="s">
        <v>23</v>
      </c>
      <c r="M208" s="2" t="s">
        <v>23</v>
      </c>
      <c r="N208" t="s">
        <v>23</v>
      </c>
    </row>
    <row r="209" spans="1:14">
      <c r="A209" s="2" t="s">
        <v>23</v>
      </c>
      <c r="B209" s="2" t="s">
        <v>23</v>
      </c>
      <c r="C209" s="2" t="s">
        <v>23</v>
      </c>
      <c r="D209" s="8" t="s">
        <v>23</v>
      </c>
      <c r="E209" s="8" t="s">
        <v>23</v>
      </c>
      <c r="F209" s="8" t="s">
        <v>23</v>
      </c>
      <c r="G209" s="2" t="s">
        <v>23</v>
      </c>
      <c r="H209" s="8" t="s">
        <v>23</v>
      </c>
      <c r="I209" s="10" t="s">
        <v>23</v>
      </c>
      <c r="J209" s="2" t="s">
        <v>23</v>
      </c>
      <c r="K209" s="2" t="s">
        <v>23</v>
      </c>
      <c r="L209" s="2" t="s">
        <v>23</v>
      </c>
      <c r="M209" s="2" t="s">
        <v>23</v>
      </c>
      <c r="N209" t="s">
        <v>23</v>
      </c>
    </row>
    <row r="210" spans="1:14">
      <c r="A210" s="2" t="s">
        <v>23</v>
      </c>
      <c r="B210" s="2" t="s">
        <v>23</v>
      </c>
      <c r="C210" s="2" t="s">
        <v>23</v>
      </c>
      <c r="D210" s="8" t="s">
        <v>23</v>
      </c>
      <c r="E210" s="8" t="s">
        <v>23</v>
      </c>
      <c r="F210" s="8" t="s">
        <v>23</v>
      </c>
      <c r="G210" s="2" t="s">
        <v>23</v>
      </c>
      <c r="H210" s="8" t="s">
        <v>23</v>
      </c>
      <c r="I210" s="10" t="s">
        <v>23</v>
      </c>
      <c r="J210" s="2" t="s">
        <v>23</v>
      </c>
      <c r="K210" s="2" t="s">
        <v>23</v>
      </c>
      <c r="L210" s="2" t="s">
        <v>23</v>
      </c>
      <c r="M210" s="2" t="s">
        <v>23</v>
      </c>
      <c r="N210" t="s">
        <v>23</v>
      </c>
    </row>
    <row r="211" spans="1:14">
      <c r="A211" s="2" t="s">
        <v>23</v>
      </c>
      <c r="B211" s="2" t="s">
        <v>23</v>
      </c>
      <c r="C211" s="2" t="s">
        <v>23</v>
      </c>
      <c r="D211" s="8" t="s">
        <v>23</v>
      </c>
      <c r="E211" s="8" t="s">
        <v>23</v>
      </c>
      <c r="F211" s="8" t="s">
        <v>23</v>
      </c>
      <c r="G211" s="2" t="s">
        <v>23</v>
      </c>
      <c r="H211" s="8" t="s">
        <v>23</v>
      </c>
      <c r="I211" s="10" t="s">
        <v>23</v>
      </c>
      <c r="J211" s="2" t="s">
        <v>23</v>
      </c>
      <c r="K211" s="2" t="s">
        <v>23</v>
      </c>
      <c r="L211" s="2" t="s">
        <v>23</v>
      </c>
      <c r="M211" s="2" t="s">
        <v>23</v>
      </c>
      <c r="N211" t="s">
        <v>23</v>
      </c>
    </row>
    <row r="212" spans="1:14">
      <c r="A212" s="2" t="s">
        <v>23</v>
      </c>
      <c r="B212" s="2" t="s">
        <v>23</v>
      </c>
      <c r="C212" s="2" t="s">
        <v>23</v>
      </c>
      <c r="D212" s="8" t="s">
        <v>23</v>
      </c>
      <c r="E212" s="8" t="s">
        <v>23</v>
      </c>
      <c r="F212" s="8" t="s">
        <v>23</v>
      </c>
      <c r="G212" s="2" t="s">
        <v>23</v>
      </c>
      <c r="H212" s="8" t="s">
        <v>23</v>
      </c>
      <c r="I212" s="10" t="s">
        <v>23</v>
      </c>
      <c r="J212" s="2" t="s">
        <v>23</v>
      </c>
      <c r="K212" s="2" t="s">
        <v>23</v>
      </c>
      <c r="L212" s="2" t="s">
        <v>23</v>
      </c>
      <c r="M212" s="2" t="s">
        <v>23</v>
      </c>
      <c r="N212" t="s">
        <v>23</v>
      </c>
    </row>
    <row r="213" spans="1:14">
      <c r="A213" s="2" t="s">
        <v>23</v>
      </c>
      <c r="B213" s="2" t="s">
        <v>23</v>
      </c>
      <c r="C213" s="2" t="s">
        <v>23</v>
      </c>
      <c r="D213" s="8" t="s">
        <v>23</v>
      </c>
      <c r="E213" s="8" t="s">
        <v>23</v>
      </c>
      <c r="F213" s="8" t="s">
        <v>23</v>
      </c>
      <c r="G213" s="2" t="s">
        <v>23</v>
      </c>
      <c r="H213" s="8" t="s">
        <v>23</v>
      </c>
      <c r="I213" s="10" t="s">
        <v>23</v>
      </c>
      <c r="J213" s="2" t="s">
        <v>23</v>
      </c>
      <c r="K213" s="2" t="s">
        <v>23</v>
      </c>
      <c r="L213" s="2" t="s">
        <v>23</v>
      </c>
      <c r="M213" s="2" t="s">
        <v>23</v>
      </c>
      <c r="N213" t="s">
        <v>23</v>
      </c>
    </row>
    <row r="214" spans="1:14">
      <c r="A214" s="2" t="s">
        <v>23</v>
      </c>
      <c r="B214" s="2" t="s">
        <v>23</v>
      </c>
      <c r="C214" s="2" t="s">
        <v>23</v>
      </c>
      <c r="D214" s="8" t="s">
        <v>23</v>
      </c>
      <c r="E214" s="8" t="s">
        <v>23</v>
      </c>
      <c r="F214" s="8" t="s">
        <v>23</v>
      </c>
      <c r="G214" s="2" t="s">
        <v>23</v>
      </c>
      <c r="H214" s="8" t="s">
        <v>23</v>
      </c>
      <c r="I214" s="10" t="s">
        <v>23</v>
      </c>
      <c r="J214" s="2" t="s">
        <v>23</v>
      </c>
      <c r="K214" s="2" t="s">
        <v>23</v>
      </c>
      <c r="L214" s="2" t="s">
        <v>23</v>
      </c>
      <c r="M214" s="2" t="s">
        <v>23</v>
      </c>
      <c r="N214" t="s">
        <v>23</v>
      </c>
    </row>
    <row r="215" spans="1:14">
      <c r="A215" s="2" t="s">
        <v>23</v>
      </c>
      <c r="B215" s="2" t="s">
        <v>23</v>
      </c>
      <c r="C215" s="2" t="s">
        <v>23</v>
      </c>
      <c r="D215" s="8" t="s">
        <v>23</v>
      </c>
      <c r="E215" s="8" t="s">
        <v>23</v>
      </c>
      <c r="F215" s="8" t="s">
        <v>23</v>
      </c>
      <c r="G215" s="2" t="s">
        <v>23</v>
      </c>
      <c r="H215" s="8" t="s">
        <v>23</v>
      </c>
      <c r="I215" s="10" t="s">
        <v>23</v>
      </c>
      <c r="J215" s="2" t="s">
        <v>23</v>
      </c>
      <c r="K215" s="2" t="s">
        <v>23</v>
      </c>
      <c r="L215" s="2" t="s">
        <v>23</v>
      </c>
      <c r="M215" s="2" t="s">
        <v>23</v>
      </c>
      <c r="N215" t="s">
        <v>23</v>
      </c>
    </row>
    <row r="216" spans="1:14">
      <c r="A216" s="2" t="s">
        <v>23</v>
      </c>
      <c r="B216" s="2" t="s">
        <v>23</v>
      </c>
      <c r="C216" s="2" t="s">
        <v>23</v>
      </c>
      <c r="D216" s="8" t="s">
        <v>23</v>
      </c>
      <c r="E216" s="8" t="s">
        <v>23</v>
      </c>
      <c r="F216" s="8" t="s">
        <v>23</v>
      </c>
      <c r="G216" s="2" t="s">
        <v>23</v>
      </c>
      <c r="H216" s="8" t="s">
        <v>23</v>
      </c>
      <c r="I216" s="10" t="s">
        <v>23</v>
      </c>
      <c r="J216" s="2" t="s">
        <v>23</v>
      </c>
      <c r="K216" s="2" t="s">
        <v>23</v>
      </c>
      <c r="L216" s="2" t="s">
        <v>23</v>
      </c>
      <c r="M216" s="2" t="s">
        <v>23</v>
      </c>
      <c r="N216" t="s">
        <v>23</v>
      </c>
    </row>
    <row r="217" spans="1:14">
      <c r="A217" s="2" t="s">
        <v>23</v>
      </c>
      <c r="B217" s="2" t="s">
        <v>23</v>
      </c>
      <c r="C217" s="2" t="s">
        <v>23</v>
      </c>
      <c r="D217" s="8" t="s">
        <v>23</v>
      </c>
      <c r="E217" s="8" t="s">
        <v>23</v>
      </c>
      <c r="F217" s="8" t="s">
        <v>23</v>
      </c>
      <c r="G217" s="2" t="s">
        <v>23</v>
      </c>
      <c r="H217" s="8" t="s">
        <v>23</v>
      </c>
      <c r="I217" s="10" t="s">
        <v>23</v>
      </c>
      <c r="J217" s="2" t="s">
        <v>23</v>
      </c>
      <c r="K217" s="2" t="s">
        <v>23</v>
      </c>
      <c r="L217" s="2" t="s">
        <v>23</v>
      </c>
      <c r="M217" s="2" t="s">
        <v>23</v>
      </c>
      <c r="N217" t="s">
        <v>23</v>
      </c>
    </row>
    <row r="218" spans="1:14">
      <c r="A218" s="2" t="s">
        <v>23</v>
      </c>
      <c r="B218" s="2" t="s">
        <v>23</v>
      </c>
      <c r="C218" s="2" t="s">
        <v>23</v>
      </c>
      <c r="D218" s="8" t="s">
        <v>23</v>
      </c>
      <c r="E218" s="8" t="s">
        <v>23</v>
      </c>
      <c r="F218" s="8" t="s">
        <v>23</v>
      </c>
      <c r="G218" s="2" t="s">
        <v>23</v>
      </c>
      <c r="H218" s="8" t="s">
        <v>23</v>
      </c>
      <c r="I218" s="10" t="s">
        <v>23</v>
      </c>
      <c r="J218" s="2" t="s">
        <v>23</v>
      </c>
      <c r="K218" s="2" t="s">
        <v>23</v>
      </c>
      <c r="L218" s="2" t="s">
        <v>23</v>
      </c>
      <c r="M218" s="2" t="s">
        <v>23</v>
      </c>
      <c r="N218" t="s">
        <v>23</v>
      </c>
    </row>
    <row r="219" spans="1:14">
      <c r="A219" s="2" t="s">
        <v>23</v>
      </c>
      <c r="B219" s="2" t="s">
        <v>23</v>
      </c>
      <c r="C219" s="2" t="s">
        <v>23</v>
      </c>
      <c r="D219" s="8" t="s">
        <v>23</v>
      </c>
      <c r="E219" s="8" t="s">
        <v>23</v>
      </c>
      <c r="F219" s="8" t="s">
        <v>23</v>
      </c>
      <c r="G219" s="2" t="s">
        <v>23</v>
      </c>
      <c r="H219" s="8" t="s">
        <v>23</v>
      </c>
      <c r="I219" s="10" t="s">
        <v>23</v>
      </c>
      <c r="J219" s="2" t="s">
        <v>23</v>
      </c>
      <c r="K219" s="2" t="s">
        <v>23</v>
      </c>
      <c r="L219" s="2" t="s">
        <v>23</v>
      </c>
      <c r="M219" s="2" t="s">
        <v>23</v>
      </c>
      <c r="N219" t="s">
        <v>23</v>
      </c>
    </row>
    <row r="220" spans="1:14">
      <c r="A220" s="2" t="s">
        <v>23</v>
      </c>
      <c r="B220" s="2" t="s">
        <v>23</v>
      </c>
      <c r="C220" s="2" t="s">
        <v>23</v>
      </c>
      <c r="D220" s="8" t="s">
        <v>23</v>
      </c>
      <c r="E220" s="8" t="s">
        <v>23</v>
      </c>
      <c r="F220" s="8" t="s">
        <v>23</v>
      </c>
      <c r="G220" s="2" t="s">
        <v>23</v>
      </c>
      <c r="H220" s="8" t="s">
        <v>23</v>
      </c>
      <c r="I220" s="10" t="s">
        <v>23</v>
      </c>
      <c r="J220" s="2" t="s">
        <v>23</v>
      </c>
      <c r="K220" s="2" t="s">
        <v>23</v>
      </c>
      <c r="L220" s="2" t="s">
        <v>23</v>
      </c>
      <c r="M220" s="2" t="s">
        <v>23</v>
      </c>
      <c r="N220" t="s">
        <v>23</v>
      </c>
    </row>
    <row r="221" spans="1:14">
      <c r="A221" s="2" t="s">
        <v>23</v>
      </c>
      <c r="B221" s="2" t="s">
        <v>23</v>
      </c>
      <c r="C221" s="2" t="s">
        <v>23</v>
      </c>
      <c r="D221" s="8" t="s">
        <v>23</v>
      </c>
      <c r="E221" s="8" t="s">
        <v>23</v>
      </c>
      <c r="F221" s="8" t="s">
        <v>23</v>
      </c>
      <c r="G221" s="2" t="s">
        <v>23</v>
      </c>
      <c r="H221" s="8" t="s">
        <v>23</v>
      </c>
      <c r="I221" s="10" t="s">
        <v>23</v>
      </c>
      <c r="J221" s="2" t="s">
        <v>23</v>
      </c>
      <c r="K221" s="2" t="s">
        <v>23</v>
      </c>
      <c r="L221" s="2" t="s">
        <v>23</v>
      </c>
      <c r="M221" s="2" t="s">
        <v>23</v>
      </c>
      <c r="N221" t="s">
        <v>23</v>
      </c>
    </row>
    <row r="222" spans="1:14">
      <c r="A222" s="2" t="s">
        <v>23</v>
      </c>
      <c r="B222" s="2" t="s">
        <v>23</v>
      </c>
      <c r="C222" s="2" t="s">
        <v>23</v>
      </c>
      <c r="D222" s="8" t="s">
        <v>23</v>
      </c>
      <c r="E222" s="8" t="s">
        <v>23</v>
      </c>
      <c r="F222" s="8" t="s">
        <v>23</v>
      </c>
      <c r="G222" s="2" t="s">
        <v>23</v>
      </c>
      <c r="H222" s="8" t="s">
        <v>23</v>
      </c>
      <c r="I222" s="10" t="s">
        <v>23</v>
      </c>
      <c r="J222" s="2" t="s">
        <v>23</v>
      </c>
      <c r="K222" s="2" t="s">
        <v>23</v>
      </c>
      <c r="L222" s="2" t="s">
        <v>23</v>
      </c>
      <c r="M222" s="2" t="s">
        <v>23</v>
      </c>
      <c r="N222" t="s">
        <v>23</v>
      </c>
    </row>
    <row r="223" spans="1:14">
      <c r="A223" s="2" t="s">
        <v>23</v>
      </c>
      <c r="B223" s="2" t="s">
        <v>23</v>
      </c>
      <c r="C223" s="2" t="s">
        <v>23</v>
      </c>
      <c r="D223" s="8" t="s">
        <v>23</v>
      </c>
      <c r="E223" s="8" t="s">
        <v>23</v>
      </c>
      <c r="F223" s="8" t="s">
        <v>23</v>
      </c>
      <c r="G223" s="2" t="s">
        <v>23</v>
      </c>
      <c r="H223" s="8" t="s">
        <v>23</v>
      </c>
      <c r="I223" s="10" t="s">
        <v>23</v>
      </c>
      <c r="J223" s="2" t="s">
        <v>23</v>
      </c>
      <c r="K223" s="2" t="s">
        <v>23</v>
      </c>
      <c r="L223" s="2" t="s">
        <v>23</v>
      </c>
      <c r="M223" s="2" t="s">
        <v>23</v>
      </c>
      <c r="N223" t="s">
        <v>23</v>
      </c>
    </row>
    <row r="224" spans="1:14">
      <c r="A224" s="2" t="s">
        <v>23</v>
      </c>
      <c r="B224" s="2" t="s">
        <v>23</v>
      </c>
      <c r="C224" s="2" t="s">
        <v>23</v>
      </c>
      <c r="D224" s="8" t="s">
        <v>23</v>
      </c>
      <c r="E224" s="8" t="s">
        <v>23</v>
      </c>
      <c r="F224" s="8" t="s">
        <v>23</v>
      </c>
      <c r="G224" s="2" t="s">
        <v>23</v>
      </c>
      <c r="H224" s="8" t="s">
        <v>23</v>
      </c>
      <c r="I224" s="10" t="s">
        <v>23</v>
      </c>
      <c r="J224" s="2" t="s">
        <v>23</v>
      </c>
      <c r="K224" s="2" t="s">
        <v>23</v>
      </c>
      <c r="L224" s="2" t="s">
        <v>23</v>
      </c>
      <c r="M224" s="2" t="s">
        <v>23</v>
      </c>
      <c r="N224" t="s">
        <v>23</v>
      </c>
    </row>
    <row r="225" spans="1:14">
      <c r="A225" s="2" t="s">
        <v>23</v>
      </c>
      <c r="B225" s="2" t="s">
        <v>23</v>
      </c>
      <c r="C225" s="2" t="s">
        <v>23</v>
      </c>
      <c r="D225" s="8" t="s">
        <v>23</v>
      </c>
      <c r="E225" s="8" t="s">
        <v>23</v>
      </c>
      <c r="F225" s="8" t="s">
        <v>23</v>
      </c>
      <c r="G225" s="2" t="s">
        <v>23</v>
      </c>
      <c r="H225" s="8" t="s">
        <v>23</v>
      </c>
      <c r="I225" s="10" t="s">
        <v>23</v>
      </c>
      <c r="J225" s="2" t="s">
        <v>23</v>
      </c>
      <c r="K225" s="2" t="s">
        <v>23</v>
      </c>
      <c r="L225" s="2" t="s">
        <v>23</v>
      </c>
      <c r="M225" s="2" t="s">
        <v>23</v>
      </c>
      <c r="N225" t="s">
        <v>23</v>
      </c>
    </row>
    <row r="226" spans="1:14">
      <c r="A226" s="2" t="s">
        <v>23</v>
      </c>
      <c r="B226" s="2" t="s">
        <v>23</v>
      </c>
      <c r="C226" s="2" t="s">
        <v>23</v>
      </c>
      <c r="D226" s="8" t="s">
        <v>23</v>
      </c>
      <c r="E226" s="8" t="s">
        <v>23</v>
      </c>
      <c r="F226" s="8" t="s">
        <v>23</v>
      </c>
      <c r="G226" s="2" t="s">
        <v>23</v>
      </c>
      <c r="H226" s="8" t="s">
        <v>23</v>
      </c>
      <c r="I226" s="10" t="s">
        <v>23</v>
      </c>
      <c r="J226" s="2" t="s">
        <v>23</v>
      </c>
      <c r="K226" s="2" t="s">
        <v>23</v>
      </c>
      <c r="L226" s="2" t="s">
        <v>23</v>
      </c>
      <c r="M226" s="2" t="s">
        <v>23</v>
      </c>
      <c r="N226" t="s">
        <v>23</v>
      </c>
    </row>
    <row r="227" spans="1:14">
      <c r="A227" s="2" t="s">
        <v>23</v>
      </c>
      <c r="B227" s="2" t="s">
        <v>23</v>
      </c>
      <c r="C227" s="2" t="s">
        <v>23</v>
      </c>
      <c r="D227" s="8" t="s">
        <v>23</v>
      </c>
      <c r="E227" s="8" t="s">
        <v>23</v>
      </c>
      <c r="F227" s="8" t="s">
        <v>23</v>
      </c>
      <c r="G227" s="2" t="s">
        <v>23</v>
      </c>
      <c r="H227" s="8" t="s">
        <v>23</v>
      </c>
      <c r="I227" s="10" t="s">
        <v>23</v>
      </c>
      <c r="J227" s="2" t="s">
        <v>23</v>
      </c>
      <c r="K227" s="2" t="s">
        <v>23</v>
      </c>
      <c r="L227" s="2" t="s">
        <v>23</v>
      </c>
      <c r="M227" s="2" t="s">
        <v>23</v>
      </c>
      <c r="N227" t="s">
        <v>23</v>
      </c>
    </row>
    <row r="228" spans="1:14">
      <c r="A228" s="2" t="s">
        <v>23</v>
      </c>
      <c r="B228" s="2" t="s">
        <v>23</v>
      </c>
      <c r="C228" s="2" t="s">
        <v>23</v>
      </c>
      <c r="D228" s="8" t="s">
        <v>23</v>
      </c>
      <c r="E228" s="8" t="s">
        <v>23</v>
      </c>
      <c r="F228" s="8" t="s">
        <v>23</v>
      </c>
      <c r="G228" s="2" t="s">
        <v>23</v>
      </c>
      <c r="H228" s="8" t="s">
        <v>23</v>
      </c>
      <c r="I228" s="10" t="s">
        <v>23</v>
      </c>
      <c r="J228" s="2" t="s">
        <v>23</v>
      </c>
      <c r="K228" s="2" t="s">
        <v>23</v>
      </c>
      <c r="L228" s="2" t="s">
        <v>23</v>
      </c>
      <c r="M228" s="2" t="s">
        <v>23</v>
      </c>
      <c r="N228" t="s">
        <v>23</v>
      </c>
    </row>
    <row r="229" spans="1:14">
      <c r="A229" s="2" t="s">
        <v>23</v>
      </c>
      <c r="B229" s="2" t="s">
        <v>23</v>
      </c>
      <c r="C229" s="2" t="s">
        <v>23</v>
      </c>
      <c r="D229" s="8" t="s">
        <v>23</v>
      </c>
      <c r="E229" s="8" t="s">
        <v>23</v>
      </c>
      <c r="F229" s="8" t="s">
        <v>23</v>
      </c>
      <c r="G229" s="2" t="s">
        <v>23</v>
      </c>
      <c r="H229" s="8" t="s">
        <v>23</v>
      </c>
      <c r="I229" s="10" t="s">
        <v>23</v>
      </c>
      <c r="J229" s="2" t="s">
        <v>23</v>
      </c>
      <c r="K229" s="2" t="s">
        <v>23</v>
      </c>
      <c r="L229" s="2" t="s">
        <v>23</v>
      </c>
      <c r="M229" s="2" t="s">
        <v>23</v>
      </c>
      <c r="N229" t="s">
        <v>23</v>
      </c>
    </row>
    <row r="230" spans="1:14">
      <c r="A230" s="2" t="s">
        <v>23</v>
      </c>
      <c r="B230" s="2" t="s">
        <v>23</v>
      </c>
      <c r="C230" s="2" t="s">
        <v>23</v>
      </c>
      <c r="D230" s="8" t="s">
        <v>23</v>
      </c>
      <c r="E230" s="8" t="s">
        <v>23</v>
      </c>
      <c r="F230" s="8" t="s">
        <v>23</v>
      </c>
      <c r="G230" s="2" t="s">
        <v>23</v>
      </c>
      <c r="H230" s="8" t="s">
        <v>23</v>
      </c>
      <c r="I230" s="10" t="s">
        <v>23</v>
      </c>
      <c r="J230" s="2" t="s">
        <v>23</v>
      </c>
      <c r="K230" s="2" t="s">
        <v>23</v>
      </c>
      <c r="L230" s="2" t="s">
        <v>23</v>
      </c>
      <c r="M230" s="2" t="s">
        <v>23</v>
      </c>
      <c r="N230" t="s">
        <v>23</v>
      </c>
    </row>
    <row r="231" spans="1:14">
      <c r="A231" s="2" t="s">
        <v>23</v>
      </c>
      <c r="B231" s="2" t="s">
        <v>23</v>
      </c>
      <c r="C231" s="2" t="s">
        <v>23</v>
      </c>
      <c r="D231" s="8" t="s">
        <v>23</v>
      </c>
      <c r="E231" s="8" t="s">
        <v>23</v>
      </c>
      <c r="F231" s="8" t="s">
        <v>23</v>
      </c>
      <c r="G231" s="2" t="s">
        <v>23</v>
      </c>
      <c r="H231" s="8" t="s">
        <v>23</v>
      </c>
      <c r="I231" s="10" t="s">
        <v>23</v>
      </c>
      <c r="J231" s="2" t="s">
        <v>23</v>
      </c>
      <c r="K231" s="2" t="s">
        <v>23</v>
      </c>
      <c r="L231" s="2" t="s">
        <v>23</v>
      </c>
      <c r="M231" s="2" t="s">
        <v>23</v>
      </c>
      <c r="N231" t="s">
        <v>23</v>
      </c>
    </row>
    <row r="232" spans="1:14">
      <c r="A232" s="2" t="s">
        <v>23</v>
      </c>
      <c r="B232" s="2" t="s">
        <v>23</v>
      </c>
      <c r="C232" s="2" t="s">
        <v>23</v>
      </c>
      <c r="D232" s="8" t="s">
        <v>23</v>
      </c>
      <c r="E232" s="8" t="s">
        <v>23</v>
      </c>
      <c r="F232" s="8" t="s">
        <v>23</v>
      </c>
      <c r="G232" s="2" t="s">
        <v>23</v>
      </c>
      <c r="H232" s="8" t="s">
        <v>23</v>
      </c>
      <c r="I232" s="10" t="s">
        <v>23</v>
      </c>
      <c r="J232" s="2" t="s">
        <v>23</v>
      </c>
      <c r="K232" s="2" t="s">
        <v>23</v>
      </c>
      <c r="L232" s="2" t="s">
        <v>23</v>
      </c>
      <c r="M232" s="2" t="s">
        <v>23</v>
      </c>
      <c r="N232" t="s">
        <v>23</v>
      </c>
    </row>
    <row r="233" spans="1:14">
      <c r="A233" s="2" t="s">
        <v>23</v>
      </c>
      <c r="B233" s="2" t="s">
        <v>23</v>
      </c>
      <c r="C233" s="2" t="s">
        <v>23</v>
      </c>
      <c r="D233" s="8" t="s">
        <v>23</v>
      </c>
      <c r="E233" s="8" t="s">
        <v>23</v>
      </c>
      <c r="F233" s="8" t="s">
        <v>23</v>
      </c>
      <c r="G233" s="2" t="s">
        <v>23</v>
      </c>
      <c r="H233" s="8" t="s">
        <v>23</v>
      </c>
      <c r="I233" s="10" t="s">
        <v>23</v>
      </c>
      <c r="J233" s="2" t="s">
        <v>23</v>
      </c>
      <c r="K233" s="2" t="s">
        <v>23</v>
      </c>
      <c r="L233" s="2" t="s">
        <v>23</v>
      </c>
      <c r="M233" s="2" t="s">
        <v>23</v>
      </c>
      <c r="N233" t="s">
        <v>23</v>
      </c>
    </row>
    <row r="234" spans="1:14">
      <c r="A234" s="2" t="s">
        <v>23</v>
      </c>
      <c r="B234" s="2" t="s">
        <v>23</v>
      </c>
      <c r="C234" s="2" t="s">
        <v>23</v>
      </c>
      <c r="D234" s="8" t="s">
        <v>23</v>
      </c>
      <c r="E234" s="8" t="s">
        <v>23</v>
      </c>
      <c r="F234" s="8" t="s">
        <v>23</v>
      </c>
      <c r="G234" s="2" t="s">
        <v>23</v>
      </c>
      <c r="H234" s="8" t="s">
        <v>23</v>
      </c>
      <c r="I234" s="10" t="s">
        <v>23</v>
      </c>
      <c r="J234" s="2" t="s">
        <v>23</v>
      </c>
      <c r="K234" s="2" t="s">
        <v>23</v>
      </c>
      <c r="L234" s="2" t="s">
        <v>23</v>
      </c>
      <c r="M234" s="2" t="s">
        <v>23</v>
      </c>
      <c r="N234" t="s">
        <v>23</v>
      </c>
    </row>
    <row r="235" spans="1:14">
      <c r="A235" s="2" t="s">
        <v>23</v>
      </c>
      <c r="B235" s="2" t="s">
        <v>23</v>
      </c>
      <c r="C235" s="2" t="s">
        <v>23</v>
      </c>
      <c r="D235" s="8" t="s">
        <v>23</v>
      </c>
      <c r="E235" s="8" t="s">
        <v>23</v>
      </c>
      <c r="F235" s="8" t="s">
        <v>23</v>
      </c>
      <c r="G235" s="2" t="s">
        <v>23</v>
      </c>
      <c r="H235" s="8" t="s">
        <v>23</v>
      </c>
      <c r="I235" s="10" t="s">
        <v>23</v>
      </c>
      <c r="J235" s="2" t="s">
        <v>23</v>
      </c>
      <c r="K235" s="2" t="s">
        <v>23</v>
      </c>
      <c r="L235" s="2" t="s">
        <v>23</v>
      </c>
      <c r="M235" s="2" t="s">
        <v>23</v>
      </c>
      <c r="N235" t="s">
        <v>23</v>
      </c>
    </row>
    <row r="236" spans="1:14">
      <c r="A236" s="2" t="s">
        <v>23</v>
      </c>
      <c r="B236" s="2" t="s">
        <v>23</v>
      </c>
      <c r="C236" s="2" t="s">
        <v>23</v>
      </c>
      <c r="D236" s="8" t="s">
        <v>23</v>
      </c>
      <c r="E236" s="8" t="s">
        <v>23</v>
      </c>
      <c r="F236" s="8" t="s">
        <v>23</v>
      </c>
      <c r="G236" s="2" t="s">
        <v>23</v>
      </c>
      <c r="H236" s="8" t="s">
        <v>23</v>
      </c>
      <c r="I236" s="10" t="s">
        <v>23</v>
      </c>
      <c r="J236" s="2" t="s">
        <v>23</v>
      </c>
      <c r="K236" s="2" t="s">
        <v>23</v>
      </c>
      <c r="L236" s="2" t="s">
        <v>23</v>
      </c>
      <c r="M236" s="2" t="s">
        <v>23</v>
      </c>
      <c r="N236" t="s">
        <v>23</v>
      </c>
    </row>
    <row r="237" spans="1:14">
      <c r="A237" s="2" t="s">
        <v>23</v>
      </c>
      <c r="B237" s="2" t="s">
        <v>23</v>
      </c>
      <c r="C237" s="2" t="s">
        <v>23</v>
      </c>
      <c r="D237" s="8" t="s">
        <v>23</v>
      </c>
      <c r="E237" s="8" t="s">
        <v>23</v>
      </c>
      <c r="F237" s="8" t="s">
        <v>23</v>
      </c>
      <c r="G237" s="2" t="s">
        <v>23</v>
      </c>
      <c r="H237" s="8" t="s">
        <v>23</v>
      </c>
      <c r="I237" s="10" t="s">
        <v>23</v>
      </c>
      <c r="J237" s="2" t="s">
        <v>23</v>
      </c>
      <c r="K237" s="2" t="s">
        <v>23</v>
      </c>
      <c r="L237" s="2" t="s">
        <v>23</v>
      </c>
      <c r="M237" s="2" t="s">
        <v>23</v>
      </c>
      <c r="N237" t="s">
        <v>23</v>
      </c>
    </row>
    <row r="238" spans="1:14">
      <c r="A238" s="2" t="s">
        <v>23</v>
      </c>
      <c r="B238" s="2" t="s">
        <v>23</v>
      </c>
      <c r="C238" s="2" t="s">
        <v>23</v>
      </c>
      <c r="D238" s="8" t="s">
        <v>23</v>
      </c>
      <c r="E238" s="8" t="s">
        <v>23</v>
      </c>
      <c r="F238" s="8" t="s">
        <v>23</v>
      </c>
      <c r="G238" s="2" t="s">
        <v>23</v>
      </c>
      <c r="H238" s="8" t="s">
        <v>23</v>
      </c>
      <c r="I238" s="10" t="s">
        <v>23</v>
      </c>
      <c r="J238" s="2" t="s">
        <v>23</v>
      </c>
      <c r="K238" s="2" t="s">
        <v>23</v>
      </c>
      <c r="L238" s="2" t="s">
        <v>23</v>
      </c>
      <c r="M238" s="2" t="s">
        <v>23</v>
      </c>
      <c r="N238" t="s">
        <v>23</v>
      </c>
    </row>
    <row r="239" spans="1:14">
      <c r="A239" s="2" t="s">
        <v>23</v>
      </c>
      <c r="B239" s="2" t="s">
        <v>23</v>
      </c>
      <c r="C239" s="2" t="s">
        <v>23</v>
      </c>
      <c r="D239" s="8" t="s">
        <v>23</v>
      </c>
      <c r="E239" s="8" t="s">
        <v>23</v>
      </c>
      <c r="F239" s="8" t="s">
        <v>23</v>
      </c>
      <c r="G239" s="2" t="s">
        <v>23</v>
      </c>
      <c r="H239" s="8" t="s">
        <v>23</v>
      </c>
      <c r="I239" s="10" t="s">
        <v>23</v>
      </c>
      <c r="J239" s="2" t="s">
        <v>23</v>
      </c>
      <c r="K239" s="2" t="s">
        <v>23</v>
      </c>
      <c r="L239" s="2" t="s">
        <v>23</v>
      </c>
      <c r="M239" s="2" t="s">
        <v>23</v>
      </c>
      <c r="N239" t="s">
        <v>23</v>
      </c>
    </row>
    <row r="240" spans="1:14">
      <c r="A240" s="2" t="s">
        <v>23</v>
      </c>
      <c r="B240" s="2" t="s">
        <v>23</v>
      </c>
      <c r="C240" s="2" t="s">
        <v>23</v>
      </c>
      <c r="D240" s="8" t="s">
        <v>23</v>
      </c>
      <c r="E240" s="8" t="s">
        <v>23</v>
      </c>
      <c r="F240" s="8" t="s">
        <v>23</v>
      </c>
      <c r="G240" s="2" t="s">
        <v>23</v>
      </c>
      <c r="H240" s="8" t="s">
        <v>23</v>
      </c>
      <c r="I240" s="10" t="s">
        <v>23</v>
      </c>
      <c r="J240" s="2" t="s">
        <v>23</v>
      </c>
      <c r="K240" s="2" t="s">
        <v>23</v>
      </c>
      <c r="L240" s="2" t="s">
        <v>23</v>
      </c>
      <c r="M240" s="2" t="s">
        <v>23</v>
      </c>
      <c r="N240" t="s">
        <v>23</v>
      </c>
    </row>
    <row r="241" spans="1:14">
      <c r="A241" s="2" t="s">
        <v>23</v>
      </c>
      <c r="B241" s="2" t="s">
        <v>23</v>
      </c>
      <c r="C241" s="2" t="s">
        <v>23</v>
      </c>
      <c r="D241" s="8" t="s">
        <v>23</v>
      </c>
      <c r="E241" s="8" t="s">
        <v>23</v>
      </c>
      <c r="F241" s="8" t="s">
        <v>23</v>
      </c>
      <c r="G241" s="2" t="s">
        <v>23</v>
      </c>
      <c r="H241" s="8" t="s">
        <v>23</v>
      </c>
      <c r="I241" s="10" t="s">
        <v>23</v>
      </c>
      <c r="J241" s="2" t="s">
        <v>23</v>
      </c>
      <c r="K241" s="2" t="s">
        <v>23</v>
      </c>
      <c r="L241" s="2" t="s">
        <v>23</v>
      </c>
      <c r="M241" s="2" t="s">
        <v>23</v>
      </c>
      <c r="N241" t="s">
        <v>23</v>
      </c>
    </row>
    <row r="242" spans="1:14">
      <c r="A242" s="2" t="s">
        <v>23</v>
      </c>
      <c r="B242" s="2" t="s">
        <v>23</v>
      </c>
      <c r="C242" s="2" t="s">
        <v>23</v>
      </c>
      <c r="D242" s="8" t="s">
        <v>23</v>
      </c>
      <c r="E242" s="8" t="s">
        <v>23</v>
      </c>
      <c r="F242" s="8" t="s">
        <v>23</v>
      </c>
      <c r="G242" s="2" t="s">
        <v>23</v>
      </c>
      <c r="H242" s="8" t="s">
        <v>23</v>
      </c>
      <c r="I242" s="10" t="s">
        <v>23</v>
      </c>
      <c r="J242" s="2" t="s">
        <v>23</v>
      </c>
      <c r="K242" s="2" t="s">
        <v>23</v>
      </c>
      <c r="L242" s="2" t="s">
        <v>23</v>
      </c>
      <c r="M242" s="2" t="s">
        <v>23</v>
      </c>
      <c r="N242" t="s">
        <v>23</v>
      </c>
    </row>
    <row r="243" spans="1:14">
      <c r="A243" s="2" t="s">
        <v>23</v>
      </c>
      <c r="B243" s="2" t="s">
        <v>23</v>
      </c>
      <c r="C243" s="2" t="s">
        <v>23</v>
      </c>
      <c r="D243" s="8" t="s">
        <v>23</v>
      </c>
      <c r="E243" s="8" t="s">
        <v>23</v>
      </c>
      <c r="F243" s="8" t="s">
        <v>23</v>
      </c>
      <c r="G243" s="2" t="s">
        <v>23</v>
      </c>
      <c r="H243" s="8" t="s">
        <v>23</v>
      </c>
      <c r="I243" s="10" t="s">
        <v>23</v>
      </c>
      <c r="J243" s="2" t="s">
        <v>23</v>
      </c>
      <c r="K243" s="2" t="s">
        <v>23</v>
      </c>
      <c r="L243" s="2" t="s">
        <v>23</v>
      </c>
      <c r="M243" s="2" t="s">
        <v>23</v>
      </c>
      <c r="N243" t="s">
        <v>23</v>
      </c>
    </row>
    <row r="244" spans="1:14">
      <c r="A244" s="2" t="s">
        <v>23</v>
      </c>
      <c r="B244" s="2" t="s">
        <v>23</v>
      </c>
      <c r="C244" s="2" t="s">
        <v>23</v>
      </c>
      <c r="D244" s="8" t="s">
        <v>23</v>
      </c>
      <c r="E244" s="8" t="s">
        <v>23</v>
      </c>
      <c r="F244" s="8" t="s">
        <v>23</v>
      </c>
      <c r="G244" s="2" t="s">
        <v>23</v>
      </c>
      <c r="H244" s="8" t="s">
        <v>23</v>
      </c>
      <c r="I244" s="10" t="s">
        <v>23</v>
      </c>
      <c r="J244" s="2" t="s">
        <v>23</v>
      </c>
      <c r="K244" s="2" t="s">
        <v>23</v>
      </c>
      <c r="L244" s="2" t="s">
        <v>23</v>
      </c>
      <c r="M244" s="2" t="s">
        <v>23</v>
      </c>
      <c r="N244" t="s">
        <v>23</v>
      </c>
    </row>
    <row r="245" spans="1:14">
      <c r="A245" s="2" t="s">
        <v>23</v>
      </c>
      <c r="B245" s="2" t="s">
        <v>23</v>
      </c>
      <c r="C245" s="2" t="s">
        <v>23</v>
      </c>
      <c r="D245" s="8" t="s">
        <v>23</v>
      </c>
      <c r="E245" s="8" t="s">
        <v>23</v>
      </c>
      <c r="F245" s="8" t="s">
        <v>23</v>
      </c>
      <c r="G245" s="2" t="s">
        <v>23</v>
      </c>
      <c r="H245" s="8" t="s">
        <v>23</v>
      </c>
      <c r="I245" s="10" t="s">
        <v>23</v>
      </c>
      <c r="J245" s="2" t="s">
        <v>23</v>
      </c>
      <c r="K245" s="2" t="s">
        <v>23</v>
      </c>
      <c r="L245" s="2" t="s">
        <v>23</v>
      </c>
      <c r="M245" s="2" t="s">
        <v>23</v>
      </c>
      <c r="N245" t="s">
        <v>23</v>
      </c>
    </row>
    <row r="246" spans="1:14">
      <c r="A246" s="2" t="s">
        <v>23</v>
      </c>
      <c r="B246" s="2" t="s">
        <v>23</v>
      </c>
      <c r="C246" s="2" t="s">
        <v>23</v>
      </c>
      <c r="D246" s="8" t="s">
        <v>23</v>
      </c>
      <c r="E246" s="8" t="s">
        <v>23</v>
      </c>
      <c r="F246" s="8" t="s">
        <v>23</v>
      </c>
      <c r="G246" s="2" t="s">
        <v>23</v>
      </c>
      <c r="H246" s="8" t="s">
        <v>23</v>
      </c>
      <c r="I246" s="10" t="s">
        <v>23</v>
      </c>
      <c r="J246" s="2" t="s">
        <v>23</v>
      </c>
      <c r="K246" s="2" t="s">
        <v>23</v>
      </c>
      <c r="L246" s="2" t="s">
        <v>23</v>
      </c>
      <c r="M246" s="2" t="s">
        <v>23</v>
      </c>
      <c r="N246" t="s">
        <v>23</v>
      </c>
    </row>
    <row r="247" spans="1:14">
      <c r="A247" s="2" t="s">
        <v>23</v>
      </c>
      <c r="B247" s="2" t="s">
        <v>23</v>
      </c>
      <c r="C247" s="2" t="s">
        <v>23</v>
      </c>
      <c r="D247" s="8" t="s">
        <v>23</v>
      </c>
      <c r="E247" s="8" t="s">
        <v>23</v>
      </c>
      <c r="F247" s="8" t="s">
        <v>23</v>
      </c>
      <c r="G247" s="2" t="s">
        <v>23</v>
      </c>
      <c r="H247" s="8" t="s">
        <v>23</v>
      </c>
      <c r="I247" s="10" t="s">
        <v>23</v>
      </c>
      <c r="J247" s="2" t="s">
        <v>23</v>
      </c>
      <c r="K247" s="2" t="s">
        <v>23</v>
      </c>
      <c r="L247" s="2" t="s">
        <v>23</v>
      </c>
      <c r="M247" s="2" t="s">
        <v>23</v>
      </c>
      <c r="N247" t="s">
        <v>23</v>
      </c>
    </row>
    <row r="248" spans="1:14">
      <c r="A248" s="2" t="s">
        <v>23</v>
      </c>
      <c r="B248" s="2" t="s">
        <v>23</v>
      </c>
      <c r="C248" s="2" t="s">
        <v>23</v>
      </c>
      <c r="D248" s="8" t="s">
        <v>23</v>
      </c>
      <c r="E248" s="8" t="s">
        <v>23</v>
      </c>
      <c r="F248" s="8" t="s">
        <v>23</v>
      </c>
      <c r="G248" s="2" t="s">
        <v>23</v>
      </c>
      <c r="H248" s="8" t="s">
        <v>23</v>
      </c>
      <c r="I248" s="10" t="s">
        <v>23</v>
      </c>
      <c r="J248" s="2" t="s">
        <v>23</v>
      </c>
      <c r="K248" s="2" t="s">
        <v>23</v>
      </c>
      <c r="L248" s="2" t="s">
        <v>23</v>
      </c>
      <c r="M248" s="2" t="s">
        <v>23</v>
      </c>
      <c r="N248" t="s">
        <v>23</v>
      </c>
    </row>
    <row r="249" spans="1:14">
      <c r="A249" s="2" t="s">
        <v>23</v>
      </c>
      <c r="B249" s="2" t="s">
        <v>23</v>
      </c>
      <c r="C249" s="2" t="s">
        <v>23</v>
      </c>
      <c r="D249" s="8" t="s">
        <v>23</v>
      </c>
      <c r="E249" s="8" t="s">
        <v>23</v>
      </c>
      <c r="F249" s="8" t="s">
        <v>23</v>
      </c>
      <c r="G249" s="2" t="s">
        <v>23</v>
      </c>
      <c r="H249" s="8" t="s">
        <v>23</v>
      </c>
      <c r="I249" s="10" t="s">
        <v>23</v>
      </c>
      <c r="J249" s="2" t="s">
        <v>23</v>
      </c>
      <c r="K249" s="2" t="s">
        <v>23</v>
      </c>
      <c r="L249" s="2" t="s">
        <v>23</v>
      </c>
      <c r="M249" s="2" t="s">
        <v>23</v>
      </c>
      <c r="N249" t="s">
        <v>23</v>
      </c>
    </row>
    <row r="250" spans="1:14">
      <c r="A250" s="2" t="s">
        <v>23</v>
      </c>
      <c r="B250" s="2" t="s">
        <v>23</v>
      </c>
      <c r="C250" s="2" t="s">
        <v>23</v>
      </c>
      <c r="D250" s="8" t="s">
        <v>23</v>
      </c>
      <c r="E250" s="8" t="s">
        <v>23</v>
      </c>
      <c r="F250" s="8" t="s">
        <v>23</v>
      </c>
      <c r="G250" s="2" t="s">
        <v>23</v>
      </c>
      <c r="H250" s="8" t="s">
        <v>23</v>
      </c>
      <c r="I250" s="10" t="s">
        <v>23</v>
      </c>
      <c r="J250" s="2" t="s">
        <v>23</v>
      </c>
      <c r="K250" s="2" t="s">
        <v>23</v>
      </c>
      <c r="L250" s="2" t="s">
        <v>23</v>
      </c>
      <c r="M250" s="2" t="s">
        <v>23</v>
      </c>
      <c r="N250" t="s">
        <v>23</v>
      </c>
    </row>
    <row r="251" spans="1:14">
      <c r="A251" s="2" t="s">
        <v>23</v>
      </c>
      <c r="B251" s="2" t="s">
        <v>23</v>
      </c>
      <c r="C251" s="2" t="s">
        <v>23</v>
      </c>
      <c r="D251" s="8" t="s">
        <v>23</v>
      </c>
      <c r="E251" s="8" t="s">
        <v>23</v>
      </c>
      <c r="F251" s="8" t="s">
        <v>23</v>
      </c>
      <c r="G251" s="2" t="s">
        <v>23</v>
      </c>
      <c r="H251" s="8" t="s">
        <v>23</v>
      </c>
      <c r="I251" s="10" t="s">
        <v>23</v>
      </c>
      <c r="J251" s="2" t="s">
        <v>23</v>
      </c>
      <c r="K251" s="2" t="s">
        <v>23</v>
      </c>
      <c r="L251" s="2" t="s">
        <v>23</v>
      </c>
      <c r="M251" s="2" t="s">
        <v>23</v>
      </c>
      <c r="N251" t="s">
        <v>23</v>
      </c>
    </row>
    <row r="252" spans="1:14">
      <c r="A252" s="2" t="s">
        <v>23</v>
      </c>
      <c r="B252" s="2" t="s">
        <v>23</v>
      </c>
      <c r="C252" s="2" t="s">
        <v>23</v>
      </c>
      <c r="D252" s="8" t="s">
        <v>23</v>
      </c>
      <c r="E252" s="8" t="s">
        <v>23</v>
      </c>
      <c r="F252" s="8" t="s">
        <v>23</v>
      </c>
      <c r="G252" s="2" t="s">
        <v>23</v>
      </c>
      <c r="H252" s="8" t="s">
        <v>23</v>
      </c>
      <c r="I252" s="10" t="s">
        <v>23</v>
      </c>
      <c r="J252" s="2" t="s">
        <v>23</v>
      </c>
      <c r="K252" s="2" t="s">
        <v>23</v>
      </c>
      <c r="L252" s="2" t="s">
        <v>23</v>
      </c>
      <c r="M252" s="2" t="s">
        <v>23</v>
      </c>
      <c r="N252" t="s">
        <v>23</v>
      </c>
    </row>
    <row r="253" spans="1:14">
      <c r="A253" s="2" t="s">
        <v>23</v>
      </c>
      <c r="B253" s="2" t="s">
        <v>23</v>
      </c>
      <c r="C253" s="2" t="s">
        <v>23</v>
      </c>
      <c r="D253" s="8" t="s">
        <v>23</v>
      </c>
      <c r="E253" s="8" t="s">
        <v>23</v>
      </c>
      <c r="F253" s="8" t="s">
        <v>23</v>
      </c>
      <c r="G253" s="2" t="s">
        <v>23</v>
      </c>
      <c r="H253" s="8" t="s">
        <v>23</v>
      </c>
      <c r="I253" s="10" t="s">
        <v>23</v>
      </c>
      <c r="J253" s="2" t="s">
        <v>23</v>
      </c>
      <c r="K253" s="2" t="s">
        <v>23</v>
      </c>
      <c r="L253" s="2" t="s">
        <v>23</v>
      </c>
      <c r="M253" s="2" t="s">
        <v>23</v>
      </c>
      <c r="N253" t="s">
        <v>23</v>
      </c>
    </row>
    <row r="254" spans="1:14">
      <c r="A254" s="2" t="s">
        <v>23</v>
      </c>
      <c r="B254" s="2" t="s">
        <v>23</v>
      </c>
      <c r="C254" s="2" t="s">
        <v>23</v>
      </c>
      <c r="D254" s="8" t="s">
        <v>23</v>
      </c>
      <c r="E254" s="8" t="s">
        <v>23</v>
      </c>
      <c r="F254" s="8" t="s">
        <v>23</v>
      </c>
      <c r="G254" s="2" t="s">
        <v>23</v>
      </c>
      <c r="H254" s="8" t="s">
        <v>23</v>
      </c>
      <c r="I254" s="10" t="s">
        <v>23</v>
      </c>
      <c r="J254" s="2" t="s">
        <v>23</v>
      </c>
      <c r="K254" s="2" t="s">
        <v>23</v>
      </c>
      <c r="L254" s="2" t="s">
        <v>23</v>
      </c>
      <c r="M254" s="2" t="s">
        <v>23</v>
      </c>
      <c r="N254" t="s">
        <v>23</v>
      </c>
    </row>
    <row r="255" spans="1:14">
      <c r="A255" s="2" t="s">
        <v>23</v>
      </c>
      <c r="B255" s="2" t="s">
        <v>23</v>
      </c>
      <c r="C255" s="2" t="s">
        <v>23</v>
      </c>
      <c r="D255" s="8" t="s">
        <v>23</v>
      </c>
      <c r="E255" s="8" t="s">
        <v>23</v>
      </c>
      <c r="F255" s="8" t="s">
        <v>23</v>
      </c>
      <c r="G255" s="2" t="s">
        <v>23</v>
      </c>
      <c r="H255" s="8" t="s">
        <v>23</v>
      </c>
      <c r="I255" s="10" t="s">
        <v>23</v>
      </c>
      <c r="J255" s="2" t="s">
        <v>23</v>
      </c>
      <c r="K255" s="2" t="s">
        <v>23</v>
      </c>
      <c r="L255" s="2" t="s">
        <v>23</v>
      </c>
      <c r="M255" s="2" t="s">
        <v>23</v>
      </c>
      <c r="N255" t="s">
        <v>23</v>
      </c>
    </row>
    <row r="256" spans="1:14">
      <c r="A256" s="2" t="s">
        <v>23</v>
      </c>
      <c r="B256" s="2" t="s">
        <v>23</v>
      </c>
      <c r="C256" s="2" t="s">
        <v>23</v>
      </c>
      <c r="D256" s="8" t="s">
        <v>23</v>
      </c>
      <c r="E256" s="8" t="s">
        <v>23</v>
      </c>
      <c r="F256" s="8" t="s">
        <v>23</v>
      </c>
      <c r="G256" s="2" t="s">
        <v>23</v>
      </c>
      <c r="H256" s="8" t="s">
        <v>23</v>
      </c>
      <c r="I256" s="10" t="s">
        <v>23</v>
      </c>
      <c r="J256" s="2" t="s">
        <v>23</v>
      </c>
      <c r="K256" s="2" t="s">
        <v>23</v>
      </c>
      <c r="L256" s="2" t="s">
        <v>23</v>
      </c>
      <c r="M256" s="2" t="s">
        <v>23</v>
      </c>
      <c r="N256" t="s">
        <v>23</v>
      </c>
    </row>
    <row r="257" spans="1:14">
      <c r="A257" s="2" t="s">
        <v>23</v>
      </c>
      <c r="B257" s="2" t="s">
        <v>23</v>
      </c>
      <c r="C257" s="2" t="s">
        <v>23</v>
      </c>
      <c r="D257" s="8" t="s">
        <v>23</v>
      </c>
      <c r="E257" s="8" t="s">
        <v>23</v>
      </c>
      <c r="F257" s="8" t="s">
        <v>23</v>
      </c>
      <c r="G257" s="2" t="s">
        <v>23</v>
      </c>
      <c r="H257" s="8" t="s">
        <v>23</v>
      </c>
      <c r="I257" s="10" t="s">
        <v>23</v>
      </c>
      <c r="J257" s="2" t="s">
        <v>23</v>
      </c>
      <c r="K257" s="2" t="s">
        <v>23</v>
      </c>
      <c r="L257" s="2" t="s">
        <v>23</v>
      </c>
      <c r="M257" s="2" t="s">
        <v>23</v>
      </c>
      <c r="N257" t="s">
        <v>23</v>
      </c>
    </row>
    <row r="258" spans="1:14">
      <c r="A258" s="2" t="s">
        <v>23</v>
      </c>
      <c r="B258" s="2" t="s">
        <v>23</v>
      </c>
      <c r="C258" s="2" t="s">
        <v>23</v>
      </c>
      <c r="D258" s="8" t="s">
        <v>23</v>
      </c>
      <c r="E258" s="8" t="s">
        <v>23</v>
      </c>
      <c r="F258" s="8" t="s">
        <v>23</v>
      </c>
      <c r="G258" s="2" t="s">
        <v>23</v>
      </c>
      <c r="H258" s="8" t="s">
        <v>23</v>
      </c>
      <c r="I258" s="10" t="s">
        <v>23</v>
      </c>
      <c r="J258" s="2" t="s">
        <v>23</v>
      </c>
      <c r="K258" s="2" t="s">
        <v>23</v>
      </c>
      <c r="L258" s="2" t="s">
        <v>23</v>
      </c>
      <c r="M258" s="2" t="s">
        <v>23</v>
      </c>
      <c r="N258" t="s">
        <v>23</v>
      </c>
    </row>
    <row r="259" spans="1:14">
      <c r="A259" s="2" t="s">
        <v>23</v>
      </c>
      <c r="B259" s="2" t="s">
        <v>23</v>
      </c>
      <c r="C259" s="2" t="s">
        <v>23</v>
      </c>
      <c r="D259" s="8" t="s">
        <v>23</v>
      </c>
      <c r="E259" s="8" t="s">
        <v>23</v>
      </c>
      <c r="F259" s="8" t="s">
        <v>23</v>
      </c>
      <c r="G259" s="2" t="s">
        <v>23</v>
      </c>
      <c r="H259" s="8" t="s">
        <v>23</v>
      </c>
      <c r="I259" s="10" t="s">
        <v>23</v>
      </c>
      <c r="J259" s="2" t="s">
        <v>23</v>
      </c>
      <c r="K259" s="2" t="s">
        <v>23</v>
      </c>
      <c r="L259" s="2" t="s">
        <v>23</v>
      </c>
      <c r="M259" s="2" t="s">
        <v>23</v>
      </c>
      <c r="N259" t="s">
        <v>23</v>
      </c>
    </row>
    <row r="260" spans="1:14">
      <c r="A260" s="2" t="s">
        <v>23</v>
      </c>
      <c r="B260" s="2" t="s">
        <v>23</v>
      </c>
      <c r="C260" s="2" t="s">
        <v>23</v>
      </c>
      <c r="D260" s="8" t="s">
        <v>23</v>
      </c>
      <c r="E260" s="8" t="s">
        <v>23</v>
      </c>
      <c r="F260" s="8" t="s">
        <v>23</v>
      </c>
      <c r="G260" s="2" t="s">
        <v>23</v>
      </c>
      <c r="H260" s="8" t="s">
        <v>23</v>
      </c>
      <c r="I260" s="10" t="s">
        <v>23</v>
      </c>
      <c r="J260" s="2" t="s">
        <v>23</v>
      </c>
      <c r="K260" s="2" t="s">
        <v>23</v>
      </c>
      <c r="L260" s="2" t="s">
        <v>23</v>
      </c>
      <c r="M260" s="2" t="s">
        <v>23</v>
      </c>
      <c r="N260" t="s">
        <v>23</v>
      </c>
    </row>
    <row r="261" spans="1:14">
      <c r="A261" s="2" t="s">
        <v>23</v>
      </c>
      <c r="B261" s="2" t="s">
        <v>23</v>
      </c>
      <c r="C261" s="2" t="s">
        <v>23</v>
      </c>
      <c r="D261" s="8" t="s">
        <v>23</v>
      </c>
      <c r="E261" s="8" t="s">
        <v>23</v>
      </c>
      <c r="F261" s="8" t="s">
        <v>23</v>
      </c>
      <c r="G261" s="2" t="s">
        <v>23</v>
      </c>
      <c r="H261" s="8" t="s">
        <v>23</v>
      </c>
      <c r="I261" s="10" t="s">
        <v>23</v>
      </c>
      <c r="J261" s="2" t="s">
        <v>23</v>
      </c>
      <c r="K261" s="2" t="s">
        <v>23</v>
      </c>
      <c r="L261" s="2" t="s">
        <v>23</v>
      </c>
      <c r="M261" s="2" t="s">
        <v>23</v>
      </c>
      <c r="N261" t="s">
        <v>23</v>
      </c>
    </row>
    <row r="262" spans="1:14">
      <c r="A262" s="2" t="s">
        <v>23</v>
      </c>
      <c r="B262" s="2" t="s">
        <v>23</v>
      </c>
      <c r="C262" s="2" t="s">
        <v>23</v>
      </c>
      <c r="D262" s="8" t="s">
        <v>23</v>
      </c>
      <c r="E262" s="8" t="s">
        <v>23</v>
      </c>
      <c r="F262" s="8" t="s">
        <v>23</v>
      </c>
      <c r="G262" s="2" t="s">
        <v>23</v>
      </c>
      <c r="H262" s="8" t="s">
        <v>23</v>
      </c>
      <c r="I262" s="10" t="s">
        <v>23</v>
      </c>
      <c r="J262" s="2" t="s">
        <v>23</v>
      </c>
      <c r="K262" s="2" t="s">
        <v>23</v>
      </c>
      <c r="L262" s="2" t="s">
        <v>23</v>
      </c>
      <c r="M262" s="2" t="s">
        <v>23</v>
      </c>
      <c r="N262" t="s">
        <v>23</v>
      </c>
    </row>
    <row r="263" spans="1:14">
      <c r="A263" s="2" t="s">
        <v>23</v>
      </c>
      <c r="B263" s="2" t="s">
        <v>23</v>
      </c>
      <c r="C263" s="2" t="s">
        <v>23</v>
      </c>
      <c r="D263" s="8" t="s">
        <v>23</v>
      </c>
      <c r="E263" s="8" t="s">
        <v>23</v>
      </c>
      <c r="F263" s="8" t="s">
        <v>23</v>
      </c>
      <c r="G263" s="2" t="s">
        <v>23</v>
      </c>
      <c r="H263" s="8" t="s">
        <v>23</v>
      </c>
      <c r="I263" s="10" t="s">
        <v>23</v>
      </c>
      <c r="J263" s="2" t="s">
        <v>23</v>
      </c>
      <c r="K263" s="2" t="s">
        <v>23</v>
      </c>
      <c r="L263" s="2" t="s">
        <v>23</v>
      </c>
      <c r="M263" s="2" t="s">
        <v>23</v>
      </c>
      <c r="N263" t="s">
        <v>23</v>
      </c>
    </row>
    <row r="264" spans="1:14">
      <c r="A264" s="2" t="s">
        <v>23</v>
      </c>
      <c r="B264" s="2" t="s">
        <v>23</v>
      </c>
      <c r="C264" s="2" t="s">
        <v>23</v>
      </c>
      <c r="D264" s="8" t="s">
        <v>23</v>
      </c>
      <c r="E264" s="8" t="s">
        <v>23</v>
      </c>
      <c r="F264" s="8" t="s">
        <v>23</v>
      </c>
      <c r="G264" s="2" t="s">
        <v>23</v>
      </c>
      <c r="H264" s="8" t="s">
        <v>23</v>
      </c>
      <c r="I264" s="10" t="s">
        <v>23</v>
      </c>
      <c r="J264" s="2" t="s">
        <v>23</v>
      </c>
      <c r="K264" s="2" t="s">
        <v>23</v>
      </c>
      <c r="L264" s="2" t="s">
        <v>23</v>
      </c>
      <c r="M264" s="2" t="s">
        <v>23</v>
      </c>
      <c r="N264" t="s">
        <v>23</v>
      </c>
    </row>
    <row r="265" spans="1:14">
      <c r="A265" s="2" t="s">
        <v>23</v>
      </c>
      <c r="B265" s="2" t="s">
        <v>23</v>
      </c>
      <c r="C265" s="2" t="s">
        <v>23</v>
      </c>
      <c r="D265" s="8" t="s">
        <v>23</v>
      </c>
      <c r="E265" s="8" t="s">
        <v>23</v>
      </c>
      <c r="F265" s="8" t="s">
        <v>23</v>
      </c>
      <c r="G265" s="2" t="s">
        <v>23</v>
      </c>
      <c r="H265" s="8" t="s">
        <v>23</v>
      </c>
      <c r="I265" s="10" t="s">
        <v>23</v>
      </c>
      <c r="J265" s="2" t="s">
        <v>23</v>
      </c>
      <c r="K265" s="2" t="s">
        <v>23</v>
      </c>
      <c r="L265" s="2" t="s">
        <v>23</v>
      </c>
      <c r="M265" s="2" t="s">
        <v>23</v>
      </c>
      <c r="N265" t="s">
        <v>23</v>
      </c>
    </row>
    <row r="266" spans="1:14">
      <c r="A266" s="2" t="s">
        <v>23</v>
      </c>
      <c r="B266" s="2" t="s">
        <v>23</v>
      </c>
      <c r="C266" s="2" t="s">
        <v>23</v>
      </c>
      <c r="D266" s="8" t="s">
        <v>23</v>
      </c>
      <c r="E266" s="8" t="s">
        <v>23</v>
      </c>
      <c r="F266" s="8" t="s">
        <v>23</v>
      </c>
      <c r="G266" s="2" t="s">
        <v>23</v>
      </c>
      <c r="H266" s="8" t="s">
        <v>23</v>
      </c>
      <c r="I266" s="10" t="s">
        <v>23</v>
      </c>
      <c r="J266" s="2" t="s">
        <v>23</v>
      </c>
      <c r="K266" s="2" t="s">
        <v>23</v>
      </c>
      <c r="L266" s="2" t="s">
        <v>23</v>
      </c>
      <c r="M266" s="2" t="s">
        <v>23</v>
      </c>
      <c r="N266" t="s">
        <v>23</v>
      </c>
    </row>
    <row r="267" spans="1:14">
      <c r="A267" s="2" t="s">
        <v>23</v>
      </c>
      <c r="B267" s="2" t="s">
        <v>23</v>
      </c>
      <c r="C267" s="2" t="s">
        <v>23</v>
      </c>
      <c r="D267" s="8" t="s">
        <v>23</v>
      </c>
      <c r="E267" s="8" t="s">
        <v>23</v>
      </c>
      <c r="F267" s="8" t="s">
        <v>23</v>
      </c>
      <c r="G267" s="2" t="s">
        <v>23</v>
      </c>
      <c r="H267" s="8" t="s">
        <v>23</v>
      </c>
      <c r="I267" s="10" t="s">
        <v>23</v>
      </c>
      <c r="J267" s="2" t="s">
        <v>23</v>
      </c>
      <c r="K267" s="2" t="s">
        <v>23</v>
      </c>
      <c r="L267" s="2" t="s">
        <v>23</v>
      </c>
      <c r="M267" s="2" t="s">
        <v>23</v>
      </c>
      <c r="N267" t="s">
        <v>23</v>
      </c>
    </row>
    <row r="268" spans="1:14">
      <c r="A268" s="2" t="s">
        <v>23</v>
      </c>
      <c r="B268" s="2" t="s">
        <v>23</v>
      </c>
      <c r="C268" s="2" t="s">
        <v>23</v>
      </c>
      <c r="D268" s="8" t="s">
        <v>23</v>
      </c>
      <c r="E268" s="8" t="s">
        <v>23</v>
      </c>
      <c r="F268" s="8" t="s">
        <v>23</v>
      </c>
      <c r="G268" s="2" t="s">
        <v>23</v>
      </c>
      <c r="H268" s="8" t="s">
        <v>23</v>
      </c>
      <c r="I268" s="10" t="s">
        <v>23</v>
      </c>
      <c r="J268" s="2" t="s">
        <v>23</v>
      </c>
      <c r="K268" s="2" t="s">
        <v>23</v>
      </c>
      <c r="L268" s="2" t="s">
        <v>23</v>
      </c>
      <c r="M268" s="2" t="s">
        <v>23</v>
      </c>
      <c r="N268" t="s">
        <v>23</v>
      </c>
    </row>
    <row r="269" spans="1:14">
      <c r="A269" s="2" t="s">
        <v>23</v>
      </c>
      <c r="B269" s="2" t="s">
        <v>23</v>
      </c>
      <c r="C269" s="2" t="s">
        <v>23</v>
      </c>
      <c r="D269" s="8" t="s">
        <v>23</v>
      </c>
      <c r="E269" s="8" t="s">
        <v>23</v>
      </c>
      <c r="F269" s="8" t="s">
        <v>23</v>
      </c>
      <c r="G269" s="2" t="s">
        <v>23</v>
      </c>
      <c r="H269" s="8" t="s">
        <v>23</v>
      </c>
      <c r="I269" s="10" t="s">
        <v>23</v>
      </c>
      <c r="J269" s="2" t="s">
        <v>23</v>
      </c>
      <c r="K269" s="2" t="s">
        <v>23</v>
      </c>
      <c r="L269" s="2" t="s">
        <v>23</v>
      </c>
      <c r="M269" s="2" t="s">
        <v>23</v>
      </c>
      <c r="N269" t="s">
        <v>23</v>
      </c>
    </row>
    <row r="270" spans="1:14">
      <c r="A270" s="2" t="s">
        <v>23</v>
      </c>
      <c r="B270" s="2" t="s">
        <v>23</v>
      </c>
      <c r="C270" s="2" t="s">
        <v>23</v>
      </c>
      <c r="D270" s="8" t="s">
        <v>23</v>
      </c>
      <c r="E270" s="8" t="s">
        <v>23</v>
      </c>
      <c r="F270" s="8" t="s">
        <v>23</v>
      </c>
      <c r="G270" s="2" t="s">
        <v>23</v>
      </c>
      <c r="H270" s="8" t="s">
        <v>23</v>
      </c>
      <c r="I270" s="10" t="s">
        <v>23</v>
      </c>
      <c r="J270" s="2" t="s">
        <v>23</v>
      </c>
      <c r="K270" s="2" t="s">
        <v>23</v>
      </c>
      <c r="L270" s="2" t="s">
        <v>23</v>
      </c>
      <c r="M270" s="2" t="s">
        <v>23</v>
      </c>
      <c r="N270" t="s">
        <v>23</v>
      </c>
    </row>
    <row r="271" spans="1:14">
      <c r="A271" s="2" t="s">
        <v>23</v>
      </c>
      <c r="B271" s="2" t="s">
        <v>23</v>
      </c>
      <c r="C271" s="2" t="s">
        <v>23</v>
      </c>
      <c r="D271" s="8" t="s">
        <v>23</v>
      </c>
      <c r="E271" s="8" t="s">
        <v>23</v>
      </c>
      <c r="F271" s="8" t="s">
        <v>23</v>
      </c>
      <c r="G271" s="2" t="s">
        <v>23</v>
      </c>
      <c r="H271" s="8" t="s">
        <v>23</v>
      </c>
      <c r="I271" s="10" t="s">
        <v>23</v>
      </c>
      <c r="J271" s="2" t="s">
        <v>23</v>
      </c>
      <c r="K271" s="2" t="s">
        <v>23</v>
      </c>
      <c r="L271" s="2" t="s">
        <v>23</v>
      </c>
      <c r="M271" s="2" t="s">
        <v>23</v>
      </c>
      <c r="N271" t="s">
        <v>23</v>
      </c>
    </row>
    <row r="272" spans="1:14">
      <c r="A272" s="2" t="s">
        <v>23</v>
      </c>
      <c r="B272" s="2" t="s">
        <v>23</v>
      </c>
      <c r="C272" s="2" t="s">
        <v>23</v>
      </c>
      <c r="D272" s="8" t="s">
        <v>23</v>
      </c>
      <c r="E272" s="8" t="s">
        <v>23</v>
      </c>
      <c r="F272" s="8" t="s">
        <v>23</v>
      </c>
      <c r="G272" s="2" t="s">
        <v>23</v>
      </c>
      <c r="H272" s="8" t="s">
        <v>23</v>
      </c>
      <c r="I272" s="10" t="s">
        <v>23</v>
      </c>
      <c r="J272" s="2" t="s">
        <v>23</v>
      </c>
      <c r="K272" s="2" t="s">
        <v>23</v>
      </c>
      <c r="L272" s="2" t="s">
        <v>23</v>
      </c>
      <c r="M272" s="2" t="s">
        <v>23</v>
      </c>
      <c r="N272" t="s">
        <v>23</v>
      </c>
    </row>
    <row r="273" spans="1:14">
      <c r="A273" s="2" t="s">
        <v>23</v>
      </c>
      <c r="B273" s="2" t="s">
        <v>23</v>
      </c>
      <c r="C273" s="2" t="s">
        <v>23</v>
      </c>
      <c r="D273" s="8" t="s">
        <v>23</v>
      </c>
      <c r="E273" s="8" t="s">
        <v>23</v>
      </c>
      <c r="F273" s="8" t="s">
        <v>23</v>
      </c>
      <c r="G273" s="2" t="s">
        <v>23</v>
      </c>
      <c r="H273" s="8" t="s">
        <v>23</v>
      </c>
      <c r="I273" s="10" t="s">
        <v>23</v>
      </c>
      <c r="J273" s="2" t="s">
        <v>23</v>
      </c>
      <c r="K273" s="2" t="s">
        <v>23</v>
      </c>
      <c r="L273" s="2" t="s">
        <v>23</v>
      </c>
      <c r="M273" s="2" t="s">
        <v>23</v>
      </c>
      <c r="N273" t="s">
        <v>23</v>
      </c>
    </row>
    <row r="274" spans="1:14">
      <c r="A274" s="2" t="s">
        <v>23</v>
      </c>
      <c r="B274" s="2" t="s">
        <v>23</v>
      </c>
      <c r="C274" s="2" t="s">
        <v>23</v>
      </c>
      <c r="D274" s="8" t="s">
        <v>23</v>
      </c>
      <c r="E274" s="8" t="s">
        <v>23</v>
      </c>
      <c r="F274" s="8" t="s">
        <v>23</v>
      </c>
      <c r="G274" s="2" t="s">
        <v>23</v>
      </c>
      <c r="H274" s="8" t="s">
        <v>23</v>
      </c>
      <c r="I274" s="10" t="s">
        <v>23</v>
      </c>
      <c r="J274" s="2" t="s">
        <v>23</v>
      </c>
      <c r="K274" s="2" t="s">
        <v>23</v>
      </c>
      <c r="L274" s="2" t="s">
        <v>23</v>
      </c>
      <c r="M274" s="2" t="s">
        <v>23</v>
      </c>
      <c r="N274" t="s">
        <v>23</v>
      </c>
    </row>
    <row r="275" spans="1:14">
      <c r="A275" s="2" t="s">
        <v>23</v>
      </c>
      <c r="B275" s="2" t="s">
        <v>23</v>
      </c>
      <c r="C275" s="2" t="s">
        <v>23</v>
      </c>
      <c r="D275" s="8" t="s">
        <v>23</v>
      </c>
      <c r="E275" s="8" t="s">
        <v>23</v>
      </c>
      <c r="F275" s="8" t="s">
        <v>23</v>
      </c>
      <c r="G275" s="2" t="s">
        <v>23</v>
      </c>
      <c r="H275" s="8" t="s">
        <v>23</v>
      </c>
      <c r="I275" s="10" t="s">
        <v>23</v>
      </c>
      <c r="J275" s="2" t="s">
        <v>23</v>
      </c>
      <c r="K275" s="2" t="s">
        <v>23</v>
      </c>
      <c r="L275" s="2" t="s">
        <v>23</v>
      </c>
      <c r="M275" s="2" t="s">
        <v>23</v>
      </c>
      <c r="N275" t="s">
        <v>23</v>
      </c>
    </row>
    <row r="276" spans="1:14">
      <c r="A276" s="2" t="s">
        <v>23</v>
      </c>
      <c r="B276" s="2" t="s">
        <v>23</v>
      </c>
      <c r="C276" s="2" t="s">
        <v>23</v>
      </c>
      <c r="D276" s="8" t="s">
        <v>23</v>
      </c>
      <c r="E276" s="8" t="s">
        <v>23</v>
      </c>
      <c r="F276" s="8" t="s">
        <v>23</v>
      </c>
      <c r="G276" s="2" t="s">
        <v>23</v>
      </c>
      <c r="H276" s="8" t="s">
        <v>23</v>
      </c>
      <c r="I276" s="10" t="s">
        <v>23</v>
      </c>
      <c r="J276" s="2" t="s">
        <v>23</v>
      </c>
      <c r="K276" s="2" t="s">
        <v>23</v>
      </c>
      <c r="L276" s="2" t="s">
        <v>23</v>
      </c>
      <c r="M276" s="2" t="s">
        <v>23</v>
      </c>
      <c r="N276" t="s">
        <v>23</v>
      </c>
    </row>
    <row r="277" spans="1:14">
      <c r="A277" s="2" t="s">
        <v>23</v>
      </c>
      <c r="B277" s="2" t="s">
        <v>23</v>
      </c>
      <c r="C277" s="2" t="s">
        <v>23</v>
      </c>
      <c r="D277" s="8" t="s">
        <v>23</v>
      </c>
      <c r="E277" s="8" t="s">
        <v>23</v>
      </c>
      <c r="F277" s="8" t="s">
        <v>23</v>
      </c>
      <c r="G277" s="2" t="s">
        <v>23</v>
      </c>
      <c r="H277" s="8" t="s">
        <v>23</v>
      </c>
      <c r="I277" s="10" t="s">
        <v>23</v>
      </c>
      <c r="J277" s="2" t="s">
        <v>23</v>
      </c>
      <c r="K277" s="2" t="s">
        <v>23</v>
      </c>
      <c r="L277" s="2" t="s">
        <v>23</v>
      </c>
      <c r="M277" s="2" t="s">
        <v>23</v>
      </c>
      <c r="N277" t="s">
        <v>23</v>
      </c>
    </row>
    <row r="278" spans="1:14">
      <c r="A278" s="2" t="s">
        <v>23</v>
      </c>
      <c r="B278" s="2" t="s">
        <v>23</v>
      </c>
      <c r="C278" s="2" t="s">
        <v>23</v>
      </c>
      <c r="D278" s="8" t="s">
        <v>23</v>
      </c>
      <c r="E278" s="8" t="s">
        <v>23</v>
      </c>
      <c r="F278" s="8" t="s">
        <v>23</v>
      </c>
      <c r="G278" s="2" t="s">
        <v>23</v>
      </c>
      <c r="H278" s="8" t="s">
        <v>23</v>
      </c>
      <c r="I278" s="10" t="s">
        <v>23</v>
      </c>
      <c r="J278" s="2" t="s">
        <v>23</v>
      </c>
      <c r="K278" s="2" t="s">
        <v>23</v>
      </c>
      <c r="L278" s="2" t="s">
        <v>23</v>
      </c>
      <c r="M278" s="2" t="s">
        <v>23</v>
      </c>
      <c r="N278" t="s">
        <v>23</v>
      </c>
    </row>
    <row r="279" spans="1:14">
      <c r="A279" s="2" t="s">
        <v>23</v>
      </c>
      <c r="B279" s="2" t="s">
        <v>23</v>
      </c>
      <c r="C279" s="2" t="s">
        <v>23</v>
      </c>
      <c r="D279" s="8" t="s">
        <v>23</v>
      </c>
      <c r="E279" s="8" t="s">
        <v>23</v>
      </c>
      <c r="F279" s="8" t="s">
        <v>23</v>
      </c>
      <c r="G279" s="2" t="s">
        <v>23</v>
      </c>
      <c r="H279" s="8" t="s">
        <v>23</v>
      </c>
      <c r="I279" s="10" t="s">
        <v>23</v>
      </c>
      <c r="J279" s="2" t="s">
        <v>23</v>
      </c>
      <c r="K279" s="2" t="s">
        <v>23</v>
      </c>
      <c r="L279" s="2" t="s">
        <v>23</v>
      </c>
      <c r="M279" s="2" t="s">
        <v>23</v>
      </c>
      <c r="N279" t="s">
        <v>23</v>
      </c>
    </row>
    <row r="280" spans="1:14">
      <c r="A280" s="2" t="s">
        <v>23</v>
      </c>
      <c r="B280" s="2" t="s">
        <v>23</v>
      </c>
      <c r="C280" s="2" t="s">
        <v>23</v>
      </c>
      <c r="D280" s="8" t="s">
        <v>23</v>
      </c>
      <c r="E280" s="8" t="s">
        <v>23</v>
      </c>
      <c r="F280" s="8" t="s">
        <v>23</v>
      </c>
      <c r="G280" s="2" t="s">
        <v>23</v>
      </c>
      <c r="H280" s="8" t="s">
        <v>23</v>
      </c>
      <c r="I280" s="10" t="s">
        <v>23</v>
      </c>
      <c r="J280" s="2" t="s">
        <v>23</v>
      </c>
      <c r="K280" s="2" t="s">
        <v>23</v>
      </c>
      <c r="L280" s="2" t="s">
        <v>23</v>
      </c>
      <c r="M280" s="2" t="s">
        <v>23</v>
      </c>
      <c r="N280" t="s">
        <v>23</v>
      </c>
    </row>
    <row r="281" spans="1:14">
      <c r="A281" s="2" t="s">
        <v>23</v>
      </c>
      <c r="B281" s="2" t="s">
        <v>23</v>
      </c>
      <c r="C281" s="2" t="s">
        <v>23</v>
      </c>
      <c r="D281" s="8" t="s">
        <v>23</v>
      </c>
      <c r="E281" s="8" t="s">
        <v>23</v>
      </c>
      <c r="F281" s="8" t="s">
        <v>23</v>
      </c>
      <c r="G281" s="2" t="s">
        <v>23</v>
      </c>
      <c r="H281" s="8" t="s">
        <v>23</v>
      </c>
      <c r="I281" s="10" t="s">
        <v>23</v>
      </c>
      <c r="J281" s="2" t="s">
        <v>23</v>
      </c>
      <c r="K281" s="2" t="s">
        <v>23</v>
      </c>
      <c r="L281" s="2" t="s">
        <v>23</v>
      </c>
      <c r="M281" s="2" t="s">
        <v>23</v>
      </c>
      <c r="N281" t="s">
        <v>23</v>
      </c>
    </row>
    <row r="282" spans="1:14">
      <c r="A282" s="2" t="s">
        <v>23</v>
      </c>
      <c r="B282" s="2" t="s">
        <v>23</v>
      </c>
      <c r="C282" s="2" t="s">
        <v>23</v>
      </c>
      <c r="D282" s="8" t="s">
        <v>23</v>
      </c>
      <c r="E282" s="8" t="s">
        <v>23</v>
      </c>
      <c r="F282" s="8" t="s">
        <v>23</v>
      </c>
      <c r="G282" s="2" t="s">
        <v>23</v>
      </c>
      <c r="H282" s="8" t="s">
        <v>23</v>
      </c>
      <c r="I282" s="10" t="s">
        <v>23</v>
      </c>
      <c r="J282" s="2" t="s">
        <v>23</v>
      </c>
      <c r="K282" s="2" t="s">
        <v>23</v>
      </c>
      <c r="L282" s="2" t="s">
        <v>23</v>
      </c>
      <c r="M282" s="2" t="s">
        <v>23</v>
      </c>
      <c r="N282" t="s">
        <v>23</v>
      </c>
    </row>
    <row r="283" spans="1:14">
      <c r="A283" s="2" t="s">
        <v>23</v>
      </c>
      <c r="B283" s="2" t="s">
        <v>23</v>
      </c>
      <c r="C283" s="2" t="s">
        <v>23</v>
      </c>
      <c r="D283" s="8" t="s">
        <v>23</v>
      </c>
      <c r="E283" s="8" t="s">
        <v>23</v>
      </c>
      <c r="F283" s="8" t="s">
        <v>23</v>
      </c>
      <c r="G283" s="2" t="s">
        <v>23</v>
      </c>
      <c r="H283" s="8" t="s">
        <v>23</v>
      </c>
      <c r="I283" s="10" t="s">
        <v>23</v>
      </c>
      <c r="J283" s="2" t="s">
        <v>23</v>
      </c>
      <c r="K283" s="2" t="s">
        <v>23</v>
      </c>
      <c r="L283" s="2" t="s">
        <v>23</v>
      </c>
      <c r="M283" s="2" t="s">
        <v>23</v>
      </c>
      <c r="N283" t="s">
        <v>23</v>
      </c>
    </row>
    <row r="284" spans="1:14">
      <c r="A284" s="2" t="s">
        <v>23</v>
      </c>
      <c r="B284" s="2" t="s">
        <v>23</v>
      </c>
      <c r="C284" s="2" t="s">
        <v>23</v>
      </c>
      <c r="D284" s="8" t="s">
        <v>23</v>
      </c>
      <c r="E284" s="8" t="s">
        <v>23</v>
      </c>
      <c r="F284" s="8" t="s">
        <v>23</v>
      </c>
      <c r="G284" s="2" t="s">
        <v>23</v>
      </c>
      <c r="H284" s="8" t="s">
        <v>23</v>
      </c>
      <c r="I284" s="10" t="s">
        <v>23</v>
      </c>
      <c r="J284" s="2" t="s">
        <v>23</v>
      </c>
      <c r="K284" s="2" t="s">
        <v>23</v>
      </c>
      <c r="L284" s="2" t="s">
        <v>23</v>
      </c>
      <c r="M284" s="2" t="s">
        <v>23</v>
      </c>
      <c r="N284" t="s">
        <v>23</v>
      </c>
    </row>
    <row r="285" spans="1:14">
      <c r="A285" s="2" t="s">
        <v>23</v>
      </c>
      <c r="B285" s="2" t="s">
        <v>23</v>
      </c>
      <c r="C285" s="2" t="s">
        <v>23</v>
      </c>
      <c r="D285" s="8" t="s">
        <v>23</v>
      </c>
      <c r="E285" s="8" t="s">
        <v>23</v>
      </c>
      <c r="F285" s="8" t="s">
        <v>23</v>
      </c>
      <c r="G285" s="2" t="s">
        <v>23</v>
      </c>
      <c r="H285" s="8" t="s">
        <v>23</v>
      </c>
      <c r="I285" s="10" t="s">
        <v>23</v>
      </c>
      <c r="J285" s="2" t="s">
        <v>23</v>
      </c>
      <c r="K285" s="2" t="s">
        <v>23</v>
      </c>
      <c r="L285" s="2" t="s">
        <v>23</v>
      </c>
      <c r="M285" s="2" t="s">
        <v>23</v>
      </c>
      <c r="N285" t="s">
        <v>23</v>
      </c>
    </row>
    <row r="286" spans="1:14">
      <c r="A286" s="2" t="s">
        <v>23</v>
      </c>
      <c r="B286" s="2" t="s">
        <v>23</v>
      </c>
      <c r="C286" s="2" t="s">
        <v>23</v>
      </c>
      <c r="D286" s="8" t="s">
        <v>23</v>
      </c>
      <c r="E286" s="8" t="s">
        <v>23</v>
      </c>
      <c r="F286" s="8" t="s">
        <v>23</v>
      </c>
      <c r="G286" s="2" t="s">
        <v>23</v>
      </c>
      <c r="H286" s="8" t="s">
        <v>23</v>
      </c>
      <c r="I286" s="10" t="s">
        <v>23</v>
      </c>
      <c r="J286" s="2" t="s">
        <v>23</v>
      </c>
      <c r="K286" s="2" t="s">
        <v>23</v>
      </c>
      <c r="L286" s="2" t="s">
        <v>23</v>
      </c>
      <c r="M286" s="2" t="s">
        <v>23</v>
      </c>
      <c r="N286" t="s">
        <v>23</v>
      </c>
    </row>
    <row r="287" spans="1:14">
      <c r="A287" s="2" t="s">
        <v>23</v>
      </c>
      <c r="B287" s="2" t="s">
        <v>23</v>
      </c>
      <c r="C287" s="2" t="s">
        <v>23</v>
      </c>
      <c r="D287" s="8" t="s">
        <v>23</v>
      </c>
      <c r="E287" s="8" t="s">
        <v>23</v>
      </c>
      <c r="F287" s="8" t="s">
        <v>23</v>
      </c>
      <c r="G287" s="2" t="s">
        <v>23</v>
      </c>
      <c r="H287" s="8" t="s">
        <v>23</v>
      </c>
      <c r="I287" s="10" t="s">
        <v>23</v>
      </c>
      <c r="J287" s="2" t="s">
        <v>23</v>
      </c>
      <c r="K287" s="2" t="s">
        <v>23</v>
      </c>
      <c r="L287" s="2" t="s">
        <v>23</v>
      </c>
      <c r="M287" s="2" t="s">
        <v>23</v>
      </c>
      <c r="N287" t="s">
        <v>23</v>
      </c>
    </row>
    <row r="288" spans="1:14">
      <c r="A288" s="2" t="s">
        <v>23</v>
      </c>
      <c r="B288" s="2" t="s">
        <v>23</v>
      </c>
      <c r="C288" s="2" t="s">
        <v>23</v>
      </c>
      <c r="D288" s="8" t="s">
        <v>23</v>
      </c>
      <c r="E288" s="8" t="s">
        <v>23</v>
      </c>
      <c r="F288" s="8" t="s">
        <v>23</v>
      </c>
      <c r="G288" s="2" t="s">
        <v>23</v>
      </c>
      <c r="H288" s="8" t="s">
        <v>23</v>
      </c>
      <c r="I288" s="10" t="s">
        <v>23</v>
      </c>
      <c r="J288" s="2" t="s">
        <v>23</v>
      </c>
      <c r="K288" s="2" t="s">
        <v>23</v>
      </c>
      <c r="L288" s="2" t="s">
        <v>23</v>
      </c>
      <c r="M288" s="2" t="s">
        <v>23</v>
      </c>
      <c r="N288" t="s">
        <v>23</v>
      </c>
    </row>
    <row r="289" spans="1:14">
      <c r="A289" s="2" t="s">
        <v>23</v>
      </c>
      <c r="B289" s="2" t="s">
        <v>23</v>
      </c>
      <c r="C289" s="2" t="s">
        <v>23</v>
      </c>
      <c r="D289" s="8" t="s">
        <v>23</v>
      </c>
      <c r="E289" s="8" t="s">
        <v>23</v>
      </c>
      <c r="F289" s="8" t="s">
        <v>23</v>
      </c>
      <c r="G289" s="2" t="s">
        <v>23</v>
      </c>
      <c r="H289" s="8" t="s">
        <v>23</v>
      </c>
      <c r="I289" s="10" t="s">
        <v>23</v>
      </c>
      <c r="J289" s="2" t="s">
        <v>23</v>
      </c>
      <c r="K289" s="2" t="s">
        <v>23</v>
      </c>
      <c r="L289" s="2" t="s">
        <v>23</v>
      </c>
      <c r="M289" s="2" t="s">
        <v>23</v>
      </c>
      <c r="N289" t="s">
        <v>23</v>
      </c>
    </row>
    <row r="290" spans="1:14">
      <c r="A290" s="2" t="s">
        <v>23</v>
      </c>
      <c r="B290" s="2" t="s">
        <v>23</v>
      </c>
      <c r="C290" s="2" t="s">
        <v>23</v>
      </c>
      <c r="D290" s="8" t="s">
        <v>23</v>
      </c>
      <c r="E290" s="8" t="s">
        <v>23</v>
      </c>
      <c r="F290" s="8" t="s">
        <v>23</v>
      </c>
      <c r="G290" s="2" t="s">
        <v>23</v>
      </c>
      <c r="H290" s="8" t="s">
        <v>23</v>
      </c>
      <c r="I290" s="10" t="s">
        <v>23</v>
      </c>
      <c r="J290" s="2" t="s">
        <v>23</v>
      </c>
      <c r="K290" s="2" t="s">
        <v>23</v>
      </c>
      <c r="L290" s="2" t="s">
        <v>23</v>
      </c>
      <c r="M290" s="2" t="s">
        <v>23</v>
      </c>
      <c r="N290" t="s">
        <v>23</v>
      </c>
    </row>
    <row r="291" spans="1:14">
      <c r="A291" s="2" t="s">
        <v>23</v>
      </c>
      <c r="B291" s="2" t="s">
        <v>23</v>
      </c>
      <c r="C291" s="2" t="s">
        <v>23</v>
      </c>
      <c r="D291" s="8" t="s">
        <v>23</v>
      </c>
      <c r="E291" s="8" t="s">
        <v>23</v>
      </c>
      <c r="F291" s="8" t="s">
        <v>23</v>
      </c>
      <c r="G291" s="2" t="s">
        <v>23</v>
      </c>
      <c r="H291" s="8" t="s">
        <v>23</v>
      </c>
      <c r="I291" s="10" t="s">
        <v>23</v>
      </c>
      <c r="J291" s="2" t="s">
        <v>23</v>
      </c>
      <c r="K291" s="2" t="s">
        <v>23</v>
      </c>
      <c r="L291" s="2" t="s">
        <v>23</v>
      </c>
      <c r="M291" s="2" t="s">
        <v>23</v>
      </c>
      <c r="N291" t="s">
        <v>23</v>
      </c>
    </row>
    <row r="292" spans="1:14">
      <c r="A292" s="2" t="s">
        <v>23</v>
      </c>
      <c r="B292" s="2" t="s">
        <v>23</v>
      </c>
      <c r="C292" s="2" t="s">
        <v>23</v>
      </c>
      <c r="D292" s="8" t="s">
        <v>23</v>
      </c>
      <c r="E292" s="8" t="s">
        <v>23</v>
      </c>
      <c r="F292" s="8" t="s">
        <v>23</v>
      </c>
      <c r="G292" s="2" t="s">
        <v>23</v>
      </c>
      <c r="H292" s="8" t="s">
        <v>23</v>
      </c>
      <c r="I292" s="10" t="s">
        <v>23</v>
      </c>
      <c r="J292" s="2" t="s">
        <v>23</v>
      </c>
      <c r="K292" s="2" t="s">
        <v>23</v>
      </c>
      <c r="L292" s="2" t="s">
        <v>23</v>
      </c>
      <c r="M292" s="2" t="s">
        <v>23</v>
      </c>
      <c r="N292" t="s">
        <v>23</v>
      </c>
    </row>
    <row r="293" spans="1:14">
      <c r="A293" s="2" t="s">
        <v>23</v>
      </c>
      <c r="B293" s="2" t="s">
        <v>23</v>
      </c>
      <c r="C293" s="2" t="s">
        <v>23</v>
      </c>
      <c r="D293" s="8" t="s">
        <v>23</v>
      </c>
      <c r="E293" s="8" t="s">
        <v>23</v>
      </c>
      <c r="F293" s="8" t="s">
        <v>23</v>
      </c>
      <c r="G293" s="2" t="s">
        <v>23</v>
      </c>
      <c r="H293" s="8" t="s">
        <v>23</v>
      </c>
      <c r="I293" s="10" t="s">
        <v>23</v>
      </c>
      <c r="J293" s="2" t="s">
        <v>23</v>
      </c>
      <c r="K293" s="2" t="s">
        <v>23</v>
      </c>
      <c r="L293" s="2" t="s">
        <v>23</v>
      </c>
      <c r="M293" s="2" t="s">
        <v>23</v>
      </c>
      <c r="N293" t="s">
        <v>23</v>
      </c>
    </row>
    <row r="294" spans="1:14">
      <c r="A294" s="2" t="s">
        <v>23</v>
      </c>
      <c r="B294" s="2" t="s">
        <v>23</v>
      </c>
      <c r="C294" s="2" t="s">
        <v>23</v>
      </c>
      <c r="D294" s="8" t="s">
        <v>23</v>
      </c>
      <c r="E294" s="8" t="s">
        <v>23</v>
      </c>
      <c r="F294" s="8" t="s">
        <v>23</v>
      </c>
      <c r="G294" s="2" t="s">
        <v>23</v>
      </c>
      <c r="H294" s="8" t="s">
        <v>23</v>
      </c>
      <c r="I294" s="10" t="s">
        <v>23</v>
      </c>
      <c r="J294" s="2" t="s">
        <v>23</v>
      </c>
      <c r="K294" s="2" t="s">
        <v>23</v>
      </c>
      <c r="L294" s="2" t="s">
        <v>23</v>
      </c>
      <c r="M294" s="2" t="s">
        <v>23</v>
      </c>
      <c r="N294" t="s">
        <v>23</v>
      </c>
    </row>
    <row r="295" spans="1:14">
      <c r="A295" s="2" t="s">
        <v>23</v>
      </c>
      <c r="B295" s="2" t="s">
        <v>23</v>
      </c>
      <c r="C295" s="2" t="s">
        <v>23</v>
      </c>
      <c r="D295" s="8" t="s">
        <v>23</v>
      </c>
      <c r="E295" s="8" t="s">
        <v>23</v>
      </c>
      <c r="F295" s="8" t="s">
        <v>23</v>
      </c>
      <c r="G295" s="2" t="s">
        <v>23</v>
      </c>
      <c r="H295" s="8" t="s">
        <v>23</v>
      </c>
      <c r="I295" s="10" t="s">
        <v>23</v>
      </c>
      <c r="J295" s="2" t="s">
        <v>23</v>
      </c>
      <c r="K295" s="2" t="s">
        <v>23</v>
      </c>
      <c r="L295" s="2" t="s">
        <v>23</v>
      </c>
      <c r="M295" s="2" t="s">
        <v>23</v>
      </c>
      <c r="N295" t="s">
        <v>23</v>
      </c>
    </row>
    <row r="296" spans="1:14">
      <c r="A296" s="2" t="s">
        <v>23</v>
      </c>
      <c r="B296" s="2" t="s">
        <v>23</v>
      </c>
      <c r="C296" s="2" t="s">
        <v>23</v>
      </c>
      <c r="D296" s="8" t="s">
        <v>23</v>
      </c>
      <c r="E296" s="8" t="s">
        <v>23</v>
      </c>
      <c r="F296" s="8" t="s">
        <v>23</v>
      </c>
      <c r="G296" s="2" t="s">
        <v>23</v>
      </c>
      <c r="H296" s="8" t="s">
        <v>23</v>
      </c>
      <c r="I296" s="10" t="s">
        <v>23</v>
      </c>
      <c r="J296" s="2" t="s">
        <v>23</v>
      </c>
      <c r="K296" s="2" t="s">
        <v>23</v>
      </c>
      <c r="L296" s="2" t="s">
        <v>23</v>
      </c>
      <c r="M296" s="2" t="s">
        <v>23</v>
      </c>
      <c r="N296" t="s">
        <v>23</v>
      </c>
    </row>
    <row r="297" spans="1:14">
      <c r="A297" s="2" t="s">
        <v>23</v>
      </c>
      <c r="B297" s="2" t="s">
        <v>23</v>
      </c>
      <c r="C297" s="2" t="s">
        <v>23</v>
      </c>
      <c r="D297" s="8" t="s">
        <v>23</v>
      </c>
      <c r="E297" s="8" t="s">
        <v>23</v>
      </c>
      <c r="F297" s="8" t="s">
        <v>23</v>
      </c>
      <c r="G297" s="2" t="s">
        <v>23</v>
      </c>
      <c r="H297" s="8" t="s">
        <v>23</v>
      </c>
      <c r="I297" s="10" t="s">
        <v>23</v>
      </c>
      <c r="J297" s="2" t="s">
        <v>23</v>
      </c>
      <c r="K297" s="2" t="s">
        <v>23</v>
      </c>
      <c r="L297" s="2" t="s">
        <v>23</v>
      </c>
      <c r="M297" s="2" t="s">
        <v>23</v>
      </c>
      <c r="N297" t="s">
        <v>23</v>
      </c>
    </row>
    <row r="298" spans="1:14">
      <c r="A298" s="2" t="s">
        <v>23</v>
      </c>
      <c r="B298" s="2" t="s">
        <v>23</v>
      </c>
      <c r="C298" s="2" t="s">
        <v>23</v>
      </c>
      <c r="D298" s="8" t="s">
        <v>23</v>
      </c>
      <c r="E298" s="8" t="s">
        <v>23</v>
      </c>
      <c r="F298" s="8" t="s">
        <v>23</v>
      </c>
      <c r="G298" s="2" t="s">
        <v>23</v>
      </c>
      <c r="H298" s="8" t="s">
        <v>23</v>
      </c>
      <c r="I298" s="10" t="s">
        <v>23</v>
      </c>
      <c r="J298" s="2" t="s">
        <v>23</v>
      </c>
      <c r="K298" s="2" t="s">
        <v>23</v>
      </c>
      <c r="L298" s="2" t="s">
        <v>23</v>
      </c>
      <c r="M298" s="2" t="s">
        <v>23</v>
      </c>
      <c r="N298" t="s">
        <v>23</v>
      </c>
    </row>
    <row r="299" spans="1:14">
      <c r="A299" s="2" t="s">
        <v>23</v>
      </c>
      <c r="B299" s="2" t="s">
        <v>23</v>
      </c>
      <c r="C299" s="2" t="s">
        <v>23</v>
      </c>
      <c r="D299" s="8" t="s">
        <v>23</v>
      </c>
      <c r="E299" s="8" t="s">
        <v>23</v>
      </c>
      <c r="F299" s="8" t="s">
        <v>23</v>
      </c>
      <c r="G299" s="2" t="s">
        <v>23</v>
      </c>
      <c r="H299" s="8" t="s">
        <v>23</v>
      </c>
      <c r="I299" s="10" t="s">
        <v>23</v>
      </c>
      <c r="J299" s="2" t="s">
        <v>23</v>
      </c>
      <c r="K299" s="2" t="s">
        <v>23</v>
      </c>
      <c r="L299" s="2" t="s">
        <v>23</v>
      </c>
      <c r="M299" s="2" t="s">
        <v>23</v>
      </c>
      <c r="N299" t="s">
        <v>23</v>
      </c>
    </row>
    <row r="300" spans="1:14">
      <c r="A300" s="2" t="s">
        <v>23</v>
      </c>
      <c r="B300" s="2" t="s">
        <v>23</v>
      </c>
      <c r="C300" s="2" t="s">
        <v>23</v>
      </c>
      <c r="D300" s="8" t="s">
        <v>23</v>
      </c>
      <c r="E300" s="8" t="s">
        <v>23</v>
      </c>
      <c r="F300" s="8" t="s">
        <v>23</v>
      </c>
      <c r="G300" s="2" t="s">
        <v>23</v>
      </c>
      <c r="H300" s="8" t="s">
        <v>23</v>
      </c>
      <c r="I300" s="10" t="s">
        <v>23</v>
      </c>
      <c r="J300" s="2" t="s">
        <v>23</v>
      </c>
      <c r="K300" s="2" t="s">
        <v>23</v>
      </c>
      <c r="L300" s="2" t="s">
        <v>23</v>
      </c>
      <c r="M300" s="2" t="s">
        <v>23</v>
      </c>
      <c r="N300" t="s">
        <v>23</v>
      </c>
    </row>
    <row r="301" spans="1:14">
      <c r="A301" s="2" t="s">
        <v>23</v>
      </c>
      <c r="B301" s="2" t="s">
        <v>23</v>
      </c>
      <c r="C301" s="2" t="s">
        <v>23</v>
      </c>
      <c r="D301" s="8" t="s">
        <v>23</v>
      </c>
      <c r="E301" s="8" t="s">
        <v>23</v>
      </c>
      <c r="F301" s="8" t="s">
        <v>23</v>
      </c>
      <c r="G301" s="2" t="s">
        <v>23</v>
      </c>
      <c r="H301" s="8" t="s">
        <v>23</v>
      </c>
      <c r="I301" s="10" t="s">
        <v>23</v>
      </c>
      <c r="J301" s="2" t="s">
        <v>23</v>
      </c>
      <c r="K301" s="2" t="s">
        <v>23</v>
      </c>
      <c r="L301" s="2" t="s">
        <v>23</v>
      </c>
      <c r="M301" s="2" t="s">
        <v>23</v>
      </c>
      <c r="N301" t="s">
        <v>23</v>
      </c>
    </row>
    <row r="302" spans="1:14">
      <c r="A302" s="2" t="s">
        <v>23</v>
      </c>
      <c r="B302" s="2" t="s">
        <v>23</v>
      </c>
      <c r="C302" s="2" t="s">
        <v>23</v>
      </c>
      <c r="D302" s="8" t="s">
        <v>23</v>
      </c>
      <c r="E302" s="8" t="s">
        <v>23</v>
      </c>
      <c r="F302" s="8" t="s">
        <v>23</v>
      </c>
      <c r="G302" s="2" t="s">
        <v>23</v>
      </c>
      <c r="H302" s="8" t="s">
        <v>23</v>
      </c>
      <c r="I302" s="10" t="s">
        <v>23</v>
      </c>
      <c r="J302" s="2" t="s">
        <v>23</v>
      </c>
      <c r="K302" s="2" t="s">
        <v>23</v>
      </c>
      <c r="L302" s="2" t="s">
        <v>23</v>
      </c>
      <c r="M302" s="2" t="s">
        <v>23</v>
      </c>
      <c r="N302" t="s">
        <v>23</v>
      </c>
    </row>
    <row r="303" spans="1:14">
      <c r="A303" s="2" t="s">
        <v>23</v>
      </c>
      <c r="B303" s="2" t="s">
        <v>23</v>
      </c>
      <c r="C303" s="2" t="s">
        <v>23</v>
      </c>
      <c r="D303" s="8" t="s">
        <v>23</v>
      </c>
      <c r="E303" s="8" t="s">
        <v>23</v>
      </c>
      <c r="F303" s="8" t="s">
        <v>23</v>
      </c>
      <c r="G303" s="2" t="s">
        <v>23</v>
      </c>
      <c r="H303" s="8" t="s">
        <v>23</v>
      </c>
      <c r="I303" s="10" t="s">
        <v>23</v>
      </c>
      <c r="J303" s="2" t="s">
        <v>23</v>
      </c>
      <c r="K303" s="2" t="s">
        <v>23</v>
      </c>
      <c r="L303" s="2" t="s">
        <v>23</v>
      </c>
      <c r="M303" s="2" t="s">
        <v>23</v>
      </c>
      <c r="N303" t="s">
        <v>23</v>
      </c>
    </row>
    <row r="304" spans="1:14">
      <c r="A304" s="2" t="s">
        <v>23</v>
      </c>
      <c r="B304" s="2" t="s">
        <v>23</v>
      </c>
      <c r="C304" s="2" t="s">
        <v>23</v>
      </c>
      <c r="D304" s="8" t="s">
        <v>23</v>
      </c>
      <c r="E304" s="8" t="s">
        <v>23</v>
      </c>
      <c r="F304" s="8" t="s">
        <v>23</v>
      </c>
      <c r="G304" s="2" t="s">
        <v>23</v>
      </c>
      <c r="H304" s="8" t="s">
        <v>23</v>
      </c>
      <c r="I304" s="10" t="s">
        <v>23</v>
      </c>
      <c r="J304" s="2" t="s">
        <v>23</v>
      </c>
      <c r="K304" s="2" t="s">
        <v>23</v>
      </c>
      <c r="L304" s="2" t="s">
        <v>23</v>
      </c>
      <c r="M304" s="2" t="s">
        <v>23</v>
      </c>
      <c r="N304" t="s">
        <v>23</v>
      </c>
    </row>
    <row r="305" spans="1:14">
      <c r="A305" s="2" t="s">
        <v>23</v>
      </c>
      <c r="B305" s="2" t="s">
        <v>23</v>
      </c>
      <c r="C305" s="2" t="s">
        <v>23</v>
      </c>
      <c r="D305" s="8" t="s">
        <v>23</v>
      </c>
      <c r="E305" s="8" t="s">
        <v>23</v>
      </c>
      <c r="F305" s="8" t="s">
        <v>23</v>
      </c>
      <c r="G305" s="2" t="s">
        <v>23</v>
      </c>
      <c r="H305" s="8" t="s">
        <v>23</v>
      </c>
      <c r="I305" s="10" t="s">
        <v>23</v>
      </c>
      <c r="J305" s="2" t="s">
        <v>23</v>
      </c>
      <c r="K305" s="2" t="s">
        <v>23</v>
      </c>
      <c r="L305" s="2" t="s">
        <v>23</v>
      </c>
      <c r="M305" s="2" t="s">
        <v>23</v>
      </c>
      <c r="N305" t="s">
        <v>23</v>
      </c>
    </row>
    <row r="306" spans="1:14">
      <c r="A306" s="2" t="s">
        <v>23</v>
      </c>
      <c r="B306" s="2" t="s">
        <v>23</v>
      </c>
      <c r="C306" s="2" t="s">
        <v>23</v>
      </c>
      <c r="D306" s="8" t="s">
        <v>23</v>
      </c>
      <c r="E306" s="8" t="s">
        <v>23</v>
      </c>
      <c r="F306" s="8" t="s">
        <v>23</v>
      </c>
      <c r="G306" s="2" t="s">
        <v>23</v>
      </c>
      <c r="H306" s="8" t="s">
        <v>23</v>
      </c>
      <c r="I306" s="10" t="s">
        <v>23</v>
      </c>
      <c r="J306" s="2" t="s">
        <v>23</v>
      </c>
      <c r="K306" s="2" t="s">
        <v>23</v>
      </c>
      <c r="L306" s="2" t="s">
        <v>23</v>
      </c>
      <c r="M306" s="2" t="s">
        <v>23</v>
      </c>
      <c r="N306" t="s">
        <v>23</v>
      </c>
    </row>
    <row r="307" spans="1:14">
      <c r="A307" s="2" t="s">
        <v>23</v>
      </c>
      <c r="B307" s="2" t="s">
        <v>23</v>
      </c>
      <c r="C307" s="2" t="s">
        <v>23</v>
      </c>
      <c r="D307" s="8" t="s">
        <v>23</v>
      </c>
      <c r="E307" s="8" t="s">
        <v>23</v>
      </c>
      <c r="F307" s="8" t="s">
        <v>23</v>
      </c>
      <c r="G307" s="2" t="s">
        <v>23</v>
      </c>
      <c r="H307" s="8" t="s">
        <v>23</v>
      </c>
      <c r="I307" s="10" t="s">
        <v>23</v>
      </c>
      <c r="J307" s="2" t="s">
        <v>23</v>
      </c>
      <c r="K307" s="2" t="s">
        <v>23</v>
      </c>
      <c r="L307" s="2" t="s">
        <v>23</v>
      </c>
      <c r="M307" s="2" t="s">
        <v>23</v>
      </c>
      <c r="N307" t="s">
        <v>23</v>
      </c>
    </row>
    <row r="308" spans="1:14">
      <c r="A308" s="2" t="s">
        <v>23</v>
      </c>
      <c r="B308" s="2" t="s">
        <v>23</v>
      </c>
      <c r="C308" s="2" t="s">
        <v>23</v>
      </c>
      <c r="D308" s="8" t="s">
        <v>23</v>
      </c>
      <c r="E308" s="8" t="s">
        <v>23</v>
      </c>
      <c r="F308" s="8" t="s">
        <v>23</v>
      </c>
      <c r="G308" s="2" t="s">
        <v>23</v>
      </c>
      <c r="H308" s="8" t="s">
        <v>23</v>
      </c>
      <c r="I308" s="10" t="s">
        <v>23</v>
      </c>
      <c r="J308" s="2" t="s">
        <v>23</v>
      </c>
      <c r="K308" s="2" t="s">
        <v>23</v>
      </c>
      <c r="L308" s="2" t="s">
        <v>23</v>
      </c>
      <c r="M308" s="2" t="s">
        <v>23</v>
      </c>
      <c r="N308" t="s">
        <v>23</v>
      </c>
    </row>
    <row r="309" spans="1:14">
      <c r="A309" s="2" t="s">
        <v>23</v>
      </c>
      <c r="B309" s="2" t="s">
        <v>23</v>
      </c>
      <c r="C309" s="2" t="s">
        <v>23</v>
      </c>
      <c r="D309" s="8" t="s">
        <v>23</v>
      </c>
      <c r="E309" s="8" t="s">
        <v>23</v>
      </c>
      <c r="F309" s="8" t="s">
        <v>23</v>
      </c>
      <c r="G309" s="2" t="s">
        <v>23</v>
      </c>
      <c r="H309" s="8" t="s">
        <v>23</v>
      </c>
      <c r="I309" s="10" t="s">
        <v>23</v>
      </c>
      <c r="J309" s="2" t="s">
        <v>23</v>
      </c>
      <c r="K309" s="2" t="s">
        <v>23</v>
      </c>
      <c r="L309" s="2" t="s">
        <v>23</v>
      </c>
      <c r="M309" s="2" t="s">
        <v>23</v>
      </c>
      <c r="N309" t="s">
        <v>23</v>
      </c>
    </row>
    <row r="310" spans="1:14">
      <c r="A310" s="2" t="s">
        <v>23</v>
      </c>
      <c r="B310" s="2" t="s">
        <v>23</v>
      </c>
      <c r="C310" s="2" t="s">
        <v>23</v>
      </c>
      <c r="D310" s="8" t="s">
        <v>23</v>
      </c>
      <c r="E310" s="8" t="s">
        <v>23</v>
      </c>
      <c r="F310" s="8" t="s">
        <v>23</v>
      </c>
      <c r="G310" s="2" t="s">
        <v>23</v>
      </c>
      <c r="H310" s="8" t="s">
        <v>23</v>
      </c>
      <c r="I310" s="10" t="s">
        <v>23</v>
      </c>
      <c r="J310" s="2" t="s">
        <v>23</v>
      </c>
      <c r="K310" s="2" t="s">
        <v>23</v>
      </c>
      <c r="L310" s="2" t="s">
        <v>23</v>
      </c>
      <c r="M310" s="2" t="s">
        <v>23</v>
      </c>
      <c r="N310" t="s">
        <v>23</v>
      </c>
    </row>
    <row r="311" spans="1:14">
      <c r="A311" s="2" t="s">
        <v>23</v>
      </c>
      <c r="B311" s="2" t="s">
        <v>23</v>
      </c>
      <c r="C311" s="2" t="s">
        <v>23</v>
      </c>
      <c r="D311" s="8" t="s">
        <v>23</v>
      </c>
      <c r="E311" s="8" t="s">
        <v>23</v>
      </c>
      <c r="F311" s="8" t="s">
        <v>23</v>
      </c>
      <c r="G311" s="2" t="s">
        <v>23</v>
      </c>
      <c r="H311" s="8" t="s">
        <v>23</v>
      </c>
      <c r="I311" s="10" t="s">
        <v>23</v>
      </c>
      <c r="J311" s="2" t="s">
        <v>23</v>
      </c>
      <c r="K311" s="2" t="s">
        <v>23</v>
      </c>
      <c r="L311" s="2" t="s">
        <v>23</v>
      </c>
      <c r="M311" s="2" t="s">
        <v>23</v>
      </c>
      <c r="N311" t="s">
        <v>23</v>
      </c>
    </row>
    <row r="312" spans="1:14">
      <c r="A312" s="2" t="s">
        <v>23</v>
      </c>
      <c r="B312" s="2" t="s">
        <v>23</v>
      </c>
      <c r="C312" s="2" t="s">
        <v>23</v>
      </c>
      <c r="D312" s="8" t="s">
        <v>23</v>
      </c>
      <c r="E312" s="8" t="s">
        <v>23</v>
      </c>
      <c r="F312" s="8" t="s">
        <v>23</v>
      </c>
      <c r="G312" s="2" t="s">
        <v>23</v>
      </c>
      <c r="H312" s="8" t="s">
        <v>23</v>
      </c>
      <c r="I312" s="10" t="s">
        <v>23</v>
      </c>
      <c r="J312" s="2" t="s">
        <v>23</v>
      </c>
      <c r="K312" s="2" t="s">
        <v>23</v>
      </c>
      <c r="L312" s="2" t="s">
        <v>23</v>
      </c>
      <c r="M312" s="2" t="s">
        <v>23</v>
      </c>
      <c r="N312" t="s">
        <v>23</v>
      </c>
    </row>
    <row r="313" spans="1:14">
      <c r="A313" s="2" t="s">
        <v>23</v>
      </c>
      <c r="B313" s="2" t="s">
        <v>23</v>
      </c>
      <c r="C313" s="2" t="s">
        <v>23</v>
      </c>
      <c r="D313" s="8" t="s">
        <v>23</v>
      </c>
      <c r="E313" s="8" t="s">
        <v>23</v>
      </c>
      <c r="F313" s="8" t="s">
        <v>23</v>
      </c>
      <c r="G313" s="2" t="s">
        <v>23</v>
      </c>
      <c r="H313" s="8" t="s">
        <v>23</v>
      </c>
      <c r="I313" s="10" t="s">
        <v>23</v>
      </c>
      <c r="J313" s="2" t="s">
        <v>23</v>
      </c>
      <c r="K313" s="2" t="s">
        <v>23</v>
      </c>
      <c r="L313" s="2" t="s">
        <v>23</v>
      </c>
      <c r="M313" s="2" t="s">
        <v>23</v>
      </c>
      <c r="N313" t="s">
        <v>23</v>
      </c>
    </row>
    <row r="314" spans="1:14">
      <c r="A314" s="2" t="s">
        <v>23</v>
      </c>
      <c r="B314" s="2" t="s">
        <v>23</v>
      </c>
      <c r="C314" s="2" t="s">
        <v>23</v>
      </c>
      <c r="D314" s="8" t="s">
        <v>23</v>
      </c>
      <c r="E314" s="8" t="s">
        <v>23</v>
      </c>
      <c r="F314" s="8" t="s">
        <v>23</v>
      </c>
      <c r="G314" s="2" t="s">
        <v>23</v>
      </c>
      <c r="H314" s="8" t="s">
        <v>23</v>
      </c>
      <c r="I314" s="10" t="s">
        <v>23</v>
      </c>
      <c r="J314" s="2" t="s">
        <v>23</v>
      </c>
      <c r="K314" s="2" t="s">
        <v>23</v>
      </c>
      <c r="L314" s="2" t="s">
        <v>23</v>
      </c>
      <c r="M314" s="2" t="s">
        <v>23</v>
      </c>
      <c r="N314" t="s">
        <v>23</v>
      </c>
    </row>
    <row r="315" spans="1:14">
      <c r="A315" s="2" t="s">
        <v>23</v>
      </c>
      <c r="B315" s="2" t="s">
        <v>23</v>
      </c>
      <c r="C315" s="2" t="s">
        <v>23</v>
      </c>
      <c r="D315" s="8" t="s">
        <v>23</v>
      </c>
      <c r="E315" s="8" t="s">
        <v>23</v>
      </c>
      <c r="F315" s="8" t="s">
        <v>23</v>
      </c>
      <c r="G315" s="2" t="s">
        <v>23</v>
      </c>
      <c r="H315" s="8" t="s">
        <v>23</v>
      </c>
      <c r="I315" s="10" t="s">
        <v>23</v>
      </c>
      <c r="J315" s="2" t="s">
        <v>23</v>
      </c>
      <c r="K315" s="2" t="s">
        <v>23</v>
      </c>
      <c r="L315" s="2" t="s">
        <v>23</v>
      </c>
      <c r="M315" s="2" t="s">
        <v>23</v>
      </c>
      <c r="N315" t="s">
        <v>23</v>
      </c>
    </row>
    <row r="316" spans="1:14">
      <c r="A316" s="2" t="s">
        <v>23</v>
      </c>
      <c r="B316" s="2" t="s">
        <v>23</v>
      </c>
      <c r="C316" s="2" t="s">
        <v>23</v>
      </c>
      <c r="D316" s="8" t="s">
        <v>23</v>
      </c>
      <c r="E316" s="8" t="s">
        <v>23</v>
      </c>
      <c r="F316" s="8" t="s">
        <v>23</v>
      </c>
      <c r="G316" s="2" t="s">
        <v>23</v>
      </c>
      <c r="H316" s="8" t="s">
        <v>23</v>
      </c>
      <c r="I316" s="10" t="s">
        <v>23</v>
      </c>
      <c r="J316" s="2" t="s">
        <v>23</v>
      </c>
      <c r="K316" s="2" t="s">
        <v>23</v>
      </c>
      <c r="L316" s="2" t="s">
        <v>23</v>
      </c>
      <c r="M316" s="2" t="s">
        <v>23</v>
      </c>
      <c r="N316" t="s">
        <v>23</v>
      </c>
    </row>
    <row r="317" spans="1:14">
      <c r="A317" s="2" t="s">
        <v>23</v>
      </c>
      <c r="B317" s="2" t="s">
        <v>23</v>
      </c>
      <c r="C317" s="2" t="s">
        <v>23</v>
      </c>
      <c r="D317" s="8" t="s">
        <v>23</v>
      </c>
      <c r="E317" s="8" t="s">
        <v>23</v>
      </c>
      <c r="F317" s="8" t="s">
        <v>23</v>
      </c>
      <c r="G317" s="2" t="s">
        <v>23</v>
      </c>
      <c r="H317" s="8" t="s">
        <v>23</v>
      </c>
      <c r="I317" s="10" t="s">
        <v>23</v>
      </c>
      <c r="J317" s="2" t="s">
        <v>23</v>
      </c>
      <c r="K317" s="2" t="s">
        <v>23</v>
      </c>
      <c r="L317" s="2" t="s">
        <v>23</v>
      </c>
      <c r="M317" s="2" t="s">
        <v>23</v>
      </c>
      <c r="N317" t="s">
        <v>23</v>
      </c>
    </row>
    <row r="318" spans="1:14">
      <c r="A318" s="2" t="s">
        <v>23</v>
      </c>
      <c r="B318" s="2" t="s">
        <v>23</v>
      </c>
      <c r="C318" s="2" t="s">
        <v>23</v>
      </c>
      <c r="D318" s="8" t="s">
        <v>23</v>
      </c>
      <c r="E318" s="8" t="s">
        <v>23</v>
      </c>
      <c r="F318" s="8" t="s">
        <v>23</v>
      </c>
      <c r="G318" s="2" t="s">
        <v>23</v>
      </c>
      <c r="H318" s="8" t="s">
        <v>23</v>
      </c>
      <c r="I318" s="10" t="s">
        <v>23</v>
      </c>
      <c r="J318" s="2" t="s">
        <v>23</v>
      </c>
      <c r="K318" s="2" t="s">
        <v>23</v>
      </c>
      <c r="L318" s="2" t="s">
        <v>23</v>
      </c>
      <c r="M318" s="2" t="s">
        <v>23</v>
      </c>
      <c r="N318" t="s">
        <v>23</v>
      </c>
    </row>
    <row r="319" spans="1:14">
      <c r="A319" s="2" t="s">
        <v>23</v>
      </c>
      <c r="B319" s="2" t="s">
        <v>23</v>
      </c>
      <c r="C319" s="2" t="s">
        <v>23</v>
      </c>
      <c r="D319" s="8" t="s">
        <v>23</v>
      </c>
      <c r="E319" s="8" t="s">
        <v>23</v>
      </c>
      <c r="F319" s="8" t="s">
        <v>23</v>
      </c>
      <c r="G319" s="2" t="s">
        <v>23</v>
      </c>
      <c r="H319" s="8" t="s">
        <v>23</v>
      </c>
      <c r="I319" s="10" t="s">
        <v>23</v>
      </c>
      <c r="J319" s="2" t="s">
        <v>23</v>
      </c>
      <c r="K319" s="2" t="s">
        <v>23</v>
      </c>
      <c r="L319" s="2" t="s">
        <v>23</v>
      </c>
      <c r="M319" s="2" t="s">
        <v>23</v>
      </c>
      <c r="N319" t="s">
        <v>23</v>
      </c>
    </row>
    <row r="320" spans="1:14">
      <c r="A320" s="2" t="s">
        <v>23</v>
      </c>
      <c r="B320" s="2" t="s">
        <v>23</v>
      </c>
      <c r="C320" s="2" t="s">
        <v>23</v>
      </c>
      <c r="D320" s="8" t="s">
        <v>23</v>
      </c>
      <c r="E320" s="8" t="s">
        <v>23</v>
      </c>
      <c r="F320" s="8" t="s">
        <v>23</v>
      </c>
      <c r="G320" s="2" t="s">
        <v>23</v>
      </c>
      <c r="H320" s="8" t="s">
        <v>23</v>
      </c>
      <c r="I320" s="10" t="s">
        <v>23</v>
      </c>
      <c r="J320" s="2" t="s">
        <v>23</v>
      </c>
      <c r="K320" s="2" t="s">
        <v>23</v>
      </c>
      <c r="L320" s="2" t="s">
        <v>23</v>
      </c>
      <c r="M320" s="2" t="s">
        <v>23</v>
      </c>
      <c r="N320" t="s">
        <v>23</v>
      </c>
    </row>
    <row r="321" spans="1:14">
      <c r="A321" s="2" t="s">
        <v>23</v>
      </c>
      <c r="B321" s="2" t="s">
        <v>23</v>
      </c>
      <c r="C321" s="2" t="s">
        <v>23</v>
      </c>
      <c r="D321" s="8" t="s">
        <v>23</v>
      </c>
      <c r="E321" s="8" t="s">
        <v>23</v>
      </c>
      <c r="F321" s="8" t="s">
        <v>23</v>
      </c>
      <c r="G321" s="2" t="s">
        <v>23</v>
      </c>
      <c r="H321" s="8" t="s">
        <v>23</v>
      </c>
      <c r="I321" s="10" t="s">
        <v>23</v>
      </c>
      <c r="J321" s="2" t="s">
        <v>23</v>
      </c>
      <c r="K321" s="2" t="s">
        <v>23</v>
      </c>
      <c r="L321" s="2" t="s">
        <v>23</v>
      </c>
      <c r="M321" s="2" t="s">
        <v>23</v>
      </c>
      <c r="N321" t="s">
        <v>23</v>
      </c>
    </row>
    <row r="322" spans="1:14">
      <c r="A322" s="2" t="s">
        <v>23</v>
      </c>
      <c r="B322" s="2" t="s">
        <v>23</v>
      </c>
      <c r="C322" s="2" t="s">
        <v>23</v>
      </c>
      <c r="D322" s="8" t="s">
        <v>23</v>
      </c>
      <c r="E322" s="8" t="s">
        <v>23</v>
      </c>
      <c r="F322" s="8" t="s">
        <v>23</v>
      </c>
      <c r="G322" s="2" t="s">
        <v>23</v>
      </c>
      <c r="H322" s="8" t="s">
        <v>23</v>
      </c>
      <c r="I322" s="10" t="s">
        <v>23</v>
      </c>
      <c r="J322" s="2" t="s">
        <v>23</v>
      </c>
      <c r="K322" s="2" t="s">
        <v>23</v>
      </c>
      <c r="L322" s="2" t="s">
        <v>23</v>
      </c>
      <c r="M322" s="2" t="s">
        <v>23</v>
      </c>
      <c r="N322" t="s">
        <v>23</v>
      </c>
    </row>
    <row r="323" spans="1:14">
      <c r="A323" s="2" t="s">
        <v>23</v>
      </c>
      <c r="B323" s="2" t="s">
        <v>23</v>
      </c>
      <c r="C323" s="2" t="s">
        <v>23</v>
      </c>
      <c r="D323" s="8" t="s">
        <v>23</v>
      </c>
      <c r="E323" s="8" t="s">
        <v>23</v>
      </c>
      <c r="F323" s="8" t="s">
        <v>23</v>
      </c>
      <c r="G323" s="2" t="s">
        <v>23</v>
      </c>
      <c r="H323" s="8" t="s">
        <v>23</v>
      </c>
      <c r="I323" s="10" t="s">
        <v>23</v>
      </c>
      <c r="J323" s="2" t="s">
        <v>23</v>
      </c>
      <c r="K323" s="2" t="s">
        <v>23</v>
      </c>
      <c r="L323" s="2" t="s">
        <v>23</v>
      </c>
      <c r="M323" s="2" t="s">
        <v>23</v>
      </c>
      <c r="N323" t="s">
        <v>23</v>
      </c>
    </row>
    <row r="324" spans="1:14">
      <c r="A324" s="2" t="s">
        <v>23</v>
      </c>
      <c r="B324" s="2" t="s">
        <v>23</v>
      </c>
      <c r="C324" s="2" t="s">
        <v>23</v>
      </c>
      <c r="D324" s="8" t="s">
        <v>23</v>
      </c>
      <c r="E324" s="8" t="s">
        <v>23</v>
      </c>
      <c r="F324" s="8" t="s">
        <v>23</v>
      </c>
      <c r="G324" s="2" t="s">
        <v>23</v>
      </c>
      <c r="H324" s="8" t="s">
        <v>23</v>
      </c>
      <c r="I324" s="10" t="s">
        <v>23</v>
      </c>
      <c r="J324" s="2" t="s">
        <v>23</v>
      </c>
      <c r="K324" s="2" t="s">
        <v>23</v>
      </c>
      <c r="L324" s="2" t="s">
        <v>23</v>
      </c>
      <c r="M324" s="2" t="s">
        <v>23</v>
      </c>
      <c r="N324" t="s">
        <v>23</v>
      </c>
    </row>
    <row r="325" spans="1:14">
      <c r="A325" s="2" t="s">
        <v>23</v>
      </c>
      <c r="B325" s="2" t="s">
        <v>23</v>
      </c>
      <c r="C325" s="2" t="s">
        <v>23</v>
      </c>
      <c r="D325" s="8" t="s">
        <v>23</v>
      </c>
      <c r="E325" s="8" t="s">
        <v>23</v>
      </c>
      <c r="F325" s="8" t="s">
        <v>23</v>
      </c>
      <c r="G325" s="2" t="s">
        <v>23</v>
      </c>
      <c r="H325" s="8" t="s">
        <v>23</v>
      </c>
      <c r="I325" s="10" t="s">
        <v>23</v>
      </c>
      <c r="J325" s="2" t="s">
        <v>23</v>
      </c>
      <c r="K325" s="2" t="s">
        <v>23</v>
      </c>
      <c r="L325" s="2" t="s">
        <v>23</v>
      </c>
      <c r="M325" s="2" t="s">
        <v>23</v>
      </c>
      <c r="N325" t="s">
        <v>23</v>
      </c>
    </row>
    <row r="326" spans="1:14">
      <c r="A326" s="2" t="s">
        <v>23</v>
      </c>
      <c r="B326" s="2" t="s">
        <v>23</v>
      </c>
      <c r="C326" s="2" t="s">
        <v>23</v>
      </c>
      <c r="D326" s="8" t="s">
        <v>23</v>
      </c>
      <c r="E326" s="8" t="s">
        <v>23</v>
      </c>
      <c r="F326" s="8" t="s">
        <v>23</v>
      </c>
      <c r="G326" s="2" t="s">
        <v>23</v>
      </c>
      <c r="H326" s="8" t="s">
        <v>23</v>
      </c>
      <c r="I326" s="10" t="s">
        <v>23</v>
      </c>
      <c r="J326" s="2" t="s">
        <v>23</v>
      </c>
      <c r="K326" s="2" t="s">
        <v>23</v>
      </c>
      <c r="L326" s="2" t="s">
        <v>23</v>
      </c>
      <c r="M326" s="2" t="s">
        <v>23</v>
      </c>
      <c r="N326" t="s">
        <v>23</v>
      </c>
    </row>
    <row r="327" spans="1:14">
      <c r="A327" s="2" t="s">
        <v>23</v>
      </c>
      <c r="B327" s="2" t="s">
        <v>23</v>
      </c>
      <c r="C327" s="2" t="s">
        <v>23</v>
      </c>
      <c r="D327" s="8" t="s">
        <v>23</v>
      </c>
      <c r="E327" s="8" t="s">
        <v>23</v>
      </c>
      <c r="F327" s="8" t="s">
        <v>23</v>
      </c>
      <c r="G327" s="2" t="s">
        <v>23</v>
      </c>
      <c r="H327" s="8" t="s">
        <v>23</v>
      </c>
      <c r="I327" s="10" t="s">
        <v>23</v>
      </c>
      <c r="J327" s="2" t="s">
        <v>23</v>
      </c>
      <c r="K327" s="2" t="s">
        <v>23</v>
      </c>
      <c r="L327" s="2" t="s">
        <v>23</v>
      </c>
      <c r="M327" s="2" t="s">
        <v>23</v>
      </c>
      <c r="N327" t="s">
        <v>23</v>
      </c>
    </row>
    <row r="328" spans="1:14">
      <c r="A328" t="s">
        <v>23</v>
      </c>
      <c r="B328" t="s">
        <v>23</v>
      </c>
      <c r="C328" t="s">
        <v>23</v>
      </c>
      <c r="D328" s="9" t="s">
        <v>23</v>
      </c>
      <c r="E328" s="9" t="s">
        <v>23</v>
      </c>
      <c r="F328" s="9" t="s">
        <v>23</v>
      </c>
      <c r="G328" t="s">
        <v>23</v>
      </c>
      <c r="H328" s="9" t="s">
        <v>23</v>
      </c>
      <c r="I328" s="5" t="s">
        <v>23</v>
      </c>
      <c r="J328" t="s">
        <v>23</v>
      </c>
      <c r="K328" t="s">
        <v>23</v>
      </c>
      <c r="L328" t="s">
        <v>23</v>
      </c>
      <c r="M328" t="s">
        <v>23</v>
      </c>
      <c r="N328" t="s">
        <v>23</v>
      </c>
    </row>
    <row r="329" spans="1:14">
      <c r="A329" t="s">
        <v>23</v>
      </c>
      <c r="B329" t="s">
        <v>23</v>
      </c>
      <c r="C329" t="s">
        <v>23</v>
      </c>
      <c r="D329" s="9" t="s">
        <v>23</v>
      </c>
      <c r="E329" s="9" t="s">
        <v>23</v>
      </c>
      <c r="F329" s="9" t="s">
        <v>23</v>
      </c>
      <c r="G329" t="s">
        <v>23</v>
      </c>
      <c r="H329" s="9" t="s">
        <v>23</v>
      </c>
      <c r="I329" s="5" t="s">
        <v>23</v>
      </c>
      <c r="J329" t="s">
        <v>23</v>
      </c>
      <c r="K329" t="s">
        <v>23</v>
      </c>
      <c r="L329" t="s">
        <v>23</v>
      </c>
      <c r="M329" t="s">
        <v>23</v>
      </c>
      <c r="N329" t="s">
        <v>23</v>
      </c>
    </row>
    <row r="330" spans="1:14">
      <c r="A330" t="s">
        <v>23</v>
      </c>
      <c r="B330" t="s">
        <v>23</v>
      </c>
      <c r="C330" t="s">
        <v>23</v>
      </c>
      <c r="D330" s="9" t="s">
        <v>23</v>
      </c>
      <c r="E330" s="9" t="s">
        <v>23</v>
      </c>
      <c r="F330" s="9" t="s">
        <v>23</v>
      </c>
      <c r="G330" t="s">
        <v>23</v>
      </c>
      <c r="H330" s="9" t="s">
        <v>23</v>
      </c>
      <c r="I330" s="5" t="s">
        <v>23</v>
      </c>
      <c r="J330" t="s">
        <v>23</v>
      </c>
      <c r="K330" t="s">
        <v>23</v>
      </c>
      <c r="L330" t="s">
        <v>23</v>
      </c>
      <c r="M330" t="s">
        <v>23</v>
      </c>
      <c r="N330" t="s">
        <v>23</v>
      </c>
    </row>
    <row r="331" spans="1:14">
      <c r="A331" t="s">
        <v>23</v>
      </c>
      <c r="B331" t="s">
        <v>23</v>
      </c>
      <c r="C331" t="s">
        <v>23</v>
      </c>
      <c r="D331" s="9" t="s">
        <v>23</v>
      </c>
      <c r="E331" s="9" t="s">
        <v>23</v>
      </c>
      <c r="F331" s="9" t="s">
        <v>23</v>
      </c>
      <c r="G331" t="s">
        <v>23</v>
      </c>
      <c r="H331" s="9" t="s">
        <v>23</v>
      </c>
      <c r="I331" s="5" t="s">
        <v>23</v>
      </c>
      <c r="J331" t="s">
        <v>23</v>
      </c>
      <c r="K331" t="s">
        <v>23</v>
      </c>
      <c r="L331" t="s">
        <v>23</v>
      </c>
      <c r="M331" t="s">
        <v>23</v>
      </c>
      <c r="N331" t="s">
        <v>23</v>
      </c>
    </row>
    <row r="332" spans="1:14">
      <c r="A332" t="s">
        <v>23</v>
      </c>
      <c r="B332" t="s">
        <v>23</v>
      </c>
      <c r="C332" t="s">
        <v>23</v>
      </c>
      <c r="D332" s="9" t="s">
        <v>23</v>
      </c>
      <c r="E332" s="9" t="s">
        <v>23</v>
      </c>
      <c r="F332" s="9" t="s">
        <v>23</v>
      </c>
      <c r="G332" t="s">
        <v>23</v>
      </c>
      <c r="H332" s="9" t="s">
        <v>23</v>
      </c>
      <c r="I332" s="5" t="s">
        <v>23</v>
      </c>
      <c r="J332" t="s">
        <v>23</v>
      </c>
      <c r="K332" t="s">
        <v>23</v>
      </c>
      <c r="L332" t="s">
        <v>23</v>
      </c>
      <c r="M332" t="s">
        <v>23</v>
      </c>
      <c r="N332" t="s">
        <v>23</v>
      </c>
    </row>
    <row r="333" spans="1:14">
      <c r="A333" t="s">
        <v>23</v>
      </c>
      <c r="B333" t="s">
        <v>23</v>
      </c>
      <c r="C333" t="s">
        <v>23</v>
      </c>
      <c r="D333" s="9" t="s">
        <v>23</v>
      </c>
      <c r="E333" s="9" t="s">
        <v>23</v>
      </c>
      <c r="F333" s="9" t="s">
        <v>23</v>
      </c>
      <c r="G333" t="s">
        <v>23</v>
      </c>
      <c r="H333" s="9" t="s">
        <v>23</v>
      </c>
      <c r="I333" s="5" t="s">
        <v>23</v>
      </c>
      <c r="J333" t="s">
        <v>23</v>
      </c>
      <c r="K333" t="s">
        <v>23</v>
      </c>
      <c r="L333" t="s">
        <v>23</v>
      </c>
      <c r="M333" t="s">
        <v>23</v>
      </c>
      <c r="N333" t="s">
        <v>23</v>
      </c>
    </row>
    <row r="334" spans="1:14">
      <c r="A334" t="s">
        <v>23</v>
      </c>
      <c r="B334" t="s">
        <v>23</v>
      </c>
      <c r="C334" t="s">
        <v>23</v>
      </c>
      <c r="D334" s="9" t="s">
        <v>23</v>
      </c>
      <c r="E334" s="9" t="s">
        <v>23</v>
      </c>
      <c r="F334" s="9" t="s">
        <v>23</v>
      </c>
      <c r="G334" t="s">
        <v>23</v>
      </c>
      <c r="H334" s="9" t="s">
        <v>23</v>
      </c>
      <c r="I334" s="5" t="s">
        <v>23</v>
      </c>
      <c r="J334" t="s">
        <v>23</v>
      </c>
      <c r="K334" t="s">
        <v>23</v>
      </c>
      <c r="L334" t="s">
        <v>23</v>
      </c>
      <c r="M334" t="s">
        <v>23</v>
      </c>
      <c r="N334" t="s">
        <v>23</v>
      </c>
    </row>
    <row r="335" spans="1:14">
      <c r="A335" t="s">
        <v>23</v>
      </c>
      <c r="B335" t="s">
        <v>23</v>
      </c>
      <c r="C335" t="s">
        <v>23</v>
      </c>
      <c r="D335" s="9" t="s">
        <v>23</v>
      </c>
      <c r="E335" s="9" t="s">
        <v>23</v>
      </c>
      <c r="F335" s="9" t="s">
        <v>23</v>
      </c>
      <c r="G335" t="s">
        <v>23</v>
      </c>
      <c r="H335" s="9" t="s">
        <v>23</v>
      </c>
      <c r="I335" s="5" t="s">
        <v>23</v>
      </c>
      <c r="J335" t="s">
        <v>23</v>
      </c>
      <c r="K335" t="s">
        <v>23</v>
      </c>
      <c r="L335" t="s">
        <v>23</v>
      </c>
      <c r="M335" t="s">
        <v>23</v>
      </c>
      <c r="N335" t="s">
        <v>23</v>
      </c>
    </row>
    <row r="336" spans="1:14">
      <c r="A336" t="s">
        <v>23</v>
      </c>
      <c r="B336" t="s">
        <v>23</v>
      </c>
      <c r="C336" t="s">
        <v>23</v>
      </c>
      <c r="D336" s="9" t="s">
        <v>23</v>
      </c>
      <c r="E336" s="9" t="s">
        <v>23</v>
      </c>
      <c r="F336" s="9" t="s">
        <v>23</v>
      </c>
      <c r="G336" t="s">
        <v>23</v>
      </c>
      <c r="H336" s="9" t="s">
        <v>23</v>
      </c>
      <c r="I336" s="5" t="s">
        <v>23</v>
      </c>
      <c r="J336" t="s">
        <v>23</v>
      </c>
      <c r="K336" t="s">
        <v>23</v>
      </c>
      <c r="L336" t="s">
        <v>23</v>
      </c>
      <c r="M336" t="s">
        <v>23</v>
      </c>
      <c r="N336" t="s">
        <v>23</v>
      </c>
    </row>
    <row r="337" spans="1:14">
      <c r="A337" t="s">
        <v>23</v>
      </c>
      <c r="B337" t="s">
        <v>23</v>
      </c>
      <c r="C337" t="s">
        <v>23</v>
      </c>
      <c r="D337" s="9" t="s">
        <v>23</v>
      </c>
      <c r="E337" s="9" t="s">
        <v>23</v>
      </c>
      <c r="F337" s="9" t="s">
        <v>23</v>
      </c>
      <c r="G337" t="s">
        <v>23</v>
      </c>
      <c r="H337" s="9" t="s">
        <v>23</v>
      </c>
      <c r="I337" s="5" t="s">
        <v>23</v>
      </c>
      <c r="J337" t="s">
        <v>23</v>
      </c>
      <c r="K337" t="s">
        <v>23</v>
      </c>
      <c r="L337" t="s">
        <v>23</v>
      </c>
      <c r="M337" t="s">
        <v>23</v>
      </c>
      <c r="N337" t="s">
        <v>23</v>
      </c>
    </row>
    <row r="338" spans="1:14">
      <c r="A338" t="s">
        <v>23</v>
      </c>
      <c r="B338" t="s">
        <v>23</v>
      </c>
      <c r="C338" t="s">
        <v>23</v>
      </c>
      <c r="D338" s="9" t="s">
        <v>23</v>
      </c>
      <c r="E338" s="9" t="s">
        <v>23</v>
      </c>
      <c r="F338" s="9" t="s">
        <v>23</v>
      </c>
      <c r="G338" t="s">
        <v>23</v>
      </c>
      <c r="H338" s="9" t="s">
        <v>23</v>
      </c>
      <c r="I338" s="5" t="s">
        <v>23</v>
      </c>
      <c r="J338" t="s">
        <v>23</v>
      </c>
      <c r="K338" t="s">
        <v>23</v>
      </c>
      <c r="L338" t="s">
        <v>23</v>
      </c>
      <c r="M338" t="s">
        <v>23</v>
      </c>
      <c r="N338" t="s">
        <v>23</v>
      </c>
    </row>
    <row r="339" spans="1:14">
      <c r="A339" t="s">
        <v>23</v>
      </c>
      <c r="B339" t="s">
        <v>23</v>
      </c>
      <c r="C339" t="s">
        <v>23</v>
      </c>
      <c r="D339" s="9" t="s">
        <v>23</v>
      </c>
      <c r="E339" s="9" t="s">
        <v>23</v>
      </c>
      <c r="F339" s="9" t="s">
        <v>23</v>
      </c>
      <c r="G339" t="s">
        <v>23</v>
      </c>
      <c r="H339" s="9" t="s">
        <v>23</v>
      </c>
      <c r="I339" s="5" t="s">
        <v>23</v>
      </c>
      <c r="J339" t="s">
        <v>23</v>
      </c>
      <c r="K339" t="s">
        <v>23</v>
      </c>
      <c r="L339" t="s">
        <v>23</v>
      </c>
      <c r="M339" t="s">
        <v>23</v>
      </c>
      <c r="N339" t="s">
        <v>23</v>
      </c>
    </row>
    <row r="340" spans="1:14">
      <c r="A340" t="s">
        <v>23</v>
      </c>
      <c r="B340" t="s">
        <v>23</v>
      </c>
      <c r="C340" t="s">
        <v>23</v>
      </c>
      <c r="D340" s="9" t="s">
        <v>23</v>
      </c>
      <c r="E340" s="9" t="s">
        <v>23</v>
      </c>
      <c r="F340" s="9" t="s">
        <v>23</v>
      </c>
      <c r="G340" t="s">
        <v>23</v>
      </c>
      <c r="H340" s="9" t="s">
        <v>23</v>
      </c>
      <c r="I340" s="5" t="s">
        <v>23</v>
      </c>
      <c r="J340" t="s">
        <v>23</v>
      </c>
      <c r="K340" t="s">
        <v>23</v>
      </c>
      <c r="L340" t="s">
        <v>23</v>
      </c>
      <c r="M340" t="s">
        <v>23</v>
      </c>
      <c r="N340" t="s">
        <v>23</v>
      </c>
    </row>
    <row r="341" spans="1:14">
      <c r="A341" t="s">
        <v>23</v>
      </c>
      <c r="B341" t="s">
        <v>23</v>
      </c>
      <c r="C341" t="s">
        <v>23</v>
      </c>
      <c r="D341" s="9" t="s">
        <v>23</v>
      </c>
      <c r="E341" s="9" t="s">
        <v>23</v>
      </c>
      <c r="F341" s="9" t="s">
        <v>23</v>
      </c>
      <c r="G341" t="s">
        <v>23</v>
      </c>
      <c r="H341" s="9" t="s">
        <v>23</v>
      </c>
      <c r="I341" s="5" t="s">
        <v>23</v>
      </c>
      <c r="J341" t="s">
        <v>23</v>
      </c>
      <c r="K341" t="s">
        <v>23</v>
      </c>
      <c r="L341" t="s">
        <v>23</v>
      </c>
      <c r="M341" t="s">
        <v>23</v>
      </c>
      <c r="N341" t="s">
        <v>23</v>
      </c>
    </row>
    <row r="342" spans="1:14">
      <c r="A342" t="s">
        <v>23</v>
      </c>
      <c r="B342" t="s">
        <v>23</v>
      </c>
      <c r="C342" t="s">
        <v>23</v>
      </c>
      <c r="D342" s="9" t="s">
        <v>23</v>
      </c>
      <c r="E342" s="9" t="s">
        <v>23</v>
      </c>
      <c r="F342" s="9" t="s">
        <v>23</v>
      </c>
      <c r="G342" t="s">
        <v>23</v>
      </c>
      <c r="H342" s="9" t="s">
        <v>23</v>
      </c>
      <c r="I342" s="5" t="s">
        <v>23</v>
      </c>
      <c r="J342" t="s">
        <v>23</v>
      </c>
      <c r="K342" t="s">
        <v>23</v>
      </c>
      <c r="L342" t="s">
        <v>23</v>
      </c>
      <c r="M342" t="s">
        <v>23</v>
      </c>
      <c r="N342" t="s">
        <v>23</v>
      </c>
    </row>
    <row r="343" spans="1:14">
      <c r="A343" t="s">
        <v>23</v>
      </c>
      <c r="B343" t="s">
        <v>23</v>
      </c>
      <c r="C343" t="s">
        <v>23</v>
      </c>
      <c r="D343" s="9" t="s">
        <v>23</v>
      </c>
      <c r="E343" s="9" t="s">
        <v>23</v>
      </c>
      <c r="F343" s="9" t="s">
        <v>23</v>
      </c>
      <c r="G343" t="s">
        <v>23</v>
      </c>
      <c r="H343" s="9" t="s">
        <v>23</v>
      </c>
      <c r="I343" s="5" t="s">
        <v>23</v>
      </c>
      <c r="J343" t="s">
        <v>23</v>
      </c>
      <c r="K343" t="s">
        <v>23</v>
      </c>
      <c r="L343" t="s">
        <v>23</v>
      </c>
      <c r="M343" t="s">
        <v>23</v>
      </c>
      <c r="N343" t="s">
        <v>23</v>
      </c>
    </row>
    <row r="344" spans="1:14">
      <c r="A344" t="s">
        <v>23</v>
      </c>
      <c r="B344" t="s">
        <v>23</v>
      </c>
      <c r="C344" t="s">
        <v>23</v>
      </c>
      <c r="D344" s="9" t="s">
        <v>23</v>
      </c>
      <c r="E344" s="9" t="s">
        <v>23</v>
      </c>
      <c r="F344" s="9" t="s">
        <v>23</v>
      </c>
      <c r="G344" t="s">
        <v>23</v>
      </c>
      <c r="H344" s="9" t="s">
        <v>23</v>
      </c>
      <c r="I344" s="5" t="s">
        <v>23</v>
      </c>
      <c r="J344" t="s">
        <v>23</v>
      </c>
      <c r="K344" t="s">
        <v>23</v>
      </c>
      <c r="L344" t="s">
        <v>23</v>
      </c>
      <c r="M344" t="s">
        <v>23</v>
      </c>
      <c r="N344" t="s">
        <v>23</v>
      </c>
    </row>
    <row r="345" spans="1:14">
      <c r="A345" t="s">
        <v>23</v>
      </c>
      <c r="B345" t="s">
        <v>23</v>
      </c>
      <c r="C345" t="s">
        <v>23</v>
      </c>
      <c r="D345" s="9" t="s">
        <v>23</v>
      </c>
      <c r="E345" s="9" t="s">
        <v>23</v>
      </c>
      <c r="F345" s="9" t="s">
        <v>23</v>
      </c>
      <c r="G345" t="s">
        <v>23</v>
      </c>
      <c r="H345" s="9" t="s">
        <v>23</v>
      </c>
      <c r="I345" s="5" t="s">
        <v>23</v>
      </c>
      <c r="J345" t="s">
        <v>23</v>
      </c>
      <c r="K345" t="s">
        <v>23</v>
      </c>
      <c r="L345" t="s">
        <v>23</v>
      </c>
      <c r="M345" t="s">
        <v>23</v>
      </c>
      <c r="N345" t="s">
        <v>23</v>
      </c>
    </row>
    <row r="346" spans="1:14">
      <c r="A346" t="s">
        <v>23</v>
      </c>
      <c r="B346" t="s">
        <v>23</v>
      </c>
      <c r="C346" t="s">
        <v>23</v>
      </c>
      <c r="D346" s="9" t="s">
        <v>23</v>
      </c>
      <c r="E346" s="9" t="s">
        <v>23</v>
      </c>
      <c r="F346" s="9" t="s">
        <v>23</v>
      </c>
      <c r="G346" t="s">
        <v>23</v>
      </c>
      <c r="H346" s="9" t="s">
        <v>23</v>
      </c>
      <c r="I346" s="5" t="s">
        <v>23</v>
      </c>
      <c r="J346" t="s">
        <v>23</v>
      </c>
      <c r="K346" t="s">
        <v>23</v>
      </c>
      <c r="L346" t="s">
        <v>23</v>
      </c>
      <c r="M346" t="s">
        <v>23</v>
      </c>
      <c r="N346" t="s">
        <v>23</v>
      </c>
    </row>
    <row r="347" spans="1:14">
      <c r="A347" t="s">
        <v>23</v>
      </c>
      <c r="B347" t="s">
        <v>23</v>
      </c>
      <c r="C347" t="s">
        <v>23</v>
      </c>
      <c r="D347" s="9" t="s">
        <v>23</v>
      </c>
      <c r="E347" s="9" t="s">
        <v>23</v>
      </c>
      <c r="F347" s="9" t="s">
        <v>23</v>
      </c>
      <c r="G347" t="s">
        <v>23</v>
      </c>
      <c r="H347" s="9" t="s">
        <v>23</v>
      </c>
      <c r="I347" s="5" t="s">
        <v>23</v>
      </c>
      <c r="J347" t="s">
        <v>23</v>
      </c>
      <c r="K347" t="s">
        <v>23</v>
      </c>
      <c r="L347" t="s">
        <v>23</v>
      </c>
      <c r="M347" t="s">
        <v>23</v>
      </c>
      <c r="N347" t="s">
        <v>23</v>
      </c>
    </row>
    <row r="348" spans="1:14">
      <c r="A348" t="s">
        <v>23</v>
      </c>
      <c r="B348" t="s">
        <v>23</v>
      </c>
      <c r="C348" t="s">
        <v>23</v>
      </c>
      <c r="D348" s="9" t="s">
        <v>23</v>
      </c>
      <c r="E348" s="9" t="s">
        <v>23</v>
      </c>
      <c r="F348" s="9" t="s">
        <v>23</v>
      </c>
      <c r="G348" t="s">
        <v>23</v>
      </c>
      <c r="H348" s="9" t="s">
        <v>23</v>
      </c>
      <c r="I348" s="5" t="s">
        <v>23</v>
      </c>
      <c r="J348" t="s">
        <v>23</v>
      </c>
      <c r="K348" t="s">
        <v>23</v>
      </c>
      <c r="L348" t="s">
        <v>23</v>
      </c>
      <c r="M348" t="s">
        <v>23</v>
      </c>
      <c r="N348" t="s">
        <v>23</v>
      </c>
    </row>
    <row r="349" spans="1:14">
      <c r="A349" t="s">
        <v>23</v>
      </c>
      <c r="B349" t="s">
        <v>23</v>
      </c>
      <c r="C349" t="s">
        <v>23</v>
      </c>
      <c r="D349" s="9" t="s">
        <v>23</v>
      </c>
      <c r="E349" s="9" t="s">
        <v>23</v>
      </c>
      <c r="F349" s="9" t="s">
        <v>23</v>
      </c>
      <c r="G349" t="s">
        <v>23</v>
      </c>
      <c r="H349" s="9" t="s">
        <v>23</v>
      </c>
      <c r="I349" s="5" t="s">
        <v>23</v>
      </c>
      <c r="J349" t="s">
        <v>23</v>
      </c>
      <c r="K349" t="s">
        <v>23</v>
      </c>
      <c r="L349" t="s">
        <v>23</v>
      </c>
      <c r="M349" t="s">
        <v>23</v>
      </c>
      <c r="N349" t="s">
        <v>23</v>
      </c>
    </row>
    <row r="350" spans="1:14">
      <c r="A350" t="s">
        <v>23</v>
      </c>
      <c r="B350" t="s">
        <v>23</v>
      </c>
      <c r="C350" t="s">
        <v>23</v>
      </c>
      <c r="D350" s="9" t="s">
        <v>23</v>
      </c>
      <c r="E350" s="9" t="s">
        <v>23</v>
      </c>
      <c r="F350" s="9" t="s">
        <v>23</v>
      </c>
      <c r="G350" t="s">
        <v>23</v>
      </c>
      <c r="H350" s="9" t="s">
        <v>23</v>
      </c>
      <c r="I350" s="5" t="s">
        <v>23</v>
      </c>
      <c r="J350" t="s">
        <v>23</v>
      </c>
      <c r="K350" t="s">
        <v>23</v>
      </c>
      <c r="L350" t="s">
        <v>23</v>
      </c>
      <c r="M350" t="s">
        <v>23</v>
      </c>
      <c r="N350" t="s">
        <v>23</v>
      </c>
    </row>
    <row r="351" spans="1:14">
      <c r="A351" t="s">
        <v>23</v>
      </c>
      <c r="B351" t="s">
        <v>23</v>
      </c>
      <c r="C351" t="s">
        <v>23</v>
      </c>
      <c r="D351" s="9" t="s">
        <v>23</v>
      </c>
      <c r="E351" s="9" t="s">
        <v>23</v>
      </c>
      <c r="F351" s="9" t="s">
        <v>23</v>
      </c>
      <c r="G351" t="s">
        <v>23</v>
      </c>
      <c r="H351" s="9" t="s">
        <v>23</v>
      </c>
      <c r="I351" s="5" t="s">
        <v>23</v>
      </c>
      <c r="J351" t="s">
        <v>23</v>
      </c>
      <c r="K351" t="s">
        <v>23</v>
      </c>
      <c r="L351" t="s">
        <v>23</v>
      </c>
      <c r="M351" t="s">
        <v>23</v>
      </c>
      <c r="N351" t="s">
        <v>23</v>
      </c>
    </row>
    <row r="352" spans="1:14">
      <c r="A352" t="s">
        <v>23</v>
      </c>
      <c r="B352" t="s">
        <v>23</v>
      </c>
      <c r="C352" t="s">
        <v>23</v>
      </c>
      <c r="D352" s="9" t="s">
        <v>23</v>
      </c>
      <c r="E352" s="9" t="s">
        <v>23</v>
      </c>
      <c r="F352" s="9" t="s">
        <v>23</v>
      </c>
      <c r="G352" t="s">
        <v>23</v>
      </c>
      <c r="H352" s="9" t="s">
        <v>23</v>
      </c>
      <c r="I352" s="5" t="s">
        <v>23</v>
      </c>
      <c r="J352" t="s">
        <v>23</v>
      </c>
      <c r="K352" t="s">
        <v>23</v>
      </c>
      <c r="L352" t="s">
        <v>23</v>
      </c>
      <c r="M352" t="s">
        <v>23</v>
      </c>
      <c r="N352" t="s">
        <v>23</v>
      </c>
    </row>
    <row r="353" spans="1:14">
      <c r="A353" t="s">
        <v>23</v>
      </c>
      <c r="B353" t="s">
        <v>23</v>
      </c>
      <c r="C353" t="s">
        <v>23</v>
      </c>
      <c r="D353" s="9" t="s">
        <v>23</v>
      </c>
      <c r="E353" s="9" t="s">
        <v>23</v>
      </c>
      <c r="F353" s="9" t="s">
        <v>23</v>
      </c>
      <c r="G353" t="s">
        <v>23</v>
      </c>
      <c r="H353" s="9" t="s">
        <v>23</v>
      </c>
      <c r="I353" s="5" t="s">
        <v>23</v>
      </c>
      <c r="J353" t="s">
        <v>23</v>
      </c>
      <c r="K353" t="s">
        <v>23</v>
      </c>
      <c r="L353" t="s">
        <v>23</v>
      </c>
      <c r="M353" t="s">
        <v>23</v>
      </c>
      <c r="N353" t="s">
        <v>23</v>
      </c>
    </row>
    <row r="354" spans="1:14">
      <c r="A354" t="s">
        <v>23</v>
      </c>
      <c r="B354" t="s">
        <v>23</v>
      </c>
      <c r="C354" t="s">
        <v>23</v>
      </c>
      <c r="D354" s="9" t="s">
        <v>23</v>
      </c>
      <c r="E354" s="9" t="s">
        <v>23</v>
      </c>
      <c r="F354" s="9" t="s">
        <v>23</v>
      </c>
      <c r="G354" t="s">
        <v>23</v>
      </c>
      <c r="H354" s="9" t="s">
        <v>23</v>
      </c>
      <c r="I354" s="5" t="s">
        <v>23</v>
      </c>
      <c r="J354" t="s">
        <v>23</v>
      </c>
      <c r="K354" t="s">
        <v>23</v>
      </c>
      <c r="L354" t="s">
        <v>23</v>
      </c>
      <c r="M354" t="s">
        <v>23</v>
      </c>
      <c r="N354" t="s">
        <v>23</v>
      </c>
    </row>
    <row r="355" spans="1:14">
      <c r="A355" t="s">
        <v>23</v>
      </c>
      <c r="B355" t="s">
        <v>23</v>
      </c>
      <c r="C355" t="s">
        <v>23</v>
      </c>
      <c r="D355" s="9" t="s">
        <v>23</v>
      </c>
      <c r="E355" s="9" t="s">
        <v>23</v>
      </c>
      <c r="F355" s="9" t="s">
        <v>23</v>
      </c>
      <c r="G355" t="s">
        <v>23</v>
      </c>
      <c r="H355" s="9" t="s">
        <v>23</v>
      </c>
      <c r="I355" s="5" t="s">
        <v>23</v>
      </c>
      <c r="J355" t="s">
        <v>23</v>
      </c>
      <c r="K355" t="s">
        <v>23</v>
      </c>
      <c r="L355" t="s">
        <v>23</v>
      </c>
      <c r="M355" t="s">
        <v>23</v>
      </c>
      <c r="N355" t="s">
        <v>23</v>
      </c>
    </row>
    <row r="356" spans="1:14">
      <c r="A356" t="s">
        <v>23</v>
      </c>
      <c r="B356" t="s">
        <v>23</v>
      </c>
      <c r="C356" t="s">
        <v>23</v>
      </c>
      <c r="D356" s="9" t="s">
        <v>23</v>
      </c>
      <c r="E356" s="9" t="s">
        <v>23</v>
      </c>
      <c r="F356" s="9" t="s">
        <v>23</v>
      </c>
      <c r="G356" t="s">
        <v>23</v>
      </c>
      <c r="H356" s="9" t="s">
        <v>23</v>
      </c>
      <c r="I356" s="5" t="s">
        <v>23</v>
      </c>
      <c r="J356" t="s">
        <v>23</v>
      </c>
      <c r="K356" t="s">
        <v>23</v>
      </c>
      <c r="L356" t="s">
        <v>23</v>
      </c>
      <c r="M356" t="s">
        <v>23</v>
      </c>
      <c r="N356" t="s">
        <v>23</v>
      </c>
    </row>
    <row r="357" spans="1:14">
      <c r="A357" t="s">
        <v>23</v>
      </c>
      <c r="B357" t="s">
        <v>23</v>
      </c>
      <c r="C357" t="s">
        <v>23</v>
      </c>
      <c r="D357" s="9" t="s">
        <v>23</v>
      </c>
      <c r="E357" s="9" t="s">
        <v>23</v>
      </c>
      <c r="F357" s="9" t="s">
        <v>23</v>
      </c>
      <c r="G357" t="s">
        <v>23</v>
      </c>
      <c r="H357" s="9" t="s">
        <v>23</v>
      </c>
      <c r="I357" s="5" t="s">
        <v>23</v>
      </c>
      <c r="J357" t="s">
        <v>23</v>
      </c>
      <c r="K357" t="s">
        <v>23</v>
      </c>
      <c r="L357" t="s">
        <v>23</v>
      </c>
      <c r="M357" t="s">
        <v>23</v>
      </c>
      <c r="N357" t="s">
        <v>23</v>
      </c>
    </row>
    <row r="358" spans="1:14">
      <c r="A358" t="s">
        <v>23</v>
      </c>
      <c r="B358" t="s">
        <v>23</v>
      </c>
      <c r="C358" t="s">
        <v>23</v>
      </c>
      <c r="D358" s="9" t="s">
        <v>23</v>
      </c>
      <c r="E358" s="9" t="s">
        <v>23</v>
      </c>
      <c r="F358" s="9" t="s">
        <v>23</v>
      </c>
      <c r="G358" t="s">
        <v>23</v>
      </c>
      <c r="H358" s="9" t="s">
        <v>23</v>
      </c>
      <c r="I358" s="5" t="s">
        <v>23</v>
      </c>
      <c r="J358" t="s">
        <v>23</v>
      </c>
      <c r="K358" t="s">
        <v>23</v>
      </c>
      <c r="L358" t="s">
        <v>23</v>
      </c>
      <c r="M358" t="s">
        <v>23</v>
      </c>
      <c r="N358" t="s">
        <v>23</v>
      </c>
    </row>
    <row r="359" spans="1:14">
      <c r="A359" t="s">
        <v>23</v>
      </c>
      <c r="B359" t="s">
        <v>23</v>
      </c>
      <c r="C359" t="s">
        <v>23</v>
      </c>
      <c r="D359" s="9" t="s">
        <v>23</v>
      </c>
      <c r="E359" s="9" t="s">
        <v>23</v>
      </c>
      <c r="F359" s="9" t="s">
        <v>23</v>
      </c>
      <c r="G359" t="s">
        <v>23</v>
      </c>
      <c r="H359" s="9" t="s">
        <v>23</v>
      </c>
      <c r="I359" s="5" t="s">
        <v>23</v>
      </c>
      <c r="J359" t="s">
        <v>23</v>
      </c>
      <c r="K359" t="s">
        <v>23</v>
      </c>
      <c r="L359" t="s">
        <v>23</v>
      </c>
      <c r="M359" t="s">
        <v>23</v>
      </c>
      <c r="N359" t="s">
        <v>23</v>
      </c>
    </row>
    <row r="360" spans="1:14">
      <c r="A360" t="s">
        <v>23</v>
      </c>
      <c r="B360" t="s">
        <v>23</v>
      </c>
      <c r="C360" t="s">
        <v>23</v>
      </c>
      <c r="D360" s="9" t="s">
        <v>23</v>
      </c>
      <c r="E360" s="9" t="s">
        <v>23</v>
      </c>
      <c r="F360" s="9" t="s">
        <v>23</v>
      </c>
      <c r="G360" t="s">
        <v>23</v>
      </c>
      <c r="H360" s="9" t="s">
        <v>23</v>
      </c>
      <c r="I360" s="5" t="s">
        <v>23</v>
      </c>
      <c r="J360" t="s">
        <v>23</v>
      </c>
      <c r="K360" t="s">
        <v>23</v>
      </c>
      <c r="L360" t="s">
        <v>23</v>
      </c>
      <c r="M360" t="s">
        <v>23</v>
      </c>
      <c r="N360" t="s">
        <v>23</v>
      </c>
    </row>
    <row r="361" spans="1:14">
      <c r="A361" t="s">
        <v>23</v>
      </c>
      <c r="B361" t="s">
        <v>23</v>
      </c>
      <c r="C361" t="s">
        <v>23</v>
      </c>
      <c r="D361" s="9" t="s">
        <v>23</v>
      </c>
      <c r="E361" s="9" t="s">
        <v>23</v>
      </c>
      <c r="F361" s="9" t="s">
        <v>23</v>
      </c>
      <c r="G361" t="s">
        <v>23</v>
      </c>
      <c r="H361" s="9" t="s">
        <v>23</v>
      </c>
      <c r="I361" s="5" t="s">
        <v>23</v>
      </c>
      <c r="J361" t="s">
        <v>23</v>
      </c>
      <c r="K361" t="s">
        <v>23</v>
      </c>
      <c r="L361" t="s">
        <v>23</v>
      </c>
      <c r="M361" t="s">
        <v>23</v>
      </c>
      <c r="N361" t="s">
        <v>23</v>
      </c>
    </row>
    <row r="362" spans="1:14">
      <c r="A362" t="s">
        <v>23</v>
      </c>
      <c r="B362" t="s">
        <v>23</v>
      </c>
      <c r="C362" t="s">
        <v>23</v>
      </c>
      <c r="D362" s="9" t="s">
        <v>23</v>
      </c>
      <c r="E362" s="9" t="s">
        <v>23</v>
      </c>
      <c r="F362" s="9" t="s">
        <v>23</v>
      </c>
      <c r="G362" t="s">
        <v>23</v>
      </c>
      <c r="H362" s="9" t="s">
        <v>23</v>
      </c>
      <c r="I362" s="5" t="s">
        <v>23</v>
      </c>
      <c r="J362" t="s">
        <v>23</v>
      </c>
      <c r="K362" t="s">
        <v>23</v>
      </c>
      <c r="L362" t="s">
        <v>23</v>
      </c>
      <c r="M362" t="s">
        <v>23</v>
      </c>
      <c r="N362" t="s">
        <v>23</v>
      </c>
    </row>
    <row r="363" spans="1:14">
      <c r="A363" t="s">
        <v>23</v>
      </c>
      <c r="B363" t="s">
        <v>23</v>
      </c>
      <c r="C363" t="s">
        <v>23</v>
      </c>
      <c r="D363" s="9" t="s">
        <v>23</v>
      </c>
      <c r="E363" s="9" t="s">
        <v>23</v>
      </c>
      <c r="F363" s="9" t="s">
        <v>23</v>
      </c>
      <c r="G363" t="s">
        <v>23</v>
      </c>
      <c r="H363" s="9" t="s">
        <v>23</v>
      </c>
      <c r="I363" s="5" t="s">
        <v>23</v>
      </c>
      <c r="J363" t="s">
        <v>23</v>
      </c>
      <c r="K363" t="s">
        <v>23</v>
      </c>
      <c r="L363" t="s">
        <v>23</v>
      </c>
      <c r="M363" t="s">
        <v>23</v>
      </c>
      <c r="N363" t="s">
        <v>23</v>
      </c>
    </row>
    <row r="364" spans="1:14">
      <c r="A364" t="s">
        <v>23</v>
      </c>
      <c r="B364" t="s">
        <v>23</v>
      </c>
      <c r="C364" t="s">
        <v>23</v>
      </c>
      <c r="D364" s="9" t="s">
        <v>23</v>
      </c>
      <c r="E364" s="9" t="s">
        <v>23</v>
      </c>
      <c r="F364" s="9" t="s">
        <v>23</v>
      </c>
      <c r="G364" t="s">
        <v>23</v>
      </c>
      <c r="H364" s="9" t="s">
        <v>23</v>
      </c>
      <c r="I364" s="5" t="s">
        <v>23</v>
      </c>
      <c r="J364" t="s">
        <v>23</v>
      </c>
      <c r="K364" t="s">
        <v>23</v>
      </c>
      <c r="L364" t="s">
        <v>23</v>
      </c>
      <c r="M364" t="s">
        <v>23</v>
      </c>
      <c r="N364" t="s">
        <v>23</v>
      </c>
    </row>
    <row r="365" spans="1:14">
      <c r="A365" t="s">
        <v>23</v>
      </c>
      <c r="B365" t="s">
        <v>23</v>
      </c>
      <c r="C365" t="s">
        <v>23</v>
      </c>
      <c r="D365" s="9" t="s">
        <v>23</v>
      </c>
      <c r="E365" s="9" t="s">
        <v>23</v>
      </c>
      <c r="F365" s="9" t="s">
        <v>23</v>
      </c>
      <c r="G365" t="s">
        <v>23</v>
      </c>
      <c r="H365" s="9" t="s">
        <v>23</v>
      </c>
      <c r="I365" s="5" t="s">
        <v>23</v>
      </c>
      <c r="J365" t="s">
        <v>23</v>
      </c>
      <c r="K365" t="s">
        <v>23</v>
      </c>
      <c r="L365" t="s">
        <v>23</v>
      </c>
      <c r="M365" t="s">
        <v>23</v>
      </c>
      <c r="N365" t="s">
        <v>23</v>
      </c>
    </row>
    <row r="366" spans="1:14">
      <c r="A366" t="s">
        <v>23</v>
      </c>
      <c r="B366" t="s">
        <v>23</v>
      </c>
      <c r="C366" t="s">
        <v>23</v>
      </c>
      <c r="D366" s="9" t="s">
        <v>23</v>
      </c>
      <c r="E366" s="9" t="s">
        <v>23</v>
      </c>
      <c r="F366" s="9" t="s">
        <v>23</v>
      </c>
      <c r="G366" t="s">
        <v>23</v>
      </c>
      <c r="H366" s="9" t="s">
        <v>23</v>
      </c>
      <c r="I366" s="5" t="s">
        <v>23</v>
      </c>
      <c r="J366" t="s">
        <v>23</v>
      </c>
      <c r="K366" t="s">
        <v>23</v>
      </c>
      <c r="L366" t="s">
        <v>23</v>
      </c>
      <c r="M366" t="s">
        <v>23</v>
      </c>
      <c r="N366" t="s">
        <v>23</v>
      </c>
    </row>
    <row r="367" spans="1:14">
      <c r="A367" t="s">
        <v>23</v>
      </c>
      <c r="B367" t="s">
        <v>23</v>
      </c>
      <c r="C367" t="s">
        <v>23</v>
      </c>
      <c r="D367" s="9" t="s">
        <v>23</v>
      </c>
      <c r="E367" s="9" t="s">
        <v>23</v>
      </c>
      <c r="F367" s="9" t="s">
        <v>23</v>
      </c>
      <c r="G367" t="s">
        <v>23</v>
      </c>
      <c r="H367" s="9" t="s">
        <v>23</v>
      </c>
      <c r="I367" s="5" t="s">
        <v>23</v>
      </c>
      <c r="J367" t="s">
        <v>23</v>
      </c>
      <c r="K367" t="s">
        <v>23</v>
      </c>
      <c r="L367" t="s">
        <v>23</v>
      </c>
      <c r="M367" t="s">
        <v>23</v>
      </c>
      <c r="N367" t="s">
        <v>23</v>
      </c>
    </row>
    <row r="368" spans="1:14">
      <c r="A368" t="s">
        <v>23</v>
      </c>
      <c r="B368" t="s">
        <v>23</v>
      </c>
      <c r="C368" t="s">
        <v>23</v>
      </c>
      <c r="D368" s="9" t="s">
        <v>23</v>
      </c>
      <c r="E368" s="9" t="s">
        <v>23</v>
      </c>
      <c r="F368" s="9" t="s">
        <v>23</v>
      </c>
      <c r="G368" t="s">
        <v>23</v>
      </c>
      <c r="H368" s="9" t="s">
        <v>23</v>
      </c>
      <c r="I368" s="5" t="s">
        <v>23</v>
      </c>
      <c r="J368" t="s">
        <v>23</v>
      </c>
      <c r="K368" t="s">
        <v>23</v>
      </c>
      <c r="L368" t="s">
        <v>23</v>
      </c>
      <c r="M368" t="s">
        <v>23</v>
      </c>
      <c r="N368" t="s">
        <v>23</v>
      </c>
    </row>
    <row r="369" spans="1:14">
      <c r="A369" t="s">
        <v>23</v>
      </c>
      <c r="B369" t="s">
        <v>23</v>
      </c>
      <c r="C369" t="s">
        <v>23</v>
      </c>
      <c r="D369" s="9" t="s">
        <v>23</v>
      </c>
      <c r="E369" s="9" t="s">
        <v>23</v>
      </c>
      <c r="F369" s="9" t="s">
        <v>23</v>
      </c>
      <c r="G369" t="s">
        <v>23</v>
      </c>
      <c r="H369" s="9" t="s">
        <v>23</v>
      </c>
      <c r="I369" s="5" t="s">
        <v>23</v>
      </c>
      <c r="J369" t="s">
        <v>23</v>
      </c>
      <c r="K369" t="s">
        <v>23</v>
      </c>
      <c r="L369" t="s">
        <v>23</v>
      </c>
      <c r="M369" t="s">
        <v>23</v>
      </c>
      <c r="N369" t="s">
        <v>23</v>
      </c>
    </row>
    <row r="370" spans="1:14">
      <c r="A370" t="s">
        <v>23</v>
      </c>
      <c r="B370" t="s">
        <v>23</v>
      </c>
      <c r="C370" t="s">
        <v>23</v>
      </c>
      <c r="D370" s="9" t="s">
        <v>23</v>
      </c>
      <c r="E370" s="9" t="s">
        <v>23</v>
      </c>
      <c r="F370" s="9" t="s">
        <v>23</v>
      </c>
      <c r="G370" t="s">
        <v>23</v>
      </c>
      <c r="H370" s="9" t="s">
        <v>23</v>
      </c>
      <c r="I370" s="5" t="s">
        <v>23</v>
      </c>
      <c r="J370" t="s">
        <v>23</v>
      </c>
      <c r="K370" t="s">
        <v>23</v>
      </c>
      <c r="L370" t="s">
        <v>23</v>
      </c>
      <c r="M370" t="s">
        <v>23</v>
      </c>
      <c r="N370" t="s">
        <v>23</v>
      </c>
    </row>
    <row r="371" spans="1:14">
      <c r="A371" t="s">
        <v>23</v>
      </c>
      <c r="B371" t="s">
        <v>23</v>
      </c>
      <c r="C371" t="s">
        <v>23</v>
      </c>
      <c r="D371" s="9" t="s">
        <v>23</v>
      </c>
      <c r="E371" s="9" t="s">
        <v>23</v>
      </c>
      <c r="F371" s="9" t="s">
        <v>23</v>
      </c>
      <c r="G371" t="s">
        <v>23</v>
      </c>
      <c r="H371" s="9" t="s">
        <v>23</v>
      </c>
      <c r="I371" s="5" t="s">
        <v>23</v>
      </c>
      <c r="J371" t="s">
        <v>23</v>
      </c>
      <c r="K371" t="s">
        <v>23</v>
      </c>
      <c r="L371" t="s">
        <v>23</v>
      </c>
      <c r="M371" t="s">
        <v>23</v>
      </c>
      <c r="N371" t="s">
        <v>23</v>
      </c>
    </row>
    <row r="372" spans="1:14">
      <c r="A372" t="s">
        <v>23</v>
      </c>
      <c r="B372" t="s">
        <v>23</v>
      </c>
      <c r="C372" t="s">
        <v>23</v>
      </c>
      <c r="D372" s="9" t="s">
        <v>23</v>
      </c>
      <c r="E372" s="9" t="s">
        <v>23</v>
      </c>
      <c r="F372" s="9" t="s">
        <v>23</v>
      </c>
      <c r="G372" t="s">
        <v>23</v>
      </c>
      <c r="H372" s="9" t="s">
        <v>23</v>
      </c>
      <c r="I372" s="5" t="s">
        <v>23</v>
      </c>
      <c r="J372" t="s">
        <v>23</v>
      </c>
      <c r="K372" t="s">
        <v>23</v>
      </c>
      <c r="L372" t="s">
        <v>23</v>
      </c>
      <c r="M372" t="s">
        <v>23</v>
      </c>
      <c r="N372" t="s">
        <v>23</v>
      </c>
    </row>
    <row r="373" spans="1:14">
      <c r="A373" t="s">
        <v>23</v>
      </c>
      <c r="B373" t="s">
        <v>23</v>
      </c>
      <c r="C373" t="s">
        <v>23</v>
      </c>
      <c r="D373" s="9" t="s">
        <v>23</v>
      </c>
      <c r="E373" s="9" t="s">
        <v>23</v>
      </c>
      <c r="F373" s="9" t="s">
        <v>23</v>
      </c>
      <c r="G373" t="s">
        <v>23</v>
      </c>
      <c r="H373" s="9" t="s">
        <v>23</v>
      </c>
      <c r="I373" s="5" t="s">
        <v>23</v>
      </c>
      <c r="J373" t="s">
        <v>23</v>
      </c>
      <c r="K373" t="s">
        <v>23</v>
      </c>
      <c r="L373" t="s">
        <v>23</v>
      </c>
      <c r="M373" t="s">
        <v>23</v>
      </c>
      <c r="N373" t="s">
        <v>23</v>
      </c>
    </row>
    <row r="374" spans="1:14">
      <c r="A374" t="s">
        <v>23</v>
      </c>
      <c r="B374" t="s">
        <v>23</v>
      </c>
      <c r="C374" t="s">
        <v>23</v>
      </c>
      <c r="D374" s="9" t="s">
        <v>23</v>
      </c>
      <c r="E374" s="9" t="s">
        <v>23</v>
      </c>
      <c r="F374" s="9" t="s">
        <v>23</v>
      </c>
      <c r="G374" t="s">
        <v>23</v>
      </c>
      <c r="H374" s="9" t="s">
        <v>23</v>
      </c>
      <c r="I374" s="5" t="s">
        <v>23</v>
      </c>
      <c r="J374" t="s">
        <v>23</v>
      </c>
      <c r="K374" t="s">
        <v>23</v>
      </c>
      <c r="L374" t="s">
        <v>23</v>
      </c>
      <c r="M374" t="s">
        <v>23</v>
      </c>
      <c r="N374" t="s">
        <v>23</v>
      </c>
    </row>
    <row r="375" spans="1:14">
      <c r="A375" t="s">
        <v>23</v>
      </c>
      <c r="B375" t="s">
        <v>23</v>
      </c>
      <c r="C375" t="s">
        <v>23</v>
      </c>
      <c r="D375" s="9" t="s">
        <v>23</v>
      </c>
      <c r="E375" s="9" t="s">
        <v>23</v>
      </c>
      <c r="F375" s="9" t="s">
        <v>23</v>
      </c>
      <c r="G375" t="s">
        <v>23</v>
      </c>
      <c r="H375" s="9" t="s">
        <v>23</v>
      </c>
      <c r="I375" s="5" t="s">
        <v>23</v>
      </c>
      <c r="J375" t="s">
        <v>23</v>
      </c>
      <c r="K375" t="s">
        <v>23</v>
      </c>
      <c r="L375" t="s">
        <v>23</v>
      </c>
      <c r="M375" t="s">
        <v>23</v>
      </c>
      <c r="N375" t="s">
        <v>23</v>
      </c>
    </row>
    <row r="376" spans="1:14">
      <c r="A376" t="s">
        <v>23</v>
      </c>
      <c r="B376" t="s">
        <v>23</v>
      </c>
      <c r="C376" t="s">
        <v>23</v>
      </c>
      <c r="D376" s="9" t="s">
        <v>23</v>
      </c>
      <c r="E376" s="9" t="s">
        <v>23</v>
      </c>
      <c r="F376" s="9" t="s">
        <v>23</v>
      </c>
      <c r="G376" t="s">
        <v>23</v>
      </c>
      <c r="H376" s="9" t="s">
        <v>23</v>
      </c>
      <c r="I376" s="5" t="s">
        <v>23</v>
      </c>
      <c r="J376" t="s">
        <v>23</v>
      </c>
      <c r="K376" t="s">
        <v>23</v>
      </c>
      <c r="L376" t="s">
        <v>23</v>
      </c>
      <c r="M376" t="s">
        <v>23</v>
      </c>
      <c r="N376" t="s">
        <v>23</v>
      </c>
    </row>
    <row r="377" spans="1:14">
      <c r="A377" t="s">
        <v>23</v>
      </c>
      <c r="B377" t="s">
        <v>23</v>
      </c>
      <c r="C377" t="s">
        <v>23</v>
      </c>
      <c r="D377" s="9" t="s">
        <v>23</v>
      </c>
      <c r="E377" s="9" t="s">
        <v>23</v>
      </c>
      <c r="F377" s="9" t="s">
        <v>23</v>
      </c>
      <c r="G377" t="s">
        <v>23</v>
      </c>
      <c r="H377" s="9" t="s">
        <v>23</v>
      </c>
      <c r="I377" s="5" t="s">
        <v>23</v>
      </c>
      <c r="J377" t="s">
        <v>23</v>
      </c>
      <c r="K377" t="s">
        <v>23</v>
      </c>
      <c r="L377" t="s">
        <v>23</v>
      </c>
      <c r="M377" t="s">
        <v>23</v>
      </c>
      <c r="N377" t="s">
        <v>23</v>
      </c>
    </row>
    <row r="378" spans="1:14">
      <c r="A378" t="s">
        <v>23</v>
      </c>
      <c r="B378" t="s">
        <v>23</v>
      </c>
      <c r="C378" t="s">
        <v>23</v>
      </c>
      <c r="D378" s="9" t="s">
        <v>23</v>
      </c>
      <c r="E378" s="9" t="s">
        <v>23</v>
      </c>
      <c r="F378" s="9" t="s">
        <v>23</v>
      </c>
      <c r="G378" t="s">
        <v>23</v>
      </c>
      <c r="H378" s="9" t="s">
        <v>23</v>
      </c>
      <c r="I378" s="5" t="s">
        <v>23</v>
      </c>
      <c r="J378" t="s">
        <v>23</v>
      </c>
      <c r="K378" t="s">
        <v>23</v>
      </c>
      <c r="L378" t="s">
        <v>23</v>
      </c>
      <c r="M378" t="s">
        <v>23</v>
      </c>
      <c r="N378" t="s">
        <v>23</v>
      </c>
    </row>
    <row r="379" spans="1:14">
      <c r="A379" t="s">
        <v>23</v>
      </c>
      <c r="B379" t="s">
        <v>23</v>
      </c>
      <c r="C379" t="s">
        <v>23</v>
      </c>
      <c r="D379" s="9" t="s">
        <v>23</v>
      </c>
      <c r="E379" s="9" t="s">
        <v>23</v>
      </c>
      <c r="F379" s="9" t="s">
        <v>23</v>
      </c>
      <c r="G379" t="s">
        <v>23</v>
      </c>
      <c r="H379" s="9" t="s">
        <v>23</v>
      </c>
      <c r="I379" s="5" t="s">
        <v>23</v>
      </c>
      <c r="J379" t="s">
        <v>23</v>
      </c>
      <c r="K379" t="s">
        <v>23</v>
      </c>
      <c r="L379" t="s">
        <v>23</v>
      </c>
      <c r="M379" t="s">
        <v>23</v>
      </c>
      <c r="N379" t="s">
        <v>23</v>
      </c>
    </row>
    <row r="380" spans="1:14">
      <c r="A380" t="s">
        <v>23</v>
      </c>
      <c r="B380" t="s">
        <v>23</v>
      </c>
      <c r="C380" t="s">
        <v>23</v>
      </c>
      <c r="D380" s="9" t="s">
        <v>23</v>
      </c>
      <c r="E380" s="9" t="s">
        <v>23</v>
      </c>
      <c r="F380" s="9" t="s">
        <v>23</v>
      </c>
      <c r="G380" t="s">
        <v>23</v>
      </c>
      <c r="H380" s="9" t="s">
        <v>23</v>
      </c>
      <c r="I380" s="5" t="s">
        <v>23</v>
      </c>
      <c r="J380" t="s">
        <v>23</v>
      </c>
      <c r="K380" t="s">
        <v>23</v>
      </c>
      <c r="L380" t="s">
        <v>23</v>
      </c>
      <c r="M380" t="s">
        <v>23</v>
      </c>
      <c r="N380" t="s">
        <v>23</v>
      </c>
    </row>
    <row r="381" spans="1:14">
      <c r="A381" t="s">
        <v>23</v>
      </c>
      <c r="B381" t="s">
        <v>23</v>
      </c>
      <c r="C381" t="s">
        <v>23</v>
      </c>
      <c r="D381" s="9" t="s">
        <v>23</v>
      </c>
      <c r="E381" s="9" t="s">
        <v>23</v>
      </c>
      <c r="F381" s="9" t="s">
        <v>23</v>
      </c>
      <c r="G381" t="s">
        <v>23</v>
      </c>
      <c r="H381" s="9" t="s">
        <v>23</v>
      </c>
      <c r="I381" s="5" t="s">
        <v>23</v>
      </c>
      <c r="J381" t="s">
        <v>23</v>
      </c>
      <c r="K381" t="s">
        <v>23</v>
      </c>
      <c r="L381" t="s">
        <v>23</v>
      </c>
      <c r="M381" t="s">
        <v>23</v>
      </c>
      <c r="N381" t="s">
        <v>23</v>
      </c>
    </row>
    <row r="382" spans="1:14">
      <c r="A382" t="s">
        <v>23</v>
      </c>
      <c r="B382" t="s">
        <v>23</v>
      </c>
      <c r="C382" t="s">
        <v>23</v>
      </c>
      <c r="D382" s="9" t="s">
        <v>23</v>
      </c>
      <c r="E382" s="9" t="s">
        <v>23</v>
      </c>
      <c r="F382" s="9" t="s">
        <v>23</v>
      </c>
      <c r="G382" t="s">
        <v>23</v>
      </c>
      <c r="H382" s="9" t="s">
        <v>23</v>
      </c>
      <c r="I382" s="5" t="s">
        <v>23</v>
      </c>
      <c r="J382" t="s">
        <v>23</v>
      </c>
      <c r="K382" t="s">
        <v>23</v>
      </c>
      <c r="L382" t="s">
        <v>23</v>
      </c>
      <c r="M382" t="s">
        <v>23</v>
      </c>
      <c r="N382" t="s">
        <v>23</v>
      </c>
    </row>
    <row r="383" spans="1:14">
      <c r="A383" t="s">
        <v>23</v>
      </c>
      <c r="B383" t="s">
        <v>23</v>
      </c>
      <c r="C383" t="s">
        <v>23</v>
      </c>
      <c r="D383" s="9" t="s">
        <v>23</v>
      </c>
      <c r="E383" s="9" t="s">
        <v>23</v>
      </c>
      <c r="F383" s="9" t="s">
        <v>23</v>
      </c>
      <c r="G383" t="s">
        <v>23</v>
      </c>
      <c r="H383" s="9" t="s">
        <v>23</v>
      </c>
      <c r="I383" s="5" t="s">
        <v>23</v>
      </c>
      <c r="J383" t="s">
        <v>23</v>
      </c>
      <c r="K383" t="s">
        <v>23</v>
      </c>
      <c r="L383" t="s">
        <v>23</v>
      </c>
      <c r="M383" t="s">
        <v>23</v>
      </c>
      <c r="N383" t="s">
        <v>23</v>
      </c>
    </row>
    <row r="384" spans="1:14">
      <c r="A384" t="s">
        <v>23</v>
      </c>
      <c r="B384" t="s">
        <v>23</v>
      </c>
      <c r="C384" t="s">
        <v>23</v>
      </c>
      <c r="D384" s="9" t="s">
        <v>23</v>
      </c>
      <c r="E384" s="9" t="s">
        <v>23</v>
      </c>
      <c r="F384" s="9" t="s">
        <v>23</v>
      </c>
      <c r="G384" t="s">
        <v>23</v>
      </c>
      <c r="H384" s="9" t="s">
        <v>23</v>
      </c>
      <c r="I384" s="5" t="s">
        <v>23</v>
      </c>
      <c r="J384" t="s">
        <v>23</v>
      </c>
      <c r="K384" t="s">
        <v>23</v>
      </c>
      <c r="L384" t="s">
        <v>23</v>
      </c>
      <c r="M384" t="s">
        <v>23</v>
      </c>
      <c r="N384" t="s">
        <v>23</v>
      </c>
    </row>
    <row r="385" spans="1:14">
      <c r="A385" t="s">
        <v>23</v>
      </c>
      <c r="B385" t="s">
        <v>23</v>
      </c>
      <c r="C385" t="s">
        <v>23</v>
      </c>
      <c r="D385" s="9" t="s">
        <v>23</v>
      </c>
      <c r="E385" s="9" t="s">
        <v>23</v>
      </c>
      <c r="F385" s="9" t="s">
        <v>23</v>
      </c>
      <c r="G385" t="s">
        <v>23</v>
      </c>
      <c r="H385" s="9" t="s">
        <v>23</v>
      </c>
      <c r="I385" s="5" t="s">
        <v>23</v>
      </c>
      <c r="J385" t="s">
        <v>23</v>
      </c>
      <c r="K385" t="s">
        <v>23</v>
      </c>
      <c r="L385" t="s">
        <v>23</v>
      </c>
      <c r="M385" t="s">
        <v>23</v>
      </c>
      <c r="N385" t="s">
        <v>23</v>
      </c>
    </row>
    <row r="386" spans="1:14">
      <c r="A386" t="s">
        <v>23</v>
      </c>
      <c r="B386" t="s">
        <v>23</v>
      </c>
      <c r="C386" t="s">
        <v>23</v>
      </c>
      <c r="D386" s="9" t="s">
        <v>23</v>
      </c>
      <c r="E386" s="9" t="s">
        <v>23</v>
      </c>
      <c r="F386" s="9" t="s">
        <v>23</v>
      </c>
      <c r="G386" t="s">
        <v>23</v>
      </c>
      <c r="H386" s="9" t="s">
        <v>23</v>
      </c>
      <c r="I386" s="5" t="s">
        <v>23</v>
      </c>
      <c r="J386" t="s">
        <v>23</v>
      </c>
      <c r="K386" t="s">
        <v>23</v>
      </c>
      <c r="L386" t="s">
        <v>23</v>
      </c>
      <c r="M386" t="s">
        <v>23</v>
      </c>
      <c r="N386" t="s">
        <v>23</v>
      </c>
    </row>
    <row r="387" spans="1:14">
      <c r="A387" t="s">
        <v>23</v>
      </c>
      <c r="B387" t="s">
        <v>23</v>
      </c>
      <c r="C387" t="s">
        <v>23</v>
      </c>
      <c r="D387" s="9" t="s">
        <v>23</v>
      </c>
      <c r="E387" s="9" t="s">
        <v>23</v>
      </c>
      <c r="F387" s="9" t="s">
        <v>23</v>
      </c>
      <c r="G387" t="s">
        <v>23</v>
      </c>
      <c r="H387" s="9" t="s">
        <v>23</v>
      </c>
      <c r="I387" s="5" t="s">
        <v>23</v>
      </c>
      <c r="J387" t="s">
        <v>23</v>
      </c>
      <c r="K387" t="s">
        <v>23</v>
      </c>
      <c r="L387" t="s">
        <v>23</v>
      </c>
      <c r="M387" t="s">
        <v>23</v>
      </c>
      <c r="N387" t="s">
        <v>23</v>
      </c>
    </row>
    <row r="388" spans="1:14">
      <c r="A388" t="s">
        <v>23</v>
      </c>
      <c r="B388" t="s">
        <v>23</v>
      </c>
      <c r="C388" t="s">
        <v>23</v>
      </c>
      <c r="D388" s="9" t="s">
        <v>23</v>
      </c>
      <c r="E388" s="9" t="s">
        <v>23</v>
      </c>
      <c r="F388" s="9" t="s">
        <v>23</v>
      </c>
      <c r="G388" t="s">
        <v>23</v>
      </c>
      <c r="H388" s="9" t="s">
        <v>23</v>
      </c>
      <c r="I388" s="5" t="s">
        <v>23</v>
      </c>
      <c r="J388" t="s">
        <v>23</v>
      </c>
      <c r="K388" t="s">
        <v>23</v>
      </c>
      <c r="L388" t="s">
        <v>23</v>
      </c>
      <c r="M388" t="s">
        <v>23</v>
      </c>
      <c r="N388" t="s">
        <v>23</v>
      </c>
    </row>
    <row r="389" spans="1:14">
      <c r="A389" t="s">
        <v>23</v>
      </c>
      <c r="B389" t="s">
        <v>23</v>
      </c>
      <c r="C389" t="s">
        <v>23</v>
      </c>
      <c r="D389" s="9" t="s">
        <v>23</v>
      </c>
      <c r="E389" s="9" t="s">
        <v>23</v>
      </c>
      <c r="F389" s="9" t="s">
        <v>23</v>
      </c>
      <c r="G389" t="s">
        <v>23</v>
      </c>
      <c r="H389" s="9" t="s">
        <v>23</v>
      </c>
      <c r="I389" s="5" t="s">
        <v>23</v>
      </c>
      <c r="J389" t="s">
        <v>23</v>
      </c>
      <c r="K389" t="s">
        <v>23</v>
      </c>
      <c r="L389" t="s">
        <v>23</v>
      </c>
      <c r="M389" t="s">
        <v>23</v>
      </c>
      <c r="N389" t="s">
        <v>23</v>
      </c>
    </row>
    <row r="390" spans="1:14">
      <c r="A390" t="s">
        <v>23</v>
      </c>
      <c r="B390" t="s">
        <v>23</v>
      </c>
      <c r="C390" t="s">
        <v>23</v>
      </c>
      <c r="D390" s="9" t="s">
        <v>23</v>
      </c>
      <c r="E390" s="9" t="s">
        <v>23</v>
      </c>
      <c r="F390" s="9" t="s">
        <v>23</v>
      </c>
      <c r="G390" t="s">
        <v>23</v>
      </c>
      <c r="H390" s="9" t="s">
        <v>23</v>
      </c>
      <c r="I390" s="5" t="s">
        <v>23</v>
      </c>
      <c r="J390" t="s">
        <v>23</v>
      </c>
      <c r="K390" t="s">
        <v>23</v>
      </c>
      <c r="L390" t="s">
        <v>23</v>
      </c>
      <c r="M390" t="s">
        <v>23</v>
      </c>
      <c r="N390" t="s">
        <v>23</v>
      </c>
    </row>
    <row r="391" spans="1:14">
      <c r="A391" t="s">
        <v>23</v>
      </c>
      <c r="B391" t="s">
        <v>23</v>
      </c>
      <c r="C391" t="s">
        <v>23</v>
      </c>
      <c r="D391" s="9" t="s">
        <v>23</v>
      </c>
      <c r="E391" s="9" t="s">
        <v>23</v>
      </c>
      <c r="F391" s="9" t="s">
        <v>23</v>
      </c>
      <c r="G391" t="s">
        <v>23</v>
      </c>
      <c r="H391" s="9" t="s">
        <v>23</v>
      </c>
      <c r="I391" s="5" t="s">
        <v>23</v>
      </c>
      <c r="J391" t="s">
        <v>23</v>
      </c>
      <c r="K391" t="s">
        <v>23</v>
      </c>
      <c r="L391" t="s">
        <v>23</v>
      </c>
      <c r="M391" t="s">
        <v>23</v>
      </c>
      <c r="N391" t="s">
        <v>23</v>
      </c>
    </row>
    <row r="392" spans="1:14">
      <c r="A392" t="s">
        <v>23</v>
      </c>
      <c r="B392" t="s">
        <v>23</v>
      </c>
      <c r="C392" t="s">
        <v>23</v>
      </c>
      <c r="D392" s="9" t="s">
        <v>23</v>
      </c>
      <c r="E392" s="9" t="s">
        <v>23</v>
      </c>
      <c r="F392" s="9" t="s">
        <v>23</v>
      </c>
      <c r="G392" t="s">
        <v>23</v>
      </c>
      <c r="H392" s="9" t="s">
        <v>23</v>
      </c>
      <c r="I392" s="5" t="s">
        <v>23</v>
      </c>
      <c r="J392" t="s">
        <v>23</v>
      </c>
      <c r="K392" t="s">
        <v>23</v>
      </c>
      <c r="L392" t="s">
        <v>23</v>
      </c>
      <c r="M392" t="s">
        <v>23</v>
      </c>
      <c r="N392" t="s">
        <v>23</v>
      </c>
    </row>
    <row r="393" spans="1:14">
      <c r="A393" t="s">
        <v>23</v>
      </c>
      <c r="B393" t="s">
        <v>23</v>
      </c>
      <c r="C393" t="s">
        <v>23</v>
      </c>
      <c r="D393" s="9" t="s">
        <v>23</v>
      </c>
      <c r="E393" s="9" t="s">
        <v>23</v>
      </c>
      <c r="F393" s="9" t="s">
        <v>23</v>
      </c>
      <c r="G393" t="s">
        <v>23</v>
      </c>
      <c r="H393" s="9" t="s">
        <v>23</v>
      </c>
      <c r="I393" s="5" t="s">
        <v>23</v>
      </c>
      <c r="J393" t="s">
        <v>23</v>
      </c>
      <c r="K393" t="s">
        <v>23</v>
      </c>
      <c r="L393" t="s">
        <v>23</v>
      </c>
      <c r="M393" t="s">
        <v>23</v>
      </c>
      <c r="N393" t="s">
        <v>23</v>
      </c>
    </row>
    <row r="394" spans="1:14">
      <c r="A394" t="s">
        <v>23</v>
      </c>
      <c r="B394" t="s">
        <v>23</v>
      </c>
      <c r="C394" t="s">
        <v>23</v>
      </c>
      <c r="D394" s="9" t="s">
        <v>23</v>
      </c>
      <c r="E394" s="9" t="s">
        <v>23</v>
      </c>
      <c r="F394" s="9" t="s">
        <v>23</v>
      </c>
      <c r="G394" t="s">
        <v>23</v>
      </c>
      <c r="H394" s="9" t="s">
        <v>23</v>
      </c>
      <c r="I394" s="5" t="s">
        <v>23</v>
      </c>
      <c r="J394" t="s">
        <v>23</v>
      </c>
      <c r="K394" t="s">
        <v>23</v>
      </c>
      <c r="L394" t="s">
        <v>23</v>
      </c>
      <c r="M394" t="s">
        <v>23</v>
      </c>
      <c r="N394" t="s">
        <v>23</v>
      </c>
    </row>
    <row r="395" spans="1:14">
      <c r="A395" t="s">
        <v>23</v>
      </c>
      <c r="B395" t="s">
        <v>23</v>
      </c>
      <c r="C395" t="s">
        <v>23</v>
      </c>
      <c r="D395" s="9" t="s">
        <v>23</v>
      </c>
      <c r="E395" s="9" t="s">
        <v>23</v>
      </c>
      <c r="F395" s="9" t="s">
        <v>23</v>
      </c>
      <c r="G395" t="s">
        <v>23</v>
      </c>
      <c r="H395" s="9" t="s">
        <v>23</v>
      </c>
      <c r="I395" s="5" t="s">
        <v>23</v>
      </c>
      <c r="J395" t="s">
        <v>23</v>
      </c>
      <c r="K395" t="s">
        <v>23</v>
      </c>
      <c r="L395" t="s">
        <v>23</v>
      </c>
      <c r="M395" t="s">
        <v>23</v>
      </c>
      <c r="N395" t="s">
        <v>23</v>
      </c>
    </row>
    <row r="396" spans="1:14">
      <c r="A396" t="s">
        <v>23</v>
      </c>
      <c r="B396" t="s">
        <v>23</v>
      </c>
      <c r="C396" t="s">
        <v>23</v>
      </c>
      <c r="D396" s="9" t="s">
        <v>23</v>
      </c>
      <c r="E396" s="9" t="s">
        <v>23</v>
      </c>
      <c r="F396" s="9" t="s">
        <v>23</v>
      </c>
      <c r="G396" t="s">
        <v>23</v>
      </c>
      <c r="H396" s="9" t="s">
        <v>23</v>
      </c>
      <c r="I396" s="5" t="s">
        <v>23</v>
      </c>
      <c r="J396" t="s">
        <v>23</v>
      </c>
      <c r="K396" t="s">
        <v>23</v>
      </c>
      <c r="L396" t="s">
        <v>23</v>
      </c>
      <c r="M396" t="s">
        <v>23</v>
      </c>
      <c r="N396" t="s">
        <v>23</v>
      </c>
    </row>
    <row r="397" spans="1:14">
      <c r="A397" t="s">
        <v>23</v>
      </c>
      <c r="B397" t="s">
        <v>23</v>
      </c>
      <c r="C397" t="s">
        <v>23</v>
      </c>
      <c r="D397" s="9" t="s">
        <v>23</v>
      </c>
      <c r="E397" s="9" t="s">
        <v>23</v>
      </c>
      <c r="F397" s="9" t="s">
        <v>23</v>
      </c>
      <c r="G397" t="s">
        <v>23</v>
      </c>
      <c r="H397" s="9" t="s">
        <v>23</v>
      </c>
      <c r="I397" s="5" t="s">
        <v>23</v>
      </c>
      <c r="J397" t="s">
        <v>23</v>
      </c>
      <c r="K397" t="s">
        <v>23</v>
      </c>
      <c r="L397" t="s">
        <v>23</v>
      </c>
      <c r="M397" t="s">
        <v>23</v>
      </c>
      <c r="N397" t="s">
        <v>23</v>
      </c>
    </row>
    <row r="398" spans="1:14">
      <c r="A398" t="s">
        <v>23</v>
      </c>
      <c r="B398" t="s">
        <v>23</v>
      </c>
      <c r="C398" t="s">
        <v>23</v>
      </c>
      <c r="D398" s="9" t="s">
        <v>23</v>
      </c>
      <c r="E398" s="9" t="s">
        <v>23</v>
      </c>
      <c r="F398" s="9" t="s">
        <v>23</v>
      </c>
      <c r="G398" t="s">
        <v>23</v>
      </c>
      <c r="H398" s="9" t="s">
        <v>23</v>
      </c>
      <c r="I398" s="5" t="s">
        <v>23</v>
      </c>
      <c r="J398" t="s">
        <v>23</v>
      </c>
      <c r="K398" t="s">
        <v>23</v>
      </c>
      <c r="L398" t="s">
        <v>23</v>
      </c>
      <c r="M398" t="s">
        <v>23</v>
      </c>
      <c r="N398" t="s">
        <v>23</v>
      </c>
    </row>
    <row r="399" spans="1:14">
      <c r="A399" t="s">
        <v>23</v>
      </c>
      <c r="B399" t="s">
        <v>23</v>
      </c>
      <c r="C399" t="s">
        <v>23</v>
      </c>
      <c r="D399" s="9" t="s">
        <v>23</v>
      </c>
      <c r="E399" s="9" t="s">
        <v>23</v>
      </c>
      <c r="F399" s="9" t="s">
        <v>23</v>
      </c>
      <c r="G399" t="s">
        <v>23</v>
      </c>
      <c r="H399" s="9" t="s">
        <v>23</v>
      </c>
      <c r="I399" s="5" t="s">
        <v>23</v>
      </c>
      <c r="J399" t="s">
        <v>23</v>
      </c>
      <c r="K399" t="s">
        <v>23</v>
      </c>
      <c r="L399" t="s">
        <v>23</v>
      </c>
      <c r="M399" t="s">
        <v>23</v>
      </c>
      <c r="N399" t="s">
        <v>23</v>
      </c>
    </row>
    <row r="400" spans="1:14">
      <c r="A400" t="s">
        <v>23</v>
      </c>
      <c r="B400" t="s">
        <v>23</v>
      </c>
      <c r="C400" t="s">
        <v>23</v>
      </c>
      <c r="D400" s="9" t="s">
        <v>23</v>
      </c>
      <c r="E400" s="9" t="s">
        <v>23</v>
      </c>
      <c r="F400" s="9" t="s">
        <v>23</v>
      </c>
      <c r="G400" t="s">
        <v>23</v>
      </c>
      <c r="H400" s="9" t="s">
        <v>23</v>
      </c>
      <c r="I400" s="5" t="s">
        <v>23</v>
      </c>
      <c r="J400" t="s">
        <v>23</v>
      </c>
      <c r="K400" t="s">
        <v>23</v>
      </c>
      <c r="L400" t="s">
        <v>23</v>
      </c>
      <c r="M400" t="s">
        <v>23</v>
      </c>
      <c r="N400" t="s">
        <v>23</v>
      </c>
    </row>
    <row r="401" spans="1:14">
      <c r="A401" t="s">
        <v>23</v>
      </c>
      <c r="B401" t="s">
        <v>23</v>
      </c>
      <c r="C401" t="s">
        <v>23</v>
      </c>
      <c r="D401" s="9" t="s">
        <v>23</v>
      </c>
      <c r="E401" s="9" t="s">
        <v>23</v>
      </c>
      <c r="F401" s="9" t="s">
        <v>23</v>
      </c>
      <c r="G401" t="s">
        <v>23</v>
      </c>
      <c r="H401" s="9" t="s">
        <v>23</v>
      </c>
      <c r="I401" s="5" t="s">
        <v>23</v>
      </c>
      <c r="J401" t="s">
        <v>23</v>
      </c>
      <c r="K401" t="s">
        <v>23</v>
      </c>
      <c r="L401" t="s">
        <v>23</v>
      </c>
      <c r="M401" t="s">
        <v>23</v>
      </c>
      <c r="N401" t="s">
        <v>23</v>
      </c>
    </row>
    <row r="402" spans="1:14">
      <c r="A402" t="s">
        <v>23</v>
      </c>
      <c r="B402" t="s">
        <v>23</v>
      </c>
      <c r="C402" t="s">
        <v>23</v>
      </c>
      <c r="D402" s="9" t="s">
        <v>23</v>
      </c>
      <c r="E402" s="9" t="s">
        <v>23</v>
      </c>
      <c r="F402" s="9" t="s">
        <v>23</v>
      </c>
      <c r="G402" t="s">
        <v>23</v>
      </c>
      <c r="H402" s="9" t="s">
        <v>23</v>
      </c>
      <c r="I402" s="5" t="s">
        <v>23</v>
      </c>
      <c r="J402" t="s">
        <v>23</v>
      </c>
      <c r="K402" t="s">
        <v>23</v>
      </c>
      <c r="L402" t="s">
        <v>23</v>
      </c>
      <c r="M402" t="s">
        <v>23</v>
      </c>
      <c r="N402" t="s">
        <v>23</v>
      </c>
    </row>
    <row r="403" spans="1:14">
      <c r="A403" t="s">
        <v>23</v>
      </c>
      <c r="B403" t="s">
        <v>23</v>
      </c>
      <c r="C403" t="s">
        <v>23</v>
      </c>
      <c r="D403" s="9" t="s">
        <v>23</v>
      </c>
      <c r="E403" s="9" t="s">
        <v>23</v>
      </c>
      <c r="F403" s="9" t="s">
        <v>23</v>
      </c>
      <c r="G403" t="s">
        <v>23</v>
      </c>
      <c r="H403" s="9" t="s">
        <v>23</v>
      </c>
      <c r="I403" s="5" t="s">
        <v>23</v>
      </c>
      <c r="J403" t="s">
        <v>23</v>
      </c>
      <c r="K403" t="s">
        <v>23</v>
      </c>
      <c r="L403" t="s">
        <v>23</v>
      </c>
      <c r="M403" t="s">
        <v>23</v>
      </c>
      <c r="N403" t="s">
        <v>23</v>
      </c>
    </row>
    <row r="404" spans="1:14">
      <c r="A404" t="s">
        <v>23</v>
      </c>
      <c r="B404" t="s">
        <v>23</v>
      </c>
      <c r="C404" t="s">
        <v>23</v>
      </c>
      <c r="D404" s="9" t="s">
        <v>23</v>
      </c>
      <c r="E404" s="9" t="s">
        <v>23</v>
      </c>
      <c r="F404" s="9" t="s">
        <v>23</v>
      </c>
      <c r="G404" t="s">
        <v>23</v>
      </c>
      <c r="H404" s="9" t="s">
        <v>23</v>
      </c>
      <c r="I404" s="5" t="s">
        <v>23</v>
      </c>
      <c r="J404" t="s">
        <v>23</v>
      </c>
      <c r="K404" t="s">
        <v>23</v>
      </c>
      <c r="L404" t="s">
        <v>23</v>
      </c>
      <c r="M404" t="s">
        <v>23</v>
      </c>
      <c r="N404" t="s">
        <v>23</v>
      </c>
    </row>
    <row r="405" spans="1:14">
      <c r="A405" t="s">
        <v>23</v>
      </c>
      <c r="B405" t="s">
        <v>23</v>
      </c>
      <c r="C405" t="s">
        <v>23</v>
      </c>
      <c r="D405" s="9" t="s">
        <v>23</v>
      </c>
      <c r="E405" s="9" t="s">
        <v>23</v>
      </c>
      <c r="F405" s="9" t="s">
        <v>23</v>
      </c>
      <c r="G405" t="s">
        <v>23</v>
      </c>
      <c r="H405" s="9" t="s">
        <v>23</v>
      </c>
      <c r="I405" s="5" t="s">
        <v>23</v>
      </c>
      <c r="J405" t="s">
        <v>23</v>
      </c>
      <c r="K405" t="s">
        <v>23</v>
      </c>
      <c r="L405" t="s">
        <v>23</v>
      </c>
      <c r="M405" t="s">
        <v>23</v>
      </c>
      <c r="N405" t="s">
        <v>23</v>
      </c>
    </row>
    <row r="406" spans="1:14">
      <c r="A406" t="s">
        <v>23</v>
      </c>
      <c r="B406" t="s">
        <v>23</v>
      </c>
      <c r="C406" t="s">
        <v>23</v>
      </c>
      <c r="D406" s="9" t="s">
        <v>23</v>
      </c>
      <c r="E406" s="9" t="s">
        <v>23</v>
      </c>
      <c r="F406" s="9" t="s">
        <v>23</v>
      </c>
      <c r="G406" t="s">
        <v>23</v>
      </c>
      <c r="H406" s="9" t="s">
        <v>23</v>
      </c>
      <c r="I406" s="5" t="s">
        <v>23</v>
      </c>
      <c r="J406" t="s">
        <v>23</v>
      </c>
      <c r="K406" t="s">
        <v>23</v>
      </c>
      <c r="L406" t="s">
        <v>23</v>
      </c>
      <c r="M406" t="s">
        <v>23</v>
      </c>
      <c r="N406" t="s">
        <v>23</v>
      </c>
    </row>
    <row r="407" spans="1:14">
      <c r="A407" t="s">
        <v>23</v>
      </c>
      <c r="B407" t="s">
        <v>23</v>
      </c>
      <c r="C407" t="s">
        <v>23</v>
      </c>
      <c r="D407" s="9" t="s">
        <v>23</v>
      </c>
      <c r="E407" s="9" t="s">
        <v>23</v>
      </c>
      <c r="F407" s="9" t="s">
        <v>23</v>
      </c>
      <c r="G407" t="s">
        <v>23</v>
      </c>
      <c r="H407" s="9" t="s">
        <v>23</v>
      </c>
      <c r="I407" s="5" t="s">
        <v>23</v>
      </c>
      <c r="J407" t="s">
        <v>23</v>
      </c>
      <c r="K407" t="s">
        <v>23</v>
      </c>
      <c r="L407" t="s">
        <v>23</v>
      </c>
      <c r="M407" t="s">
        <v>23</v>
      </c>
      <c r="N407" t="s">
        <v>23</v>
      </c>
    </row>
    <row r="408" spans="1:14">
      <c r="A408" t="s">
        <v>23</v>
      </c>
      <c r="B408" t="s">
        <v>23</v>
      </c>
      <c r="C408" t="s">
        <v>23</v>
      </c>
      <c r="D408" s="9" t="s">
        <v>23</v>
      </c>
      <c r="E408" s="9" t="s">
        <v>23</v>
      </c>
      <c r="F408" s="9" t="s">
        <v>23</v>
      </c>
      <c r="G408" t="s">
        <v>23</v>
      </c>
      <c r="H408" s="9" t="s">
        <v>23</v>
      </c>
      <c r="I408" s="5" t="s">
        <v>23</v>
      </c>
      <c r="J408" t="s">
        <v>23</v>
      </c>
      <c r="K408" t="s">
        <v>23</v>
      </c>
      <c r="L408" t="s">
        <v>23</v>
      </c>
      <c r="M408" t="s">
        <v>23</v>
      </c>
      <c r="N408" t="s">
        <v>23</v>
      </c>
    </row>
    <row r="409" spans="1:14">
      <c r="A409" t="s">
        <v>23</v>
      </c>
      <c r="B409" t="s">
        <v>23</v>
      </c>
      <c r="C409" t="s">
        <v>23</v>
      </c>
      <c r="D409" s="9" t="s">
        <v>23</v>
      </c>
      <c r="E409" s="9" t="s">
        <v>23</v>
      </c>
      <c r="F409" s="9" t="s">
        <v>23</v>
      </c>
      <c r="G409" t="s">
        <v>23</v>
      </c>
      <c r="H409" s="9" t="s">
        <v>23</v>
      </c>
      <c r="I409" s="5" t="s">
        <v>23</v>
      </c>
      <c r="J409" t="s">
        <v>23</v>
      </c>
      <c r="K409" t="s">
        <v>23</v>
      </c>
      <c r="L409" t="s">
        <v>23</v>
      </c>
      <c r="M409" t="s">
        <v>23</v>
      </c>
      <c r="N409" t="s">
        <v>23</v>
      </c>
    </row>
    <row r="410" spans="1:14">
      <c r="A410" t="s">
        <v>23</v>
      </c>
      <c r="B410" t="s">
        <v>23</v>
      </c>
      <c r="C410" t="s">
        <v>23</v>
      </c>
      <c r="D410" s="9" t="s">
        <v>23</v>
      </c>
      <c r="E410" s="9" t="s">
        <v>23</v>
      </c>
      <c r="F410" s="9" t="s">
        <v>23</v>
      </c>
      <c r="G410" t="s">
        <v>23</v>
      </c>
      <c r="H410" s="9" t="s">
        <v>23</v>
      </c>
      <c r="I410" s="5" t="s">
        <v>23</v>
      </c>
      <c r="J410" t="s">
        <v>23</v>
      </c>
      <c r="K410" t="s">
        <v>23</v>
      </c>
      <c r="L410" t="s">
        <v>23</v>
      </c>
      <c r="M410" t="s">
        <v>23</v>
      </c>
      <c r="N410" t="s">
        <v>23</v>
      </c>
    </row>
    <row r="411" spans="1:14">
      <c r="A411" t="s">
        <v>23</v>
      </c>
      <c r="B411" t="s">
        <v>23</v>
      </c>
      <c r="C411" t="s">
        <v>23</v>
      </c>
      <c r="D411" s="9" t="s">
        <v>23</v>
      </c>
      <c r="E411" s="9" t="s">
        <v>23</v>
      </c>
      <c r="F411" s="9" t="s">
        <v>23</v>
      </c>
      <c r="G411" t="s">
        <v>23</v>
      </c>
      <c r="H411" s="9" t="s">
        <v>23</v>
      </c>
      <c r="I411" s="5" t="s">
        <v>23</v>
      </c>
      <c r="J411" t="s">
        <v>23</v>
      </c>
      <c r="K411" t="s">
        <v>23</v>
      </c>
      <c r="L411" t="s">
        <v>23</v>
      </c>
      <c r="M411" t="s">
        <v>23</v>
      </c>
      <c r="N411" t="s">
        <v>23</v>
      </c>
    </row>
    <row r="412" spans="1:14">
      <c r="A412" t="s">
        <v>23</v>
      </c>
      <c r="B412" t="s">
        <v>23</v>
      </c>
      <c r="C412" t="s">
        <v>23</v>
      </c>
      <c r="D412" s="9" t="s">
        <v>23</v>
      </c>
      <c r="E412" s="9" t="s">
        <v>23</v>
      </c>
      <c r="F412" s="9" t="s">
        <v>23</v>
      </c>
      <c r="G412" t="s">
        <v>23</v>
      </c>
      <c r="H412" s="9" t="s">
        <v>23</v>
      </c>
      <c r="I412" s="5" t="s">
        <v>23</v>
      </c>
      <c r="J412" t="s">
        <v>23</v>
      </c>
      <c r="K412" t="s">
        <v>23</v>
      </c>
      <c r="L412" t="s">
        <v>23</v>
      </c>
      <c r="M412" t="s">
        <v>23</v>
      </c>
      <c r="N412" t="s">
        <v>23</v>
      </c>
    </row>
    <row r="413" spans="1:14">
      <c r="A413" t="s">
        <v>23</v>
      </c>
      <c r="B413" t="s">
        <v>23</v>
      </c>
      <c r="C413" t="s">
        <v>23</v>
      </c>
      <c r="D413" s="9" t="s">
        <v>23</v>
      </c>
      <c r="E413" s="9" t="s">
        <v>23</v>
      </c>
      <c r="F413" s="9" t="s">
        <v>23</v>
      </c>
      <c r="G413" t="s">
        <v>23</v>
      </c>
      <c r="H413" s="9" t="s">
        <v>23</v>
      </c>
      <c r="I413" s="5" t="s">
        <v>23</v>
      </c>
      <c r="J413" t="s">
        <v>23</v>
      </c>
      <c r="K413" t="s">
        <v>23</v>
      </c>
      <c r="L413" t="s">
        <v>23</v>
      </c>
      <c r="M413" t="s">
        <v>23</v>
      </c>
      <c r="N413" t="s">
        <v>23</v>
      </c>
    </row>
    <row r="414" spans="1:14">
      <c r="A414" t="s">
        <v>23</v>
      </c>
      <c r="B414" t="s">
        <v>23</v>
      </c>
      <c r="C414" t="s">
        <v>23</v>
      </c>
      <c r="D414" s="9" t="s">
        <v>23</v>
      </c>
      <c r="E414" s="9" t="s">
        <v>23</v>
      </c>
      <c r="F414" s="9" t="s">
        <v>23</v>
      </c>
      <c r="G414" t="s">
        <v>23</v>
      </c>
      <c r="H414" s="9" t="s">
        <v>23</v>
      </c>
      <c r="I414" s="5" t="s">
        <v>23</v>
      </c>
      <c r="J414" t="s">
        <v>23</v>
      </c>
      <c r="K414" t="s">
        <v>23</v>
      </c>
      <c r="L414" t="s">
        <v>23</v>
      </c>
      <c r="M414" t="s">
        <v>23</v>
      </c>
      <c r="N414" t="s">
        <v>23</v>
      </c>
    </row>
    <row r="415" spans="1:14">
      <c r="A415" t="s">
        <v>23</v>
      </c>
      <c r="B415" t="s">
        <v>23</v>
      </c>
      <c r="C415" t="s">
        <v>23</v>
      </c>
      <c r="D415" s="9" t="s">
        <v>23</v>
      </c>
      <c r="E415" s="9" t="s">
        <v>23</v>
      </c>
      <c r="F415" s="9" t="s">
        <v>23</v>
      </c>
      <c r="G415" t="s">
        <v>23</v>
      </c>
      <c r="H415" s="9" t="s">
        <v>23</v>
      </c>
      <c r="I415" s="5" t="s">
        <v>23</v>
      </c>
      <c r="J415" t="s">
        <v>23</v>
      </c>
      <c r="K415" t="s">
        <v>23</v>
      </c>
      <c r="L415" t="s">
        <v>23</v>
      </c>
      <c r="M415" t="s">
        <v>23</v>
      </c>
      <c r="N415" t="s">
        <v>23</v>
      </c>
    </row>
    <row r="416" spans="1:14">
      <c r="A416" t="s">
        <v>23</v>
      </c>
      <c r="B416" t="s">
        <v>23</v>
      </c>
      <c r="C416" t="s">
        <v>23</v>
      </c>
      <c r="D416" s="9" t="s">
        <v>23</v>
      </c>
      <c r="E416" s="9" t="s">
        <v>23</v>
      </c>
      <c r="F416" s="9" t="s">
        <v>23</v>
      </c>
      <c r="G416" t="s">
        <v>23</v>
      </c>
      <c r="H416" s="9" t="s">
        <v>23</v>
      </c>
      <c r="I416" s="5" t="s">
        <v>23</v>
      </c>
      <c r="J416" t="s">
        <v>23</v>
      </c>
      <c r="K416" t="s">
        <v>23</v>
      </c>
      <c r="L416" t="s">
        <v>23</v>
      </c>
      <c r="M416" t="s">
        <v>23</v>
      </c>
      <c r="N416" t="s">
        <v>23</v>
      </c>
    </row>
    <row r="417" spans="1:14">
      <c r="A417" t="s">
        <v>23</v>
      </c>
      <c r="B417" t="s">
        <v>23</v>
      </c>
      <c r="C417" t="s">
        <v>23</v>
      </c>
      <c r="D417" s="9" t="s">
        <v>23</v>
      </c>
      <c r="E417" s="9" t="s">
        <v>23</v>
      </c>
      <c r="F417" s="9" t="s">
        <v>23</v>
      </c>
      <c r="G417" t="s">
        <v>23</v>
      </c>
      <c r="H417" s="9" t="s">
        <v>23</v>
      </c>
      <c r="I417" s="5" t="s">
        <v>23</v>
      </c>
      <c r="J417" t="s">
        <v>23</v>
      </c>
      <c r="K417" t="s">
        <v>23</v>
      </c>
      <c r="L417" t="s">
        <v>23</v>
      </c>
      <c r="M417" t="s">
        <v>23</v>
      </c>
      <c r="N417" t="s">
        <v>23</v>
      </c>
    </row>
    <row r="418" spans="1:14">
      <c r="A418" t="s">
        <v>23</v>
      </c>
      <c r="B418" t="s">
        <v>23</v>
      </c>
      <c r="C418" t="s">
        <v>23</v>
      </c>
      <c r="D418" s="9" t="s">
        <v>23</v>
      </c>
      <c r="E418" s="9" t="s">
        <v>23</v>
      </c>
      <c r="F418" s="9" t="s">
        <v>23</v>
      </c>
      <c r="G418" t="s">
        <v>23</v>
      </c>
      <c r="H418" s="9" t="s">
        <v>23</v>
      </c>
      <c r="I418" s="5" t="s">
        <v>23</v>
      </c>
      <c r="J418" t="s">
        <v>23</v>
      </c>
      <c r="K418" t="s">
        <v>23</v>
      </c>
      <c r="L418" t="s">
        <v>23</v>
      </c>
      <c r="M418" t="s">
        <v>23</v>
      </c>
      <c r="N418" t="s">
        <v>23</v>
      </c>
    </row>
    <row r="419" spans="1:14">
      <c r="A419" t="s">
        <v>23</v>
      </c>
      <c r="B419" t="s">
        <v>23</v>
      </c>
      <c r="C419" t="s">
        <v>23</v>
      </c>
      <c r="D419" s="9" t="s">
        <v>23</v>
      </c>
      <c r="E419" s="9" t="s">
        <v>23</v>
      </c>
      <c r="F419" s="9" t="s">
        <v>23</v>
      </c>
      <c r="G419" t="s">
        <v>23</v>
      </c>
      <c r="H419" s="9" t="s">
        <v>23</v>
      </c>
      <c r="I419" s="5" t="s">
        <v>23</v>
      </c>
      <c r="J419" t="s">
        <v>23</v>
      </c>
      <c r="K419" t="s">
        <v>23</v>
      </c>
      <c r="L419" t="s">
        <v>23</v>
      </c>
      <c r="M419" t="s">
        <v>23</v>
      </c>
      <c r="N419" t="s">
        <v>23</v>
      </c>
    </row>
    <row r="420" spans="1:14">
      <c r="A420" t="s">
        <v>23</v>
      </c>
      <c r="B420" t="s">
        <v>23</v>
      </c>
      <c r="C420" t="s">
        <v>23</v>
      </c>
      <c r="D420" s="9" t="s">
        <v>23</v>
      </c>
      <c r="E420" s="9" t="s">
        <v>23</v>
      </c>
      <c r="F420" s="9" t="s">
        <v>23</v>
      </c>
      <c r="G420" t="s">
        <v>23</v>
      </c>
      <c r="H420" s="9" t="s">
        <v>23</v>
      </c>
      <c r="I420" s="5" t="s">
        <v>23</v>
      </c>
      <c r="J420" t="s">
        <v>23</v>
      </c>
      <c r="K420" t="s">
        <v>23</v>
      </c>
      <c r="L420" t="s">
        <v>23</v>
      </c>
      <c r="M420" t="s">
        <v>23</v>
      </c>
      <c r="N420" t="s">
        <v>23</v>
      </c>
    </row>
    <row r="421" spans="1:14">
      <c r="A421" t="s">
        <v>23</v>
      </c>
      <c r="B421" t="s">
        <v>23</v>
      </c>
      <c r="C421" t="s">
        <v>23</v>
      </c>
      <c r="D421" s="9" t="s">
        <v>23</v>
      </c>
      <c r="E421" s="9" t="s">
        <v>23</v>
      </c>
      <c r="F421" s="9" t="s">
        <v>23</v>
      </c>
      <c r="G421" t="s">
        <v>23</v>
      </c>
      <c r="H421" s="9" t="s">
        <v>23</v>
      </c>
      <c r="I421" s="5" t="s">
        <v>23</v>
      </c>
      <c r="J421" t="s">
        <v>23</v>
      </c>
      <c r="K421" t="s">
        <v>23</v>
      </c>
      <c r="L421" t="s">
        <v>23</v>
      </c>
      <c r="M421" t="s">
        <v>23</v>
      </c>
      <c r="N421" t="s">
        <v>23</v>
      </c>
    </row>
    <row r="422" spans="1:14">
      <c r="A422" t="s">
        <v>23</v>
      </c>
      <c r="B422" t="s">
        <v>23</v>
      </c>
      <c r="C422" t="s">
        <v>23</v>
      </c>
      <c r="D422" s="9" t="s">
        <v>23</v>
      </c>
      <c r="E422" s="9" t="s">
        <v>23</v>
      </c>
      <c r="F422" s="9" t="s">
        <v>23</v>
      </c>
      <c r="G422" t="s">
        <v>23</v>
      </c>
      <c r="H422" s="9" t="s">
        <v>23</v>
      </c>
      <c r="I422" s="5" t="s">
        <v>23</v>
      </c>
      <c r="J422" t="s">
        <v>23</v>
      </c>
      <c r="K422" t="s">
        <v>23</v>
      </c>
      <c r="L422" t="s">
        <v>23</v>
      </c>
      <c r="M422" t="s">
        <v>23</v>
      </c>
      <c r="N422" t="s">
        <v>23</v>
      </c>
    </row>
    <row r="423" spans="1:14">
      <c r="A423" t="s">
        <v>23</v>
      </c>
      <c r="B423" t="s">
        <v>23</v>
      </c>
      <c r="C423" t="s">
        <v>23</v>
      </c>
      <c r="D423" s="9" t="s">
        <v>23</v>
      </c>
      <c r="E423" s="9" t="s">
        <v>23</v>
      </c>
      <c r="F423" s="9" t="s">
        <v>23</v>
      </c>
      <c r="G423" t="s">
        <v>23</v>
      </c>
      <c r="H423" s="9" t="s">
        <v>23</v>
      </c>
      <c r="I423" s="5" t="s">
        <v>23</v>
      </c>
      <c r="J423" t="s">
        <v>23</v>
      </c>
      <c r="K423" t="s">
        <v>23</v>
      </c>
      <c r="L423" t="s">
        <v>23</v>
      </c>
      <c r="M423" t="s">
        <v>23</v>
      </c>
      <c r="N423" t="s">
        <v>23</v>
      </c>
    </row>
    <row r="424" spans="1:14">
      <c r="A424" t="s">
        <v>23</v>
      </c>
      <c r="B424" t="s">
        <v>23</v>
      </c>
      <c r="C424" t="s">
        <v>23</v>
      </c>
      <c r="D424" s="9" t="s">
        <v>23</v>
      </c>
      <c r="E424" s="9" t="s">
        <v>23</v>
      </c>
      <c r="F424" s="9" t="s">
        <v>23</v>
      </c>
      <c r="G424" t="s">
        <v>23</v>
      </c>
      <c r="H424" s="9" t="s">
        <v>23</v>
      </c>
      <c r="I424" s="5" t="s">
        <v>23</v>
      </c>
      <c r="J424" t="s">
        <v>23</v>
      </c>
      <c r="K424" t="s">
        <v>23</v>
      </c>
      <c r="L424" t="s">
        <v>23</v>
      </c>
      <c r="M424" t="s">
        <v>23</v>
      </c>
      <c r="N424" t="s">
        <v>23</v>
      </c>
    </row>
    <row r="425" spans="1:14">
      <c r="A425" t="s">
        <v>23</v>
      </c>
      <c r="B425" t="s">
        <v>23</v>
      </c>
      <c r="C425" t="s">
        <v>23</v>
      </c>
      <c r="D425" s="9" t="s">
        <v>23</v>
      </c>
      <c r="E425" s="9" t="s">
        <v>23</v>
      </c>
      <c r="F425" s="9" t="s">
        <v>23</v>
      </c>
      <c r="G425" t="s">
        <v>23</v>
      </c>
      <c r="H425" s="9" t="s">
        <v>23</v>
      </c>
      <c r="I425" s="5" t="s">
        <v>23</v>
      </c>
      <c r="J425" t="s">
        <v>23</v>
      </c>
      <c r="K425" t="s">
        <v>23</v>
      </c>
      <c r="L425" t="s">
        <v>23</v>
      </c>
      <c r="M425" t="s">
        <v>23</v>
      </c>
      <c r="N425" t="s">
        <v>23</v>
      </c>
    </row>
    <row r="426" spans="1:14">
      <c r="A426" t="s">
        <v>23</v>
      </c>
      <c r="B426" t="s">
        <v>23</v>
      </c>
      <c r="C426" t="s">
        <v>23</v>
      </c>
      <c r="D426" s="9" t="s">
        <v>23</v>
      </c>
      <c r="E426" s="9" t="s">
        <v>23</v>
      </c>
      <c r="F426" s="9" t="s">
        <v>23</v>
      </c>
      <c r="G426" t="s">
        <v>23</v>
      </c>
      <c r="H426" s="9" t="s">
        <v>23</v>
      </c>
      <c r="I426" s="5" t="s">
        <v>23</v>
      </c>
      <c r="J426" t="s">
        <v>23</v>
      </c>
      <c r="K426" t="s">
        <v>23</v>
      </c>
      <c r="L426" t="s">
        <v>23</v>
      </c>
      <c r="M426" t="s">
        <v>23</v>
      </c>
      <c r="N426" t="s">
        <v>23</v>
      </c>
    </row>
    <row r="427" spans="1:14">
      <c r="A427" t="s">
        <v>23</v>
      </c>
      <c r="B427" t="s">
        <v>23</v>
      </c>
      <c r="C427" t="s">
        <v>23</v>
      </c>
      <c r="D427" s="9" t="s">
        <v>23</v>
      </c>
      <c r="E427" s="9" t="s">
        <v>23</v>
      </c>
      <c r="F427" s="9" t="s">
        <v>23</v>
      </c>
      <c r="G427" t="s">
        <v>23</v>
      </c>
      <c r="H427" s="9" t="s">
        <v>23</v>
      </c>
      <c r="I427" s="5" t="s">
        <v>23</v>
      </c>
      <c r="J427" t="s">
        <v>23</v>
      </c>
      <c r="K427" t="s">
        <v>23</v>
      </c>
      <c r="L427" t="s">
        <v>23</v>
      </c>
      <c r="M427" t="s">
        <v>23</v>
      </c>
      <c r="N427" t="s">
        <v>23</v>
      </c>
    </row>
  </sheetData>
  <autoFilter ref="A1:N324" xr:uid="{57131880-1C49-4518-9CB3-2BAB3639BAC4}"/>
  <pageMargins left="0.7" right="0.7" top="0.78740157499999996" bottom="0.78740157499999996" header="0.3" footer="0.3"/>
  <pageSetup paperSize="9" orientation="portrait" r:id="rId1"/>
  <headerFooter>
    <oddHeader>&amp;L&amp;"DB Neo Office"&amp;11&amp;KEC0016           DB Intern / DB internal&amp;1#_x000D_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EC348-31EA-4AE3-9560-FA5543127DBA}">
  <sheetPr>
    <tabColor theme="7"/>
  </sheetPr>
  <dimension ref="A1:AK196"/>
  <sheetViews>
    <sheetView workbookViewId="0">
      <selection activeCell="D39" sqref="D39"/>
    </sheetView>
  </sheetViews>
  <sheetFormatPr baseColWidth="10" defaultColWidth="11.42578125" defaultRowHeight="15"/>
  <cols>
    <col min="1" max="1" width="15.42578125" bestFit="1" customWidth="1"/>
    <col min="2" max="2" width="21.42578125" customWidth="1"/>
    <col min="3" max="3" width="9.42578125" bestFit="1" customWidth="1"/>
    <col min="4" max="4" width="27.140625" customWidth="1"/>
    <col min="5" max="5" width="11.42578125" style="56"/>
    <col min="7" max="7" width="14.42578125" customWidth="1"/>
    <col min="9" max="9" width="2.42578125" customWidth="1"/>
    <col min="11" max="11" width="32" bestFit="1" customWidth="1"/>
    <col min="12" max="12" width="15.140625" bestFit="1" customWidth="1"/>
    <col min="24" max="31" width="11.42578125" style="51"/>
  </cols>
  <sheetData>
    <row r="1" spans="1:37" ht="15.75" thickBot="1">
      <c r="P1" s="32"/>
      <c r="Q1" s="32"/>
      <c r="R1" s="32"/>
      <c r="S1" s="32"/>
      <c r="T1" s="32"/>
      <c r="U1" s="32"/>
      <c r="V1" s="32"/>
      <c r="W1" s="32"/>
      <c r="Y1" s="51" t="s">
        <v>0</v>
      </c>
      <c r="Z1" s="51" t="s">
        <v>1</v>
      </c>
      <c r="AA1" s="51" t="s">
        <v>2</v>
      </c>
      <c r="AE1" s="51" t="str" cm="1">
        <f t="array" ref="AE1:AE196">Ziehung[LosID]</f>
        <v>BP-2a</v>
      </c>
      <c r="AF1" s="32"/>
      <c r="AG1" s="32"/>
      <c r="AH1" s="32"/>
      <c r="AI1" s="32"/>
      <c r="AJ1" s="32"/>
      <c r="AK1" s="32"/>
    </row>
    <row r="2" spans="1:37" ht="24" thickBot="1">
      <c r="A2" s="38" t="s">
        <v>3</v>
      </c>
      <c r="B2" s="110" t="s">
        <v>1201</v>
      </c>
      <c r="C2" s="110"/>
      <c r="D2" s="111"/>
      <c r="E2" s="57"/>
      <c r="F2" s="36"/>
      <c r="G2" s="39" t="s">
        <v>5</v>
      </c>
      <c r="H2" s="48">
        <f>SUM(Logbuch[Punkte])+SUM(J18:J40)</f>
        <v>0</v>
      </c>
      <c r="I2" s="35"/>
      <c r="J2" s="39" t="s">
        <v>6</v>
      </c>
      <c r="K2" s="37">
        <f ca="1">NOW()</f>
        <v>46248.663077777775</v>
      </c>
      <c r="P2" s="32"/>
      <c r="Q2" s="32"/>
      <c r="R2" s="32"/>
      <c r="S2" s="32"/>
      <c r="T2" s="32"/>
      <c r="U2" s="32"/>
      <c r="V2" s="32"/>
      <c r="W2" s="32"/>
      <c r="Y2" s="51" t="s">
        <v>7</v>
      </c>
      <c r="Z2" s="51" t="s">
        <v>8</v>
      </c>
      <c r="AA2" s="51" t="s">
        <v>9</v>
      </c>
      <c r="AC2" s="51" t="s">
        <v>8</v>
      </c>
      <c r="AD2" s="51">
        <v>1</v>
      </c>
      <c r="AE2" s="51" t="str">
        <v>BP-2b</v>
      </c>
      <c r="AF2" s="32"/>
      <c r="AG2" s="32"/>
      <c r="AH2" s="32"/>
      <c r="AI2" s="32"/>
      <c r="AJ2" s="32"/>
      <c r="AK2" s="32"/>
    </row>
    <row r="3" spans="1:37" ht="15.75" thickBot="1">
      <c r="P3" s="32"/>
      <c r="Q3" s="32"/>
      <c r="R3" s="32"/>
      <c r="S3" s="32"/>
      <c r="T3" s="32"/>
      <c r="U3" s="32"/>
      <c r="V3" s="32"/>
      <c r="W3" s="32"/>
      <c r="Y3" s="51" t="s">
        <v>10</v>
      </c>
      <c r="Z3" s="51" t="s">
        <v>11</v>
      </c>
      <c r="AA3" s="51" t="s">
        <v>12</v>
      </c>
      <c r="AC3" s="51" t="s">
        <v>11</v>
      </c>
      <c r="AD3" s="51">
        <v>2</v>
      </c>
      <c r="AE3" s="51" t="str">
        <v>BP-5a</v>
      </c>
      <c r="AF3" s="32"/>
      <c r="AG3" s="32"/>
      <c r="AH3" s="32"/>
      <c r="AI3" s="32"/>
      <c r="AJ3" s="32"/>
      <c r="AK3" s="32"/>
    </row>
    <row r="4" spans="1:37">
      <c r="A4" s="32" t="s">
        <v>13</v>
      </c>
      <c r="B4" s="32" t="s">
        <v>15</v>
      </c>
      <c r="C4" s="33" t="s">
        <v>14</v>
      </c>
      <c r="D4" s="32" t="s">
        <v>16</v>
      </c>
      <c r="E4" s="58" t="s">
        <v>6</v>
      </c>
      <c r="F4" s="32" t="s">
        <v>17</v>
      </c>
      <c r="G4" s="32" t="s">
        <v>1202</v>
      </c>
      <c r="H4" s="32" t="s">
        <v>5</v>
      </c>
      <c r="J4" s="40" t="s">
        <v>6</v>
      </c>
      <c r="K4" s="41" t="s">
        <v>19</v>
      </c>
      <c r="P4" s="32"/>
      <c r="Q4" s="32"/>
      <c r="R4" s="32"/>
      <c r="S4" s="32"/>
      <c r="T4" s="32"/>
      <c r="U4" s="32"/>
      <c r="V4" s="32"/>
      <c r="W4" s="32"/>
      <c r="Z4" s="51" t="s">
        <v>20</v>
      </c>
      <c r="AA4" s="51" t="s">
        <v>21</v>
      </c>
      <c r="AC4" s="51" t="s">
        <v>20</v>
      </c>
      <c r="AD4" s="51">
        <v>3</v>
      </c>
      <c r="AE4" s="51" t="str">
        <v>BP-5b</v>
      </c>
      <c r="AF4" s="32"/>
      <c r="AG4" s="32"/>
      <c r="AH4" s="32"/>
      <c r="AI4" s="32"/>
      <c r="AJ4" s="32"/>
      <c r="AK4" s="32"/>
    </row>
    <row r="5" spans="1:37">
      <c r="A5" t="s">
        <v>2</v>
      </c>
      <c r="B5" t="s">
        <v>9</v>
      </c>
      <c r="D5" t="s">
        <v>22</v>
      </c>
      <c r="E5" s="56">
        <v>0.39583333333333331</v>
      </c>
      <c r="F5" s="53">
        <v>46256</v>
      </c>
      <c r="G5" t="str" cm="1">
        <f t="array" ref="G5">_xlfn.LET(
    _xlpm.letzteAusstieg, IFERROR(MAX(_xlfn._xlws.FILTER(ROW($B4:B$5), ($B4:B$5=$Y$3) + ($B4:B$5=$AA$10)))-4, 0),
    _xlpm.ersteEinstieg, IFERROR(MIN(_xlfn._xlws.FILTER(ROW(C6:$C$1003), (C6:$C$1003=$Y$2) + (C6:$C$1003=$AA$9)))-ROW(B5), 0),
    IF(
        OR(_xlpm.ersteEinstieg=0, NOT(OR(B5=$Z$3, B5=$Z$4))),
        "",
        _xlfn.LET(
            _xlpm.wertAus,
                N(INDEX(E4:E$5, _xlpm.letzteAusstieg))  * 24 * 60
              + N(INDEX(G4:G$5, _xlpm.letzteAusstieg)),
            _xlpm.wertEin,
                N(INDEX(E6:E$1008, _xlpm.ersteEinstieg))  * 24 * 60
              + N(INDEX(G6:G$1008, _xlpm.ersteEinstieg)),
            _xlpm.diff, ROUND(_xlpm.wertEin - _xlpm.wertAus,0),
            _xlpm.minuteSoll,
                N(_xlfn.XLOOKUP(C5,Ziehung[LosID],Ziehung[Zeit-bedarf (min)])),
            "Los: "&amp;_xlpm.minuteSoll&amp;"; Um.:"&amp; _xlpm.diff
        )
    )
)</f>
        <v/>
      </c>
      <c r="H5" s="46" cm="1">
        <f t="array" ref="H5">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0</v>
      </c>
      <c r="J5" s="42">
        <v>0.93402777777777779</v>
      </c>
      <c r="K5" s="43" t="s">
        <v>1203</v>
      </c>
      <c r="P5" s="32"/>
      <c r="Q5" s="32"/>
      <c r="R5" s="32"/>
      <c r="S5" s="32"/>
      <c r="T5" s="32"/>
      <c r="U5" s="32"/>
      <c r="V5" s="32"/>
      <c r="W5" s="32"/>
      <c r="AA5" s="51" t="s">
        <v>1204</v>
      </c>
      <c r="AE5" s="51" t="str">
        <v>BP-11a</v>
      </c>
      <c r="AF5" s="32"/>
      <c r="AG5" s="32"/>
      <c r="AH5" s="32"/>
      <c r="AI5" s="32"/>
      <c r="AJ5" s="32"/>
      <c r="AK5" s="32"/>
    </row>
    <row r="6" spans="1:37">
      <c r="B6" t="str" cm="1">
        <f t="array" ref="B6">_xlfn.SWITCH(Logbuch[[#This Row],[Eintragsart]],
$Y$1,IF(B5="Einstieg","Ausstieg","Einstieg"),
$Z$1,$Z$2,"")</f>
        <v/>
      </c>
      <c r="C6" t="str" cm="1">
        <f t="array" ref="C6">_xlfn.SWITCH(Logbuch[[#This Row],[Eintragsart]],
$Y$1,IF(Logbuch[[#This Row],[Check]]=$Y$2,C5,""),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MIN(INT(($J$8-$J$7)*144)*$J$9,INT((E6-$J$7)*144)*$J$9),"")),
""
)</f>
        <v/>
      </c>
      <c r="D6" t="str" cm="1">
        <f t="array" ref="D6">IFERROR(
_xlfn.IFS(
AND(Logbuch[[#This Row],[Eintragsart]]=$Z$1,Logbuch[[#This Row],[Details]]),_xlfn.XLOOKUP(IF(Logbuch[[#This Row],[Eintragsart]]=$Z$1,Logbuch[[#This Row],[Details]],""),Ziehung[LosID],Ziehung[Bahnhof],FALSE,0),
AND(Logbuch[[#This Row],[Eintragsart]]=$Y$1,Logbuch[[#This Row],[Check]]="Einstieg"),D5),
"")</f>
        <v/>
      </c>
      <c r="F6" s="53">
        <f>IF(F5,F5,"")</f>
        <v>46256</v>
      </c>
      <c r="G6" t="str" cm="1">
        <f t="array" ref="G6">_xlfn.LET(
    _xlpm.letzteAusstieg, IFERROR(MAX(_xlfn._xlws.FILTER(ROW($B$5:B5), ($B$5:B5=$Y$3) + ($B$5:B5=$AA$10)))-4, 0),
    _xlpm.ersteEinstieg, IFERROR(MIN(_xlfn._xlws.FILTER(ROW(C7:$C$1003), (C7:$C$1003=$Y$2) + (C7:$C$1003=$AA$9)))-ROW(B6), 0),
    IF(
        OR(_xlpm.ersteEinstieg=0, NOT(OR(B6=$Z$3, B6=$Z$4))),
        "",
        _xlfn.LET(
            _xlpm.wertAus,
                N(INDEX(E$5:E5, _xlpm.letzteAusstieg))  * 24 * 60
              + N(INDEX(G$5:G5, _xlpm.letzteAusstieg)),
            _xlpm.wertEin,
                N(INDEX(E7:E$1008, _xlpm.ersteEinstieg))  * 24 * 60
              + N(INDEX(G7:G$1008, _xlpm.ersteEinstieg)),
            _xlpm.diff, ROUND(_xlpm.wertEin - _xlpm.wertAus,0),
            _xlpm.minuteSoll,
                N(_xlfn.XLOOKUP(C6,Ziehung[LosID],Ziehung[Zeit-bedarf (min)])),
            "Los: "&amp;_xlpm.minuteSoll&amp;"; Um.:"&amp; _xlpm.diff
        )
    )
)</f>
        <v/>
      </c>
      <c r="H6" s="46" t="str" cm="1">
        <f t="array" ref="H6">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6" s="42">
        <v>0.97569444444444442</v>
      </c>
      <c r="K6" s="43" t="s">
        <v>27</v>
      </c>
      <c r="P6" s="32"/>
      <c r="Q6" s="32"/>
      <c r="R6" s="32"/>
      <c r="S6" s="32"/>
      <c r="T6" s="32"/>
      <c r="U6" s="32"/>
      <c r="V6" s="32"/>
      <c r="W6" s="32"/>
      <c r="AA6" s="51" t="s">
        <v>1205</v>
      </c>
      <c r="AE6" s="51" t="str">
        <v>BP-11b</v>
      </c>
      <c r="AF6" s="32"/>
      <c r="AG6" s="32"/>
      <c r="AH6" s="32"/>
      <c r="AI6" s="32"/>
      <c r="AJ6" s="32"/>
      <c r="AK6" s="32"/>
    </row>
    <row r="7" spans="1:37">
      <c r="B7" t="str" cm="1">
        <f t="array" ref="B7">_xlfn.SWITCH(Logbuch[[#This Row],[Eintragsart]],
$Y$1,IF(B6="Einstieg","Ausstieg","Einstieg"),
$Z$1,$Z$2,"")</f>
        <v/>
      </c>
      <c r="C7" t="str" cm="1">
        <f t="array" ref="C7">_xlfn.SWITCH(Logbuch[[#This Row],[Eintragsart]],
$Y$1,IF(Logbuch[[#This Row],[Check]]=$Y$2,C6,""),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MIN(INT(($J$8-$J$7)*144)*$J$9,INT((E7-$J$7)*144)*$J$9),"")),
""
)</f>
        <v/>
      </c>
      <c r="D7" t="str" cm="1">
        <f t="array" ref="D7">IFERROR(
_xlfn.IFS(
AND(Logbuch[[#This Row],[Eintragsart]]=$Z$1,Logbuch[[#This Row],[Details]]),_xlfn.XLOOKUP(IF(Logbuch[[#This Row],[Eintragsart]]=$Z$1,Logbuch[[#This Row],[Details]],""),Ziehung[LosID],Ziehung[Bahnhof],FALSE,0),
AND(Logbuch[[#This Row],[Eintragsart]]=$Y$1,Logbuch[[#This Row],[Check]]="Einstieg"),D6),
"")</f>
        <v/>
      </c>
      <c r="F7" s="53">
        <f t="shared" ref="F7:F40" si="0">F6</f>
        <v>46256</v>
      </c>
      <c r="G7" t="str" cm="1">
        <f t="array" ref="G7">_xlfn.LET(
    _xlpm.letzteAusstieg, IFERROR(MAX(_xlfn._xlws.FILTER(ROW($B$5:B6), ($B$5:B6=$Y$3) + ($B$5:B6=$AA$10)))-4, 0),
    _xlpm.ersteEinstieg, IFERROR(MIN(_xlfn._xlws.FILTER(ROW(C8:$C$1003), (C8:$C$1003=$Y$2) + (C8:$C$1003=$AA$9)))-ROW(B7), 0),
    IF(
        OR(_xlpm.ersteEinstieg=0, NOT(OR(B7=$Z$3, B7=$Z$4))),
        "",
        _xlfn.LET(
            _xlpm.wertAus,
                N(INDEX(E$5:E6, _xlpm.letzteAusstieg))  * 24 * 60
              + N(INDEX(G$5:G6, _xlpm.letzteAusstieg)),
            _xlpm.wertEin,
                N(INDEX(E8:E$1008, _xlpm.ersteEinstieg))  * 24 * 60
              + N(INDEX(G8:G$1008, _xlpm.ersteEinstieg)),
            _xlpm.diff, ROUND(_xlpm.wertEin - _xlpm.wertAus,0),
            _xlpm.minuteSoll,
                N(_xlfn.XLOOKUP(C7,Ziehung[LosID],Ziehung[Zeit-bedarf (min)])),
            "Los: "&amp;_xlpm.minuteSoll&amp;"; Um.:"&amp; _xlpm.diff
        )
    )
)</f>
        <v/>
      </c>
      <c r="H7" s="46" t="str" cm="1">
        <f t="array" ref="H7">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7" s="42">
        <v>0.22222222222222221</v>
      </c>
      <c r="K7" s="43" t="s">
        <v>1206</v>
      </c>
      <c r="P7" s="32"/>
      <c r="Q7" s="32"/>
      <c r="R7" s="32"/>
      <c r="S7" s="32"/>
      <c r="T7" s="32"/>
      <c r="U7" s="32"/>
      <c r="V7" s="32"/>
      <c r="W7" s="32"/>
      <c r="AA7" s="51" t="s">
        <v>25</v>
      </c>
      <c r="AE7" s="51" t="str">
        <v>BP-24a</v>
      </c>
      <c r="AF7" s="32"/>
      <c r="AG7" s="32"/>
      <c r="AH7" s="32"/>
      <c r="AI7" s="32"/>
      <c r="AJ7" s="32"/>
      <c r="AK7" s="32"/>
    </row>
    <row r="8" spans="1:37">
      <c r="B8" t="str" cm="1">
        <f t="array" ref="B8">_xlfn.SWITCH(Logbuch[[#This Row],[Eintragsart]],
$Y$1,IF(B7="Einstieg","Ausstieg","Einstieg"),
$Z$1,$Z$2,"")</f>
        <v/>
      </c>
      <c r="C8" t="str" cm="1">
        <f t="array" ref="C8">_xlfn.SWITCH(Logbuch[[#This Row],[Eintragsart]],
$Y$1,IF(Logbuch[[#This Row],[Check]]=$Y$2,C7,""),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MIN(INT(($J$8-$J$7)*144)*$J$9,INT((E8-$J$7)*144)*$J$9),"")),
""
)</f>
        <v/>
      </c>
      <c r="D8" t="str" cm="1">
        <f t="array" ref="D8">IFERROR(
_xlfn.IFS(
AND(Logbuch[[#This Row],[Eintragsart]]=$Z$1,Logbuch[[#This Row],[Details]]),_xlfn.XLOOKUP(IF(Logbuch[[#This Row],[Eintragsart]]=$Z$1,Logbuch[[#This Row],[Details]],""),Ziehung[LosID],Ziehung[Bahnhof],FALSE,0),
AND(Logbuch[[#This Row],[Eintragsart]]=$Y$1,Logbuch[[#This Row],[Check]]="Einstieg"),D7),
"")</f>
        <v/>
      </c>
      <c r="F8" s="53">
        <f t="shared" si="0"/>
        <v>46256</v>
      </c>
      <c r="G8" t="str" cm="1">
        <f t="array" ref="G8">_xlfn.LET(
    _xlpm.letzteAusstieg, IFERROR(MAX(_xlfn._xlws.FILTER(ROW($B$5:B7), ($B$5:B7=$Y$3) + ($B$5:B7=$AA$10)))-4, 0),
    _xlpm.ersteEinstieg, IFERROR(MIN(_xlfn._xlws.FILTER(ROW(C9:$C$1003), (C9:$C$1003=$Y$2) + (C9:$C$1003=$AA$9)))-ROW(B8), 0),
    IF(
        OR(_xlpm.ersteEinstieg=0, NOT(OR(B8=$Z$3, B8=$Z$4))),
        "",
        _xlfn.LET(
            _xlpm.wertAus,
                N(INDEX(E$5:E7, _xlpm.letzteAusstieg))  * 24 * 60
              + N(INDEX(G$5:G7, _xlpm.letzteAusstieg)),
            _xlpm.wertEin,
                N(INDEX(E9:E$1008, _xlpm.ersteEinstieg))  * 24 * 60
              + N(INDEX(G9:G$1008, _xlpm.ersteEinstieg)),
            _xlpm.diff, ROUND(_xlpm.wertEin - _xlpm.wertAus,0),
            _xlpm.minuteSoll,
                N(_xlfn.XLOOKUP(C8,Ziehung[LosID],Ziehung[Zeit-bedarf (min)])),
            "Los: "&amp;_xlpm.minuteSoll&amp;"; Um.:"&amp; _xlpm.diff
        )
    )
)</f>
        <v/>
      </c>
      <c r="H8" s="46" t="str" cm="1">
        <f t="array" ref="H8">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8" s="42">
        <v>0.30555555555555552</v>
      </c>
      <c r="K8" s="43" t="s">
        <v>34</v>
      </c>
      <c r="P8" s="32"/>
      <c r="Q8" s="32"/>
      <c r="R8" s="32"/>
      <c r="S8" s="32"/>
      <c r="T8" s="32"/>
      <c r="U8" s="32"/>
      <c r="V8" s="32"/>
      <c r="W8" s="32"/>
      <c r="AA8" s="51" t="s">
        <v>28</v>
      </c>
      <c r="AE8" s="51" t="str">
        <v>BP-24b</v>
      </c>
      <c r="AF8" s="32"/>
      <c r="AG8" s="32"/>
      <c r="AH8" s="32"/>
      <c r="AI8" s="32"/>
      <c r="AJ8" s="32"/>
      <c r="AK8" s="32"/>
    </row>
    <row r="9" spans="1:37" ht="15.75" thickBot="1">
      <c r="B9" t="str" cm="1">
        <f t="array" ref="B9">_xlfn.SWITCH(Logbuch[[#This Row],[Eintragsart]],
$Y$1,IF(B8="Einstieg","Ausstieg","Einstieg"),
$Z$1,$Z$2,"")</f>
        <v/>
      </c>
      <c r="C9" t="str" cm="1">
        <f t="array" ref="C9">_xlfn.SWITCH(Logbuch[[#This Row],[Eintragsart]],
$Y$1,IF(Logbuch[[#This Row],[Check]]=$Y$2,C8,""),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MIN(INT(($J$8-$J$7)*144)*$J$9,INT((E9-$J$7)*144)*$J$9),"")),
""
)</f>
        <v/>
      </c>
      <c r="D9" t="str" cm="1">
        <f t="array" ref="D9">IFERROR(
_xlfn.IFS(
AND(Logbuch[[#This Row],[Eintragsart]]=$Z$1,Logbuch[[#This Row],[Details]]),_xlfn.XLOOKUP(IF(Logbuch[[#This Row],[Eintragsart]]=$Z$1,Logbuch[[#This Row],[Details]],""),Ziehung[LosID],Ziehung[Bahnhof],FALSE,0),
AND(Logbuch[[#This Row],[Eintragsart]]=$Y$1,Logbuch[[#This Row],[Check]]="Einstieg"),D8),
"")</f>
        <v/>
      </c>
      <c r="F9" s="53">
        <f t="shared" si="0"/>
        <v>46256</v>
      </c>
      <c r="G9" t="str" cm="1">
        <f t="array" ref="G9">_xlfn.LET(
    _xlpm.letzteAusstieg, IFERROR(MAX(_xlfn._xlws.FILTER(ROW($B$5:B8), ($B$5:B8=$Y$3) + ($B$5:B8=$AA$10)))-4, 0),
    _xlpm.ersteEinstieg, IFERROR(MIN(_xlfn._xlws.FILTER(ROW(C10:$C$1003), (C10:$C$1003=$Y$2) + (C10:$C$1003=$AA$9)))-ROW(B9), 0),
    IF(
        OR(_xlpm.ersteEinstieg=0, NOT(OR(B9=$Z$3, B9=$Z$4))),
        "",
        _xlfn.LET(
            _xlpm.wertAus,
                N(INDEX(E$5:E8, _xlpm.letzteAusstieg))  * 24 * 60
              + N(INDEX(G$5:G8, _xlpm.letzteAusstieg)),
            _xlpm.wertEin,
                N(INDEX(E10:E$1008, _xlpm.ersteEinstieg))  * 24 * 60
              + N(INDEX(G10:G$1008, _xlpm.ersteEinstieg)),
            _xlpm.diff, ROUND(_xlpm.wertEin - _xlpm.wertAus,0),
            _xlpm.minuteSoll,
                N(_xlfn.XLOOKUP(C9,Ziehung[LosID],Ziehung[Zeit-bedarf (min)])),
            "Los: "&amp;_xlpm.minuteSoll&amp;"; Um.:"&amp; _xlpm.diff
        )
    )
)</f>
        <v/>
      </c>
      <c r="H9" s="46" t="str" cm="1">
        <f t="array" ref="H9">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9" s="44">
        <v>25</v>
      </c>
      <c r="K9" s="45" t="s">
        <v>1207</v>
      </c>
      <c r="P9" s="32"/>
      <c r="Q9" s="32"/>
      <c r="R9" s="32"/>
      <c r="S9" s="32"/>
      <c r="T9" s="32"/>
      <c r="U9" s="32"/>
      <c r="V9" s="32"/>
      <c r="W9" s="32"/>
      <c r="AA9" s="51" t="s">
        <v>31</v>
      </c>
      <c r="AE9" s="51" t="str">
        <v>BP-25a</v>
      </c>
      <c r="AF9" s="32"/>
      <c r="AG9" s="32"/>
      <c r="AH9" s="32"/>
      <c r="AI9" s="32"/>
      <c r="AJ9" s="32"/>
      <c r="AK9" s="32"/>
    </row>
    <row r="10" spans="1:37" ht="15.75" thickBot="1">
      <c r="B10" t="str" cm="1">
        <f t="array" ref="B10">_xlfn.SWITCH(Logbuch[[#This Row],[Eintragsart]],
$Y$1,IF(B9="Einstieg","Ausstieg","Einstieg"),
$Z$1,$Z$2,"")</f>
        <v/>
      </c>
      <c r="C10" t="str" cm="1">
        <f t="array" ref="C10">_xlfn.SWITCH(Logbuch[[#This Row],[Eintragsart]],
$Y$1,IF(Logbuch[[#This Row],[Check]]=$Y$2,C9,""),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MIN(INT(($J$8-$J$7)*144)*$J$9,INT((E10-$J$7)*144)*$J$9),"")),
""
)</f>
        <v/>
      </c>
      <c r="D10" t="str" cm="1">
        <f t="array" ref="D10">IFERROR(
_xlfn.IFS(
AND(Logbuch[[#This Row],[Eintragsart]]=$Z$1,Logbuch[[#This Row],[Details]]),_xlfn.XLOOKUP(IF(Logbuch[[#This Row],[Eintragsart]]=$Z$1,Logbuch[[#This Row],[Details]],""),Ziehung[LosID],Ziehung[Bahnhof],FALSE,0),
AND(Logbuch[[#This Row],[Eintragsart]]=$Y$1,Logbuch[[#This Row],[Check]]="Einstieg"),D9),
"")</f>
        <v/>
      </c>
      <c r="F10" s="53">
        <f t="shared" si="0"/>
        <v>46256</v>
      </c>
      <c r="G10" t="str" cm="1">
        <f t="array" ref="G10">_xlfn.LET(
    _xlpm.letzteAusstieg, IFERROR(MAX(_xlfn._xlws.FILTER(ROW($B$5:B9), ($B$5:B9=$Y$3) + ($B$5:B9=$AA$10)))-4, 0),
    _xlpm.ersteEinstieg, IFERROR(MIN(_xlfn._xlws.FILTER(ROW(C11:$C$1003), (C11:$C$1003=$Y$2) + (C11:$C$1003=$AA$9)))-ROW(B10), 0),
    IF(
        OR(_xlpm.ersteEinstieg=0, NOT(OR(B10=$Z$3, B10=$Z$4))),
        "",
        _xlfn.LET(
            _xlpm.wertAus,
                N(INDEX(E$5:E9, _xlpm.letzteAusstieg))  * 24 * 60
              + N(INDEX(G$5:G9, _xlpm.letzteAusstieg)),
            _xlpm.wertEin,
                N(INDEX(E11:E$1008, _xlpm.ersteEinstieg))  * 24 * 60
              + N(INDEX(G11:G$1008, _xlpm.ersteEinstieg)),
            _xlpm.diff, ROUND(_xlpm.wertEin - _xlpm.wertAus,0),
            _xlpm.minuteSoll,
                N(_xlfn.XLOOKUP(C10,Ziehung[LosID],Ziehung[Zeit-bedarf (min)])),
            "Los: "&amp;_xlpm.minuteSoll&amp;"; Um.:"&amp; _xlpm.diff
        )
    )
)</f>
        <v/>
      </c>
      <c r="H10" s="46" t="str" cm="1">
        <f t="array" ref="H10">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P10" s="32"/>
      <c r="Q10" s="32"/>
      <c r="R10" s="32"/>
      <c r="S10" s="32"/>
      <c r="T10" s="32"/>
      <c r="U10" s="32"/>
      <c r="V10" s="32"/>
      <c r="W10" s="32"/>
      <c r="AA10" s="51" t="s">
        <v>35</v>
      </c>
      <c r="AE10" s="51" t="str">
        <v>BP-25b</v>
      </c>
      <c r="AF10" s="32"/>
      <c r="AG10" s="32"/>
      <c r="AH10" s="32"/>
      <c r="AI10" s="32"/>
      <c r="AJ10" s="32"/>
      <c r="AK10" s="32"/>
    </row>
    <row r="11" spans="1:37">
      <c r="B11" t="str" cm="1">
        <f t="array" ref="B11">_xlfn.SWITCH(Logbuch[[#This Row],[Eintragsart]],
$Y$1,IF(B10="Einstieg","Ausstieg","Einstieg"),
$Z$1,$Z$2,"")</f>
        <v/>
      </c>
      <c r="C11" t="str" cm="1">
        <f t="array" ref="C11">_xlfn.SWITCH(Logbuch[[#This Row],[Eintragsart]],
$Y$1,IF(Logbuch[[#This Row],[Check]]=$Y$2,C10,""),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MIN(INT(($J$8-$J$7)*144)*$J$9,INT((E11-$J$7)*144)*$J$9),"")),
""
)</f>
        <v/>
      </c>
      <c r="D11" t="str" cm="1">
        <f t="array" ref="D11">IFERROR(
_xlfn.IFS(
AND(Logbuch[[#This Row],[Eintragsart]]=$Z$1,Logbuch[[#This Row],[Details]]),_xlfn.XLOOKUP(IF(Logbuch[[#This Row],[Eintragsart]]=$Z$1,Logbuch[[#This Row],[Details]],""),Ziehung[LosID],Ziehung[Bahnhof],FALSE,0),
AND(Logbuch[[#This Row],[Eintragsart]]=$Y$1,Logbuch[[#This Row],[Check]]="Einstieg"),D10),
"")</f>
        <v/>
      </c>
      <c r="F11" s="53">
        <f t="shared" si="0"/>
        <v>46256</v>
      </c>
      <c r="G11" t="str" cm="1">
        <f t="array" ref="G11">_xlfn.LET(
    _xlpm.letzteAusstieg, IFERROR(MAX(_xlfn._xlws.FILTER(ROW($B$5:B10), ($B$5:B10=$Y$3) + ($B$5:B10=$AA$10)))-4, 0),
    _xlpm.ersteEinstieg, IFERROR(MIN(_xlfn._xlws.FILTER(ROW(C12:$C$1003), (C12:$C$1003=$Y$2) + (C12:$C$1003=$AA$9)))-ROW(B11), 0),
    IF(
        OR(_xlpm.ersteEinstieg=0, NOT(OR(B11=$Z$3, B11=$Z$4))),
        "",
        _xlfn.LET(
            _xlpm.wertAus,
                N(INDEX(E$5:E10, _xlpm.letzteAusstieg))  * 24 * 60
              + N(INDEX(G$5:G10, _xlpm.letzteAusstieg)),
            _xlpm.wertEin,
                N(INDEX(E12:E$1008, _xlpm.ersteEinstieg))  * 24 * 60
              + N(INDEX(G12:G$1008, _xlpm.ersteEinstieg)),
            _xlpm.diff, ROUND(_xlpm.wertEin - _xlpm.wertAus,0),
            _xlpm.minuteSoll,
                N(_xlfn.XLOOKUP(C11,Ziehung[LosID],Ziehung[Zeit-bedarf (min)])),
            "Los: "&amp;_xlpm.minuteSoll&amp;"; Um.:"&amp; _xlpm.diff
        )
    )
)</f>
        <v/>
      </c>
      <c r="H11" s="46" t="str" cm="1">
        <f t="array" ref="H11">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1" s="40" t="s">
        <v>39</v>
      </c>
      <c r="K11" s="41" t="s">
        <v>16</v>
      </c>
      <c r="L11" s="51" t="s">
        <v>3</v>
      </c>
      <c r="M11" s="51" t="s">
        <v>40</v>
      </c>
      <c r="P11" s="32"/>
      <c r="Q11" s="32"/>
      <c r="R11" s="32"/>
      <c r="S11" s="32"/>
      <c r="T11" s="32"/>
      <c r="U11" s="32"/>
      <c r="V11" s="32"/>
      <c r="W11" s="32"/>
      <c r="AE11" s="51" t="str">
        <v>BP-26a</v>
      </c>
      <c r="AF11" s="32"/>
      <c r="AG11" s="32"/>
      <c r="AH11" s="32"/>
      <c r="AI11" s="32"/>
      <c r="AJ11" s="32"/>
      <c r="AK11" s="32"/>
    </row>
    <row r="12" spans="1:37">
      <c r="B12" t="str" cm="1">
        <f t="array" ref="B12">_xlfn.SWITCH(Logbuch[[#This Row],[Eintragsart]],
$Y$1,IF(B11="Einstieg","Ausstieg","Einstieg"),
$Z$1,$Z$2,"")</f>
        <v/>
      </c>
      <c r="C12" t="str" cm="1">
        <f t="array" ref="C12">_xlfn.SWITCH(Logbuch[[#This Row],[Eintragsart]],
$Y$1,IF(Logbuch[[#This Row],[Check]]=$Y$2,C11,""),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MIN(INT(($J$8-$J$7)*144)*$J$9,INT((E12-$J$7)*144)*$J$9),"")),
""
)</f>
        <v/>
      </c>
      <c r="D12" t="str" cm="1">
        <f t="array" ref="D12">IFERROR(
_xlfn.IFS(
AND(Logbuch[[#This Row],[Eintragsart]]=$Z$1,Logbuch[[#This Row],[Details]]),_xlfn.XLOOKUP(IF(Logbuch[[#This Row],[Eintragsart]]=$Z$1,Logbuch[[#This Row],[Details]],""),Ziehung[LosID],Ziehung[Bahnhof],FALSE,0),
AND(Logbuch[[#This Row],[Eintragsart]]=$Y$1,Logbuch[[#This Row],[Check]]="Einstieg"),D11),
"")</f>
        <v/>
      </c>
      <c r="F12" s="53">
        <f t="shared" si="0"/>
        <v>46256</v>
      </c>
      <c r="G12" t="str" cm="1">
        <f t="array" ref="G12">_xlfn.LET(
    _xlpm.letzteAusstieg, IFERROR(MAX(_xlfn._xlws.FILTER(ROW($B$5:B11), ($B$5:B11=$Y$3) + ($B$5:B11=$AA$10)))-4, 0),
    _xlpm.ersteEinstieg, IFERROR(MIN(_xlfn._xlws.FILTER(ROW(C13:$C$1003), (C13:$C$1003=$Y$2) + (C13:$C$1003=$AA$9)))-ROW(B12), 0),
    IF(
        OR(_xlpm.ersteEinstieg=0, NOT(OR(B12=$Z$3, B12=$Z$4))),
        "",
        _xlfn.LET(
            _xlpm.wertAus,
                N(INDEX(E$5:E11, _xlpm.letzteAusstieg))  * 24 * 60
              + N(INDEX(G$5:G11, _xlpm.letzteAusstieg)),
            _xlpm.wertEin,
                N(INDEX(E13:E$1008, _xlpm.ersteEinstieg))  * 24 * 60
              + N(INDEX(G13:G$1008, _xlpm.ersteEinstieg)),
            _xlpm.diff, ROUND(_xlpm.wertEin - _xlpm.wertAus,0),
            _xlpm.minuteSoll,
                N(_xlfn.XLOOKUP(C12,Ziehung[LosID],Ziehung[Zeit-bedarf (min)])),
            "Los: "&amp;_xlpm.minuteSoll&amp;"; Um.:"&amp; _xlpm.diff
        )
    )
)</f>
        <v/>
      </c>
      <c r="H12" s="46" t="str" cm="1">
        <f t="array" ref="H12">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2" s="42" t="s">
        <v>43</v>
      </c>
      <c r="K12" s="43" t="str" cm="1">
        <f t="array" ref="K12">_xlfn.LET(
    _xlpm.bahnhoefe, _xlfn._xlws.FILTER(Logbuch[Bahnhof], ((Logbuch[Eintragsart]=$Z$1) + (Logbuch[Check]=$AA$7)) * (Logbuch[Bahnhof]&lt;&gt;"Basel Bad Bf")),
    _xlpm.werte, IFERROR(VALUE(SUBSTITUTE(_xlfn.XLOOKUP(_xlpm.bahnhoefe, Hafas[NAME], Hafas[Breitengrad Bahnhof], 0, 0),".",",")),""),
    IFERROR(INDEX(_xlpm.bahnhoefe,MATCH(MAX(_xlpm.werte), _xlpm.werte, 0)),"")
)</f>
        <v/>
      </c>
      <c r="L12" s="51" t="str">
        <f>$B$2</f>
        <v>Musterteam</v>
      </c>
      <c r="M12" s="52" t="str" cm="1">
        <f t="array" ref="M12">IFERROR(MAX(VALUE(SUBSTITUTE(_xlfn.XLOOKUP(_xlfn._xlws.FILTER(Logbuch[Bahnhof], ((Logbuch[Eintragsart]=$Z$1) + (Logbuch[Check]=$AA$6)) * (Logbuch[Bahnhof]&lt;&gt;"Basel Bad Bf")), Hafas[NAME], Hafas[Breitengrad Bahnhof], 0, 0),".",","))),"")</f>
        <v/>
      </c>
      <c r="P12" s="32"/>
      <c r="Q12" s="32"/>
      <c r="R12" s="32"/>
      <c r="S12" s="32"/>
      <c r="T12" s="32"/>
      <c r="U12" s="32"/>
      <c r="V12" s="32"/>
      <c r="W12" s="32"/>
      <c r="AE12" s="51" t="str">
        <v>BP-26b</v>
      </c>
      <c r="AF12" s="32"/>
      <c r="AG12" s="32"/>
      <c r="AH12" s="32"/>
      <c r="AI12" s="32"/>
      <c r="AJ12" s="32"/>
      <c r="AK12" s="32"/>
    </row>
    <row r="13" spans="1:37">
      <c r="B13" t="str" cm="1">
        <f t="array" ref="B13">_xlfn.SWITCH(Logbuch[[#This Row],[Eintragsart]],
$Y$1,IF(B12="Einstieg","Ausstieg","Einstieg"),
$Z$1,$Z$2,"")</f>
        <v/>
      </c>
      <c r="C13" t="str" cm="1">
        <f t="array" ref="C13">_xlfn.SWITCH(Logbuch[[#This Row],[Eintragsart]],
$Y$1,IF(Logbuch[[#This Row],[Check]]=$Y$2,C12,""),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MIN(INT(($J$8-$J$7)*144)*$J$9,INT((E13-$J$7)*144)*$J$9),"")),
""
)</f>
        <v/>
      </c>
      <c r="D13" t="str" cm="1">
        <f t="array" ref="D13">IFERROR(
_xlfn.IFS(
AND(Logbuch[[#This Row],[Eintragsart]]=$Z$1,Logbuch[[#This Row],[Details]]),_xlfn.XLOOKUP(IF(Logbuch[[#This Row],[Eintragsart]]=$Z$1,Logbuch[[#This Row],[Details]],""),Ziehung[LosID],Ziehung[Bahnhof],FALSE,0),
AND(Logbuch[[#This Row],[Eintragsart]]=$Y$1,Logbuch[[#This Row],[Check]]="Einstieg"),D12),
"")</f>
        <v/>
      </c>
      <c r="F13" s="53">
        <f t="shared" si="0"/>
        <v>46256</v>
      </c>
      <c r="G13" t="str" cm="1">
        <f t="array" ref="G13">_xlfn.LET(
    _xlpm.letzteAusstieg, IFERROR(MAX(_xlfn._xlws.FILTER(ROW($B$5:B12), ($B$5:B12=$Y$3) + ($B$5:B12=$AA$10)))-4, 0),
    _xlpm.ersteEinstieg, IFERROR(MIN(_xlfn._xlws.FILTER(ROW(C14:$C$1003), (C14:$C$1003=$Y$2) + (C14:$C$1003=$AA$9)))-ROW(B13), 0),
    IF(
        OR(_xlpm.ersteEinstieg=0, NOT(OR(B13=$Z$3, B13=$Z$4))),
        "",
        _xlfn.LET(
            _xlpm.wertAus,
                N(INDEX(E$5:E12, _xlpm.letzteAusstieg))  * 24 * 60
              + N(INDEX(G$5:G12, _xlpm.letzteAusstieg)),
            _xlpm.wertEin,
                N(INDEX(E14:E$1008, _xlpm.ersteEinstieg))  * 24 * 60
              + N(INDEX(G14:G$1008, _xlpm.ersteEinstieg)),
            _xlpm.diff, ROUND(_xlpm.wertEin - _xlpm.wertAus,0),
            _xlpm.minuteSoll,
                N(_xlfn.XLOOKUP(C13,Ziehung[LosID],Ziehung[Zeit-bedarf (min)])),
            "Los: "&amp;_xlpm.minuteSoll&amp;"; Um.:"&amp; _xlpm.diff
        )
    )
)</f>
        <v/>
      </c>
      <c r="H13" s="46" t="str" cm="1">
        <f t="array" ref="H13">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3" s="42" t="s">
        <v>45</v>
      </c>
      <c r="K13" s="43" t="str" cm="1">
        <f t="array" ref="K13">_xlfn.LET(
    _xlpm.bahnhoefe, _xlfn._xlws.FILTER(Logbuch[Bahnhof], ((Logbuch[Eintragsart]=$Z$1) + (Logbuch[Check]=$AA$7)) * (Logbuch[Bahnhof]&lt;&gt;"Basel Bad Bf")),
    _xlpm.werte, IFERROR(VALUE(SUBSTITUTE(_xlfn.XLOOKUP(_xlpm.bahnhoefe, Hafas[NAME], Hafas[Längengrad Bahnhof], 0, 0),".",",")),""),
    IFERROR(INDEX(_xlpm.bahnhoefe,MATCH(MAX(_xlpm.werte), _xlpm.werte, 0)),"")
)</f>
        <v/>
      </c>
      <c r="L13" s="51" t="str">
        <f t="shared" ref="L13:L15" si="1">$B$2</f>
        <v>Musterteam</v>
      </c>
      <c r="M13" s="52" t="str" cm="1">
        <f t="array" ref="M13">IFERROR(MAX(VALUE(SUBSTITUTE(_xlfn.XLOOKUP(_xlfn._xlws.FILTER(Logbuch[Bahnhof], ((Logbuch[Eintragsart]=$Z$1) + (Logbuch[Check]=$AA$6)) * (Logbuch[Bahnhof]&lt;&gt;"Basel Bad Bf")), Hafas[NAME], Hafas[Längengrad Bahnhof], 0, 0),".",","))),"")</f>
        <v/>
      </c>
      <c r="P13" s="32"/>
      <c r="Q13" s="32"/>
      <c r="R13" s="32"/>
      <c r="S13" s="32"/>
      <c r="T13" s="32"/>
      <c r="U13" s="32"/>
      <c r="V13" s="32"/>
      <c r="W13" s="32"/>
      <c r="AE13" s="51" t="str">
        <v>BP-31a</v>
      </c>
      <c r="AF13" s="32"/>
      <c r="AG13" s="32"/>
      <c r="AH13" s="32"/>
      <c r="AI13" s="32"/>
      <c r="AJ13" s="32"/>
      <c r="AK13" s="32"/>
    </row>
    <row r="14" spans="1:37">
      <c r="B14" t="str" cm="1">
        <f t="array" ref="B14">_xlfn.SWITCH(Logbuch[[#This Row],[Eintragsart]],
$Y$1,IF(B13="Einstieg","Ausstieg","Einstieg"),
$Z$1,$Z$2,"")</f>
        <v/>
      </c>
      <c r="C14" t="str" cm="1">
        <f t="array" ref="C14">_xlfn.SWITCH(Logbuch[[#This Row],[Eintragsart]],
$Y$1,IF(Logbuch[[#This Row],[Check]]=$Y$2,C13,""),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MIN(INT(($J$8-$J$7)*144)*$J$9,INT((E14-$J$7)*144)*$J$9),"")),
""
)</f>
        <v/>
      </c>
      <c r="D14" t="str" cm="1">
        <f t="array" ref="D14">IFERROR(
_xlfn.IFS(
AND(Logbuch[[#This Row],[Eintragsart]]=$Z$1,Logbuch[[#This Row],[Details]]),_xlfn.XLOOKUP(IF(Logbuch[[#This Row],[Eintragsart]]=$Z$1,Logbuch[[#This Row],[Details]],""),Ziehung[LosID],Ziehung[Bahnhof],FALSE,0),
AND(Logbuch[[#This Row],[Eintragsart]]=$Y$1,Logbuch[[#This Row],[Check]]="Einstieg"),D13),
"")</f>
        <v/>
      </c>
      <c r="F14" s="53">
        <f t="shared" si="0"/>
        <v>46256</v>
      </c>
      <c r="G14" t="str" cm="1">
        <f t="array" ref="G14">_xlfn.LET(
    _xlpm.letzteAusstieg, IFERROR(MAX(_xlfn._xlws.FILTER(ROW($B$5:B13), ($B$5:B13=$Y$3) + ($B$5:B13=$AA$10)))-4, 0),
    _xlpm.ersteEinstieg, IFERROR(MIN(_xlfn._xlws.FILTER(ROW(C15:$C$1003), (C15:$C$1003=$Y$2) + (C15:$C$1003=$AA$9)))-ROW(B14), 0),
    IF(
        OR(_xlpm.ersteEinstieg=0, NOT(OR(B14=$Z$3, B14=$Z$4))),
        "",
        _xlfn.LET(
            _xlpm.wertAus,
                N(INDEX(E$5:E13, _xlpm.letzteAusstieg))  * 24 * 60
              + N(INDEX(G$5:G13, _xlpm.letzteAusstieg)),
            _xlpm.wertEin,
                N(INDEX(E15:E$1008, _xlpm.ersteEinstieg))  * 24 * 60
              + N(INDEX(G15:G$1008, _xlpm.ersteEinstieg)),
            _xlpm.diff, ROUND(_xlpm.wertEin - _xlpm.wertAus,0),
            _xlpm.minuteSoll,
                N(_xlfn.XLOOKUP(C14,Ziehung[LosID],Ziehung[Zeit-bedarf (min)])),
            "Los: "&amp;_xlpm.minuteSoll&amp;"; Um.:"&amp; _xlpm.diff
        )
    )
)</f>
        <v/>
      </c>
      <c r="H14" s="46" t="str" cm="1">
        <f t="array" ref="H14">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4" s="42" t="s">
        <v>47</v>
      </c>
      <c r="K14" s="43" t="str" cm="1">
        <f t="array" ref="K14">_xlfn.LET(
    _xlpm.bahnhoefe, _xlfn._xlws.FILTER(Logbuch[Bahnhof], ((Logbuch[Eintragsart]=$Z$1) + (Logbuch[Check]=$AA$7)) * (Logbuch[Bahnhof]&lt;&gt;"Basel Bad Bf")),
    _xlpm.werte, IFERROR(VALUE(SUBSTITUTE(_xlfn.XLOOKUP(_xlpm.bahnhoefe, Hafas[NAME], Hafas[Breitengrad Bahnhof], 200, 0),".",",")),""),
    IFERROR(INDEX(_xlpm.bahnhoefe,MATCH(MIN(_xlpm.werte), _xlpm.werte, 0)),"")
)</f>
        <v/>
      </c>
      <c r="L14" s="51" t="str">
        <f t="shared" si="1"/>
        <v>Musterteam</v>
      </c>
      <c r="M14" s="52" t="str" cm="1">
        <f t="array" ref="M14">IFERROR(MIN(VALUE(SUBSTITUTE(_xlfn.XLOOKUP(_xlfn._xlws.FILTER(Logbuch[Bahnhof], ((Logbuch[Eintragsart]=$Z$1) + (Logbuch[Check]=$AA$6)) * (Logbuch[Bahnhof]&lt;&gt;"Basel Bad Bf")), Hafas[NAME], Hafas[Breitengrad Bahnhof], 200, 0),".",","))),"")</f>
        <v/>
      </c>
      <c r="P14" s="32"/>
      <c r="Q14" s="32"/>
      <c r="R14" s="32"/>
      <c r="S14" s="32"/>
      <c r="T14" s="32"/>
      <c r="U14" s="32"/>
      <c r="V14" s="32"/>
      <c r="W14" s="32"/>
      <c r="AE14" s="51" t="str">
        <v>BP-31b</v>
      </c>
      <c r="AF14" s="32"/>
      <c r="AG14" s="32"/>
      <c r="AH14" s="32"/>
      <c r="AI14" s="32"/>
      <c r="AJ14" s="32"/>
      <c r="AK14" s="32"/>
    </row>
    <row r="15" spans="1:37">
      <c r="B15" t="str" cm="1">
        <f t="array" ref="B15">_xlfn.SWITCH(Logbuch[[#This Row],[Eintragsart]],
$Y$1,IF(B14="Einstieg","Ausstieg","Einstieg"),
$Z$1,$Z$2,"")</f>
        <v/>
      </c>
      <c r="C15" t="str" cm="1">
        <f t="array" ref="C15">_xlfn.SWITCH(Logbuch[[#This Row],[Eintragsart]],
$Y$1,IF(Logbuch[[#This Row],[Check]]=$Y$2,C14,""),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MIN(INT(($J$8-$J$7)*144)*$J$9,INT((E15-$J$7)*144)*$J$9),"")),
""
)</f>
        <v/>
      </c>
      <c r="D15" t="str" cm="1">
        <f t="array" ref="D15">IFERROR(
_xlfn.IFS(
AND(Logbuch[[#This Row],[Eintragsart]]=$Z$1,Logbuch[[#This Row],[Details]]),_xlfn.XLOOKUP(IF(Logbuch[[#This Row],[Eintragsart]]=$Z$1,Logbuch[[#This Row],[Details]],""),Ziehung[LosID],Ziehung[Bahnhof],FALSE,0),
AND(Logbuch[[#This Row],[Eintragsart]]=$Y$1,Logbuch[[#This Row],[Check]]="Einstieg"),D14),
"")</f>
        <v/>
      </c>
      <c r="F15" s="53">
        <f t="shared" si="0"/>
        <v>46256</v>
      </c>
      <c r="G15" t="str" cm="1">
        <f t="array" ref="G15">_xlfn.LET(
    _xlpm.letzteAusstieg, IFERROR(MAX(_xlfn._xlws.FILTER(ROW($B$5:B14), ($B$5:B14=$Y$3) + ($B$5:B14=$AA$10)))-4, 0),
    _xlpm.ersteEinstieg, IFERROR(MIN(_xlfn._xlws.FILTER(ROW(C16:$C$1003), (C16:$C$1003=$Y$2) + (C16:$C$1003=$AA$9)))-ROW(B15), 0),
    IF(
        OR(_xlpm.ersteEinstieg=0, NOT(OR(B15=$Z$3, B15=$Z$4))),
        "",
        _xlfn.LET(
            _xlpm.wertAus,
                N(INDEX(E$5:E14, _xlpm.letzteAusstieg))  * 24 * 60
              + N(INDEX(G$5:G14, _xlpm.letzteAusstieg)),
            _xlpm.wertEin,
                N(INDEX(E16:E$1008, _xlpm.ersteEinstieg))  * 24 * 60
              + N(INDEX(G16:G$1008, _xlpm.ersteEinstieg)),
            _xlpm.diff, ROUND(_xlpm.wertEin - _xlpm.wertAus,0),
            _xlpm.minuteSoll,
                N(_xlfn.XLOOKUP(C15,Ziehung[LosID],Ziehung[Zeit-bedarf (min)])),
            "Los: "&amp;_xlpm.minuteSoll&amp;"; Um.:"&amp; _xlpm.diff
        )
    )
)</f>
        <v/>
      </c>
      <c r="H15" s="46" t="str" cm="1">
        <f t="array" ref="H15">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5" s="42" t="s">
        <v>50</v>
      </c>
      <c r="K15" s="43" t="str" cm="1">
        <f t="array" ref="K15">_xlfn.LET(
    _xlpm.bahnhoefe, _xlfn._xlws.FILTER(Logbuch[Bahnhof], ((Logbuch[Eintragsart]=$Z$1) + (Logbuch[Check]=$AA$7)) * (Logbuch[Bahnhof]&lt;&gt;"Basel Bad Bf")),
    _xlpm.werte, IFERROR(VALUE(SUBSTITUTE(_xlfn.XLOOKUP(_xlpm.bahnhoefe, Hafas[NAME], Hafas[Längengrad Bahnhof], 200, 0),".",",")),""),
    IFERROR(INDEX(_xlpm.bahnhoefe,MATCH(MIN(_xlpm.werte), _xlpm.werte, 0)),"")
)</f>
        <v/>
      </c>
      <c r="L15" s="51" t="str">
        <f t="shared" si="1"/>
        <v>Musterteam</v>
      </c>
      <c r="M15" s="52" t="str" cm="1">
        <f t="array" ref="M15">IFERROR(MIN(VALUE(SUBSTITUTE(_xlfn.XLOOKUP(_xlfn._xlws.FILTER(Logbuch[Bahnhof], ((Logbuch[Eintragsart]=$Z$1) + (Logbuch[Check]=$AA$6)) * (Logbuch[Bahnhof]&lt;&gt;"Basel Bad Bf")), Hafas[NAME], Hafas[Längengrad Bahnhof], 200, 0),".",","))),"")</f>
        <v/>
      </c>
      <c r="P15" s="32"/>
      <c r="Q15" s="32"/>
      <c r="R15" s="32"/>
      <c r="S15" s="32"/>
      <c r="T15" s="32"/>
      <c r="U15" s="32"/>
      <c r="V15" s="32"/>
      <c r="W15" s="32"/>
      <c r="AE15" s="51" t="str">
        <v>BP-32a</v>
      </c>
      <c r="AF15" s="32"/>
      <c r="AG15" s="32"/>
      <c r="AH15" s="32"/>
      <c r="AI15" s="32"/>
      <c r="AJ15" s="32"/>
      <c r="AK15" s="32"/>
    </row>
    <row r="16" spans="1:37" ht="15.75" thickBot="1">
      <c r="B16" t="str" cm="1">
        <f t="array" ref="B16">_xlfn.SWITCH(Logbuch[[#This Row],[Eintragsart]],
$Y$1,IF(B15="Einstieg","Ausstieg","Einstieg"),
$Z$1,$Z$2,"")</f>
        <v/>
      </c>
      <c r="C16" t="str" cm="1">
        <f t="array" ref="C16">_xlfn.SWITCH(Logbuch[[#This Row],[Eintragsart]],
$Y$1,IF(Logbuch[[#This Row],[Check]]=$Y$2,C15,""),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MIN(INT(($J$8-$J$7)*144)*$J$9,INT((E16-$J$7)*144)*$J$9),"")),
""
)</f>
        <v/>
      </c>
      <c r="D16" t="str" cm="1">
        <f t="array" ref="D16">IFERROR(
_xlfn.IFS(
AND(Logbuch[[#This Row],[Eintragsart]]=$Z$1,Logbuch[[#This Row],[Details]]),_xlfn.XLOOKUP(IF(Logbuch[[#This Row],[Eintragsart]]=$Z$1,Logbuch[[#This Row],[Details]],""),Ziehung[LosID],Ziehung[Bahnhof],FALSE,0),
AND(Logbuch[[#This Row],[Eintragsart]]=$Y$1,Logbuch[[#This Row],[Check]]="Einstieg"),D15),
"")</f>
        <v/>
      </c>
      <c r="F16" s="53">
        <f t="shared" si="0"/>
        <v>46256</v>
      </c>
      <c r="G16" t="str" cm="1">
        <f t="array" ref="G16">_xlfn.LET(
    _xlpm.letzteAusstieg, IFERROR(MAX(_xlfn._xlws.FILTER(ROW($B$5:B15), ($B$5:B15=$Y$3) + ($B$5:B15=$AA$10)))-4, 0),
    _xlpm.ersteEinstieg, IFERROR(MIN(_xlfn._xlws.FILTER(ROW(C17:$C$1003), (C17:$C$1003=$Y$2) + (C17:$C$1003=$AA$9)))-ROW(B16), 0),
    IF(
        OR(_xlpm.ersteEinstieg=0, NOT(OR(B16=$Z$3, B16=$Z$4))),
        "",
        _xlfn.LET(
            _xlpm.wertAus,
                N(INDEX(E$5:E15, _xlpm.letzteAusstieg))  * 24 * 60
              + N(INDEX(G$5:G15, _xlpm.letzteAusstieg)),
            _xlpm.wertEin,
                N(INDEX(E17:E$1008, _xlpm.ersteEinstieg))  * 24 * 60
              + N(INDEX(G17:G$1008, _xlpm.ersteEinstieg)),
            _xlpm.diff, ROUND(_xlpm.wertEin - _xlpm.wertAus,0),
            _xlpm.minuteSoll,
                N(_xlfn.XLOOKUP(C16,Ziehung[LosID],Ziehung[Zeit-bedarf (min)])),
            "Los: "&amp;_xlpm.minuteSoll&amp;"; Um.:"&amp; _xlpm.diff
        )
    )
)</f>
        <v/>
      </c>
      <c r="H16" s="46" t="str" cm="1">
        <f t="array" ref="H16">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P16" s="32"/>
      <c r="Q16" s="32"/>
      <c r="R16" s="32"/>
      <c r="S16" s="32"/>
      <c r="T16" s="32"/>
      <c r="U16" s="32"/>
      <c r="V16" s="32"/>
      <c r="W16" s="32"/>
      <c r="AE16" s="51" t="str">
        <v>BP-32b</v>
      </c>
      <c r="AF16" s="32"/>
      <c r="AG16" s="32"/>
      <c r="AH16" s="32"/>
      <c r="AI16" s="32"/>
      <c r="AJ16" s="32"/>
      <c r="AK16" s="32"/>
    </row>
    <row r="17" spans="2:37">
      <c r="B17" t="str" cm="1">
        <f t="array" ref="B17">_xlfn.SWITCH(Logbuch[[#This Row],[Eintragsart]],
$Y$1,IF(B16="Einstieg","Ausstieg","Einstieg"),
$Z$1,$Z$2,"")</f>
        <v/>
      </c>
      <c r="C17" t="str" cm="1">
        <f t="array" ref="C17">_xlfn.SWITCH(Logbuch[[#This Row],[Eintragsart]],
$Y$1,IF(Logbuch[[#This Row],[Check]]=$Y$2,C16,""),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MIN(INT(($J$8-$J$7)*144)*$J$9,INT((E17-$J$7)*144)*$J$9),"")),
""
)</f>
        <v/>
      </c>
      <c r="D17" t="str" cm="1">
        <f t="array" ref="D17">IFERROR(
_xlfn.IFS(
AND(Logbuch[[#This Row],[Eintragsart]]=$Z$1,Logbuch[[#This Row],[Details]]),_xlfn.XLOOKUP(IF(Logbuch[[#This Row],[Eintragsart]]=$Z$1,Logbuch[[#This Row],[Details]],""),Ziehung[LosID],Ziehung[Bahnhof],FALSE,0),
AND(Logbuch[[#This Row],[Eintragsart]]=$Y$1,Logbuch[[#This Row],[Check]]="Einstieg"),D16),
"")</f>
        <v/>
      </c>
      <c r="F17" s="53">
        <f t="shared" si="0"/>
        <v>46256</v>
      </c>
      <c r="G17" t="str" cm="1">
        <f t="array" ref="G17">_xlfn.LET(
    _xlpm.letzteAusstieg, IFERROR(MAX(_xlfn._xlws.FILTER(ROW($B$5:B16), ($B$5:B16=$Y$3) + ($B$5:B16=$AA$10)))-4, 0),
    _xlpm.ersteEinstieg, IFERROR(MIN(_xlfn._xlws.FILTER(ROW(C18:$C$1003), (C18:$C$1003=$Y$2) + (C18:$C$1003=$AA$9)))-ROW(B17), 0),
    IF(
        OR(_xlpm.ersteEinstieg=0, NOT(OR(B17=$Z$3, B17=$Z$4))),
        "",
        _xlfn.LET(
            _xlpm.wertAus,
                N(INDEX(E$5:E16, _xlpm.letzteAusstieg))  * 24 * 60
              + N(INDEX(G$5:G16, _xlpm.letzteAusstieg)),
            _xlpm.wertEin,
                N(INDEX(E18:E$1008, _xlpm.ersteEinstieg))  * 24 * 60
              + N(INDEX(G18:G$1008, _xlpm.ersteEinstieg)),
            _xlpm.diff, ROUND(_xlpm.wertEin - _xlpm.wertAus,0),
            _xlpm.minuteSoll,
                N(_xlfn.XLOOKUP(C17,Ziehung[LosID],Ziehung[Zeit-bedarf (min)])),
            "Los: "&amp;_xlpm.minuteSoll&amp;"; Um.:"&amp; _xlpm.diff
        )
    )
)</f>
        <v/>
      </c>
      <c r="H17" s="46" t="str" cm="1">
        <f t="array" ref="H17">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7" s="40" t="s">
        <v>55</v>
      </c>
      <c r="K17" s="41" t="str" cm="1">
        <f t="array" ref="K17:K35">_xlfn._xlws.FILTER(Ziehungsanzahl[[#All],[Lostopf]],Ziehungsanzahl[[#All],[Kontingent]]&gt;0)</f>
        <v>Lostopf</v>
      </c>
      <c r="P17" s="32"/>
      <c r="Q17" s="32"/>
      <c r="R17" s="32"/>
      <c r="S17" s="32"/>
      <c r="T17" s="32"/>
      <c r="U17" s="32"/>
      <c r="V17" s="32"/>
      <c r="W17" s="32"/>
      <c r="AE17" s="51" t="str">
        <v>BP-39a</v>
      </c>
      <c r="AF17" s="32"/>
      <c r="AG17" s="32"/>
      <c r="AH17" s="32"/>
      <c r="AI17" s="32"/>
      <c r="AJ17" s="32"/>
      <c r="AK17" s="32"/>
    </row>
    <row r="18" spans="2:37">
      <c r="B18" t="str" cm="1">
        <f t="array" ref="B18">_xlfn.SWITCH(Logbuch[[#This Row],[Eintragsart]],
$Y$1,IF(B17="Einstieg","Ausstieg","Einstieg"),
$Z$1,$Z$2,"")</f>
        <v/>
      </c>
      <c r="C18" t="str" cm="1">
        <f t="array" ref="C18">_xlfn.SWITCH(Logbuch[[#This Row],[Eintragsart]],
$Y$1,IF(Logbuch[[#This Row],[Check]]=$Y$2,C17,""),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MIN(INT(($J$8-$J$7)*144)*$J$9,INT((E18-$J$7)*144)*$J$9),"")),
""
)</f>
        <v/>
      </c>
      <c r="D18" t="str" cm="1">
        <f t="array" ref="D18">IFERROR(
_xlfn.IFS(
AND(Logbuch[[#This Row],[Eintragsart]]=$Z$1,Logbuch[[#This Row],[Details]]),_xlfn.XLOOKUP(IF(Logbuch[[#This Row],[Eintragsart]]=$Z$1,Logbuch[[#This Row],[Details]],""),Ziehung[LosID],Ziehung[Bahnhof],FALSE,0),
AND(Logbuch[[#This Row],[Eintragsart]]=$Y$1,Logbuch[[#This Row],[Check]]="Einstieg"),D17),
"")</f>
        <v/>
      </c>
      <c r="F18" s="53">
        <f t="shared" si="0"/>
        <v>46256</v>
      </c>
      <c r="G18" t="str" cm="1">
        <f t="array" ref="G18">_xlfn.LET(
    _xlpm.letzteAusstieg, IFERROR(MAX(_xlfn._xlws.FILTER(ROW($B$5:B17), ($B$5:B17=$Y$3) + ($B$5:B17=$AA$10)))-4, 0),
    _xlpm.ersteEinstieg, IFERROR(MIN(_xlfn._xlws.FILTER(ROW(C19:$C$1003), (C19:$C$1003=$Y$2) + (C19:$C$1003=$AA$9)))-ROW(B18), 0),
    IF(
        OR(_xlpm.ersteEinstieg=0, NOT(OR(B18=$Z$3, B18=$Z$4))),
        "",
        _xlfn.LET(
            _xlpm.wertAus,
                N(INDEX(E$5:E17, _xlpm.letzteAusstieg))  * 24 * 60
              + N(INDEX(G$5:G17, _xlpm.letzteAusstieg)),
            _xlpm.wertEin,
                N(INDEX(E19:E$1008, _xlpm.ersteEinstieg))  * 24 * 60
              + N(INDEX(G19:G$1008, _xlpm.ersteEinstieg)),
            _xlpm.diff, ROUND(_xlpm.wertEin - _xlpm.wertAus,0),
            _xlpm.minuteSoll,
                N(_xlfn.XLOOKUP(C18,Ziehung[LosID],Ziehung[Zeit-bedarf (min)])),
            "Los: "&amp;_xlpm.minuteSoll&amp;"; Um.:"&amp; _xlpm.diff
        )
    )
)</f>
        <v/>
      </c>
      <c r="H18" s="46" t="str" cm="1">
        <f t="array" ref="H18">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8" s="47">
        <f>IFERROR(
    IF(
        COUNTIFS(
            Logbuch[Details],
            _xlfn.XLOOKUP(K18,Ziehungsanzahl[Lostopf],Ziehungsanzahl[Kürzel],"",0)&amp;"-*",
            Logbuch[Check],$Z$3
        )
        +
        COUNTIFS(
            Logbuch[Details],
            _xlfn.XLOOKUP(K18,Ziehungsanzahl[Lostopf],Ziehungsanzahl[Kürzel],"",0)&amp;"-*",
            Logbuch[Check],$Z$4
        )
        &gt; 0,
        75,
        0
    ),
    ""
)</f>
        <v>0</v>
      </c>
      <c r="K18" s="43" t="str">
        <v>Turm/Insel/Keil/Kopf-Bahnhöfe</v>
      </c>
      <c r="P18" s="32"/>
      <c r="Q18" s="32"/>
      <c r="R18" s="32"/>
      <c r="S18" s="32"/>
      <c r="T18" s="32"/>
      <c r="U18" s="32"/>
      <c r="V18" s="32"/>
      <c r="W18" s="32"/>
      <c r="AE18" s="51" t="str">
        <v>BP-39b</v>
      </c>
      <c r="AF18" s="32"/>
      <c r="AG18" s="32"/>
      <c r="AH18" s="32"/>
      <c r="AI18" s="32"/>
      <c r="AJ18" s="32"/>
      <c r="AK18" s="32"/>
    </row>
    <row r="19" spans="2:37">
      <c r="B19" t="str" cm="1">
        <f t="array" ref="B19">_xlfn.SWITCH(Logbuch[[#This Row],[Eintragsart]],
$Y$1,IF(B18="Einstieg","Ausstieg","Einstieg"),
$Z$1,$Z$2,"")</f>
        <v/>
      </c>
      <c r="C19" t="str" cm="1">
        <f t="array" ref="C19">_xlfn.SWITCH(Logbuch[[#This Row],[Eintragsart]],
$Y$1,IF(Logbuch[[#This Row],[Check]]=$Y$2,C18,""),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MIN(INT(($J$8-$J$7)*144)*$J$9,INT((E19-$J$7)*144)*$J$9),"")),
""
)</f>
        <v/>
      </c>
      <c r="D19" t="str" cm="1">
        <f t="array" ref="D19">IFERROR(
_xlfn.IFS(
AND(Logbuch[[#This Row],[Eintragsart]]=$Z$1,Logbuch[[#This Row],[Details]]),_xlfn.XLOOKUP(IF(Logbuch[[#This Row],[Eintragsart]]=$Z$1,Logbuch[[#This Row],[Details]],""),Ziehung[LosID],Ziehung[Bahnhof],FALSE,0),
AND(Logbuch[[#This Row],[Eintragsart]]=$Y$1,Logbuch[[#This Row],[Check]]="Einstieg"),D18),
"")</f>
        <v/>
      </c>
      <c r="F19" s="53">
        <f t="shared" si="0"/>
        <v>46256</v>
      </c>
      <c r="G19" t="str" cm="1">
        <f t="array" ref="G19">_xlfn.LET(
    _xlpm.letzteAusstieg, IFERROR(MAX(_xlfn._xlws.FILTER(ROW($B$5:B18), ($B$5:B18=$Y$3) + ($B$5:B18=$AA$10)))-4, 0),
    _xlpm.ersteEinstieg, IFERROR(MIN(_xlfn._xlws.FILTER(ROW(C20:$C$1003), (C20:$C$1003=$Y$2) + (C20:$C$1003=$AA$9)))-ROW(B19), 0),
    IF(
        OR(_xlpm.ersteEinstieg=0, NOT(OR(B19=$Z$3, B19=$Z$4))),
        "",
        _xlfn.LET(
            _xlpm.wertAus,
                N(INDEX(E$5:E18, _xlpm.letzteAusstieg))  * 24 * 60
              + N(INDEX(G$5:G18, _xlpm.letzteAusstieg)),
            _xlpm.wertEin,
                N(INDEX(E20:E$1008, _xlpm.ersteEinstieg))  * 24 * 60
              + N(INDEX(G20:G$1008, _xlpm.ersteEinstieg)),
            _xlpm.diff, ROUND(_xlpm.wertEin - _xlpm.wertAus,0),
            _xlpm.minuteSoll,
                N(_xlfn.XLOOKUP(C19,Ziehung[LosID],Ziehung[Zeit-bedarf (min)])),
            "Los: "&amp;_xlpm.minuteSoll&amp;"; Um.:"&amp; _xlpm.diff
        )
    )
)</f>
        <v/>
      </c>
      <c r="H19" s="46" t="str" cm="1">
        <f t="array" ref="H19">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19" s="47">
        <f>IFERROR(
    IF(
        COUNTIFS(
            Logbuch[Details],
            _xlfn.XLOOKUP(K19,Ziehungsanzahl[Lostopf],Ziehungsanzahl[Kürzel],"",0)&amp;"-*",
            Logbuch[Check],$Z$3
        )
        +
        COUNTIFS(
            Logbuch[Details],
            _xlfn.XLOOKUP(K19,Ziehungsanzahl[Lostopf],Ziehungsanzahl[Kürzel],"",0)&amp;"-*",
            Logbuch[Check],$Z$4
        )
        &gt; 0,
        75,
        0
    ),
    ""
)</f>
        <v>0</v>
      </c>
      <c r="K19" s="43" t="str">
        <v>Bhf-Paare</v>
      </c>
      <c r="P19" s="32"/>
      <c r="Q19" s="32"/>
      <c r="R19" s="32"/>
      <c r="S19" s="32"/>
      <c r="T19" s="32"/>
      <c r="U19" s="32"/>
      <c r="V19" s="32"/>
      <c r="W19" s="32"/>
      <c r="AE19" s="51" t="str">
        <v>BP-40a</v>
      </c>
      <c r="AF19" s="32"/>
      <c r="AG19" s="32"/>
      <c r="AH19" s="32"/>
      <c r="AI19" s="32"/>
      <c r="AJ19" s="32"/>
      <c r="AK19" s="32"/>
    </row>
    <row r="20" spans="2:37">
      <c r="B20" t="str" cm="1">
        <f t="array" ref="B20">_xlfn.SWITCH(Logbuch[[#This Row],[Eintragsart]],
$Y$1,IF(B19="Einstieg","Ausstieg","Einstieg"),
$Z$1,$Z$2,"")</f>
        <v/>
      </c>
      <c r="C20" t="str" cm="1">
        <f t="array" ref="C20">_xlfn.SWITCH(Logbuch[[#This Row],[Eintragsart]],
$Y$1,IF(Logbuch[[#This Row],[Check]]=$Y$2,C19,""),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MIN(INT(($J$8-$J$7)*144)*$J$9,INT((E20-$J$7)*144)*$J$9),"")),
""
)</f>
        <v/>
      </c>
      <c r="D20" t="str" cm="1">
        <f t="array" ref="D20">IFERROR(
_xlfn.IFS(
AND(Logbuch[[#This Row],[Eintragsart]]=$Z$1,Logbuch[[#This Row],[Details]]),_xlfn.XLOOKUP(IF(Logbuch[[#This Row],[Eintragsart]]=$Z$1,Logbuch[[#This Row],[Details]],""),Ziehung[LosID],Ziehung[Bahnhof],FALSE,0),
AND(Logbuch[[#This Row],[Eintragsart]]=$Y$1,Logbuch[[#This Row],[Check]]="Einstieg"),D19),
"")</f>
        <v/>
      </c>
      <c r="F20" s="53">
        <f t="shared" si="0"/>
        <v>46256</v>
      </c>
      <c r="G20" t="str" cm="1">
        <f t="array" ref="G20">_xlfn.LET(
    _xlpm.letzteAusstieg, IFERROR(MAX(_xlfn._xlws.FILTER(ROW($B$5:B19), ($B$5:B19=$Y$3) + ($B$5:B19=$AA$10)))-4, 0),
    _xlpm.ersteEinstieg, IFERROR(MIN(_xlfn._xlws.FILTER(ROW(C21:$C$1003), (C21:$C$1003=$Y$2) + (C21:$C$1003=$AA$9)))-ROW(B20), 0),
    IF(
        OR(_xlpm.ersteEinstieg=0, NOT(OR(B20=$Z$3, B20=$Z$4))),
        "",
        _xlfn.LET(
            _xlpm.wertAus,
                N(INDEX(E$5:E19, _xlpm.letzteAusstieg))  * 24 * 60
              + N(INDEX(G$5:G19, _xlpm.letzteAusstieg)),
            _xlpm.wertEin,
                N(INDEX(E21:E$1008, _xlpm.ersteEinstieg))  * 24 * 60
              + N(INDEX(G21:G$1008, _xlpm.ersteEinstieg)),
            _xlpm.diff, ROUND(_xlpm.wertEin - _xlpm.wertAus,0),
            _xlpm.minuteSoll,
                N(_xlfn.XLOOKUP(C20,Ziehung[LosID],Ziehung[Zeit-bedarf (min)])),
            "Los: "&amp;_xlpm.minuteSoll&amp;"; Um.:"&amp; _xlpm.diff
        )
    )
)</f>
        <v/>
      </c>
      <c r="H20" s="46" t="str" cm="1">
        <f t="array" ref="H20">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0" s="47">
        <f>IFERROR(
    IF(
        COUNTIFS(
            Logbuch[Details],
            _xlfn.XLOOKUP(K20,Ziehungsanzahl[Lostopf],Ziehungsanzahl[Kürzel],"",0)&amp;"-*",
            Logbuch[Check],$Z$3
        )
        +
        COUNTIFS(
            Logbuch[Details],
            _xlfn.XLOOKUP(K20,Ziehungsanzahl[Lostopf],Ziehungsanzahl[Kürzel],"",0)&amp;"-*",
            Logbuch[Check],$Z$4
        )
        &gt; 0,
        75,
        0
    ),
    ""
)</f>
        <v>0</v>
      </c>
      <c r="K20" s="43" t="str">
        <v>Essen+Trinken/Eisdiele</v>
      </c>
      <c r="P20" s="32"/>
      <c r="Q20" s="32"/>
      <c r="R20" s="32"/>
      <c r="S20" s="32"/>
      <c r="T20" s="32"/>
      <c r="U20" s="32"/>
      <c r="V20" s="32"/>
      <c r="W20" s="32"/>
      <c r="AE20" s="51" t="str">
        <v>BP-40b</v>
      </c>
      <c r="AF20" s="32"/>
      <c r="AG20" s="32"/>
      <c r="AH20" s="32"/>
      <c r="AI20" s="32"/>
      <c r="AJ20" s="32"/>
      <c r="AK20" s="32"/>
    </row>
    <row r="21" spans="2:37">
      <c r="B21" t="str" cm="1">
        <f t="array" ref="B21">_xlfn.SWITCH(Logbuch[[#This Row],[Eintragsart]],
$Y$1,IF(B20="Einstieg","Ausstieg","Einstieg"),
$Z$1,$Z$2,"")</f>
        <v/>
      </c>
      <c r="C21" t="str" cm="1">
        <f t="array" ref="C21">_xlfn.SWITCH(Logbuch[[#This Row],[Eintragsart]],
$Y$1,IF(Logbuch[[#This Row],[Check]]=$Y$2,C20,""),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MIN(INT(($J$8-$J$7)*144)*$J$9,INT((E21-$J$7)*144)*$J$9),"")),
""
)</f>
        <v/>
      </c>
      <c r="D21" t="str" cm="1">
        <f t="array" ref="D21">IFERROR(
_xlfn.IFS(
AND(Logbuch[[#This Row],[Eintragsart]]=$Z$1,Logbuch[[#This Row],[Details]]),_xlfn.XLOOKUP(IF(Logbuch[[#This Row],[Eintragsart]]=$Z$1,Logbuch[[#This Row],[Details]],""),Ziehung[LosID],Ziehung[Bahnhof],FALSE,0),
AND(Logbuch[[#This Row],[Eintragsart]]=$Y$1,Logbuch[[#This Row],[Check]]="Einstieg"),D20),
"")</f>
        <v/>
      </c>
      <c r="F21" s="53">
        <f t="shared" si="0"/>
        <v>46256</v>
      </c>
      <c r="G21" t="str" cm="1">
        <f t="array" ref="G21">_xlfn.LET(
    _xlpm.letzteAusstieg, IFERROR(MAX(_xlfn._xlws.FILTER(ROW($B$5:B20), ($B$5:B20=$Y$3) + ($B$5:B20=$AA$10)))-4, 0),
    _xlpm.ersteEinstieg, IFERROR(MIN(_xlfn._xlws.FILTER(ROW(C22:$C$1003), (C22:$C$1003=$Y$2) + (C22:$C$1003=$AA$9)))-ROW(B21), 0),
    IF(
        OR(_xlpm.ersteEinstieg=0, NOT(OR(B21=$Z$3, B21=$Z$4))),
        "",
        _xlfn.LET(
            _xlpm.wertAus,
                N(INDEX(E$5:E20, _xlpm.letzteAusstieg))  * 24 * 60
              + N(INDEX(G$5:G20, _xlpm.letzteAusstieg)),
            _xlpm.wertEin,
                N(INDEX(E22:E$1008, _xlpm.ersteEinstieg))  * 24 * 60
              + N(INDEX(G22:G$1008, _xlpm.ersteEinstieg)),
            _xlpm.diff, ROUND(_xlpm.wertEin - _xlpm.wertAus,0),
            _xlpm.minuteSoll,
                N(_xlfn.XLOOKUP(C21,Ziehung[LosID],Ziehung[Zeit-bedarf (min)])),
            "Los: "&amp;_xlpm.minuteSoll&amp;"; Um.:"&amp; _xlpm.diff
        )
    )
)</f>
        <v/>
      </c>
      <c r="H21" s="46" t="str" cm="1">
        <f t="array" ref="H21">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1" s="47">
        <f>IFERROR(
    IF(
        COUNTIFS(
            Logbuch[Details],
            _xlfn.XLOOKUP(K21,Ziehungsanzahl[Lostopf],Ziehungsanzahl[Kürzel],"",0)&amp;"-*",
            Logbuch[Check],$Z$3
        )
        +
        COUNTIFS(
            Logbuch[Details],
            _xlfn.XLOOKUP(K21,Ziehungsanzahl[Lostopf],Ziehungsanzahl[Kürzel],"",0)&amp;"-*",
            Logbuch[Check],$Z$4
        )
        &gt; 0,
        75,
        0
    ),
    ""
)</f>
        <v>0</v>
      </c>
      <c r="K21" s="43" t="str">
        <v>Ehemalige FV-Bahnhöfe</v>
      </c>
      <c r="U21" s="32"/>
      <c r="V21" s="32"/>
      <c r="W21" s="32"/>
      <c r="AE21" s="51" t="str">
        <v>P-4a</v>
      </c>
      <c r="AF21" s="32"/>
      <c r="AG21" s="32"/>
      <c r="AH21" s="32"/>
      <c r="AI21" s="32"/>
      <c r="AJ21" s="32"/>
      <c r="AK21" s="32"/>
    </row>
    <row r="22" spans="2:37">
      <c r="B22" t="str" cm="1">
        <f t="array" ref="B22">_xlfn.SWITCH(Logbuch[[#This Row],[Eintragsart]],
$Y$1,IF(B21="Einstieg","Ausstieg","Einstieg"),
$Z$1,$Z$2,"")</f>
        <v/>
      </c>
      <c r="C22" t="str" cm="1">
        <f t="array" ref="C22">_xlfn.SWITCH(Logbuch[[#This Row],[Eintragsart]],
$Y$1,IF(Logbuch[[#This Row],[Check]]=$Y$2,C21,""),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MIN(INT(($J$8-$J$7)*144)*$J$9,INT((E22-$J$7)*144)*$J$9),"")),
""
)</f>
        <v/>
      </c>
      <c r="D22" t="str" cm="1">
        <f t="array" ref="D22">IFERROR(
_xlfn.IFS(
AND(Logbuch[[#This Row],[Eintragsart]]=$Z$1,Logbuch[[#This Row],[Details]]),_xlfn.XLOOKUP(IF(Logbuch[[#This Row],[Eintragsart]]=$Z$1,Logbuch[[#This Row],[Details]],""),Ziehung[LosID],Ziehung[Bahnhof],FALSE,0),
AND(Logbuch[[#This Row],[Eintragsart]]=$Y$1,Logbuch[[#This Row],[Check]]="Einstieg"),D21),
"")</f>
        <v/>
      </c>
      <c r="F22" s="53">
        <f t="shared" si="0"/>
        <v>46256</v>
      </c>
      <c r="G22" t="str" cm="1">
        <f t="array" ref="G22">_xlfn.LET(
    _xlpm.letzteAusstieg, IFERROR(MAX(_xlfn._xlws.FILTER(ROW($B$5:B21), ($B$5:B21=$Y$3) + ($B$5:B21=$AA$10)))-4, 0),
    _xlpm.ersteEinstieg, IFERROR(MIN(_xlfn._xlws.FILTER(ROW(C23:$C$1003), (C23:$C$1003=$Y$2) + (C23:$C$1003=$AA$9)))-ROW(B22), 0),
    IF(
        OR(_xlpm.ersteEinstieg=0, NOT(OR(B22=$Z$3, B22=$Z$4))),
        "",
        _xlfn.LET(
            _xlpm.wertAus,
                N(INDEX(E$5:E21, _xlpm.letzteAusstieg))  * 24 * 60
              + N(INDEX(G$5:G21, _xlpm.letzteAusstieg)),
            _xlpm.wertEin,
                N(INDEX(E23:E$1008, _xlpm.ersteEinstieg))  * 24 * 60
              + N(INDEX(G23:G$1008, _xlpm.ersteEinstieg)),
            _xlpm.diff, ROUND(_xlpm.wertEin - _xlpm.wertAus,0),
            _xlpm.minuteSoll,
                N(_xlfn.XLOOKUP(C22,Ziehung[LosID],Ziehung[Zeit-bedarf (min)])),
            "Los: "&amp;_xlpm.minuteSoll&amp;"; Um.:"&amp; _xlpm.diff
        )
    )
)</f>
        <v/>
      </c>
      <c r="H22" s="46" t="str" cm="1">
        <f t="array" ref="H22">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2" s="47">
        <f>IFERROR(
    IF(
        COUNTIFS(
            Logbuch[Details],
            _xlfn.XLOOKUP(K22,Ziehungsanzahl[Lostopf],Ziehungsanzahl[Kürzel],"",0)&amp;"-*",
            Logbuch[Check],$Z$3
        )
        +
        COUNTIFS(
            Logbuch[Details],
            _xlfn.XLOOKUP(K22,Ziehungsanzahl[Lostopf],Ziehungsanzahl[Kürzel],"",0)&amp;"-*",
            Logbuch[Check],$Z$4
        )
        &gt; 0,
        75,
        0
    ),
    ""
)</f>
        <v>0</v>
      </c>
      <c r="K22" s="43" t="str">
        <v>Eisenbahnmuseum</v>
      </c>
      <c r="U22" s="32"/>
      <c r="V22" s="32"/>
      <c r="W22" s="32"/>
      <c r="AE22" s="51" t="str">
        <v>P-4b</v>
      </c>
      <c r="AF22" s="32"/>
      <c r="AG22" s="32"/>
      <c r="AH22" s="32"/>
      <c r="AI22" s="32"/>
      <c r="AJ22" s="32"/>
      <c r="AK22" s="32"/>
    </row>
    <row r="23" spans="2:37">
      <c r="B23" t="str" cm="1">
        <f t="array" ref="B23">_xlfn.SWITCH(Logbuch[[#This Row],[Eintragsart]],
$Y$1,IF(B22="Einstieg","Ausstieg","Einstieg"),
$Z$1,$Z$2,"")</f>
        <v/>
      </c>
      <c r="C23" t="str" cm="1">
        <f t="array" ref="C23">_xlfn.SWITCH(Logbuch[[#This Row],[Eintragsart]],
$Y$1,IF(Logbuch[[#This Row],[Check]]=$Y$2,C22,""),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MIN(INT(($J$8-$J$7)*144)*$J$9,INT((E23-$J$7)*144)*$J$9),"")),
""
)</f>
        <v/>
      </c>
      <c r="D23" t="str" cm="1">
        <f t="array" ref="D23">IFERROR(
_xlfn.IFS(
AND(Logbuch[[#This Row],[Eintragsart]]=$Z$1,Logbuch[[#This Row],[Details]]),_xlfn.XLOOKUP(IF(Logbuch[[#This Row],[Eintragsart]]=$Z$1,Logbuch[[#This Row],[Details]],""),Ziehung[LosID],Ziehung[Bahnhof],FALSE,0),
AND(Logbuch[[#This Row],[Eintragsart]]=$Y$1,Logbuch[[#This Row],[Check]]="Einstieg"),D22),
"")</f>
        <v/>
      </c>
      <c r="F23" s="53">
        <f t="shared" si="0"/>
        <v>46256</v>
      </c>
      <c r="G23" t="str" cm="1">
        <f t="array" ref="G23">_xlfn.LET(
    _xlpm.letzteAusstieg, IFERROR(MAX(_xlfn._xlws.FILTER(ROW($B$5:B22), ($B$5:B22=$Y$3) + ($B$5:B22=$AA$10)))-4, 0),
    _xlpm.ersteEinstieg, IFERROR(MIN(_xlfn._xlws.FILTER(ROW(C24:$C$1003), (C24:$C$1003=$Y$2) + (C24:$C$1003=$AA$9)))-ROW(B23), 0),
    IF(
        OR(_xlpm.ersteEinstieg=0, NOT(OR(B23=$Z$3, B23=$Z$4))),
        "",
        _xlfn.LET(
            _xlpm.wertAus,
                N(INDEX(E$5:E22, _xlpm.letzteAusstieg))  * 24 * 60
              + N(INDEX(G$5:G22, _xlpm.letzteAusstieg)),
            _xlpm.wertEin,
                N(INDEX(E24:E$1008, _xlpm.ersteEinstieg))  * 24 * 60
              + N(INDEX(G24:G$1008, _xlpm.ersteEinstieg)),
            _xlpm.diff, ROUND(_xlpm.wertEin - _xlpm.wertAus,0),
            _xlpm.minuteSoll,
                N(_xlfn.XLOOKUP(C23,Ziehung[LosID],Ziehung[Zeit-bedarf (min)])),
            "Los: "&amp;_xlpm.minuteSoll&amp;"; Um.:"&amp; _xlpm.diff
        )
    )
)</f>
        <v/>
      </c>
      <c r="H23" s="46" t="str" cm="1">
        <f t="array" ref="H23">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3" s="47">
        <f>IFERROR(
    IF(
        COUNTIFS(
            Logbuch[Details],
            _xlfn.XLOOKUP(K23,Ziehungsanzahl[Lostopf],Ziehungsanzahl[Kürzel],"",0)&amp;"-*",
            Logbuch[Check],$Z$3
        )
        +
        COUNTIFS(
            Logbuch[Details],
            _xlfn.XLOOKUP(K23,Ziehungsanzahl[Lostopf],Ziehungsanzahl[Kürzel],"",0)&amp;"-*",
            Logbuch[Check],$Z$4
        )
        &gt; 0,
        75,
        0
    ),
    ""
)</f>
        <v>0</v>
      </c>
      <c r="K23" s="43" t="str">
        <v>Frankfurt &amp; Rhein-Main-Region</v>
      </c>
      <c r="U23" s="32"/>
      <c r="V23" s="32"/>
      <c r="W23" s="32"/>
      <c r="AE23" s="51" t="str">
        <v>P-10a</v>
      </c>
      <c r="AF23" s="32"/>
      <c r="AG23" s="32"/>
      <c r="AH23" s="32"/>
      <c r="AI23" s="32"/>
      <c r="AJ23" s="32"/>
      <c r="AK23" s="32"/>
    </row>
    <row r="24" spans="2:37">
      <c r="B24" t="str" cm="1">
        <f t="array" ref="B24">_xlfn.SWITCH(Logbuch[[#This Row],[Eintragsart]],
$Y$1,IF(B23="Einstieg","Ausstieg","Einstieg"),
$Z$1,$Z$2,"")</f>
        <v/>
      </c>
      <c r="C24" t="str" cm="1">
        <f t="array" ref="C24">_xlfn.SWITCH(Logbuch[[#This Row],[Eintragsart]],
$Y$1,IF(Logbuch[[#This Row],[Check]]=$Y$2,C23,""),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MIN(INT(($J$8-$J$7)*144)*$J$9,INT((E24-$J$7)*144)*$J$9),"")),
""
)</f>
        <v/>
      </c>
      <c r="D24" t="str" cm="1">
        <f t="array" ref="D24">IFERROR(
_xlfn.IFS(
AND(Logbuch[[#This Row],[Eintragsart]]=$Z$1,Logbuch[[#This Row],[Details]]),_xlfn.XLOOKUP(IF(Logbuch[[#This Row],[Eintragsart]]=$Z$1,Logbuch[[#This Row],[Details]],""),Ziehung[LosID],Ziehung[Bahnhof],FALSE,0),
AND(Logbuch[[#This Row],[Eintragsart]]=$Y$1,Logbuch[[#This Row],[Check]]="Einstieg"),D23),
"")</f>
        <v/>
      </c>
      <c r="F24" s="53">
        <f t="shared" si="0"/>
        <v>46256</v>
      </c>
      <c r="G24" t="str" cm="1">
        <f t="array" ref="G24">_xlfn.LET(
    _xlpm.letzteAusstieg, IFERROR(MAX(_xlfn._xlws.FILTER(ROW($B$5:B23), ($B$5:B23=$Y$3) + ($B$5:B23=$AA$10)))-4, 0),
    _xlpm.ersteEinstieg, IFERROR(MIN(_xlfn._xlws.FILTER(ROW(C25:$C$1003), (C25:$C$1003=$Y$2) + (C25:$C$1003=$AA$9)))-ROW(B24), 0),
    IF(
        OR(_xlpm.ersteEinstieg=0, NOT(OR(B24=$Z$3, B24=$Z$4))),
        "",
        _xlfn.LET(
            _xlpm.wertAus,
                N(INDEX(E$5:E23, _xlpm.letzteAusstieg))  * 24 * 60
              + N(INDEX(G$5:G23, _xlpm.letzteAusstieg)),
            _xlpm.wertEin,
                N(INDEX(E25:E$1008, _xlpm.ersteEinstieg))  * 24 * 60
              + N(INDEX(G25:G$1008, _xlpm.ersteEinstieg)),
            _xlpm.diff, ROUND(_xlpm.wertEin - _xlpm.wertAus,0),
            _xlpm.minuteSoll,
                N(_xlfn.XLOOKUP(C24,Ziehung[LosID],Ziehung[Zeit-bedarf (min)])),
            "Los: "&amp;_xlpm.minuteSoll&amp;"; Um.:"&amp; _xlpm.diff
        )
    )
)</f>
        <v/>
      </c>
      <c r="H24" s="46" t="str" cm="1">
        <f t="array" ref="H24">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4" s="47">
        <f>IFERROR(
    IF(
        COUNTIFS(
            Logbuch[Details],
            _xlfn.XLOOKUP(K24,Ziehungsanzahl[Lostopf],Ziehungsanzahl[Kürzel],"",0)&amp;"-*",
            Logbuch[Check],$Z$3
        )
        +
        COUNTIFS(
            Logbuch[Details],
            _xlfn.XLOOKUP(K24,Ziehungsanzahl[Lostopf],Ziehungsanzahl[Kürzel],"",0)&amp;"-*",
            Logbuch[Check],$Z$4
        )
        &gt; 0,
        75,
        0
    ),
    ""
)</f>
        <v>0</v>
      </c>
      <c r="K24" s="43" t="str">
        <v>Kleine Hochschulorte</v>
      </c>
      <c r="U24" s="32"/>
      <c r="V24" s="32"/>
      <c r="W24" s="32"/>
      <c r="AE24" s="51" t="str">
        <v>P-10b</v>
      </c>
      <c r="AF24" s="32"/>
      <c r="AG24" s="32"/>
      <c r="AH24" s="32"/>
      <c r="AI24" s="32"/>
      <c r="AJ24" s="32"/>
      <c r="AK24" s="32"/>
    </row>
    <row r="25" spans="2:37">
      <c r="B25" t="str" cm="1">
        <f t="array" ref="B25">_xlfn.SWITCH(Logbuch[[#This Row],[Eintragsart]],
$Y$1,IF(B24="Einstieg","Ausstieg","Einstieg"),
$Z$1,$Z$2,"")</f>
        <v/>
      </c>
      <c r="C25" t="str" cm="1">
        <f t="array" ref="C25">_xlfn.SWITCH(Logbuch[[#This Row],[Eintragsart]],
$Y$1,IF(Logbuch[[#This Row],[Check]]=$Y$2,C24,""),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MIN(INT(($J$8-$J$7)*144)*$J$9,INT((E25-$J$7)*144)*$J$9),"")),
""
)</f>
        <v/>
      </c>
      <c r="D25" t="str" cm="1">
        <f t="array" ref="D25">IFERROR(
_xlfn.IFS(
AND(Logbuch[[#This Row],[Eintragsart]]=$Z$1,Logbuch[[#This Row],[Details]]),_xlfn.XLOOKUP(IF(Logbuch[[#This Row],[Eintragsart]]=$Z$1,Logbuch[[#This Row],[Details]],""),Ziehung[LosID],Ziehung[Bahnhof],FALSE,0),
AND(Logbuch[[#This Row],[Eintragsart]]=$Y$1,Logbuch[[#This Row],[Check]]="Einstieg"),D24),
"")</f>
        <v/>
      </c>
      <c r="F25" s="53">
        <f t="shared" si="0"/>
        <v>46256</v>
      </c>
      <c r="G25" t="str" cm="1">
        <f t="array" ref="G25">_xlfn.LET(
    _xlpm.letzteAusstieg, IFERROR(MAX(_xlfn._xlws.FILTER(ROW($B$5:B24), ($B$5:B24=$Y$3) + ($B$5:B24=$AA$10)))-4, 0),
    _xlpm.ersteEinstieg, IFERROR(MIN(_xlfn._xlws.FILTER(ROW(C26:$C$1003), (C26:$C$1003=$Y$2) + (C26:$C$1003=$AA$9)))-ROW(B25), 0),
    IF(
        OR(_xlpm.ersteEinstieg=0, NOT(OR(B25=$Z$3, B25=$Z$4))),
        "",
        _xlfn.LET(
            _xlpm.wertAus,
                N(INDEX(E$5:E24, _xlpm.letzteAusstieg))  * 24 * 60
              + N(INDEX(G$5:G24, _xlpm.letzteAusstieg)),
            _xlpm.wertEin,
                N(INDEX(E26:E$1008, _xlpm.ersteEinstieg))  * 24 * 60
              + N(INDEX(G26:G$1008, _xlpm.ersteEinstieg)),
            _xlpm.diff, ROUND(_xlpm.wertEin - _xlpm.wertAus,0),
            _xlpm.minuteSoll,
                N(_xlfn.XLOOKUP(C25,Ziehung[LosID],Ziehung[Zeit-bedarf (min)])),
            "Los: "&amp;_xlpm.minuteSoll&amp;"; Um.:"&amp; _xlpm.diff
        )
    )
)</f>
        <v/>
      </c>
      <c r="H25" s="46" t="str" cm="1">
        <f t="array" ref="H25">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5" s="47">
        <f>IFERROR(
    IF(
        COUNTIFS(
            Logbuch[Details],
            _xlfn.XLOOKUP(K25,Ziehungsanzahl[Lostopf],Ziehungsanzahl[Kürzel],"",0)&amp;"-*",
            Logbuch[Check],$Z$3
        )
        +
        COUNTIFS(
            Logbuch[Details],
            _xlfn.XLOOKUP(K25,Ziehungsanzahl[Lostopf],Ziehungsanzahl[Kürzel],"",0)&amp;"-*",
            Logbuch[Check],$Z$4
        )
        &gt; 0,
        75,
        0
    ),
    ""
)</f>
        <v>0</v>
      </c>
      <c r="K25" s="43" t="str">
        <v>Hanse/Meer/Küste/Deich</v>
      </c>
      <c r="U25" s="32"/>
      <c r="V25" s="32"/>
      <c r="W25" s="32"/>
      <c r="AE25" s="51" t="str">
        <v>P-16a</v>
      </c>
      <c r="AF25" s="32"/>
      <c r="AG25" s="32"/>
      <c r="AH25" s="32"/>
      <c r="AI25" s="32"/>
      <c r="AJ25" s="32"/>
      <c r="AK25" s="32"/>
    </row>
    <row r="26" spans="2:37">
      <c r="B26" t="str" cm="1">
        <f t="array" ref="B26">_xlfn.SWITCH(Logbuch[[#This Row],[Eintragsart]],
$Y$1,IF(B25="Einstieg","Ausstieg","Einstieg"),
$Z$1,$Z$2,"")</f>
        <v/>
      </c>
      <c r="C26" t="str" cm="1">
        <f t="array" ref="C26">_xlfn.SWITCH(Logbuch[[#This Row],[Eintragsart]],
$Y$1,IF(Logbuch[[#This Row],[Check]]=$Y$2,C25,""),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MIN(INT(($J$8-$J$7)*144)*$J$9,INT((E26-$J$7)*144)*$J$9),"")),
""
)</f>
        <v/>
      </c>
      <c r="D26" t="str" cm="1">
        <f t="array" ref="D26">IFERROR(
_xlfn.IFS(
AND(Logbuch[[#This Row],[Eintragsart]]=$Z$1,Logbuch[[#This Row],[Details]]),_xlfn.XLOOKUP(IF(Logbuch[[#This Row],[Eintragsart]]=$Z$1,Logbuch[[#This Row],[Details]],""),Ziehung[LosID],Ziehung[Bahnhof],FALSE,0),
AND(Logbuch[[#This Row],[Eintragsart]]=$Y$1,Logbuch[[#This Row],[Check]]="Einstieg"),D25),
"")</f>
        <v/>
      </c>
      <c r="F26" s="53">
        <f t="shared" si="0"/>
        <v>46256</v>
      </c>
      <c r="G26" t="str" cm="1">
        <f t="array" ref="G26">_xlfn.LET(
    _xlpm.letzteAusstieg, IFERROR(MAX(_xlfn._xlws.FILTER(ROW($B$5:B25), ($B$5:B25=$Y$3) + ($B$5:B25=$AA$10)))-4, 0),
    _xlpm.ersteEinstieg, IFERROR(MIN(_xlfn._xlws.FILTER(ROW(C27:$C$1003), (C27:$C$1003=$Y$2) + (C27:$C$1003=$AA$9)))-ROW(B26), 0),
    IF(
        OR(_xlpm.ersteEinstieg=0, NOT(OR(B26=$Z$3, B26=$Z$4))),
        "",
        _xlfn.LET(
            _xlpm.wertAus,
                N(INDEX(E$5:E25, _xlpm.letzteAusstieg))  * 24 * 60
              + N(INDEX(G$5:G25, _xlpm.letzteAusstieg)),
            _xlpm.wertEin,
                N(INDEX(E27:E$1008, _xlpm.ersteEinstieg))  * 24 * 60
              + N(INDEX(G27:G$1008, _xlpm.ersteEinstieg)),
            _xlpm.diff, ROUND(_xlpm.wertEin - _xlpm.wertAus,0),
            _xlpm.minuteSoll,
                N(_xlfn.XLOOKUP(C26,Ziehung[LosID],Ziehung[Zeit-bedarf (min)])),
            "Los: "&amp;_xlpm.minuteSoll&amp;"; Um.:"&amp; _xlpm.diff
        )
    )
)</f>
        <v/>
      </c>
      <c r="H26" s="46" t="str" cm="1">
        <f t="array" ref="H26">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6" s="47">
        <f>IFERROR(
    IF(
        COUNTIFS(
            Logbuch[Details],
            _xlfn.XLOOKUP(K26,Ziehungsanzahl[Lostopf],Ziehungsanzahl[Kürzel],"",0)&amp;"-*",
            Logbuch[Check],$Z$3
        )
        +
        COUNTIFS(
            Logbuch[Details],
            _xlfn.XLOOKUP(K26,Ziehungsanzahl[Lostopf],Ziehungsanzahl[Kürzel],"",0)&amp;"-*",
            Logbuch[Check],$Z$4
        )
        &gt; 0,
        75,
        0
    ),
    ""
)</f>
        <v>0</v>
      </c>
      <c r="K26" s="43" t="str">
        <v>Kranke Ortsnamen</v>
      </c>
      <c r="AE26" s="51" t="str">
        <v>P-16b</v>
      </c>
    </row>
    <row r="27" spans="2:37">
      <c r="B27" t="str" cm="1">
        <f t="array" ref="B27">_xlfn.SWITCH(Logbuch[[#This Row],[Eintragsart]],
$Y$1,IF(B26="Einstieg","Ausstieg","Einstieg"),
$Z$1,$Z$2,"")</f>
        <v/>
      </c>
      <c r="C27" t="str" cm="1">
        <f t="array" ref="C27">_xlfn.SWITCH(Logbuch[[#This Row],[Eintragsart]],
$Y$1,IF(Logbuch[[#This Row],[Check]]=$Y$2,C26,""),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MIN(INT(($J$8-$J$7)*144)*$J$9,INT((E27-$J$7)*144)*$J$9),"")),
""
)</f>
        <v/>
      </c>
      <c r="D27" t="str" cm="1">
        <f t="array" ref="D27">IFERROR(
_xlfn.IFS(
AND(Logbuch[[#This Row],[Eintragsart]]=$Z$1,Logbuch[[#This Row],[Details]]),_xlfn.XLOOKUP(IF(Logbuch[[#This Row],[Eintragsart]]=$Z$1,Logbuch[[#This Row],[Details]],""),Ziehung[LosID],Ziehung[Bahnhof],FALSE,0),
AND(Logbuch[[#This Row],[Eintragsart]]=$Y$1,Logbuch[[#This Row],[Check]]="Einstieg"),D26),
"")</f>
        <v/>
      </c>
      <c r="F27" s="53">
        <f t="shared" si="0"/>
        <v>46256</v>
      </c>
      <c r="G27" t="str" cm="1">
        <f t="array" ref="G27">_xlfn.LET(
    _xlpm.letzteAusstieg, IFERROR(MAX(_xlfn._xlws.FILTER(ROW($B$5:B26), ($B$5:B26=$Y$3) + ($B$5:B26=$AA$10)))-4, 0),
    _xlpm.ersteEinstieg, IFERROR(MIN(_xlfn._xlws.FILTER(ROW(C28:$C$1003), (C28:$C$1003=$Y$2) + (C28:$C$1003=$AA$9)))-ROW(B27), 0),
    IF(
        OR(_xlpm.ersteEinstieg=0, NOT(OR(B27=$Z$3, B27=$Z$4))),
        "",
        _xlfn.LET(
            _xlpm.wertAus,
                N(INDEX(E$5:E26, _xlpm.letzteAusstieg))  * 24 * 60
              + N(INDEX(G$5:G26, _xlpm.letzteAusstieg)),
            _xlpm.wertEin,
                N(INDEX(E28:E$1008, _xlpm.ersteEinstieg))  * 24 * 60
              + N(INDEX(G28:G$1008, _xlpm.ersteEinstieg)),
            _xlpm.diff, ROUND(_xlpm.wertEin - _xlpm.wertAus,0),
            _xlpm.minuteSoll,
                N(_xlfn.XLOOKUP(C27,Ziehung[LosID],Ziehung[Zeit-bedarf (min)])),
            "Los: "&amp;_xlpm.minuteSoll&amp;"; Um.:"&amp; _xlpm.diff
        )
    )
)</f>
        <v/>
      </c>
      <c r="H27" s="46" t="str" cm="1">
        <f t="array" ref="H27">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7" s="47">
        <f>IFERROR(
    IF(
        COUNTIFS(
            Logbuch[Details],
            _xlfn.XLOOKUP(K27,Ziehungsanzahl[Lostopf],Ziehungsanzahl[Kürzel],"",0)&amp;"-*",
            Logbuch[Check],$Z$3
        )
        +
        COUNTIFS(
            Logbuch[Details],
            _xlfn.XLOOKUP(K27,Ziehungsanzahl[Lostopf],Ziehungsanzahl[Kürzel],"",0)&amp;"-*",
            Logbuch[Check],$Z$4
        )
        &gt; 0,
        75,
        0
    ),
    ""
)</f>
        <v>0</v>
      </c>
      <c r="K27" s="43" t="str">
        <v>Münster Stadt &amp; Umland/Fahrrad</v>
      </c>
      <c r="AE27" s="51" t="str">
        <v>P-23a</v>
      </c>
    </row>
    <row r="28" spans="2:37">
      <c r="B28" t="str" cm="1">
        <f t="array" ref="B28">_xlfn.SWITCH(Logbuch[[#This Row],[Eintragsart]],
$Y$1,IF(B27="Einstieg","Ausstieg","Einstieg"),
$Z$1,$Z$2,"")</f>
        <v/>
      </c>
      <c r="C28" t="str" cm="1">
        <f t="array" ref="C28">_xlfn.SWITCH(Logbuch[[#This Row],[Eintragsart]],
$Y$1,IF(Logbuch[[#This Row],[Check]]=$Y$2,C27,""),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MIN(INT(($J$8-$J$7)*144)*$J$9,INT((E28-$J$7)*144)*$J$9),"")),
""
)</f>
        <v/>
      </c>
      <c r="D28" t="str" cm="1">
        <f t="array" ref="D28">IFERROR(
_xlfn.IFS(
AND(Logbuch[[#This Row],[Eintragsart]]=$Z$1,Logbuch[[#This Row],[Details]]),_xlfn.XLOOKUP(IF(Logbuch[[#This Row],[Eintragsart]]=$Z$1,Logbuch[[#This Row],[Details]],""),Ziehung[LosID],Ziehung[Bahnhof],FALSE,0),
AND(Logbuch[[#This Row],[Eintragsart]]=$Y$1,Logbuch[[#This Row],[Check]]="Einstieg"),D27),
"")</f>
        <v/>
      </c>
      <c r="F28" s="53">
        <f t="shared" si="0"/>
        <v>46256</v>
      </c>
      <c r="G28" t="str" cm="1">
        <f t="array" ref="G28">_xlfn.LET(
    _xlpm.letzteAusstieg, IFERROR(MAX(_xlfn._xlws.FILTER(ROW($B$5:B27), ($B$5:B27=$Y$3) + ($B$5:B27=$AA$10)))-4, 0),
    _xlpm.ersteEinstieg, IFERROR(MIN(_xlfn._xlws.FILTER(ROW(C29:$C$1003), (C29:$C$1003=$Y$2) + (C29:$C$1003=$AA$9)))-ROW(B28), 0),
    IF(
        OR(_xlpm.ersteEinstieg=0, NOT(OR(B28=$Z$3, B28=$Z$4))),
        "",
        _xlfn.LET(
            _xlpm.wertAus,
                N(INDEX(E$5:E27, _xlpm.letzteAusstieg))  * 24 * 60
              + N(INDEX(G$5:G27, _xlpm.letzteAusstieg)),
            _xlpm.wertEin,
                N(INDEX(E29:E$1008, _xlpm.ersteEinstieg))  * 24 * 60
              + N(INDEX(G29:G$1008, _xlpm.ersteEinstieg)),
            _xlpm.diff, ROUND(_xlpm.wertEin - _xlpm.wertAus,0),
            _xlpm.minuteSoll,
                N(_xlfn.XLOOKUP(C28,Ziehung[LosID],Ziehung[Zeit-bedarf (min)])),
            "Los: "&amp;_xlpm.minuteSoll&amp;"; Um.:"&amp; _xlpm.diff
        )
    )
)</f>
        <v/>
      </c>
      <c r="H28" s="46" t="str" cm="1">
        <f t="array" ref="H28">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8" s="47">
        <f>IFERROR(
    IF(
        COUNTIFS(
            Logbuch[Details],
            _xlfn.XLOOKUP(K28,Ziehungsanzahl[Lostopf],Ziehungsanzahl[Kürzel],"",0)&amp;"-*",
            Logbuch[Check],$Z$3
        )
        +
        COUNTIFS(
            Logbuch[Details],
            _xlfn.XLOOKUP(K28,Ziehungsanzahl[Lostopf],Ziehungsanzahl[Kürzel],"",0)&amp;"-*",
            Logbuch[Check],$Z$4
        )
        &gt; 0,
        75,
        0
    ),
    ""
)</f>
        <v>0</v>
      </c>
      <c r="K28" s="43" t="str">
        <v>Mini-Golf in Mini-Städten</v>
      </c>
      <c r="AE28" s="51" t="str">
        <v>P-23b</v>
      </c>
    </row>
    <row r="29" spans="2:37">
      <c r="B29" t="str" cm="1">
        <f t="array" ref="B29">_xlfn.SWITCH(Logbuch[[#This Row],[Eintragsart]],
$Y$1,IF(B28="Einstieg","Ausstieg","Einstieg"),
$Z$1,$Z$2,"")</f>
        <v/>
      </c>
      <c r="C29" t="str" cm="1">
        <f t="array" ref="C29">_xlfn.SWITCH(Logbuch[[#This Row],[Eintragsart]],
$Y$1,IF(Logbuch[[#This Row],[Check]]=$Y$2,C28,""),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MIN(INT(($J$8-$J$7)*144)*$J$9,INT((E29-$J$7)*144)*$J$9),"")),
""
)</f>
        <v/>
      </c>
      <c r="D29" t="str" cm="1">
        <f t="array" ref="D29">IFERROR(
_xlfn.IFS(
AND(Logbuch[[#This Row],[Eintragsart]]=$Z$1,Logbuch[[#This Row],[Details]]),_xlfn.XLOOKUP(IF(Logbuch[[#This Row],[Eintragsart]]=$Z$1,Logbuch[[#This Row],[Details]],""),Ziehung[LosID],Ziehung[Bahnhof],FALSE,0),
AND(Logbuch[[#This Row],[Eintragsart]]=$Y$1,Logbuch[[#This Row],[Check]]="Einstieg"),D28),
"")</f>
        <v/>
      </c>
      <c r="F29" s="53">
        <f t="shared" si="0"/>
        <v>46256</v>
      </c>
      <c r="G29" t="str" cm="1">
        <f t="array" ref="G29">_xlfn.LET(
    _xlpm.letzteAusstieg, IFERROR(MAX(_xlfn._xlws.FILTER(ROW($B$5:B28), ($B$5:B28=$Y$3) + ($B$5:B28=$AA$10)))-4, 0),
    _xlpm.ersteEinstieg, IFERROR(MIN(_xlfn._xlws.FILTER(ROW(C30:$C$1003), (C30:$C$1003=$Y$2) + (C30:$C$1003=$AA$9)))-ROW(B29), 0),
    IF(
        OR(_xlpm.ersteEinstieg=0, NOT(OR(B29=$Z$3, B29=$Z$4))),
        "",
        _xlfn.LET(
            _xlpm.wertAus,
                N(INDEX(E$5:E28, _xlpm.letzteAusstieg))  * 24 * 60
              + N(INDEX(G$5:G28, _xlpm.letzteAusstieg)),
            _xlpm.wertEin,
                N(INDEX(E30:E$1008, _xlpm.ersteEinstieg))  * 24 * 60
              + N(INDEX(G30:G$1008, _xlpm.ersteEinstieg)),
            _xlpm.diff, ROUND(_xlpm.wertEin - _xlpm.wertAus,0),
            _xlpm.minuteSoll,
                N(_xlfn.XLOOKUP(C29,Ziehung[LosID],Ziehung[Zeit-bedarf (min)])),
            "Los: "&amp;_xlpm.minuteSoll&amp;"; Um.:"&amp; _xlpm.diff
        )
    )
)</f>
        <v/>
      </c>
      <c r="H29" s="46" t="str" cm="1">
        <f t="array" ref="H29">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29" s="47">
        <f>IFERROR(
    IF(
        COUNTIFS(
            Logbuch[Details],
            _xlfn.XLOOKUP(K29,Ziehungsanzahl[Lostopf],Ziehungsanzahl[Kürzel],"",0)&amp;"-*",
            Logbuch[Check],$Z$3
        )
        +
        COUNTIFS(
            Logbuch[Details],
            _xlfn.XLOOKUP(K29,Ziehungsanzahl[Lostopf],Ziehungsanzahl[Kürzel],"",0)&amp;"-*",
            Logbuch[Check],$Z$4
        )
        &gt; 0,
        75,
        0
    ),
    ""
)</f>
        <v>0</v>
      </c>
      <c r="K29" s="43" t="str">
        <v>Natur/Wanderbahnhöfe</v>
      </c>
      <c r="AE29" s="51" t="str">
        <v>P-31a</v>
      </c>
    </row>
    <row r="30" spans="2:37">
      <c r="B30" t="str" cm="1">
        <f t="array" ref="B30">_xlfn.SWITCH(Logbuch[[#This Row],[Eintragsart]],
$Y$1,IF(B29="Einstieg","Ausstieg","Einstieg"),
$Z$1,$Z$2,"")</f>
        <v/>
      </c>
      <c r="C30" t="str" cm="1">
        <f t="array" ref="C30">_xlfn.SWITCH(Logbuch[[#This Row],[Eintragsart]],
$Y$1,IF(Logbuch[[#This Row],[Check]]=$Y$2,C29,""),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MIN(INT(($J$8-$J$7)*144)*$J$9,INT((E30-$J$7)*144)*$J$9),"")),
""
)</f>
        <v/>
      </c>
      <c r="D30" t="str" cm="1">
        <f t="array" ref="D30">IFERROR(
_xlfn.IFS(
AND(Logbuch[[#This Row],[Eintragsart]]=$Z$1,Logbuch[[#This Row],[Details]]),_xlfn.XLOOKUP(IF(Logbuch[[#This Row],[Eintragsart]]=$Z$1,Logbuch[[#This Row],[Details]],""),Ziehung[LosID],Ziehung[Bahnhof],FALSE,0),
AND(Logbuch[[#This Row],[Eintragsart]]=$Y$1,Logbuch[[#This Row],[Check]]="Einstieg"),D29),
"")</f>
        <v/>
      </c>
      <c r="F30" s="53">
        <f t="shared" si="0"/>
        <v>46256</v>
      </c>
      <c r="G30" t="str" cm="1">
        <f t="array" ref="G30">_xlfn.LET(
    _xlpm.letzteAusstieg, IFERROR(MAX(_xlfn._xlws.FILTER(ROW($B$5:B29), ($B$5:B29=$Y$3) + ($B$5:B29=$AA$10)))-4, 0),
    _xlpm.ersteEinstieg, IFERROR(MIN(_xlfn._xlws.FILTER(ROW(C31:$C$1003), (C31:$C$1003=$Y$2) + (C31:$C$1003=$AA$9)))-ROW(B30), 0),
    IF(
        OR(_xlpm.ersteEinstieg=0, NOT(OR(B30=$Z$3, B30=$Z$4))),
        "",
        _xlfn.LET(
            _xlpm.wertAus,
                N(INDEX(E$5:E29, _xlpm.letzteAusstieg))  * 24 * 60
              + N(INDEX(G$5:G29, _xlpm.letzteAusstieg)),
            _xlpm.wertEin,
                N(INDEX(E31:E$1008, _xlpm.ersteEinstieg))  * 24 * 60
              + N(INDEX(G31:G$1008, _xlpm.ersteEinstieg)),
            _xlpm.diff, ROUND(_xlpm.wertEin - _xlpm.wertAus,0),
            _xlpm.minuteSoll,
                N(_xlfn.XLOOKUP(C30,Ziehung[LosID],Ziehung[Zeit-bedarf (min)])),
            "Los: "&amp;_xlpm.minuteSoll&amp;"; Um.:"&amp; _xlpm.diff
        )
    )
)</f>
        <v/>
      </c>
      <c r="H30" s="46" t="str" cm="1">
        <f t="array" ref="H30">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30" s="47">
        <f>IFERROR(
    IF(
        COUNTIFS(
            Logbuch[Details],
            _xlfn.XLOOKUP(K30,Ziehungsanzahl[Lostopf],Ziehungsanzahl[Kürzel],"",0)&amp;"-*",
            Logbuch[Check],$Z$3
        )
        +
        COUNTIFS(
            Logbuch[Details],
            _xlfn.XLOOKUP(K30,Ziehungsanzahl[Lostopf],Ziehungsanzahl[Kürzel],"",0)&amp;"-*",
            Logbuch[Check],$Z$4
        )
        &gt; 0,
        75,
        0
    ),
    ""
)</f>
        <v>0</v>
      </c>
      <c r="K30" s="43" t="str">
        <v>Partnerstädte</v>
      </c>
      <c r="AE30" s="51" t="str">
        <v>P-31b</v>
      </c>
    </row>
    <row r="31" spans="2:37">
      <c r="B31" t="str" cm="1">
        <f t="array" ref="B31">_xlfn.SWITCH(Logbuch[[#This Row],[Eintragsart]],
$Y$1,IF(B30="Einstieg","Ausstieg","Einstieg"),
$Z$1,$Z$2,"")</f>
        <v/>
      </c>
      <c r="C31" t="str" cm="1">
        <f t="array" ref="C31">_xlfn.SWITCH(Logbuch[[#This Row],[Eintragsart]],
$Y$1,IF(Logbuch[[#This Row],[Check]]=$Y$2,C30,""),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MIN(INT(($J$8-$J$7)*144)*$J$9,INT((E31-$J$7)*144)*$J$9),"")),
""
)</f>
        <v/>
      </c>
      <c r="D31" t="str" cm="1">
        <f t="array" ref="D31">IFERROR(
_xlfn.IFS(
AND(Logbuch[[#This Row],[Eintragsart]]=$Z$1,Logbuch[[#This Row],[Details]]),_xlfn.XLOOKUP(IF(Logbuch[[#This Row],[Eintragsart]]=$Z$1,Logbuch[[#This Row],[Details]],""),Ziehung[LosID],Ziehung[Bahnhof],FALSE,0),
AND(Logbuch[[#This Row],[Eintragsart]]=$Y$1,Logbuch[[#This Row],[Check]]="Einstieg"),D30),
"")</f>
        <v/>
      </c>
      <c r="F31" s="53">
        <f t="shared" si="0"/>
        <v>46256</v>
      </c>
      <c r="G31" t="str" cm="1">
        <f t="array" ref="G31">_xlfn.LET(
    _xlpm.letzteAusstieg, IFERROR(MAX(_xlfn._xlws.FILTER(ROW($B$5:B30), ($B$5:B30=$Y$3) + ($B$5:B30=$AA$10)))-4, 0),
    _xlpm.ersteEinstieg, IFERROR(MIN(_xlfn._xlws.FILTER(ROW(C32:$C$1003), (C32:$C$1003=$Y$2) + (C32:$C$1003=$AA$9)))-ROW(B31), 0),
    IF(
        OR(_xlpm.ersteEinstieg=0, NOT(OR(B31=$Z$3, B31=$Z$4))),
        "",
        _xlfn.LET(
            _xlpm.wertAus,
                N(INDEX(E$5:E30, _xlpm.letzteAusstieg))  * 24 * 60
              + N(INDEX(G$5:G30, _xlpm.letzteAusstieg)),
            _xlpm.wertEin,
                N(INDEX(E32:E$1008, _xlpm.ersteEinstieg))  * 24 * 60
              + N(INDEX(G32:G$1008, _xlpm.ersteEinstieg)),
            _xlpm.diff, ROUND(_xlpm.wertEin - _xlpm.wertAus,0),
            _xlpm.minuteSoll,
                N(_xlfn.XLOOKUP(C31,Ziehung[LosID],Ziehung[Zeit-bedarf (min)])),
            "Los: "&amp;_xlpm.minuteSoll&amp;"; Um.:"&amp; _xlpm.diff
        )
    )
)</f>
        <v/>
      </c>
      <c r="H31" s="46" t="str" cm="1">
        <f t="array" ref="H31">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31" s="47">
        <f>IFERROR(
    IF(
        COUNTIFS(
            Logbuch[Details],
            _xlfn.XLOOKUP(K31,Ziehungsanzahl[Lostopf],Ziehungsanzahl[Kürzel],"",0)&amp;"-*",
            Logbuch[Check],$Z$3
        )
        +
        COUNTIFS(
            Logbuch[Details],
            _xlfn.XLOOKUP(K31,Ziehungsanzahl[Lostopf],Ziehungsanzahl[Kürzel],"",0)&amp;"-*",
            Logbuch[Check],$Z$4
        )
        &gt; 0,
        75,
        0
    ),
    ""
)</f>
        <v>0</v>
      </c>
      <c r="K31" s="43" t="str">
        <v>Rangierbahnhöfe</v>
      </c>
      <c r="AE31" s="51" t="str">
        <v>P-34a</v>
      </c>
    </row>
    <row r="32" spans="2:37">
      <c r="B32" t="str" cm="1">
        <f t="array" ref="B32">_xlfn.SWITCH(Logbuch[[#This Row],[Eintragsart]],
$Y$1,IF(B31="Einstieg","Ausstieg","Einstieg"),
$Z$1,$Z$2,"")</f>
        <v/>
      </c>
      <c r="C32" t="str" cm="1">
        <f t="array" ref="C32">_xlfn.SWITCH(Logbuch[[#This Row],[Eintragsart]],
$Y$1,IF(Logbuch[[#This Row],[Check]]=$Y$2,C31,""),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MIN(INT(($J$8-$J$7)*144)*$J$9,INT((E32-$J$7)*144)*$J$9),"")),
""
)</f>
        <v/>
      </c>
      <c r="D32" t="str" cm="1">
        <f t="array" ref="D32">IFERROR(
_xlfn.IFS(
AND(Logbuch[[#This Row],[Eintragsart]]=$Z$1,Logbuch[[#This Row],[Details]]),_xlfn.XLOOKUP(IF(Logbuch[[#This Row],[Eintragsart]]=$Z$1,Logbuch[[#This Row],[Details]],""),Ziehung[LosID],Ziehung[Bahnhof],FALSE,0),
AND(Logbuch[[#This Row],[Eintragsart]]=$Y$1,Logbuch[[#This Row],[Check]]="Einstieg"),D31),
"")</f>
        <v/>
      </c>
      <c r="F32" s="53">
        <f t="shared" si="0"/>
        <v>46256</v>
      </c>
      <c r="G32" t="str" cm="1">
        <f t="array" ref="G32">_xlfn.LET(
    _xlpm.letzteAusstieg, IFERROR(MAX(_xlfn._xlws.FILTER(ROW($B$5:B31), ($B$5:B31=$Y$3) + ($B$5:B31=$AA$10)))-4, 0),
    _xlpm.ersteEinstieg, IFERROR(MIN(_xlfn._xlws.FILTER(ROW(C33:$C$1003), (C33:$C$1003=$Y$2) + (C33:$C$1003=$AA$9)))-ROW(B32), 0),
    IF(
        OR(_xlpm.ersteEinstieg=0, NOT(OR(B32=$Z$3, B32=$Z$4))),
        "",
        _xlfn.LET(
            _xlpm.wertAus,
                N(INDEX(E$5:E31, _xlpm.letzteAusstieg))  * 24 * 60
              + N(INDEX(G$5:G31, _xlpm.letzteAusstieg)),
            _xlpm.wertEin,
                N(INDEX(E33:E$1008, _xlpm.ersteEinstieg))  * 24 * 60
              + N(INDEX(G33:G$1008, _xlpm.ersteEinstieg)),
            _xlpm.diff, ROUND(_xlpm.wertEin - _xlpm.wertAus,0),
            _xlpm.minuteSoll,
                N(_xlfn.XLOOKUP(C32,Ziehung[LosID],Ziehung[Zeit-bedarf (min)])),
            "Los: "&amp;_xlpm.minuteSoll&amp;"; Um.:"&amp; _xlpm.diff
        )
    )
)</f>
        <v/>
      </c>
      <c r="H32" s="46" t="str" cm="1">
        <f t="array" ref="H32">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32" s="47">
        <f>IFERROR(
    IF(
        COUNTIFS(
            Logbuch[Details],
            _xlfn.XLOOKUP(K32,Ziehungsanzahl[Lostopf],Ziehungsanzahl[Kürzel],"",0)&amp;"-*",
            Logbuch[Check],$Z$3
        )
        +
        COUNTIFS(
            Logbuch[Details],
            _xlfn.XLOOKUP(K32,Ziehungsanzahl[Lostopf],Ziehungsanzahl[Kürzel],"",0)&amp;"-*",
            Logbuch[Check],$Z$4
        )
        &gt; 0,
        75,
        0
    ),
    ""
)</f>
        <v>0</v>
      </c>
      <c r="K32" s="43" t="str">
        <v>Tatort</v>
      </c>
      <c r="AE32" s="51" t="str">
        <v>P-34b</v>
      </c>
    </row>
    <row r="33" spans="2:31">
      <c r="B33" t="str" cm="1">
        <f t="array" ref="B33">_xlfn.SWITCH(Logbuch[[#This Row],[Eintragsart]],
$Y$1,IF(B32="Einstieg","Ausstieg","Einstieg"),
$Z$1,$Z$2,"")</f>
        <v/>
      </c>
      <c r="C33" t="str" cm="1">
        <f t="array" ref="C33">_xlfn.SWITCH(Logbuch[[#This Row],[Eintragsart]],
$Y$1,IF(Logbuch[[#This Row],[Check]]=$Y$2,C32,""),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MIN(INT(($J$8-$J$7)*144)*$J$9,INT((E33-$J$7)*144)*$J$9),"")),
""
)</f>
        <v/>
      </c>
      <c r="D33" t="str" cm="1">
        <f t="array" ref="D33">IFERROR(
_xlfn.IFS(
AND(Logbuch[[#This Row],[Eintragsart]]=$Z$1,Logbuch[[#This Row],[Details]]),_xlfn.XLOOKUP(IF(Logbuch[[#This Row],[Eintragsart]]=$Z$1,Logbuch[[#This Row],[Details]],""),Ziehung[LosID],Ziehung[Bahnhof],FALSE,0),
AND(Logbuch[[#This Row],[Eintragsart]]=$Y$1,Logbuch[[#This Row],[Check]]="Einstieg"),D32),
"")</f>
        <v/>
      </c>
      <c r="F33" s="53">
        <f t="shared" si="0"/>
        <v>46256</v>
      </c>
      <c r="G33" t="str" cm="1">
        <f t="array" ref="G33">_xlfn.LET(
    _xlpm.letzteAusstieg, IFERROR(MAX(_xlfn._xlws.FILTER(ROW($B$5:B32), ($B$5:B32=$Y$3) + ($B$5:B32=$AA$10)))-4, 0),
    _xlpm.ersteEinstieg, IFERROR(MIN(_xlfn._xlws.FILTER(ROW(C34:$C$1003), (C34:$C$1003=$Y$2) + (C34:$C$1003=$AA$9)))-ROW(B33), 0),
    IF(
        OR(_xlpm.ersteEinstieg=0, NOT(OR(B33=$Z$3, B33=$Z$4))),
        "",
        _xlfn.LET(
            _xlpm.wertAus,
                N(INDEX(E$5:E32, _xlpm.letzteAusstieg))  * 24 * 60
              + N(INDEX(G$5:G32, _xlpm.letzteAusstieg)),
            _xlpm.wertEin,
                N(INDEX(E34:E$1008, _xlpm.ersteEinstieg))  * 24 * 60
              + N(INDEX(G34:G$1008, _xlpm.ersteEinstieg)),
            _xlpm.diff, ROUND(_xlpm.wertEin - _xlpm.wertAus,0),
            _xlpm.minuteSoll,
                N(_xlfn.XLOOKUP(C33,Ziehung[LosID],Ziehung[Zeit-bedarf (min)])),
            "Los: "&amp;_xlpm.minuteSoll&amp;"; Um.:"&amp; _xlpm.diff
        )
    )
)</f>
        <v/>
      </c>
      <c r="H33" s="46" t="str" cm="1">
        <f t="array" ref="H33">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33" s="47">
        <f>IFERROR(
    IF(
        COUNTIFS(
            Logbuch[Details],
            _xlfn.XLOOKUP(K33,Ziehungsanzahl[Lostopf],Ziehungsanzahl[Kürzel],"",0)&amp;"-*",
            Logbuch[Check],$Z$3
        )
        +
        COUNTIFS(
            Logbuch[Details],
            _xlfn.XLOOKUP(K33,Ziehungsanzahl[Lostopf],Ziehungsanzahl[Kürzel],"",0)&amp;"-*",
            Logbuch[Check],$Z$4
        )
        &gt; 0,
        75,
        0
    ),
    ""
)</f>
        <v>0</v>
      </c>
      <c r="K33" s="43" t="str">
        <v>Unter Tage</v>
      </c>
      <c r="AE33" s="51" t="str">
        <v>P-36a</v>
      </c>
    </row>
    <row r="34" spans="2:31">
      <c r="B34" t="str" cm="1">
        <f t="array" ref="B34">_xlfn.SWITCH(Logbuch[[#This Row],[Eintragsart]],
$Y$1,IF(B33="Einstieg","Ausstieg","Einstieg"),
$Z$1,$Z$2,"")</f>
        <v/>
      </c>
      <c r="C34" t="str" cm="1">
        <f t="array" ref="C34">_xlfn.SWITCH(Logbuch[[#This Row],[Eintragsart]],
$Y$1,IF(Logbuch[[#This Row],[Check]]=$Y$2,C33,""),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MIN(INT(($J$8-$J$7)*144)*$J$9,INT((E34-$J$7)*144)*$J$9),"")),
""
)</f>
        <v/>
      </c>
      <c r="D34" t="str" cm="1">
        <f t="array" ref="D34">IFERROR(
_xlfn.IFS(
AND(Logbuch[[#This Row],[Eintragsart]]=$Z$1,Logbuch[[#This Row],[Details]]),_xlfn.XLOOKUP(IF(Logbuch[[#This Row],[Eintragsart]]=$Z$1,Logbuch[[#This Row],[Details]],""),Ziehung[LosID],Ziehung[Bahnhof],FALSE,0),
AND(Logbuch[[#This Row],[Eintragsart]]=$Y$1,Logbuch[[#This Row],[Check]]="Einstieg"),D33),
"")</f>
        <v/>
      </c>
      <c r="F34" s="53">
        <f t="shared" si="0"/>
        <v>46256</v>
      </c>
      <c r="G34" t="str" cm="1">
        <f t="array" ref="G34">_xlfn.LET(
    _xlpm.letzteAusstieg, IFERROR(MAX(_xlfn._xlws.FILTER(ROW($B$5:B33), ($B$5:B33=$Y$3) + ($B$5:B33=$AA$10)))-4, 0),
    _xlpm.ersteEinstieg, IFERROR(MIN(_xlfn._xlws.FILTER(ROW(C35:$C$1003), (C35:$C$1003=$Y$2) + (C35:$C$1003=$AA$9)))-ROW(B34), 0),
    IF(
        OR(_xlpm.ersteEinstieg=0, NOT(OR(B34=$Z$3, B34=$Z$4))),
        "",
        _xlfn.LET(
            _xlpm.wertAus,
                N(INDEX(E$5:E33, _xlpm.letzteAusstieg))  * 24 * 60
              + N(INDEX(G$5:G33, _xlpm.letzteAusstieg)),
            _xlpm.wertEin,
                N(INDEX(E35:E$1008, _xlpm.ersteEinstieg))  * 24 * 60
              + N(INDEX(G35:G$1008, _xlpm.ersteEinstieg)),
            _xlpm.diff, ROUND(_xlpm.wertEin - _xlpm.wertAus,0),
            _xlpm.minuteSoll,
                N(_xlfn.XLOOKUP(C34,Ziehung[LosID],Ziehung[Zeit-bedarf (min)])),
            "Los: "&amp;_xlpm.minuteSoll&amp;"; Um.:"&amp; _xlpm.diff
        )
    )
)</f>
        <v/>
      </c>
      <c r="H34" s="46" t="str" cm="1">
        <f t="array" ref="H34">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34" s="47">
        <f>IFERROR(
    IF(
        COUNTIFS(
            Logbuch[Details],
            _xlfn.XLOOKUP(K34,Ziehungsanzahl[Lostopf],Ziehungsanzahl[Kürzel],"",0)&amp;"-*",
            Logbuch[Check],$Z$3
        )
        +
        COUNTIFS(
            Logbuch[Details],
            _xlfn.XLOOKUP(K34,Ziehungsanzahl[Lostopf],Ziehungsanzahl[Kürzel],"",0)&amp;"-*",
            Logbuch[Check],$Z$4
        )
        &gt; 0,
        75,
        0
    ),
    ""
)</f>
        <v>0</v>
      </c>
      <c r="K34" s="43" t="str">
        <v>Wunschlos </v>
      </c>
      <c r="AE34" s="51" t="str">
        <v>P-36b</v>
      </c>
    </row>
    <row r="35" spans="2:31">
      <c r="C35" t="str" cm="1">
        <f t="array" ref="C35">_xlfn.SWITCH(Logbuch[[#This Row],[Eintragsart]],
$Y$1,IF(Logbuch[[#This Row],[Check]]=$Y$2,C34,""),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MIN(INT(($J$8-$J$7)*144)*$J$9,INT((E35-$J$7)*144)*$J$9),"")),
""
)</f>
        <v/>
      </c>
      <c r="D35" t="str" cm="1">
        <f t="array" ref="D35">IFERROR(
_xlfn.IFS(
AND(Logbuch[[#This Row],[Eintragsart]]=$Z$1,Logbuch[[#This Row],[Details]]),_xlfn.XLOOKUP(IF(Logbuch[[#This Row],[Eintragsart]]=$Z$1,Logbuch[[#This Row],[Details]],""),Ziehung[LosID],Ziehung[Bahnhof],FALSE,0),
AND(Logbuch[[#This Row],[Eintragsart]]=$Y$1,Logbuch[[#This Row],[Check]]="Einstieg"),D34),
"")</f>
        <v/>
      </c>
      <c r="F35" s="53">
        <f t="shared" si="0"/>
        <v>46256</v>
      </c>
      <c r="G35" t="str" cm="1">
        <f t="array" ref="G35">_xlfn.LET(
    _xlpm.letzteAusstieg, IFERROR(MAX(_xlfn._xlws.FILTER(ROW($B$5:B34), ($B$5:B34=$Y$3) + ($B$5:B34=$AA$10)))-4, 0),
    _xlpm.ersteEinstieg, IFERROR(MIN(_xlfn._xlws.FILTER(ROW(C36:$C$1003), (C36:$C$1003=$Y$2) + (C36:$C$1003=$AA$9)))-ROW(B35), 0),
    IF(
        OR(_xlpm.ersteEinstieg=0, NOT(OR(B35=$Z$3, B35=$Z$4))),
        "",
        _xlfn.LET(
            _xlpm.wertAus,
                N(INDEX(E$5:E34, _xlpm.letzteAusstieg))  * 24 * 60
              + N(INDEX(G$5:G34, _xlpm.letzteAusstieg)),
            _xlpm.wertEin,
                N(INDEX(E36:E$1008, _xlpm.ersteEinstieg))  * 24 * 60
              + N(INDEX(G36:G$1008, _xlpm.ersteEinstieg)),
            _xlpm.diff, ROUND(_xlpm.wertEin - _xlpm.wertAus,0),
            _xlpm.minuteSoll,
                N(_xlfn.XLOOKUP(C35,Ziehung[LosID],Ziehung[Zeit-bedarf (min)])),
            "Los: "&amp;_xlpm.minuteSoll&amp;"; Um.:"&amp; _xlpm.diff
        )
    )
)</f>
        <v/>
      </c>
      <c r="H35" s="46" t="str" cm="1">
        <f t="array" ref="H35">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J35" s="47">
        <f>IFERROR(
    IF(
        COUNTIFS(
            Logbuch[Details],
            _xlfn.XLOOKUP(K35,Ziehungsanzahl[Lostopf],Ziehungsanzahl[Kürzel],"",0)&amp;"-*",
            Logbuch[Check],$Z$3
        )
        +
        COUNTIFS(
            Logbuch[Details],
            _xlfn.XLOOKUP(K35,Ziehungsanzahl[Lostopf],Ziehungsanzahl[Kürzel],"",0)&amp;"-*",
            Logbuch[Check],$Z$4
        )
        &gt; 0,
        75,
        0
    ),
    ""
)</f>
        <v>0</v>
      </c>
      <c r="K35" s="43" t="str">
        <v>Weltkulturerbe</v>
      </c>
      <c r="AE35" s="51" t="str">
        <v>P-39a</v>
      </c>
    </row>
    <row r="36" spans="2:31">
      <c r="C36" t="str" cm="1">
        <f t="array" ref="C36">_xlfn.SWITCH(Logbuch[[#This Row],[Eintragsart]],
$Y$1,IF(Logbuch[[#This Row],[Check]]=$Y$2,C35,""),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MIN(INT(($J$8-$J$7)*144)*$J$9,INT((E36-$J$7)*144)*$J$9),"")),
""
)</f>
        <v/>
      </c>
      <c r="D36" t="str" cm="1">
        <f t="array" ref="D36">IFERROR(
_xlfn.IFS(
AND(Logbuch[[#This Row],[Eintragsart]]=$Z$1,Logbuch[[#This Row],[Details]]),_xlfn.XLOOKUP(IF(Logbuch[[#This Row],[Eintragsart]]=$Z$1,Logbuch[[#This Row],[Details]],""),Ziehung[LosID],Ziehung[Bahnhof],FALSE,0),
AND(Logbuch[[#This Row],[Eintragsart]]=$Y$1,Logbuch[[#This Row],[Check]]="Einstieg"),D35),
"")</f>
        <v/>
      </c>
      <c r="F36" s="53">
        <f t="shared" si="0"/>
        <v>46256</v>
      </c>
      <c r="G36" t="str" cm="1">
        <f t="array" ref="G36">_xlfn.LET(
    _xlpm.letzteAusstieg, IFERROR(MAX(_xlfn._xlws.FILTER(ROW($B$5:B35), ($B$5:B35=$Y$3) + ($B$5:B35=$AA$10)))-4, 0),
    _xlpm.ersteEinstieg, IFERROR(MIN(_xlfn._xlws.FILTER(ROW(C37:$C$1003), (C37:$C$1003=$Y$2) + (C37:$C$1003=$AA$9)))-ROW(B36), 0),
    IF(
        OR(_xlpm.ersteEinstieg=0, NOT(OR(B36=$Z$3, B36=$Z$4))),
        "",
        _xlfn.LET(
            _xlpm.wertAus,
                N(INDEX(E$5:E35, _xlpm.letzteAusstieg))  * 24 * 60
              + N(INDEX(G$5:G35, _xlpm.letzteAusstieg)),
            _xlpm.wertEin,
                N(INDEX(E37:E$1008, _xlpm.ersteEinstieg))  * 24 * 60
              + N(INDEX(G37:G$1008, _xlpm.ersteEinstieg)),
            _xlpm.diff, ROUND(_xlpm.wertEin - _xlpm.wertAus,0),
            _xlpm.minuteSoll,
                N(_xlfn.XLOOKUP(C36,Ziehung[LosID],Ziehung[Zeit-bedarf (min)])),
            "Los: "&amp;_xlpm.minuteSoll&amp;"; Um.:"&amp; _xlpm.diff
        )
    )
)</f>
        <v/>
      </c>
      <c r="H36" s="46" t="str" cm="1">
        <f t="array" ref="H36">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AE36" s="51" t="str">
        <v>P-39b</v>
      </c>
    </row>
    <row r="37" spans="2:31">
      <c r="C37" t="str" cm="1">
        <f t="array" ref="C37">_xlfn.SWITCH(Logbuch[[#This Row],[Eintragsart]],
$Y$1,IF(Logbuch[[#This Row],[Check]]=$Y$2,C36,""),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MIN(INT(($J$8-$J$7)*144)*$J$9,INT((E37-$J$7)*144)*$J$9),"")),
""
)</f>
        <v/>
      </c>
      <c r="D37" t="str" cm="1">
        <f t="array" ref="D37">IFERROR(
_xlfn.IFS(
AND(Logbuch[[#This Row],[Eintragsart]]=$Z$1,Logbuch[[#This Row],[Details]]),_xlfn.XLOOKUP(IF(Logbuch[[#This Row],[Eintragsart]]=$Z$1,Logbuch[[#This Row],[Details]],""),Ziehung[LosID],Ziehung[Bahnhof],FALSE,0),
AND(Logbuch[[#This Row],[Eintragsart]]=$Y$1,Logbuch[[#This Row],[Check]]="Einstieg"),D36),
"")</f>
        <v/>
      </c>
      <c r="F37" s="53">
        <f t="shared" si="0"/>
        <v>46256</v>
      </c>
      <c r="G37" t="str" cm="1">
        <f t="array" ref="G37">_xlfn.LET(
    _xlpm.letzteAusstieg, IFERROR(MAX(_xlfn._xlws.FILTER(ROW($B$5:B36), ($B$5:B36=$Y$3) + ($B$5:B36=$AA$10)))-4, 0),
    _xlpm.ersteEinstieg, IFERROR(MIN(_xlfn._xlws.FILTER(ROW(C38:$C$1003), (C38:$C$1003=$Y$2) + (C38:$C$1003=$AA$9)))-ROW(B37), 0),
    IF(
        OR(_xlpm.ersteEinstieg=0, NOT(OR(B37=$Z$3, B37=$Z$4))),
        "",
        _xlfn.LET(
            _xlpm.wertAus,
                N(INDEX(E$5:E36, _xlpm.letzteAusstieg))  * 24 * 60
              + N(INDEX(G$5:G36, _xlpm.letzteAusstieg)),
            _xlpm.wertEin,
                N(INDEX(E38:E$1008, _xlpm.ersteEinstieg))  * 24 * 60
              + N(INDEX(G38:G$1008, _xlpm.ersteEinstieg)),
            _xlpm.diff, ROUND(_xlpm.wertEin - _xlpm.wertAus,0),
            _xlpm.minuteSoll,
                N(_xlfn.XLOOKUP(C37,Ziehung[LosID],Ziehung[Zeit-bedarf (min)])),
            "Los: "&amp;_xlpm.minuteSoll&amp;"; Um.:"&amp; _xlpm.diff
        )
    )
)</f>
        <v/>
      </c>
      <c r="H37" s="46" t="str" cm="1">
        <f t="array" ref="H37">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AE37" s="51" t="str">
        <v>EB-1</v>
      </c>
    </row>
    <row r="38" spans="2:31">
      <c r="C38" t="str" cm="1">
        <f t="array" ref="C38">_xlfn.SWITCH(Logbuch[[#This Row],[Eintragsart]],
$Y$1,IF(Logbuch[[#This Row],[Check]]=$Y$2,C37,""),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MIN(INT(($J$8-$J$7)*144)*$J$9,INT((E38-$J$7)*144)*$J$9),"")),
""
)</f>
        <v/>
      </c>
      <c r="D38" t="str" cm="1">
        <f t="array" ref="D38">IFERROR(
_xlfn.IFS(
AND(Logbuch[[#This Row],[Eintragsart]]=$Z$1,Logbuch[[#This Row],[Details]]),_xlfn.XLOOKUP(IF(Logbuch[[#This Row],[Eintragsart]]=$Z$1,Logbuch[[#This Row],[Details]],""),Ziehung[LosID],Ziehung[Bahnhof],FALSE,0),
AND(Logbuch[[#This Row],[Eintragsart]]=$Y$1,Logbuch[[#This Row],[Check]]="Einstieg"),D37),
"")</f>
        <v/>
      </c>
      <c r="F38" s="53">
        <f t="shared" si="0"/>
        <v>46256</v>
      </c>
      <c r="G38" t="str" cm="1">
        <f t="array" ref="G38">_xlfn.LET(
    _xlpm.letzteAusstieg, IFERROR(MAX(_xlfn._xlws.FILTER(ROW($B$5:B37), ($B$5:B37=$Y$3) + ($B$5:B37=$AA$10)))-4, 0),
    _xlpm.ersteEinstieg, IFERROR(MIN(_xlfn._xlws.FILTER(ROW(C39:$C$1003), (C39:$C$1003=$Y$2) + (C39:$C$1003=$AA$9)))-ROW(B38), 0),
    IF(
        OR(_xlpm.ersteEinstieg=0, NOT(OR(B38=$Z$3, B38=$Z$4))),
        "",
        _xlfn.LET(
            _xlpm.wertAus,
                N(INDEX(E$5:E37, _xlpm.letzteAusstieg))  * 24 * 60
              + N(INDEX(G$5:G37, _xlpm.letzteAusstieg)),
            _xlpm.wertEin,
                N(INDEX(E39:E$1008, _xlpm.ersteEinstieg))  * 24 * 60
              + N(INDEX(G39:G$1008, _xlpm.ersteEinstieg)),
            _xlpm.diff, ROUND(_xlpm.wertEin - _xlpm.wertAus,0),
            _xlpm.minuteSoll,
                N(_xlfn.XLOOKUP(C38,Ziehung[LosID],Ziehung[Zeit-bedarf (min)])),
            "Los: "&amp;_xlpm.minuteSoll&amp;"; Um.:"&amp; _xlpm.diff
        )
    )
)</f>
        <v/>
      </c>
      <c r="H38" s="46" t="str" cm="1">
        <f t="array" ref="H38">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AE38" s="51" t="str">
        <v>EB-3</v>
      </c>
    </row>
    <row r="39" spans="2:31">
      <c r="C39" t="str" cm="1">
        <f t="array" ref="C39">_xlfn.SWITCH(Logbuch[[#This Row],[Eintragsart]],
$Y$1,IF(Logbuch[[#This Row],[Check]]=$Y$2,C38,""),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MIN(INT(($J$8-$J$7)*144)*$J$9,INT((E39-$J$7)*144)*$J$9),"")),
""
)</f>
        <v/>
      </c>
      <c r="D39" t="str" cm="1">
        <f t="array" ref="D39">IFERROR(
_xlfn.IFS(
AND(Logbuch[[#This Row],[Eintragsart]]=$Z$1,Logbuch[[#This Row],[Details]]),_xlfn.XLOOKUP(IF(Logbuch[[#This Row],[Eintragsart]]=$Z$1,Logbuch[[#This Row],[Details]],""),Ziehung[LosID],Ziehung[Bahnhof],FALSE,0),
AND(Logbuch[[#This Row],[Eintragsart]]=$Y$1,Logbuch[[#This Row],[Check]]="Einstieg"),D38),
"")</f>
        <v/>
      </c>
      <c r="F39" s="53">
        <f t="shared" si="0"/>
        <v>46256</v>
      </c>
      <c r="G39" t="str" cm="1">
        <f t="array" ref="G39">_xlfn.LET(
    _xlpm.letzteAusstieg, IFERROR(MAX(_xlfn._xlws.FILTER(ROW($B$5:B38), ($B$5:B38=$Y$3) + ($B$5:B38=$AA$10)))-4, 0),
    _xlpm.ersteEinstieg, IFERROR(MIN(_xlfn._xlws.FILTER(ROW(C40:$C$1003), (C40:$C$1003=$Y$2) + (C40:$C$1003=$AA$9)))-ROW(B39), 0),
    IF(
        OR(_xlpm.ersteEinstieg=0, NOT(OR(B39=$Z$3, B39=$Z$4))),
        "",
        _xlfn.LET(
            _xlpm.wertAus,
                N(INDEX(E$5:E38, _xlpm.letzteAusstieg))  * 24 * 60
              + N(INDEX(G$5:G38, _xlpm.letzteAusstieg)),
            _xlpm.wertEin,
                N(INDEX(E40:E$1008, _xlpm.ersteEinstieg))  * 24 * 60
              + N(INDEX(G40:G$1008, _xlpm.ersteEinstieg)),
            _xlpm.diff, ROUND(_xlpm.wertEin - _xlpm.wertAus,0),
            _xlpm.minuteSoll,
                N(_xlfn.XLOOKUP(C39,Ziehung[LosID],Ziehung[Zeit-bedarf (min)])),
            "Los: "&amp;_xlpm.minuteSoll&amp;"; Um.:"&amp; _xlpm.diff
        )
    )
)</f>
        <v/>
      </c>
      <c r="H39" s="46" t="str" cm="1">
        <f t="array" ref="H39">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AE39" s="51" t="str">
        <v>EB-7</v>
      </c>
    </row>
    <row r="40" spans="2:31">
      <c r="C40" t="str" cm="1">
        <f t="array" ref="C40">_xlfn.SWITCH(Logbuch[[#This Row],[Eintragsart]],
$Y$1,IF(Logbuch[[#This Row],[Check]]=$Y$2,C39,""),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MIN(INT(($J$8-$J$7)*144)*$J$9,INT((E40-$J$7)*144)*$J$9),"")),
""
)</f>
        <v/>
      </c>
      <c r="D40" t="str" cm="1">
        <f t="array" ref="D40">IFERROR(
_xlfn.IFS(
AND(Logbuch[[#This Row],[Eintragsart]]=$Z$1,Logbuch[[#This Row],[Details]]),_xlfn.XLOOKUP(IF(Logbuch[[#This Row],[Eintragsart]]=$Z$1,Logbuch[[#This Row],[Details]],""),Ziehung[LosID],Ziehung[Bahnhof],FALSE,0),
AND(Logbuch[[#This Row],[Eintragsart]]=$Y$1,Logbuch[[#This Row],[Check]]="Einstieg"),D39),
"")</f>
        <v/>
      </c>
      <c r="F40" s="53">
        <f t="shared" si="0"/>
        <v>46256</v>
      </c>
      <c r="G40" t="str" cm="1">
        <f t="array" ref="G40">_xlfn.LET(
    _xlpm.letzteAusstieg, IFERROR(MAX(_xlfn._xlws.FILTER(ROW($B$5:B39), ($B$5:B39=$Y$3) + ($B$5:B39=$AA$10)))-4, 0),
    _xlpm.ersteEinstieg, IFERROR(MIN(_xlfn._xlws.FILTER(ROW(C41:$C$1003), (C41:$C$1003=$Y$2) + (C41:$C$1003=$AA$9)))-ROW(B40), 0),
    IF(
        OR(_xlpm.ersteEinstieg=0, NOT(OR(B40=$Z$3, B40=$Z$4))),
        "",
        _xlfn.LET(
            _xlpm.wertAus,
                N(INDEX(E$5:E39, _xlpm.letzteAusstieg))  * 24 * 60
              + N(INDEX(G$5:G39, _xlpm.letzteAusstieg)),
            _xlpm.wertEin,
                N(INDEX(E41:E$1008, _xlpm.ersteEinstieg))  * 24 * 60
              + N(INDEX(G41:G$1008, _xlpm.ersteEinstieg)),
            _xlpm.diff, ROUND(_xlpm.wertEin - _xlpm.wertAus,0),
            _xlpm.minuteSoll,
                N(_xlfn.XLOOKUP(C40,Ziehung[LosID],Ziehung[Zeit-bedarf (min)])),
            "Los: "&amp;_xlpm.minuteSoll&amp;"; Um.:"&amp; _xlpm.diff
        )
    )
)</f>
        <v/>
      </c>
      <c r="H40" s="46" t="str" cm="1">
        <f t="array" ref="H40">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AE40" s="51" t="str">
        <v>EB-10</v>
      </c>
    </row>
    <row r="41" spans="2:31">
      <c r="C41" t="str" cm="1">
        <f t="array" ref="C41">_xlfn.SWITCH(Logbuch[[#This Row],[Eintragsart]],
$Y$1,IF(Logbuch[[#This Row],[Check]]=$Y$2,C40,""),
$AA$1,IF(Logbuch[[#This Row],[Check]]=$AA$8,
_xlfn.LET(
 _xlpm.ende,$J$6+($J$6&lt;$J$5),
 _xlpm.zeit,Logbuch[[#This Row],[Uhrzeit]]+(Logbuch[[#This Row],[Uhrzeit]]&lt;0.6),
 _xlpm.lang,INT(((_xlpm.ende-$J$5)*1440)/10)*$J$9,
 IF(
  _xlpm.zeit&lt;=_xlpm.ende,
  MIN(_xlpm.lang,
  INT(((_xlpm.ende-_xlpm.zeit)*1440)/10)*$J$9),
  MAX(-300,
   -1*(MIN(3,INT((_xlpm.zeit-_xlpm.ende)*144+1))*25+
   MAX(0,INT((_xlpm.zeit-_xlpm.ende)*144-1.9))*50))
 )
),
IF(Logbuch[[#This Row],[Check]]=$AA$9,
MIN(INT(($J$8-$J$7)*144)*$J$9,INT((E41-$J$7)*144)*$J$9),"")),
""
)</f>
        <v/>
      </c>
      <c r="D41" t="str" cm="1">
        <f t="array" ref="D41">IFERROR(
_xlfn.IFS(
AND(Logbuch[[#This Row],[Eintragsart]]=$Z$1,Logbuch[[#This Row],[Details]]),_xlfn.XLOOKUP(IF(Logbuch[[#This Row],[Eintragsart]]=$Z$1,Logbuch[[#This Row],[Details]],""),Ziehung[LosID],Ziehung[Bahnhof],FALSE,0),
AND(Logbuch[[#This Row],[Eintragsart]]=$Y$1,Logbuch[[#This Row],[Check]]="Einstieg"),D40),
"")</f>
        <v/>
      </c>
      <c r="F41" s="53">
        <f>F40</f>
        <v>46256</v>
      </c>
      <c r="G41" t="str" cm="1">
        <f t="array" ref="G41">_xlfn.LET(
    _xlpm.letzteAusstieg, IFERROR(MAX(_xlfn._xlws.FILTER(ROW($B$5:B40), ($B$5:B40=$Y$3) + ($B$5:B40=$AA$10)))-4, 0),
    _xlpm.ersteEinstieg, IFERROR(MIN(_xlfn._xlws.FILTER(ROW(C42:$C$1003), (C42:$C$1003=$Y$2) + (C42:$C$1003=$AA$9)))-ROW(B41), 0),
    IF(
        OR(_xlpm.ersteEinstieg=0, NOT(OR(B41=$Z$3, B41=$Z$4))),
        "",
        _xlfn.LET(
            _xlpm.wertAus,
                N(INDEX(E$5:E40, _xlpm.letzteAusstieg))  * 24 * 60
              + N(INDEX(G$5:G40, _xlpm.letzteAusstieg)),
            _xlpm.wertEin,
                N(INDEX(E42:E$1008, _xlpm.ersteEinstieg))  * 24 * 60
              + N(INDEX(G42:G$1008, _xlpm.ersteEinstieg)),
            _xlpm.diff, ROUND(_xlpm.wertEin - _xlpm.wertAus,0),
            _xlpm.minuteSoll,
                N(_xlfn.XLOOKUP(C41,Ziehung[LosID],Ziehung[Zeit-bedarf (min)])),
            "Los: "&amp;_xlpm.minuteSoll&amp;"; Um.:"&amp; _xlpm.diff
        )
    )
)</f>
        <v/>
      </c>
      <c r="H41" s="46" t="str" cm="1">
        <f t="array" ref="H41">IFERROR(
_xlfn.SWITCH(
Logbuch[[#This Row],[Eintragsart]],
$Y$1,"",
$Z$1,
SUM(INDEX(_xlfn.XLOOKUP(Logbuch[[#This Row],[Details]], Ziehung[LosID],Ziehung[[Punkte Bahnhof]:[Punkte Bonus]]), 1, 1):INDEX(_xlfn.XLOOKUP(Logbuch[[#This Row],[Details]], Ziehung[LosID],Ziehung[[Punkte Bahnhof]:[Punkte Bonus]]), 1, _xlfn.XLOOKUP(Logbuch[[#This Row],[Check]], $AC$2:$AC$4, $AD$2:$AD$4))),
$AA$1,IF(ISNUMBER(Logbuch[[#This Row],[Details]]),Logbuch[[#This Row],[Details]],0)+IF(ISNUMBER(Logbuch[[#This Row],[Verspätung]]),Logbuch[[#This Row],[Verspätung]],0),
""),0)</f>
        <v/>
      </c>
      <c r="AE41" s="51" t="str">
        <v>EB-11</v>
      </c>
    </row>
    <row r="42" spans="2:31">
      <c r="AE42" s="51" t="str">
        <v>EB-12</v>
      </c>
    </row>
    <row r="43" spans="2:31">
      <c r="AE43" s="51" t="str">
        <v>EB-16</v>
      </c>
    </row>
    <row r="44" spans="2:31">
      <c r="AE44" s="51" t="str">
        <v>EB-17</v>
      </c>
    </row>
    <row r="45" spans="2:31">
      <c r="AE45" s="51" t="str">
        <v>EB-18</v>
      </c>
    </row>
    <row r="46" spans="2:31">
      <c r="AE46" s="51" t="str">
        <v>EB-23</v>
      </c>
    </row>
    <row r="47" spans="2:31">
      <c r="AE47" s="51" t="str">
        <v>EB-25</v>
      </c>
    </row>
    <row r="48" spans="2:31">
      <c r="AE48" s="51" t="str">
        <v>E-2</v>
      </c>
    </row>
    <row r="49" spans="31:31">
      <c r="AE49" s="51" t="str">
        <v>E-10</v>
      </c>
    </row>
    <row r="50" spans="31:31">
      <c r="AE50" s="51" t="str">
        <v>E-11</v>
      </c>
    </row>
    <row r="51" spans="31:31">
      <c r="AE51" s="51" t="str">
        <v>E-14</v>
      </c>
    </row>
    <row r="52" spans="31:31">
      <c r="AE52" s="51" t="str">
        <v>E-17</v>
      </c>
    </row>
    <row r="53" spans="31:31">
      <c r="AE53" s="51" t="str">
        <v>E-18</v>
      </c>
    </row>
    <row r="54" spans="31:31">
      <c r="AE54" s="51" t="str">
        <v>E-21</v>
      </c>
    </row>
    <row r="55" spans="31:31">
      <c r="AE55" s="51" t="str">
        <v>E-22</v>
      </c>
    </row>
    <row r="56" spans="31:31">
      <c r="AE56" s="51" t="str">
        <v>E-23</v>
      </c>
    </row>
    <row r="57" spans="31:31">
      <c r="AE57" s="51" t="str">
        <v>E-25</v>
      </c>
    </row>
    <row r="58" spans="31:31">
      <c r="AE58" s="51" t="str">
        <v>F-1</v>
      </c>
    </row>
    <row r="59" spans="31:31">
      <c r="AE59" s="51" t="str">
        <v>F-4</v>
      </c>
    </row>
    <row r="60" spans="31:31">
      <c r="AE60" s="51" t="str">
        <v>F-5</v>
      </c>
    </row>
    <row r="61" spans="31:31">
      <c r="AE61" s="51" t="str">
        <v>F-7</v>
      </c>
    </row>
    <row r="62" spans="31:31">
      <c r="AE62" s="51" t="str">
        <v>F-9</v>
      </c>
    </row>
    <row r="63" spans="31:31">
      <c r="AE63" s="51" t="str">
        <v>F-13</v>
      </c>
    </row>
    <row r="64" spans="31:31">
      <c r="AE64" s="51" t="str">
        <v>F-20</v>
      </c>
    </row>
    <row r="65" spans="31:31">
      <c r="AE65" s="51" t="str">
        <v>F-23</v>
      </c>
    </row>
    <row r="66" spans="31:31">
      <c r="AE66" s="51" t="str">
        <v>F-25</v>
      </c>
    </row>
    <row r="67" spans="31:31">
      <c r="AE67" s="51" t="str">
        <v>H-1</v>
      </c>
    </row>
    <row r="68" spans="31:31">
      <c r="AE68" s="51" t="str">
        <v>H-2</v>
      </c>
    </row>
    <row r="69" spans="31:31">
      <c r="AE69" s="51" t="str">
        <v>H-3</v>
      </c>
    </row>
    <row r="70" spans="31:31">
      <c r="AE70" s="51" t="str">
        <v>H-4</v>
      </c>
    </row>
    <row r="71" spans="31:31">
      <c r="AE71" s="51" t="str">
        <v>H-6</v>
      </c>
    </row>
    <row r="72" spans="31:31">
      <c r="AE72" s="51" t="str">
        <v>H-8</v>
      </c>
    </row>
    <row r="73" spans="31:31">
      <c r="AE73" s="51" t="str">
        <v>H-9</v>
      </c>
    </row>
    <row r="74" spans="31:31">
      <c r="AE74" s="51" t="str">
        <v>H-15</v>
      </c>
    </row>
    <row r="75" spans="31:31">
      <c r="AE75" s="51" t="str">
        <v>H-20</v>
      </c>
    </row>
    <row r="76" spans="31:31">
      <c r="AE76" s="51" t="str">
        <v>H-22</v>
      </c>
    </row>
    <row r="77" spans="31:31">
      <c r="AE77" s="51" t="str">
        <v>HM-1</v>
      </c>
    </row>
    <row r="78" spans="31:31">
      <c r="AE78" s="51" t="str">
        <v>HM-3</v>
      </c>
    </row>
    <row r="79" spans="31:31">
      <c r="AE79" s="51" t="str">
        <v>HM-6</v>
      </c>
    </row>
    <row r="80" spans="31:31">
      <c r="AE80" s="51" t="str">
        <v>HM-9</v>
      </c>
    </row>
    <row r="81" spans="31:31">
      <c r="AE81" s="51" t="str">
        <v>HM-10</v>
      </c>
    </row>
    <row r="82" spans="31:31">
      <c r="AE82" s="51" t="str">
        <v>HM-11</v>
      </c>
    </row>
    <row r="83" spans="31:31">
      <c r="AE83" s="51" t="str">
        <v>HM-14</v>
      </c>
    </row>
    <row r="84" spans="31:31">
      <c r="AE84" s="51" t="str">
        <v>HM-16</v>
      </c>
    </row>
    <row r="85" spans="31:31">
      <c r="AE85" s="51" t="str">
        <v>HM-21</v>
      </c>
    </row>
    <row r="86" spans="31:31">
      <c r="AE86" s="51" t="str">
        <v>HM-25</v>
      </c>
    </row>
    <row r="87" spans="31:31">
      <c r="AE87" s="51" t="str">
        <v>MG-1</v>
      </c>
    </row>
    <row r="88" spans="31:31">
      <c r="AE88" s="51" t="str">
        <v>MG-2</v>
      </c>
    </row>
    <row r="89" spans="31:31">
      <c r="AE89" s="51" t="str">
        <v>MG-4</v>
      </c>
    </row>
    <row r="90" spans="31:31">
      <c r="AE90" s="51" t="str">
        <v>MG-6</v>
      </c>
    </row>
    <row r="91" spans="31:31">
      <c r="AE91" s="51" t="str">
        <v>MG-9</v>
      </c>
    </row>
    <row r="92" spans="31:31">
      <c r="AE92" s="51" t="str">
        <v>MG-16</v>
      </c>
    </row>
    <row r="93" spans="31:31">
      <c r="AE93" s="51" t="str">
        <v>MG-17</v>
      </c>
    </row>
    <row r="94" spans="31:31">
      <c r="AE94" s="51" t="str">
        <v>MG-18</v>
      </c>
    </row>
    <row r="95" spans="31:31">
      <c r="AE95" s="51" t="str">
        <v>MG-21</v>
      </c>
    </row>
    <row r="96" spans="31:31">
      <c r="AE96" s="51" t="str">
        <v>MG-25</v>
      </c>
    </row>
    <row r="97" spans="31:31">
      <c r="AE97" s="51" t="str">
        <v>M-2</v>
      </c>
    </row>
    <row r="98" spans="31:31">
      <c r="AE98" s="51" t="str">
        <v>M-5</v>
      </c>
    </row>
    <row r="99" spans="31:31">
      <c r="AE99" s="51" t="str">
        <v>M-9</v>
      </c>
    </row>
    <row r="100" spans="31:31">
      <c r="AE100" s="51" t="str">
        <v>M-13</v>
      </c>
    </row>
    <row r="101" spans="31:31">
      <c r="AE101" s="51" t="str">
        <v>M-14</v>
      </c>
    </row>
    <row r="102" spans="31:31">
      <c r="AE102" s="51" t="str">
        <v>M-15</v>
      </c>
    </row>
    <row r="103" spans="31:31">
      <c r="AE103" s="51" t="str">
        <v>M-19</v>
      </c>
    </row>
    <row r="104" spans="31:31">
      <c r="AE104" s="51" t="str">
        <v>M-23</v>
      </c>
    </row>
    <row r="105" spans="31:31">
      <c r="AE105" s="51" t="str">
        <v>M-24</v>
      </c>
    </row>
    <row r="106" spans="31:31">
      <c r="AE106" s="51" t="str">
        <v>M-25</v>
      </c>
    </row>
    <row r="107" spans="31:31">
      <c r="AE107" s="51" t="str">
        <v>MB-4</v>
      </c>
    </row>
    <row r="108" spans="31:31">
      <c r="AE108" s="51" t="str">
        <v>MB-6</v>
      </c>
    </row>
    <row r="109" spans="31:31">
      <c r="AE109" s="51" t="str">
        <v>MB-8</v>
      </c>
    </row>
    <row r="110" spans="31:31">
      <c r="AE110" s="51" t="str">
        <v>MB-10</v>
      </c>
    </row>
    <row r="111" spans="31:31">
      <c r="AE111" s="51" t="str">
        <v>MB-12</v>
      </c>
    </row>
    <row r="112" spans="31:31">
      <c r="AE112" s="51" t="str">
        <v>MB-13</v>
      </c>
    </row>
    <row r="113" spans="31:31">
      <c r="AE113" s="51" t="str">
        <v>MB-15</v>
      </c>
    </row>
    <row r="114" spans="31:31">
      <c r="AE114" s="51" t="str">
        <v>MB-20</v>
      </c>
    </row>
    <row r="115" spans="31:31">
      <c r="AE115" s="51" t="str">
        <v>MB-23</v>
      </c>
    </row>
    <row r="116" spans="31:31">
      <c r="AE116" s="51" t="str">
        <v>MB-25</v>
      </c>
    </row>
    <row r="117" spans="31:31">
      <c r="AE117" s="51" t="str">
        <v>N-1</v>
      </c>
    </row>
    <row r="118" spans="31:31">
      <c r="AE118" s="51" t="str">
        <v>N-3</v>
      </c>
    </row>
    <row r="119" spans="31:31">
      <c r="AE119" s="51" t="str">
        <v>N-5</v>
      </c>
    </row>
    <row r="120" spans="31:31">
      <c r="AE120" s="51" t="str">
        <v>N-7</v>
      </c>
    </row>
    <row r="121" spans="31:31">
      <c r="AE121" s="51" t="str">
        <v>N-8</v>
      </c>
    </row>
    <row r="122" spans="31:31">
      <c r="AE122" s="51" t="str">
        <v>N-9</v>
      </c>
    </row>
    <row r="123" spans="31:31">
      <c r="AE123" s="51" t="str">
        <v>N-10</v>
      </c>
    </row>
    <row r="124" spans="31:31">
      <c r="AE124" s="51" t="str">
        <v>N-17</v>
      </c>
    </row>
    <row r="125" spans="31:31">
      <c r="AE125" s="51" t="str">
        <v>N-20</v>
      </c>
    </row>
    <row r="126" spans="31:31">
      <c r="AE126" s="51" t="str">
        <v>N-24</v>
      </c>
    </row>
    <row r="127" spans="31:31">
      <c r="AE127" s="51" t="str">
        <v>R-3</v>
      </c>
    </row>
    <row r="128" spans="31:31">
      <c r="AE128" s="51" t="str">
        <v>R-6</v>
      </c>
    </row>
    <row r="129" spans="31:31">
      <c r="AE129" s="51" t="str">
        <v>R-7</v>
      </c>
    </row>
    <row r="130" spans="31:31">
      <c r="AE130" s="51" t="str">
        <v>R-9</v>
      </c>
    </row>
    <row r="131" spans="31:31">
      <c r="AE131" s="51" t="str">
        <v>R-14</v>
      </c>
    </row>
    <row r="132" spans="31:31">
      <c r="AE132" s="51" t="str">
        <v>R-18</v>
      </c>
    </row>
    <row r="133" spans="31:31">
      <c r="AE133" s="51" t="str">
        <v>R-19</v>
      </c>
    </row>
    <row r="134" spans="31:31">
      <c r="AE134" s="51" t="str">
        <v>R-21</v>
      </c>
    </row>
    <row r="135" spans="31:31">
      <c r="AE135" s="51" t="str">
        <v>R-23</v>
      </c>
    </row>
    <row r="136" spans="31:31">
      <c r="AE136" s="51" t="str">
        <v>R-24</v>
      </c>
    </row>
    <row r="137" spans="31:31">
      <c r="AE137" s="51" t="str">
        <v>T-3</v>
      </c>
    </row>
    <row r="138" spans="31:31">
      <c r="AE138" s="51" t="str">
        <v>T-4</v>
      </c>
    </row>
    <row r="139" spans="31:31">
      <c r="AE139" s="51" t="str">
        <v>T-5</v>
      </c>
    </row>
    <row r="140" spans="31:31">
      <c r="AE140" s="51" t="str">
        <v>T-10</v>
      </c>
    </row>
    <row r="141" spans="31:31">
      <c r="AE141" s="51" t="str">
        <v>T-14</v>
      </c>
    </row>
    <row r="142" spans="31:31">
      <c r="AE142" s="51" t="str">
        <v>T-16</v>
      </c>
    </row>
    <row r="143" spans="31:31">
      <c r="AE143" s="51" t="str">
        <v>T-20</v>
      </c>
    </row>
    <row r="144" spans="31:31">
      <c r="AE144" s="51" t="str">
        <v>T-21</v>
      </c>
    </row>
    <row r="145" spans="31:31">
      <c r="AE145" s="51" t="str">
        <v>T-22</v>
      </c>
    </row>
    <row r="146" spans="31:31">
      <c r="AE146" s="51" t="str">
        <v>T-23</v>
      </c>
    </row>
    <row r="147" spans="31:31">
      <c r="AE147" s="51" t="str">
        <v>B-4</v>
      </c>
    </row>
    <row r="148" spans="31:31">
      <c r="AE148" s="51" t="str">
        <v>B-9</v>
      </c>
    </row>
    <row r="149" spans="31:31">
      <c r="AE149" s="51" t="str">
        <v>B-11</v>
      </c>
    </row>
    <row r="150" spans="31:31">
      <c r="AE150" s="51" t="str">
        <v>B-14</v>
      </c>
    </row>
    <row r="151" spans="31:31">
      <c r="AE151" s="51" t="str">
        <v>B-18</v>
      </c>
    </row>
    <row r="152" spans="31:31">
      <c r="AE152" s="51" t="str">
        <v>B-19</v>
      </c>
    </row>
    <row r="153" spans="31:31">
      <c r="AE153" s="51" t="str">
        <v>B-21</v>
      </c>
    </row>
    <row r="154" spans="31:31">
      <c r="AE154" s="51" t="str">
        <v>B-22</v>
      </c>
    </row>
    <row r="155" spans="31:31">
      <c r="AE155" s="51" t="str">
        <v>B-23</v>
      </c>
    </row>
    <row r="156" spans="31:31">
      <c r="AE156" s="51" t="str">
        <v>B-24</v>
      </c>
    </row>
    <row r="157" spans="31:31">
      <c r="AE157" s="51" t="str">
        <v>U-2</v>
      </c>
    </row>
    <row r="158" spans="31:31">
      <c r="AE158" s="51" t="str">
        <v>U-4</v>
      </c>
    </row>
    <row r="159" spans="31:31">
      <c r="AE159" s="51" t="str">
        <v>U-10</v>
      </c>
    </row>
    <row r="160" spans="31:31">
      <c r="AE160" s="51" t="str">
        <v>U-14</v>
      </c>
    </row>
    <row r="161" spans="31:31">
      <c r="AE161" s="51" t="str">
        <v>U-15</v>
      </c>
    </row>
    <row r="162" spans="31:31">
      <c r="AE162" s="51" t="str">
        <v>U-16</v>
      </c>
    </row>
    <row r="163" spans="31:31">
      <c r="AE163" s="51" t="str">
        <v>U-18</v>
      </c>
    </row>
    <row r="164" spans="31:31">
      <c r="AE164" s="51" t="str">
        <v>U-22</v>
      </c>
    </row>
    <row r="165" spans="31:31">
      <c r="AE165" s="51" t="str">
        <v>U-23</v>
      </c>
    </row>
    <row r="166" spans="31:31">
      <c r="AE166" s="51" t="str">
        <v>U-24</v>
      </c>
    </row>
    <row r="167" spans="31:31">
      <c r="AE167" s="51" t="str">
        <v>WK-2</v>
      </c>
    </row>
    <row r="168" spans="31:31">
      <c r="AE168" s="51" t="str">
        <v>WK-4</v>
      </c>
    </row>
    <row r="169" spans="31:31">
      <c r="AE169" s="51" t="str">
        <v>WK-5</v>
      </c>
    </row>
    <row r="170" spans="31:31">
      <c r="AE170" s="51" t="str">
        <v>WK-6</v>
      </c>
    </row>
    <row r="171" spans="31:31">
      <c r="AE171" s="51" t="str">
        <v>WK-9</v>
      </c>
    </row>
    <row r="172" spans="31:31">
      <c r="AE172" s="51" t="str">
        <v>WK-13</v>
      </c>
    </row>
    <row r="173" spans="31:31">
      <c r="AE173" s="51" t="str">
        <v>WK-14</v>
      </c>
    </row>
    <row r="174" spans="31:31">
      <c r="AE174" s="51" t="str">
        <v>WK-15</v>
      </c>
    </row>
    <row r="175" spans="31:31">
      <c r="AE175" s="51" t="str">
        <v>WK-23</v>
      </c>
    </row>
    <row r="176" spans="31:31">
      <c r="AE176" s="51" t="str">
        <v>WK-24</v>
      </c>
    </row>
    <row r="177" spans="31:31">
      <c r="AE177" s="51" t="str">
        <v>W-1</v>
      </c>
    </row>
    <row r="178" spans="31:31">
      <c r="AE178" s="51" t="str">
        <v>W-3</v>
      </c>
    </row>
    <row r="179" spans="31:31">
      <c r="AE179" s="51" t="str">
        <v>W-4</v>
      </c>
    </row>
    <row r="180" spans="31:31">
      <c r="AE180" s="51" t="str">
        <v>W-6</v>
      </c>
    </row>
    <row r="181" spans="31:31">
      <c r="AE181" s="51" t="str">
        <v>W-7</v>
      </c>
    </row>
    <row r="182" spans="31:31">
      <c r="AE182" s="51" t="str">
        <v>W-8</v>
      </c>
    </row>
    <row r="183" spans="31:31">
      <c r="AE183" s="51" t="str">
        <v>W-11</v>
      </c>
    </row>
    <row r="184" spans="31:31">
      <c r="AE184" s="51" t="str">
        <v>W-13</v>
      </c>
    </row>
    <row r="185" spans="31:31">
      <c r="AE185" s="51" t="str">
        <v>W-20</v>
      </c>
    </row>
    <row r="186" spans="31:31">
      <c r="AE186" s="51" t="str">
        <v>W-21</v>
      </c>
    </row>
    <row r="187" spans="31:31">
      <c r="AE187" s="51" t="str">
        <v>K-1</v>
      </c>
    </row>
    <row r="188" spans="31:31">
      <c r="AE188" s="51" t="str">
        <v>K-2</v>
      </c>
    </row>
    <row r="189" spans="31:31">
      <c r="AE189" s="51" t="str">
        <v>K-5</v>
      </c>
    </row>
    <row r="190" spans="31:31">
      <c r="AE190" s="51" t="str">
        <v>K-7</v>
      </c>
    </row>
    <row r="191" spans="31:31">
      <c r="AE191" s="51" t="str">
        <v>K-8</v>
      </c>
    </row>
    <row r="192" spans="31:31">
      <c r="AE192" s="51" t="str">
        <v>K-10</v>
      </c>
    </row>
    <row r="193" spans="31:31">
      <c r="AE193" s="51" t="str">
        <v>K-11</v>
      </c>
    </row>
    <row r="194" spans="31:31">
      <c r="AE194" s="51" t="str">
        <v>K-12</v>
      </c>
    </row>
    <row r="195" spans="31:31">
      <c r="AE195" s="51" t="str">
        <v>K-17</v>
      </c>
    </row>
    <row r="196" spans="31:31">
      <c r="AE196" s="51" t="str">
        <v>K-23</v>
      </c>
    </row>
  </sheetData>
  <protectedRanges>
    <protectedRange sqref="H4:K41 H1:K3 H42:K1048576" name="Punkte"/>
  </protectedRanges>
  <mergeCells count="1">
    <mergeCell ref="B2:D2"/>
  </mergeCells>
  <conditionalFormatting sqref="J18:J35">
    <cfRule type="iconSet" priority="1">
      <iconSet iconSet="3Symbols2">
        <cfvo type="percent" val="0"/>
        <cfvo type="num" val="5"/>
        <cfvo type="num" val="70"/>
      </iconSet>
    </cfRule>
  </conditionalFormatting>
  <conditionalFormatting sqref="L25:L31">
    <cfRule type="iconSet" priority="2">
      <iconSet iconSet="3Symbols2">
        <cfvo type="percent" val="0"/>
        <cfvo type="percent" val="33"/>
        <cfvo type="percent" val="67"/>
      </iconSet>
    </cfRule>
  </conditionalFormatting>
  <dataValidations count="3">
    <dataValidation type="list" allowBlank="1" showInputMessage="1" showErrorMessage="1" sqref="B5:B41" xr:uid="{DB7ABC8A-B54F-4ACA-8799-71470D0A5822}">
      <formula1>INDIRECT(A5)</formula1>
    </dataValidation>
    <dataValidation type="list" allowBlank="1" showInputMessage="1" showErrorMessage="1" sqref="A5:B41" xr:uid="{2E748C53-6509-4381-8745-F747E05B925D}">
      <formula1>$Y$1:$AA$1</formula1>
    </dataValidation>
    <dataValidation type="list" allowBlank="1" showInputMessage="1" sqref="C5:C41" xr:uid="{A3C5E33C-6F9D-4DAB-8466-A2F6146533FB}">
      <formula1>IF(A5="Los",LosID,"")</formula1>
    </dataValidation>
  </dataValidations>
  <pageMargins left="0.7" right="0.7" top="0.78740157499999996" bottom="0.78740157499999996" header="0.3" footer="0.3"/>
  <headerFooter>
    <oddHeader>&amp;L&amp;"DB Neo Office"&amp;11&amp;KEC0016           DB Intern / DB internal&amp;1#_x000D_</oddHeader>
  </headerFooter>
  <ignoredErrors>
    <ignoredError sqref="E20:E40 F5:F6" calculatedColumn="1"/>
  </ignoredErrors>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xr:uid="{8C0F3B0F-FA8C-4A2A-9867-A6364C9853FC}">
          <x14:formula1>
            <xm:f>Hafas!$A$2:$A$10000</xm:f>
          </x14:formula1>
          <xm:sqref>D5:D41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48474-E8E8-45EA-BB5C-80E264E844AB}">
  <sheetPr>
    <tabColor theme="7"/>
  </sheetPr>
  <dimension ref="A1:K390"/>
  <sheetViews>
    <sheetView workbookViewId="0">
      <selection activeCell="C208" sqref="C208"/>
    </sheetView>
  </sheetViews>
  <sheetFormatPr baseColWidth="10" defaultColWidth="11.42578125" defaultRowHeight="15"/>
  <cols>
    <col min="1" max="1" width="7.7109375" customWidth="1"/>
    <col min="2" max="2" width="44.42578125" bestFit="1" customWidth="1"/>
    <col min="3" max="3" width="28" bestFit="1" customWidth="1"/>
    <col min="4" max="6" width="8.140625" customWidth="1"/>
    <col min="7" max="7" width="70.42578125" bestFit="1" customWidth="1"/>
    <col min="8" max="8" width="7.7109375" customWidth="1"/>
    <col min="9" max="9" width="7.42578125" customWidth="1"/>
    <col min="10" max="11" width="13.42578125" customWidth="1"/>
  </cols>
  <sheetData>
    <row r="1" spans="1:11" ht="45">
      <c r="A1" s="64" t="s">
        <v>1208</v>
      </c>
      <c r="B1" s="64" t="s">
        <v>149</v>
      </c>
      <c r="C1" s="64" t="s">
        <v>16</v>
      </c>
      <c r="D1" s="64" t="s">
        <v>150</v>
      </c>
      <c r="E1" s="64" t="s">
        <v>151</v>
      </c>
      <c r="F1" s="64" t="s">
        <v>152</v>
      </c>
      <c r="G1" s="64" t="s">
        <v>1209</v>
      </c>
      <c r="H1" s="64" t="s">
        <v>1210</v>
      </c>
      <c r="I1" s="64" t="s">
        <v>1211</v>
      </c>
      <c r="J1" s="64" t="s">
        <v>1212</v>
      </c>
      <c r="K1" s="64" t="s">
        <v>1213</v>
      </c>
    </row>
    <row r="2" spans="1:11" ht="30">
      <c r="A2" t="s">
        <v>1214</v>
      </c>
      <c r="B2" t="s">
        <v>23</v>
      </c>
      <c r="C2" t="s">
        <v>1215</v>
      </c>
      <c r="D2">
        <v>3</v>
      </c>
      <c r="E2">
        <v>0</v>
      </c>
      <c r="F2">
        <v>0</v>
      </c>
      <c r="G2" s="1" t="s">
        <v>1216</v>
      </c>
      <c r="H2" t="s">
        <v>23</v>
      </c>
      <c r="I2" t="s">
        <v>23</v>
      </c>
      <c r="J2" t="s">
        <v>23</v>
      </c>
      <c r="K2" t="s">
        <v>23</v>
      </c>
    </row>
    <row r="3" spans="1:11" ht="30">
      <c r="A3" t="s">
        <v>1217</v>
      </c>
      <c r="B3" t="s">
        <v>23</v>
      </c>
      <c r="C3" t="s">
        <v>1218</v>
      </c>
      <c r="D3">
        <v>4</v>
      </c>
      <c r="E3">
        <v>0</v>
      </c>
      <c r="F3">
        <v>0</v>
      </c>
      <c r="G3" s="1" t="s">
        <v>1219</v>
      </c>
      <c r="H3" t="s">
        <v>23</v>
      </c>
      <c r="I3" t="s">
        <v>23</v>
      </c>
      <c r="J3" t="s">
        <v>23</v>
      </c>
      <c r="K3" t="s">
        <v>23</v>
      </c>
    </row>
    <row r="4" spans="1:11" ht="30">
      <c r="A4" t="s">
        <v>1220</v>
      </c>
      <c r="B4" t="s">
        <v>23</v>
      </c>
      <c r="C4" t="s">
        <v>1221</v>
      </c>
      <c r="D4">
        <v>5</v>
      </c>
      <c r="E4">
        <v>0</v>
      </c>
      <c r="F4">
        <v>0</v>
      </c>
      <c r="G4" s="1" t="s">
        <v>1222</v>
      </c>
      <c r="H4" t="s">
        <v>23</v>
      </c>
      <c r="I4" t="s">
        <v>23</v>
      </c>
      <c r="J4" t="s">
        <v>23</v>
      </c>
      <c r="K4" t="s">
        <v>23</v>
      </c>
    </row>
    <row r="5" spans="1:11" ht="30">
      <c r="A5" t="s">
        <v>1223</v>
      </c>
      <c r="B5" t="s">
        <v>23</v>
      </c>
      <c r="C5" t="s">
        <v>1224</v>
      </c>
      <c r="D5">
        <v>6</v>
      </c>
      <c r="E5">
        <v>0</v>
      </c>
      <c r="F5">
        <v>0</v>
      </c>
      <c r="G5" s="1" t="s">
        <v>1225</v>
      </c>
      <c r="H5" t="s">
        <v>23</v>
      </c>
      <c r="I5" t="s">
        <v>23</v>
      </c>
      <c r="J5" t="s">
        <v>23</v>
      </c>
      <c r="K5" t="s">
        <v>23</v>
      </c>
    </row>
    <row r="6" spans="1:11" ht="30">
      <c r="A6" t="s">
        <v>210</v>
      </c>
      <c r="B6" t="s">
        <v>23</v>
      </c>
      <c r="C6" t="s">
        <v>1226</v>
      </c>
      <c r="D6">
        <v>7</v>
      </c>
      <c r="E6">
        <v>0</v>
      </c>
      <c r="F6">
        <v>0</v>
      </c>
      <c r="G6" s="1" t="s">
        <v>1227</v>
      </c>
      <c r="H6" t="s">
        <v>23</v>
      </c>
      <c r="I6" t="s">
        <v>23</v>
      </c>
      <c r="J6" t="s">
        <v>23</v>
      </c>
      <c r="K6" t="s">
        <v>23</v>
      </c>
    </row>
    <row r="7" spans="1:11" ht="30">
      <c r="A7" t="s">
        <v>215</v>
      </c>
      <c r="B7" t="s">
        <v>23</v>
      </c>
      <c r="C7" t="s">
        <v>1228</v>
      </c>
      <c r="D7">
        <v>8</v>
      </c>
      <c r="E7">
        <v>0</v>
      </c>
      <c r="F7">
        <v>0</v>
      </c>
      <c r="G7" s="1" t="s">
        <v>1229</v>
      </c>
      <c r="H7" t="s">
        <v>23</v>
      </c>
      <c r="I7" t="s">
        <v>23</v>
      </c>
      <c r="J7" t="s">
        <v>23</v>
      </c>
      <c r="K7" t="s">
        <v>23</v>
      </c>
    </row>
    <row r="8" spans="1:11">
      <c r="A8" t="s">
        <v>1230</v>
      </c>
      <c r="B8" t="s">
        <v>23</v>
      </c>
      <c r="C8" t="s">
        <v>23</v>
      </c>
      <c r="D8">
        <v>9</v>
      </c>
      <c r="E8">
        <v>0</v>
      </c>
      <c r="F8">
        <v>0</v>
      </c>
      <c r="G8" s="1" t="s">
        <v>23</v>
      </c>
      <c r="H8" t="s">
        <v>23</v>
      </c>
      <c r="I8" t="s">
        <v>23</v>
      </c>
      <c r="J8" t="s">
        <v>23</v>
      </c>
      <c r="K8" t="s">
        <v>23</v>
      </c>
    </row>
    <row r="9" spans="1:11">
      <c r="A9" t="s">
        <v>1231</v>
      </c>
      <c r="B9" t="s">
        <v>23</v>
      </c>
      <c r="C9" t="s">
        <v>23</v>
      </c>
      <c r="D9">
        <v>10</v>
      </c>
      <c r="E9">
        <v>0</v>
      </c>
      <c r="F9">
        <v>0</v>
      </c>
      <c r="G9" s="1" t="s">
        <v>23</v>
      </c>
      <c r="H9" t="s">
        <v>23</v>
      </c>
      <c r="I9" t="s">
        <v>23</v>
      </c>
      <c r="J9" t="s">
        <v>23</v>
      </c>
      <c r="K9" t="s">
        <v>23</v>
      </c>
    </row>
    <row r="10" spans="1:11">
      <c r="A10" t="s">
        <v>1232</v>
      </c>
      <c r="B10" t="s">
        <v>23</v>
      </c>
      <c r="C10" t="s">
        <v>23</v>
      </c>
      <c r="D10">
        <v>11</v>
      </c>
      <c r="E10">
        <v>0</v>
      </c>
      <c r="F10">
        <v>0</v>
      </c>
      <c r="G10" s="1" t="s">
        <v>23</v>
      </c>
      <c r="H10" t="s">
        <v>23</v>
      </c>
      <c r="I10" t="s">
        <v>23</v>
      </c>
      <c r="J10" t="s">
        <v>23</v>
      </c>
      <c r="K10" t="s">
        <v>23</v>
      </c>
    </row>
    <row r="11" spans="1:11">
      <c r="A11" t="s">
        <v>1233</v>
      </c>
      <c r="B11" t="s">
        <v>23</v>
      </c>
      <c r="C11" t="s">
        <v>23</v>
      </c>
      <c r="D11">
        <v>12</v>
      </c>
      <c r="E11">
        <v>0</v>
      </c>
      <c r="F11">
        <v>0</v>
      </c>
      <c r="G11" s="1" t="s">
        <v>23</v>
      </c>
      <c r="H11" t="s">
        <v>23</v>
      </c>
      <c r="I11" t="s">
        <v>23</v>
      </c>
      <c r="J11" t="s">
        <v>23</v>
      </c>
      <c r="K11" t="s">
        <v>23</v>
      </c>
    </row>
    <row r="12" spans="1:11">
      <c r="A12" t="s">
        <v>1234</v>
      </c>
      <c r="B12" t="s">
        <v>23</v>
      </c>
      <c r="C12" t="s">
        <v>23</v>
      </c>
      <c r="D12">
        <v>13</v>
      </c>
      <c r="E12">
        <v>0</v>
      </c>
      <c r="F12">
        <v>0</v>
      </c>
      <c r="G12" s="1" t="s">
        <v>23</v>
      </c>
      <c r="H12" t="s">
        <v>23</v>
      </c>
      <c r="I12" t="s">
        <v>23</v>
      </c>
      <c r="J12" t="s">
        <v>23</v>
      </c>
      <c r="K12" t="s">
        <v>23</v>
      </c>
    </row>
    <row r="13" spans="1:11">
      <c r="A13" t="s">
        <v>1235</v>
      </c>
      <c r="B13" t="s">
        <v>23</v>
      </c>
      <c r="C13" t="s">
        <v>23</v>
      </c>
      <c r="D13">
        <v>14</v>
      </c>
      <c r="E13">
        <v>0</v>
      </c>
      <c r="F13">
        <v>0</v>
      </c>
      <c r="G13" s="1" t="s">
        <v>23</v>
      </c>
      <c r="H13" t="s">
        <v>23</v>
      </c>
      <c r="I13" t="s">
        <v>23</v>
      </c>
      <c r="J13" t="s">
        <v>23</v>
      </c>
      <c r="K13" t="s">
        <v>23</v>
      </c>
    </row>
    <row r="14" spans="1:11">
      <c r="A14" t="s">
        <v>1236</v>
      </c>
      <c r="B14" t="s">
        <v>23</v>
      </c>
      <c r="C14" t="s">
        <v>23</v>
      </c>
      <c r="D14">
        <v>15</v>
      </c>
      <c r="E14">
        <v>0</v>
      </c>
      <c r="F14">
        <v>0</v>
      </c>
      <c r="G14" s="1" t="s">
        <v>23</v>
      </c>
      <c r="H14" t="s">
        <v>23</v>
      </c>
      <c r="I14" t="s">
        <v>23</v>
      </c>
      <c r="J14" t="s">
        <v>23</v>
      </c>
      <c r="K14" t="s">
        <v>23</v>
      </c>
    </row>
    <row r="15" spans="1:11">
      <c r="A15" t="s">
        <v>1237</v>
      </c>
      <c r="B15" t="s">
        <v>23</v>
      </c>
      <c r="C15" t="s">
        <v>23</v>
      </c>
      <c r="D15">
        <v>16</v>
      </c>
      <c r="E15">
        <v>0</v>
      </c>
      <c r="F15">
        <v>0</v>
      </c>
      <c r="G15" s="1" t="s">
        <v>23</v>
      </c>
      <c r="H15" t="s">
        <v>23</v>
      </c>
      <c r="I15" t="s">
        <v>23</v>
      </c>
      <c r="J15" t="s">
        <v>23</v>
      </c>
      <c r="K15" t="s">
        <v>23</v>
      </c>
    </row>
    <row r="16" spans="1:11">
      <c r="A16" t="s">
        <v>1238</v>
      </c>
      <c r="B16" t="s">
        <v>23</v>
      </c>
      <c r="C16" t="s">
        <v>23</v>
      </c>
      <c r="D16">
        <v>17</v>
      </c>
      <c r="E16">
        <v>0</v>
      </c>
      <c r="F16">
        <v>0</v>
      </c>
      <c r="G16" s="1" t="s">
        <v>23</v>
      </c>
      <c r="H16" t="s">
        <v>23</v>
      </c>
      <c r="I16" t="s">
        <v>23</v>
      </c>
      <c r="J16" t="s">
        <v>23</v>
      </c>
      <c r="K16" t="s">
        <v>23</v>
      </c>
    </row>
    <row r="17" spans="1:11">
      <c r="A17" t="s">
        <v>1239</v>
      </c>
      <c r="B17" t="s">
        <v>23</v>
      </c>
      <c r="C17" t="s">
        <v>23</v>
      </c>
      <c r="D17">
        <v>18</v>
      </c>
      <c r="E17">
        <v>0</v>
      </c>
      <c r="F17">
        <v>0</v>
      </c>
      <c r="G17" s="1" t="s">
        <v>23</v>
      </c>
      <c r="H17" t="s">
        <v>23</v>
      </c>
      <c r="I17" t="s">
        <v>23</v>
      </c>
      <c r="J17" t="s">
        <v>23</v>
      </c>
      <c r="K17" t="s">
        <v>23</v>
      </c>
    </row>
    <row r="18" spans="1:11">
      <c r="A18" t="s">
        <v>1240</v>
      </c>
      <c r="B18" t="s">
        <v>23</v>
      </c>
      <c r="C18" t="s">
        <v>23</v>
      </c>
      <c r="D18">
        <v>19</v>
      </c>
      <c r="E18">
        <v>0</v>
      </c>
      <c r="F18">
        <v>0</v>
      </c>
      <c r="G18" s="1" t="s">
        <v>23</v>
      </c>
      <c r="H18" t="s">
        <v>23</v>
      </c>
      <c r="I18" t="s">
        <v>23</v>
      </c>
      <c r="J18" t="s">
        <v>23</v>
      </c>
      <c r="K18" t="s">
        <v>23</v>
      </c>
    </row>
    <row r="19" spans="1:11">
      <c r="A19" t="s">
        <v>1241</v>
      </c>
      <c r="B19" t="s">
        <v>23</v>
      </c>
      <c r="C19" t="s">
        <v>23</v>
      </c>
      <c r="D19">
        <v>20</v>
      </c>
      <c r="E19">
        <v>0</v>
      </c>
      <c r="F19">
        <v>0</v>
      </c>
      <c r="G19" s="1" t="s">
        <v>23</v>
      </c>
      <c r="H19" t="s">
        <v>23</v>
      </c>
      <c r="I19" t="s">
        <v>23</v>
      </c>
      <c r="J19" t="s">
        <v>23</v>
      </c>
      <c r="K19" t="s">
        <v>23</v>
      </c>
    </row>
    <row r="20" spans="1:11">
      <c r="A20" t="s">
        <v>1242</v>
      </c>
      <c r="B20" t="s">
        <v>23</v>
      </c>
      <c r="C20" t="s">
        <v>23</v>
      </c>
      <c r="D20">
        <v>21</v>
      </c>
      <c r="E20">
        <v>0</v>
      </c>
      <c r="F20">
        <v>0</v>
      </c>
      <c r="G20" s="1" t="s">
        <v>23</v>
      </c>
      <c r="H20" t="s">
        <v>23</v>
      </c>
      <c r="I20" t="s">
        <v>23</v>
      </c>
      <c r="J20" t="s">
        <v>23</v>
      </c>
      <c r="K20" t="s">
        <v>23</v>
      </c>
    </row>
    <row r="21" spans="1:11">
      <c r="A21" t="s">
        <v>1243</v>
      </c>
      <c r="B21" t="s">
        <v>23</v>
      </c>
      <c r="C21" t="s">
        <v>23</v>
      </c>
      <c r="D21">
        <v>22</v>
      </c>
      <c r="E21">
        <v>0</v>
      </c>
      <c r="F21">
        <v>0</v>
      </c>
      <c r="G21" s="1" t="s">
        <v>23</v>
      </c>
      <c r="H21" t="s">
        <v>23</v>
      </c>
      <c r="I21" t="s">
        <v>23</v>
      </c>
      <c r="J21" t="s">
        <v>23</v>
      </c>
      <c r="K21" t="s">
        <v>23</v>
      </c>
    </row>
    <row r="22" spans="1:11">
      <c r="A22" t="s">
        <v>1244</v>
      </c>
      <c r="B22" t="s">
        <v>23</v>
      </c>
      <c r="C22" t="s">
        <v>23</v>
      </c>
      <c r="D22">
        <v>23</v>
      </c>
      <c r="E22">
        <v>0</v>
      </c>
      <c r="F22">
        <v>0</v>
      </c>
      <c r="G22" s="1" t="s">
        <v>23</v>
      </c>
      <c r="H22" t="s">
        <v>23</v>
      </c>
      <c r="I22" t="s">
        <v>23</v>
      </c>
      <c r="J22" t="s">
        <v>23</v>
      </c>
      <c r="K22" t="s">
        <v>23</v>
      </c>
    </row>
    <row r="23" spans="1:11">
      <c r="A23" t="s">
        <v>1245</v>
      </c>
      <c r="B23" t="s">
        <v>23</v>
      </c>
      <c r="C23" t="s">
        <v>23</v>
      </c>
      <c r="D23">
        <v>24</v>
      </c>
      <c r="E23">
        <v>0</v>
      </c>
      <c r="F23">
        <v>0</v>
      </c>
      <c r="G23" s="1" t="s">
        <v>23</v>
      </c>
      <c r="H23" t="s">
        <v>23</v>
      </c>
      <c r="I23" t="s">
        <v>23</v>
      </c>
      <c r="J23" t="s">
        <v>23</v>
      </c>
      <c r="K23" t="s">
        <v>23</v>
      </c>
    </row>
    <row r="24" spans="1:11">
      <c r="A24" t="s">
        <v>1246</v>
      </c>
      <c r="B24" t="s">
        <v>23</v>
      </c>
      <c r="C24" t="s">
        <v>23</v>
      </c>
      <c r="D24">
        <v>25</v>
      </c>
      <c r="E24">
        <v>0</v>
      </c>
      <c r="F24">
        <v>0</v>
      </c>
      <c r="G24" s="1" t="s">
        <v>23</v>
      </c>
      <c r="H24" t="s">
        <v>23</v>
      </c>
      <c r="I24" t="s">
        <v>23</v>
      </c>
      <c r="J24" t="s">
        <v>23</v>
      </c>
      <c r="K24" t="s">
        <v>23</v>
      </c>
    </row>
    <row r="25" spans="1:11">
      <c r="A25" t="s">
        <v>1247</v>
      </c>
      <c r="B25" t="s">
        <v>23</v>
      </c>
      <c r="C25" t="s">
        <v>23</v>
      </c>
      <c r="D25">
        <v>26</v>
      </c>
      <c r="E25">
        <v>0</v>
      </c>
      <c r="F25">
        <v>0</v>
      </c>
      <c r="G25" s="1" t="s">
        <v>23</v>
      </c>
      <c r="H25" t="s">
        <v>23</v>
      </c>
      <c r="I25" t="s">
        <v>23</v>
      </c>
      <c r="J25" t="s">
        <v>23</v>
      </c>
      <c r="K25" t="s">
        <v>23</v>
      </c>
    </row>
    <row r="26" spans="1:11">
      <c r="A26" t="s">
        <v>1248</v>
      </c>
      <c r="B26" t="s">
        <v>23</v>
      </c>
      <c r="C26" t="s">
        <v>23</v>
      </c>
      <c r="D26">
        <v>27</v>
      </c>
      <c r="E26">
        <v>0</v>
      </c>
      <c r="F26">
        <v>0</v>
      </c>
      <c r="G26" s="1" t="s">
        <v>23</v>
      </c>
      <c r="H26" t="s">
        <v>23</v>
      </c>
      <c r="I26" t="s">
        <v>23</v>
      </c>
      <c r="J26" t="s">
        <v>23</v>
      </c>
      <c r="K26" t="s">
        <v>23</v>
      </c>
    </row>
    <row r="27" spans="1:11">
      <c r="A27" t="s">
        <v>1249</v>
      </c>
      <c r="B27" t="s">
        <v>23</v>
      </c>
      <c r="C27" t="s">
        <v>23</v>
      </c>
      <c r="D27">
        <v>28</v>
      </c>
      <c r="E27">
        <v>0</v>
      </c>
      <c r="F27">
        <v>0</v>
      </c>
      <c r="G27" s="1" t="s">
        <v>23</v>
      </c>
      <c r="H27" t="s">
        <v>23</v>
      </c>
      <c r="I27" t="s">
        <v>23</v>
      </c>
      <c r="J27" t="s">
        <v>23</v>
      </c>
      <c r="K27" t="s">
        <v>23</v>
      </c>
    </row>
    <row r="28" spans="1:11">
      <c r="A28" t="s">
        <v>1250</v>
      </c>
      <c r="B28" t="s">
        <v>23</v>
      </c>
      <c r="C28" t="s">
        <v>23</v>
      </c>
      <c r="D28">
        <v>29</v>
      </c>
      <c r="E28">
        <v>0</v>
      </c>
      <c r="F28">
        <v>0</v>
      </c>
      <c r="G28" s="1" t="s">
        <v>23</v>
      </c>
      <c r="H28" t="s">
        <v>23</v>
      </c>
      <c r="I28" t="s">
        <v>23</v>
      </c>
      <c r="J28" t="s">
        <v>23</v>
      </c>
      <c r="K28" t="s">
        <v>23</v>
      </c>
    </row>
    <row r="29" spans="1:11">
      <c r="A29" t="s">
        <v>1251</v>
      </c>
      <c r="B29" t="s">
        <v>23</v>
      </c>
      <c r="C29" t="s">
        <v>23</v>
      </c>
      <c r="D29">
        <v>30</v>
      </c>
      <c r="E29">
        <v>0</v>
      </c>
      <c r="F29">
        <v>0</v>
      </c>
      <c r="G29" s="1" t="s">
        <v>23</v>
      </c>
      <c r="H29" t="s">
        <v>23</v>
      </c>
      <c r="I29" t="s">
        <v>23</v>
      </c>
      <c r="J29" t="s">
        <v>23</v>
      </c>
      <c r="K29" t="s">
        <v>23</v>
      </c>
    </row>
    <row r="30" spans="1:11">
      <c r="A30" t="s">
        <v>1252</v>
      </c>
      <c r="B30" t="s">
        <v>23</v>
      </c>
      <c r="C30" t="s">
        <v>23</v>
      </c>
      <c r="D30">
        <v>31</v>
      </c>
      <c r="E30">
        <v>0</v>
      </c>
      <c r="F30">
        <v>0</v>
      </c>
      <c r="G30" s="1" t="s">
        <v>23</v>
      </c>
      <c r="H30" t="s">
        <v>23</v>
      </c>
      <c r="I30" t="s">
        <v>23</v>
      </c>
      <c r="J30" t="s">
        <v>23</v>
      </c>
      <c r="K30" t="s">
        <v>23</v>
      </c>
    </row>
    <row r="31" spans="1:11">
      <c r="A31" t="s">
        <v>1253</v>
      </c>
      <c r="B31" t="s">
        <v>23</v>
      </c>
      <c r="C31" t="s">
        <v>23</v>
      </c>
      <c r="D31">
        <v>32</v>
      </c>
      <c r="E31">
        <v>0</v>
      </c>
      <c r="F31">
        <v>0</v>
      </c>
      <c r="G31" s="1" t="s">
        <v>23</v>
      </c>
      <c r="H31" t="s">
        <v>23</v>
      </c>
      <c r="I31" t="s">
        <v>23</v>
      </c>
      <c r="J31" t="s">
        <v>23</v>
      </c>
      <c r="K31" t="s">
        <v>23</v>
      </c>
    </row>
    <row r="32" spans="1:11">
      <c r="A32" t="s">
        <v>1254</v>
      </c>
      <c r="B32" t="s">
        <v>23</v>
      </c>
      <c r="C32" t="s">
        <v>23</v>
      </c>
      <c r="D32">
        <v>33</v>
      </c>
      <c r="E32">
        <v>0</v>
      </c>
      <c r="F32">
        <v>0</v>
      </c>
      <c r="G32" s="1" t="s">
        <v>23</v>
      </c>
      <c r="H32" t="s">
        <v>23</v>
      </c>
      <c r="I32" t="s">
        <v>23</v>
      </c>
      <c r="J32" t="s">
        <v>23</v>
      </c>
      <c r="K32" t="s">
        <v>23</v>
      </c>
    </row>
    <row r="33" spans="1:11">
      <c r="A33" t="s">
        <v>1255</v>
      </c>
      <c r="B33" t="s">
        <v>23</v>
      </c>
      <c r="C33" t="s">
        <v>23</v>
      </c>
      <c r="D33">
        <v>34</v>
      </c>
      <c r="E33">
        <v>0</v>
      </c>
      <c r="F33">
        <v>0</v>
      </c>
      <c r="G33" s="1" t="s">
        <v>23</v>
      </c>
      <c r="H33" t="s">
        <v>23</v>
      </c>
      <c r="I33" t="s">
        <v>23</v>
      </c>
      <c r="J33" t="s">
        <v>23</v>
      </c>
      <c r="K33" t="s">
        <v>23</v>
      </c>
    </row>
    <row r="34" spans="1:11">
      <c r="A34" t="s">
        <v>1256</v>
      </c>
      <c r="B34" t="s">
        <v>23</v>
      </c>
      <c r="C34" t="s">
        <v>23</v>
      </c>
      <c r="D34">
        <v>35</v>
      </c>
      <c r="E34">
        <v>0</v>
      </c>
      <c r="F34">
        <v>0</v>
      </c>
      <c r="G34" s="1" t="s">
        <v>23</v>
      </c>
      <c r="H34" t="s">
        <v>23</v>
      </c>
      <c r="I34" t="s">
        <v>23</v>
      </c>
      <c r="J34" t="s">
        <v>23</v>
      </c>
      <c r="K34" t="s">
        <v>23</v>
      </c>
    </row>
    <row r="35" spans="1:11">
      <c r="A35" t="s">
        <v>1257</v>
      </c>
      <c r="B35" t="s">
        <v>23</v>
      </c>
      <c r="C35" t="s">
        <v>23</v>
      </c>
      <c r="D35">
        <v>36</v>
      </c>
      <c r="E35">
        <v>0</v>
      </c>
      <c r="F35">
        <v>0</v>
      </c>
      <c r="G35" s="1" t="s">
        <v>23</v>
      </c>
      <c r="H35" t="s">
        <v>23</v>
      </c>
      <c r="I35" t="s">
        <v>23</v>
      </c>
      <c r="J35" t="s">
        <v>23</v>
      </c>
      <c r="K35" t="s">
        <v>23</v>
      </c>
    </row>
    <row r="36" spans="1:11">
      <c r="A36" t="s">
        <v>1258</v>
      </c>
      <c r="B36" t="s">
        <v>23</v>
      </c>
      <c r="C36" t="s">
        <v>23</v>
      </c>
      <c r="D36">
        <v>37</v>
      </c>
      <c r="E36">
        <v>0</v>
      </c>
      <c r="F36">
        <v>0</v>
      </c>
      <c r="G36" s="1" t="s">
        <v>23</v>
      </c>
      <c r="H36" t="s">
        <v>23</v>
      </c>
      <c r="I36" t="s">
        <v>23</v>
      </c>
      <c r="J36" t="s">
        <v>23</v>
      </c>
      <c r="K36" t="s">
        <v>23</v>
      </c>
    </row>
    <row r="37" spans="1:11">
      <c r="A37" t="s">
        <v>1259</v>
      </c>
      <c r="B37" t="s">
        <v>23</v>
      </c>
      <c r="C37" t="s">
        <v>23</v>
      </c>
      <c r="D37">
        <v>38</v>
      </c>
      <c r="E37">
        <v>0</v>
      </c>
      <c r="F37">
        <v>0</v>
      </c>
      <c r="G37" s="1" t="s">
        <v>23</v>
      </c>
      <c r="H37" t="s">
        <v>23</v>
      </c>
      <c r="I37" t="s">
        <v>23</v>
      </c>
      <c r="J37" t="s">
        <v>23</v>
      </c>
      <c r="K37" t="s">
        <v>23</v>
      </c>
    </row>
    <row r="38" spans="1:11">
      <c r="A38" t="s">
        <v>1260</v>
      </c>
      <c r="B38" t="s">
        <v>23</v>
      </c>
      <c r="C38" t="s">
        <v>23</v>
      </c>
      <c r="D38">
        <v>39</v>
      </c>
      <c r="E38">
        <v>0</v>
      </c>
      <c r="F38">
        <v>0</v>
      </c>
      <c r="G38" s="1" t="s">
        <v>23</v>
      </c>
      <c r="H38" t="s">
        <v>23</v>
      </c>
      <c r="I38" t="s">
        <v>23</v>
      </c>
      <c r="J38" t="s">
        <v>23</v>
      </c>
      <c r="K38" t="s">
        <v>23</v>
      </c>
    </row>
    <row r="39" spans="1:11">
      <c r="A39" t="s">
        <v>1261</v>
      </c>
      <c r="B39" t="s">
        <v>23</v>
      </c>
      <c r="C39" t="s">
        <v>23</v>
      </c>
      <c r="D39">
        <v>40</v>
      </c>
      <c r="E39">
        <v>0</v>
      </c>
      <c r="F39">
        <v>0</v>
      </c>
      <c r="G39" s="1" t="s">
        <v>23</v>
      </c>
      <c r="H39" t="s">
        <v>23</v>
      </c>
      <c r="I39" t="s">
        <v>23</v>
      </c>
      <c r="J39" t="s">
        <v>23</v>
      </c>
      <c r="K39" t="s">
        <v>23</v>
      </c>
    </row>
    <row r="40" spans="1:11">
      <c r="A40" t="s">
        <v>1262</v>
      </c>
      <c r="B40" t="s">
        <v>23</v>
      </c>
      <c r="C40" t="s">
        <v>23</v>
      </c>
      <c r="D40">
        <v>41</v>
      </c>
      <c r="E40">
        <v>0</v>
      </c>
      <c r="F40">
        <v>0</v>
      </c>
      <c r="G40" s="1" t="s">
        <v>23</v>
      </c>
      <c r="H40" t="s">
        <v>23</v>
      </c>
      <c r="I40" t="s">
        <v>23</v>
      </c>
      <c r="J40" t="s">
        <v>23</v>
      </c>
      <c r="K40" t="s">
        <v>23</v>
      </c>
    </row>
    <row r="41" spans="1:11">
      <c r="A41" t="s">
        <v>1263</v>
      </c>
      <c r="B41" t="s">
        <v>23</v>
      </c>
      <c r="C41" t="s">
        <v>23</v>
      </c>
      <c r="D41">
        <v>42</v>
      </c>
      <c r="E41">
        <v>0</v>
      </c>
      <c r="F41">
        <v>0</v>
      </c>
      <c r="G41" s="1" t="s">
        <v>23</v>
      </c>
      <c r="H41" t="s">
        <v>23</v>
      </c>
      <c r="I41" t="s">
        <v>23</v>
      </c>
      <c r="J41" t="s">
        <v>23</v>
      </c>
      <c r="K41" t="s">
        <v>23</v>
      </c>
    </row>
    <row r="42" spans="1:11">
      <c r="A42" t="s">
        <v>1264</v>
      </c>
      <c r="B42" t="s">
        <v>23</v>
      </c>
      <c r="C42" t="s">
        <v>23</v>
      </c>
      <c r="D42">
        <v>43</v>
      </c>
      <c r="E42">
        <v>0</v>
      </c>
      <c r="F42">
        <v>0</v>
      </c>
      <c r="G42" s="1" t="s">
        <v>23</v>
      </c>
      <c r="H42" t="s">
        <v>23</v>
      </c>
      <c r="I42" t="s">
        <v>23</v>
      </c>
      <c r="J42" t="s">
        <v>23</v>
      </c>
      <c r="K42" t="s">
        <v>23</v>
      </c>
    </row>
    <row r="43" spans="1:11">
      <c r="A43" t="s">
        <v>1265</v>
      </c>
      <c r="B43" t="s">
        <v>23</v>
      </c>
      <c r="C43" t="s">
        <v>23</v>
      </c>
      <c r="D43">
        <v>44</v>
      </c>
      <c r="E43">
        <v>0</v>
      </c>
      <c r="F43">
        <v>0</v>
      </c>
      <c r="G43" s="1" t="s">
        <v>23</v>
      </c>
      <c r="H43" t="s">
        <v>23</v>
      </c>
      <c r="I43" t="s">
        <v>23</v>
      </c>
      <c r="J43" t="s">
        <v>23</v>
      </c>
      <c r="K43" t="s">
        <v>23</v>
      </c>
    </row>
    <row r="44" spans="1:11">
      <c r="A44" t="s">
        <v>1266</v>
      </c>
      <c r="B44" t="s">
        <v>23</v>
      </c>
      <c r="C44" t="s">
        <v>23</v>
      </c>
      <c r="D44">
        <v>45</v>
      </c>
      <c r="E44">
        <v>0</v>
      </c>
      <c r="F44">
        <v>0</v>
      </c>
      <c r="G44" s="1" t="s">
        <v>23</v>
      </c>
      <c r="H44" t="s">
        <v>23</v>
      </c>
      <c r="I44" t="s">
        <v>23</v>
      </c>
      <c r="J44" t="s">
        <v>23</v>
      </c>
      <c r="K44" t="s">
        <v>23</v>
      </c>
    </row>
    <row r="45" spans="1:11">
      <c r="A45" t="s">
        <v>1267</v>
      </c>
      <c r="B45" t="s">
        <v>23</v>
      </c>
      <c r="C45" t="s">
        <v>23</v>
      </c>
      <c r="D45">
        <v>46</v>
      </c>
      <c r="E45">
        <v>0</v>
      </c>
      <c r="F45">
        <v>0</v>
      </c>
      <c r="G45" s="1" t="s">
        <v>23</v>
      </c>
      <c r="H45" t="s">
        <v>23</v>
      </c>
      <c r="I45" t="s">
        <v>23</v>
      </c>
      <c r="J45" t="s">
        <v>23</v>
      </c>
      <c r="K45" t="s">
        <v>23</v>
      </c>
    </row>
    <row r="46" spans="1:11">
      <c r="A46" t="s">
        <v>1268</v>
      </c>
      <c r="B46" t="s">
        <v>23</v>
      </c>
      <c r="C46" t="s">
        <v>23</v>
      </c>
      <c r="D46">
        <v>47</v>
      </c>
      <c r="E46">
        <v>0</v>
      </c>
      <c r="F46">
        <v>0</v>
      </c>
      <c r="G46" s="1" t="s">
        <v>23</v>
      </c>
      <c r="H46" t="s">
        <v>23</v>
      </c>
      <c r="I46" t="s">
        <v>23</v>
      </c>
      <c r="J46" t="s">
        <v>23</v>
      </c>
      <c r="K46" t="s">
        <v>23</v>
      </c>
    </row>
    <row r="47" spans="1:11">
      <c r="A47" t="s">
        <v>1269</v>
      </c>
      <c r="B47" t="s">
        <v>23</v>
      </c>
      <c r="C47" t="s">
        <v>23</v>
      </c>
      <c r="D47">
        <v>48</v>
      </c>
      <c r="E47">
        <v>0</v>
      </c>
      <c r="F47">
        <v>0</v>
      </c>
      <c r="G47" s="1" t="s">
        <v>23</v>
      </c>
      <c r="H47" t="s">
        <v>23</v>
      </c>
      <c r="I47" t="s">
        <v>23</v>
      </c>
      <c r="J47" t="s">
        <v>23</v>
      </c>
      <c r="K47" t="s">
        <v>23</v>
      </c>
    </row>
    <row r="48" spans="1:11">
      <c r="A48" t="s">
        <v>1270</v>
      </c>
      <c r="B48" t="s">
        <v>23</v>
      </c>
      <c r="C48" t="s">
        <v>23</v>
      </c>
      <c r="D48">
        <v>49</v>
      </c>
      <c r="E48">
        <v>0</v>
      </c>
      <c r="F48">
        <v>0</v>
      </c>
      <c r="G48" s="1" t="s">
        <v>23</v>
      </c>
      <c r="H48" t="s">
        <v>23</v>
      </c>
      <c r="I48" t="s">
        <v>23</v>
      </c>
      <c r="J48" t="s">
        <v>23</v>
      </c>
      <c r="K48" t="s">
        <v>23</v>
      </c>
    </row>
    <row r="49" spans="1:11">
      <c r="A49" t="s">
        <v>1271</v>
      </c>
      <c r="B49" t="s">
        <v>23</v>
      </c>
      <c r="C49" t="s">
        <v>23</v>
      </c>
      <c r="D49">
        <v>50</v>
      </c>
      <c r="E49">
        <v>0</v>
      </c>
      <c r="F49">
        <v>0</v>
      </c>
      <c r="G49" s="1" t="s">
        <v>23</v>
      </c>
      <c r="H49" t="s">
        <v>23</v>
      </c>
      <c r="I49" t="s">
        <v>23</v>
      </c>
      <c r="J49" t="s">
        <v>23</v>
      </c>
      <c r="K49" t="s">
        <v>23</v>
      </c>
    </row>
    <row r="50" spans="1:11">
      <c r="A50" t="s">
        <v>1272</v>
      </c>
      <c r="B50" t="s">
        <v>23</v>
      </c>
      <c r="C50" t="s">
        <v>23</v>
      </c>
      <c r="D50">
        <v>51</v>
      </c>
      <c r="E50">
        <v>0</v>
      </c>
      <c r="F50">
        <v>0</v>
      </c>
      <c r="G50" s="1" t="s">
        <v>23</v>
      </c>
      <c r="H50" t="s">
        <v>23</v>
      </c>
      <c r="I50" t="s">
        <v>23</v>
      </c>
      <c r="J50" t="s">
        <v>23</v>
      </c>
      <c r="K50" t="s">
        <v>23</v>
      </c>
    </row>
    <row r="51" spans="1:11">
      <c r="A51" t="s">
        <v>1273</v>
      </c>
      <c r="B51" t="s">
        <v>23</v>
      </c>
      <c r="C51" t="s">
        <v>23</v>
      </c>
      <c r="D51">
        <v>52</v>
      </c>
      <c r="E51">
        <v>0</v>
      </c>
      <c r="F51">
        <v>0</v>
      </c>
      <c r="G51" s="1" t="s">
        <v>23</v>
      </c>
      <c r="H51" t="s">
        <v>23</v>
      </c>
      <c r="I51" t="s">
        <v>23</v>
      </c>
      <c r="J51" t="s">
        <v>23</v>
      </c>
      <c r="K51" t="s">
        <v>23</v>
      </c>
    </row>
    <row r="52" spans="1:11">
      <c r="A52" t="s">
        <v>1274</v>
      </c>
      <c r="B52" t="s">
        <v>23</v>
      </c>
      <c r="C52" t="s">
        <v>23</v>
      </c>
      <c r="D52">
        <v>53</v>
      </c>
      <c r="E52">
        <v>0</v>
      </c>
      <c r="F52">
        <v>0</v>
      </c>
      <c r="G52" s="1" t="s">
        <v>23</v>
      </c>
      <c r="H52" t="s">
        <v>23</v>
      </c>
      <c r="I52" t="s">
        <v>23</v>
      </c>
      <c r="J52" t="s">
        <v>23</v>
      </c>
      <c r="K52" t="s">
        <v>23</v>
      </c>
    </row>
    <row r="53" spans="1:11">
      <c r="A53" t="s">
        <v>1275</v>
      </c>
      <c r="B53" t="s">
        <v>23</v>
      </c>
      <c r="C53" t="s">
        <v>23</v>
      </c>
      <c r="D53">
        <v>54</v>
      </c>
      <c r="E53">
        <v>0</v>
      </c>
      <c r="F53">
        <v>0</v>
      </c>
      <c r="G53" s="1" t="s">
        <v>23</v>
      </c>
      <c r="H53" t="s">
        <v>23</v>
      </c>
      <c r="I53" t="s">
        <v>23</v>
      </c>
      <c r="J53" t="s">
        <v>23</v>
      </c>
      <c r="K53" t="s">
        <v>23</v>
      </c>
    </row>
    <row r="54" spans="1:11">
      <c r="A54" t="s">
        <v>1276</v>
      </c>
      <c r="B54" t="s">
        <v>23</v>
      </c>
      <c r="C54" t="s">
        <v>23</v>
      </c>
      <c r="D54">
        <v>55</v>
      </c>
      <c r="E54">
        <v>0</v>
      </c>
      <c r="F54">
        <v>0</v>
      </c>
      <c r="G54" s="1" t="s">
        <v>23</v>
      </c>
      <c r="H54" t="s">
        <v>23</v>
      </c>
      <c r="I54" t="s">
        <v>23</v>
      </c>
      <c r="J54" t="s">
        <v>23</v>
      </c>
      <c r="K54" t="s">
        <v>23</v>
      </c>
    </row>
    <row r="55" spans="1:11">
      <c r="A55" t="s">
        <v>1277</v>
      </c>
      <c r="B55" t="s">
        <v>23</v>
      </c>
      <c r="C55" t="s">
        <v>23</v>
      </c>
      <c r="D55">
        <v>56</v>
      </c>
      <c r="E55">
        <v>0</v>
      </c>
      <c r="F55">
        <v>0</v>
      </c>
      <c r="G55" s="1" t="s">
        <v>23</v>
      </c>
      <c r="H55" t="s">
        <v>23</v>
      </c>
      <c r="I55" t="s">
        <v>23</v>
      </c>
      <c r="J55" t="s">
        <v>23</v>
      </c>
      <c r="K55" t="s">
        <v>23</v>
      </c>
    </row>
    <row r="56" spans="1:11">
      <c r="A56" t="s">
        <v>1278</v>
      </c>
      <c r="B56" t="s">
        <v>23</v>
      </c>
      <c r="C56" t="s">
        <v>23</v>
      </c>
      <c r="D56">
        <v>57</v>
      </c>
      <c r="E56">
        <v>0</v>
      </c>
      <c r="F56">
        <v>0</v>
      </c>
      <c r="G56" s="1" t="s">
        <v>23</v>
      </c>
      <c r="H56" t="s">
        <v>23</v>
      </c>
      <c r="I56" t="s">
        <v>23</v>
      </c>
      <c r="J56" t="s">
        <v>23</v>
      </c>
      <c r="K56" t="s">
        <v>23</v>
      </c>
    </row>
    <row r="57" spans="1:11">
      <c r="A57" t="s">
        <v>1279</v>
      </c>
      <c r="B57" t="s">
        <v>23</v>
      </c>
      <c r="C57" t="s">
        <v>23</v>
      </c>
      <c r="D57">
        <v>58</v>
      </c>
      <c r="E57">
        <v>0</v>
      </c>
      <c r="F57">
        <v>0</v>
      </c>
      <c r="G57" s="1" t="s">
        <v>23</v>
      </c>
      <c r="H57" t="s">
        <v>23</v>
      </c>
      <c r="I57" t="s">
        <v>23</v>
      </c>
      <c r="J57" t="s">
        <v>23</v>
      </c>
      <c r="K57" t="s">
        <v>23</v>
      </c>
    </row>
    <row r="58" spans="1:11">
      <c r="A58" t="s">
        <v>1280</v>
      </c>
      <c r="B58" t="s">
        <v>23</v>
      </c>
      <c r="C58" t="s">
        <v>23</v>
      </c>
      <c r="D58">
        <v>59</v>
      </c>
      <c r="E58">
        <v>0</v>
      </c>
      <c r="F58">
        <v>0</v>
      </c>
      <c r="G58" s="1" t="s">
        <v>23</v>
      </c>
      <c r="H58" t="s">
        <v>23</v>
      </c>
      <c r="I58" t="s">
        <v>23</v>
      </c>
      <c r="J58" t="s">
        <v>23</v>
      </c>
      <c r="K58" t="s">
        <v>23</v>
      </c>
    </row>
    <row r="59" spans="1:11" ht="30">
      <c r="A59" t="s">
        <v>1281</v>
      </c>
      <c r="B59" t="s">
        <v>1282</v>
      </c>
      <c r="C59" t="s">
        <v>1283</v>
      </c>
      <c r="D59">
        <v>60</v>
      </c>
      <c r="E59">
        <v>35</v>
      </c>
      <c r="F59" t="s">
        <v>23</v>
      </c>
      <c r="G59" s="1" t="s">
        <v>1284</v>
      </c>
      <c r="H59">
        <v>21</v>
      </c>
      <c r="I59">
        <v>0.8</v>
      </c>
      <c r="J59" t="s">
        <v>1285</v>
      </c>
      <c r="K59" t="s">
        <v>1285</v>
      </c>
    </row>
    <row r="60" spans="1:11" ht="75">
      <c r="A60" t="s">
        <v>1286</v>
      </c>
      <c r="B60" t="s">
        <v>1287</v>
      </c>
      <c r="C60" t="s">
        <v>161</v>
      </c>
      <c r="D60">
        <v>61</v>
      </c>
      <c r="E60">
        <v>30</v>
      </c>
      <c r="F60" t="s">
        <v>23</v>
      </c>
      <c r="G60" s="1" t="s">
        <v>1288</v>
      </c>
      <c r="H60">
        <v>17</v>
      </c>
      <c r="I60">
        <v>0.5</v>
      </c>
      <c r="J60" t="s">
        <v>1289</v>
      </c>
      <c r="K60" t="s">
        <v>1289</v>
      </c>
    </row>
    <row r="61" spans="1:11" ht="30">
      <c r="A61" t="s">
        <v>1290</v>
      </c>
      <c r="B61" t="s">
        <v>1291</v>
      </c>
      <c r="C61" t="s">
        <v>1292</v>
      </c>
      <c r="D61">
        <v>62</v>
      </c>
      <c r="E61">
        <v>30</v>
      </c>
      <c r="F61" t="s">
        <v>23</v>
      </c>
      <c r="G61" s="1" t="s">
        <v>1293</v>
      </c>
      <c r="H61">
        <v>17</v>
      </c>
      <c r="I61">
        <v>0.6</v>
      </c>
      <c r="J61" t="s">
        <v>1294</v>
      </c>
      <c r="K61" t="s">
        <v>1294</v>
      </c>
    </row>
    <row r="62" spans="1:11" ht="30">
      <c r="A62" t="s">
        <v>1295</v>
      </c>
      <c r="B62" t="s">
        <v>1296</v>
      </c>
      <c r="C62" t="s">
        <v>1297</v>
      </c>
      <c r="D62">
        <v>63</v>
      </c>
      <c r="E62">
        <v>75</v>
      </c>
      <c r="F62" t="s">
        <v>23</v>
      </c>
      <c r="G62" s="1" t="s">
        <v>1298</v>
      </c>
      <c r="H62">
        <v>49</v>
      </c>
      <c r="I62">
        <v>1.9</v>
      </c>
      <c r="J62" t="s">
        <v>1299</v>
      </c>
      <c r="K62" t="s">
        <v>1299</v>
      </c>
    </row>
    <row r="63" spans="1:11" ht="60">
      <c r="A63" t="s">
        <v>1300</v>
      </c>
      <c r="B63" t="s">
        <v>1301</v>
      </c>
      <c r="C63" t="s">
        <v>1302</v>
      </c>
      <c r="D63">
        <v>64</v>
      </c>
      <c r="E63">
        <v>60</v>
      </c>
      <c r="F63">
        <v>10</v>
      </c>
      <c r="G63" s="1" t="s">
        <v>1303</v>
      </c>
      <c r="H63">
        <v>37</v>
      </c>
      <c r="I63">
        <v>1.2</v>
      </c>
      <c r="J63" t="s">
        <v>1304</v>
      </c>
      <c r="K63" t="s">
        <v>1304</v>
      </c>
    </row>
    <row r="64" spans="1:11" ht="60">
      <c r="A64" t="s">
        <v>1305</v>
      </c>
      <c r="B64" t="s">
        <v>1306</v>
      </c>
      <c r="C64" t="s">
        <v>1307</v>
      </c>
      <c r="D64">
        <v>65</v>
      </c>
      <c r="E64">
        <v>40</v>
      </c>
      <c r="F64">
        <v>10</v>
      </c>
      <c r="G64" s="1" t="s">
        <v>1308</v>
      </c>
      <c r="H64">
        <v>23</v>
      </c>
      <c r="I64">
        <v>0.7</v>
      </c>
      <c r="J64" t="s">
        <v>1309</v>
      </c>
      <c r="K64" t="s">
        <v>1309</v>
      </c>
    </row>
    <row r="65" spans="1:11">
      <c r="A65" t="s">
        <v>1310</v>
      </c>
      <c r="B65" t="s">
        <v>23</v>
      </c>
      <c r="C65" t="s">
        <v>23</v>
      </c>
      <c r="D65">
        <v>66</v>
      </c>
      <c r="E65">
        <v>0</v>
      </c>
      <c r="F65">
        <v>0</v>
      </c>
      <c r="G65" s="1" t="s">
        <v>23</v>
      </c>
      <c r="H65" t="s">
        <v>23</v>
      </c>
      <c r="I65" t="s">
        <v>23</v>
      </c>
      <c r="J65" t="s">
        <v>23</v>
      </c>
      <c r="K65" t="s">
        <v>23</v>
      </c>
    </row>
    <row r="66" spans="1:11">
      <c r="A66" t="s">
        <v>1311</v>
      </c>
      <c r="B66" t="s">
        <v>23</v>
      </c>
      <c r="C66" t="s">
        <v>23</v>
      </c>
      <c r="D66">
        <v>67</v>
      </c>
      <c r="E66">
        <v>0</v>
      </c>
      <c r="F66">
        <v>0</v>
      </c>
      <c r="G66" s="1" t="s">
        <v>23</v>
      </c>
      <c r="H66" t="s">
        <v>23</v>
      </c>
      <c r="I66" t="s">
        <v>23</v>
      </c>
      <c r="J66" t="s">
        <v>23</v>
      </c>
      <c r="K66" t="s">
        <v>23</v>
      </c>
    </row>
    <row r="67" spans="1:11">
      <c r="A67" t="s">
        <v>1312</v>
      </c>
      <c r="B67" t="s">
        <v>23</v>
      </c>
      <c r="C67" t="s">
        <v>23</v>
      </c>
      <c r="D67">
        <v>68</v>
      </c>
      <c r="E67">
        <v>0</v>
      </c>
      <c r="F67">
        <v>0</v>
      </c>
      <c r="G67" s="1" t="s">
        <v>23</v>
      </c>
      <c r="H67" t="s">
        <v>23</v>
      </c>
      <c r="I67" t="s">
        <v>23</v>
      </c>
      <c r="J67" t="s">
        <v>23</v>
      </c>
      <c r="K67" t="s">
        <v>23</v>
      </c>
    </row>
    <row r="68" spans="1:11">
      <c r="A68" t="s">
        <v>1313</v>
      </c>
      <c r="B68" t="s">
        <v>23</v>
      </c>
      <c r="C68" t="s">
        <v>23</v>
      </c>
      <c r="D68">
        <v>69</v>
      </c>
      <c r="E68">
        <v>0</v>
      </c>
      <c r="F68">
        <v>0</v>
      </c>
      <c r="G68" s="1" t="s">
        <v>23</v>
      </c>
      <c r="H68" t="s">
        <v>23</v>
      </c>
      <c r="I68" t="s">
        <v>23</v>
      </c>
      <c r="J68" t="s">
        <v>23</v>
      </c>
      <c r="K68" t="s">
        <v>23</v>
      </c>
    </row>
    <row r="69" spans="1:11">
      <c r="A69" t="s">
        <v>1314</v>
      </c>
      <c r="B69" t="s">
        <v>23</v>
      </c>
      <c r="C69" t="s">
        <v>23</v>
      </c>
      <c r="D69">
        <v>70</v>
      </c>
      <c r="E69">
        <v>0</v>
      </c>
      <c r="F69">
        <v>0</v>
      </c>
      <c r="G69" s="1" t="s">
        <v>23</v>
      </c>
      <c r="H69" t="s">
        <v>23</v>
      </c>
      <c r="I69" t="s">
        <v>23</v>
      </c>
      <c r="J69" t="s">
        <v>23</v>
      </c>
      <c r="K69" t="s">
        <v>23</v>
      </c>
    </row>
    <row r="70" spans="1:11">
      <c r="A70" t="s">
        <v>1315</v>
      </c>
      <c r="B70" t="s">
        <v>23</v>
      </c>
      <c r="C70" t="s">
        <v>23</v>
      </c>
      <c r="D70">
        <v>71</v>
      </c>
      <c r="E70">
        <v>0</v>
      </c>
      <c r="F70">
        <v>0</v>
      </c>
      <c r="G70" s="1" t="s">
        <v>23</v>
      </c>
      <c r="H70" t="s">
        <v>23</v>
      </c>
      <c r="I70" t="s">
        <v>23</v>
      </c>
      <c r="J70" t="s">
        <v>23</v>
      </c>
      <c r="K70" t="s">
        <v>23</v>
      </c>
    </row>
    <row r="71" spans="1:11">
      <c r="A71" t="s">
        <v>1316</v>
      </c>
      <c r="B71" t="s">
        <v>23</v>
      </c>
      <c r="C71" t="s">
        <v>23</v>
      </c>
      <c r="D71">
        <v>72</v>
      </c>
      <c r="E71">
        <v>0</v>
      </c>
      <c r="F71">
        <v>0</v>
      </c>
      <c r="G71" s="1" t="s">
        <v>23</v>
      </c>
      <c r="H71" t="s">
        <v>23</v>
      </c>
      <c r="I71" t="s">
        <v>23</v>
      </c>
      <c r="J71" t="s">
        <v>23</v>
      </c>
      <c r="K71" t="s">
        <v>23</v>
      </c>
    </row>
    <row r="72" spans="1:11">
      <c r="A72" t="s">
        <v>1317</v>
      </c>
      <c r="B72" t="s">
        <v>23</v>
      </c>
      <c r="C72" t="s">
        <v>23</v>
      </c>
      <c r="D72">
        <v>73</v>
      </c>
      <c r="E72">
        <v>0</v>
      </c>
      <c r="F72">
        <v>0</v>
      </c>
      <c r="G72" s="1" t="s">
        <v>23</v>
      </c>
      <c r="H72" t="s">
        <v>23</v>
      </c>
      <c r="I72" t="s">
        <v>23</v>
      </c>
      <c r="J72" t="s">
        <v>23</v>
      </c>
      <c r="K72" t="s">
        <v>23</v>
      </c>
    </row>
    <row r="73" spans="1:11">
      <c r="A73" t="s">
        <v>1318</v>
      </c>
      <c r="B73" t="s">
        <v>23</v>
      </c>
      <c r="C73" t="s">
        <v>23</v>
      </c>
      <c r="D73">
        <v>74</v>
      </c>
      <c r="E73">
        <v>0</v>
      </c>
      <c r="F73">
        <v>0</v>
      </c>
      <c r="G73" s="1" t="s">
        <v>23</v>
      </c>
      <c r="H73" t="s">
        <v>23</v>
      </c>
      <c r="I73" t="s">
        <v>23</v>
      </c>
      <c r="J73" t="s">
        <v>23</v>
      </c>
      <c r="K73" t="s">
        <v>23</v>
      </c>
    </row>
    <row r="74" spans="1:11">
      <c r="A74" t="s">
        <v>1319</v>
      </c>
      <c r="B74" t="s">
        <v>23</v>
      </c>
      <c r="C74" t="s">
        <v>23</v>
      </c>
      <c r="D74">
        <v>75</v>
      </c>
      <c r="E74">
        <v>0</v>
      </c>
      <c r="F74">
        <v>0</v>
      </c>
      <c r="G74" s="1" t="s">
        <v>23</v>
      </c>
      <c r="H74" t="s">
        <v>23</v>
      </c>
      <c r="I74" t="s">
        <v>23</v>
      </c>
      <c r="J74" t="s">
        <v>23</v>
      </c>
      <c r="K74" t="s">
        <v>23</v>
      </c>
    </row>
    <row r="75" spans="1:11">
      <c r="A75" t="s">
        <v>1320</v>
      </c>
      <c r="B75" t="s">
        <v>23</v>
      </c>
      <c r="C75" t="s">
        <v>23</v>
      </c>
      <c r="D75">
        <v>76</v>
      </c>
      <c r="E75">
        <v>0</v>
      </c>
      <c r="F75">
        <v>0</v>
      </c>
      <c r="G75" s="1" t="s">
        <v>23</v>
      </c>
      <c r="H75" t="s">
        <v>23</v>
      </c>
      <c r="I75" t="s">
        <v>23</v>
      </c>
      <c r="J75" t="s">
        <v>23</v>
      </c>
      <c r="K75" t="s">
        <v>23</v>
      </c>
    </row>
    <row r="76" spans="1:11">
      <c r="A76" t="s">
        <v>1321</v>
      </c>
      <c r="B76" t="s">
        <v>23</v>
      </c>
      <c r="C76" t="s">
        <v>23</v>
      </c>
      <c r="D76">
        <v>77</v>
      </c>
      <c r="E76">
        <v>0</v>
      </c>
      <c r="F76">
        <v>0</v>
      </c>
      <c r="G76" s="1" t="s">
        <v>23</v>
      </c>
      <c r="H76" t="s">
        <v>23</v>
      </c>
      <c r="I76" t="s">
        <v>23</v>
      </c>
      <c r="J76" t="s">
        <v>23</v>
      </c>
      <c r="K76" t="s">
        <v>23</v>
      </c>
    </row>
    <row r="77" spans="1:11">
      <c r="A77" t="s">
        <v>1322</v>
      </c>
      <c r="B77" t="s">
        <v>23</v>
      </c>
      <c r="C77" t="s">
        <v>23</v>
      </c>
      <c r="D77">
        <v>78</v>
      </c>
      <c r="E77">
        <v>0</v>
      </c>
      <c r="F77">
        <v>0</v>
      </c>
      <c r="G77" s="1" t="s">
        <v>23</v>
      </c>
      <c r="H77" t="s">
        <v>23</v>
      </c>
      <c r="I77" t="s">
        <v>23</v>
      </c>
      <c r="J77" t="s">
        <v>23</v>
      </c>
      <c r="K77" t="s">
        <v>23</v>
      </c>
    </row>
    <row r="78" spans="1:11">
      <c r="A78" t="s">
        <v>1323</v>
      </c>
      <c r="B78" t="s">
        <v>23</v>
      </c>
      <c r="C78" t="s">
        <v>23</v>
      </c>
      <c r="D78">
        <v>79</v>
      </c>
      <c r="E78">
        <v>0</v>
      </c>
      <c r="F78">
        <v>0</v>
      </c>
      <c r="G78" s="1" t="s">
        <v>23</v>
      </c>
      <c r="H78" t="s">
        <v>23</v>
      </c>
      <c r="I78" t="s">
        <v>23</v>
      </c>
      <c r="J78" t="s">
        <v>23</v>
      </c>
      <c r="K78" t="s">
        <v>23</v>
      </c>
    </row>
    <row r="79" spans="1:11">
      <c r="A79" t="s">
        <v>1324</v>
      </c>
      <c r="B79" t="s">
        <v>23</v>
      </c>
      <c r="C79" t="s">
        <v>23</v>
      </c>
      <c r="D79">
        <v>80</v>
      </c>
      <c r="E79">
        <v>0</v>
      </c>
      <c r="F79">
        <v>0</v>
      </c>
      <c r="G79" s="1" t="s">
        <v>23</v>
      </c>
      <c r="H79" t="s">
        <v>23</v>
      </c>
      <c r="I79" t="s">
        <v>23</v>
      </c>
      <c r="J79" t="s">
        <v>23</v>
      </c>
      <c r="K79" t="s">
        <v>23</v>
      </c>
    </row>
    <row r="80" spans="1:11">
      <c r="A80" t="s">
        <v>1325</v>
      </c>
      <c r="B80" t="s">
        <v>23</v>
      </c>
      <c r="C80" t="s">
        <v>23</v>
      </c>
      <c r="D80">
        <v>81</v>
      </c>
      <c r="E80">
        <v>0</v>
      </c>
      <c r="F80">
        <v>0</v>
      </c>
      <c r="G80" s="1" t="s">
        <v>23</v>
      </c>
      <c r="H80" t="s">
        <v>23</v>
      </c>
      <c r="I80" t="s">
        <v>23</v>
      </c>
      <c r="J80" t="s">
        <v>23</v>
      </c>
      <c r="K80" t="s">
        <v>23</v>
      </c>
    </row>
    <row r="81" spans="1:11">
      <c r="A81" t="s">
        <v>1326</v>
      </c>
      <c r="B81" t="s">
        <v>23</v>
      </c>
      <c r="C81" t="s">
        <v>23</v>
      </c>
      <c r="D81">
        <v>82</v>
      </c>
      <c r="E81">
        <v>0</v>
      </c>
      <c r="F81">
        <v>0</v>
      </c>
      <c r="G81" s="1" t="s">
        <v>23</v>
      </c>
      <c r="H81" t="s">
        <v>23</v>
      </c>
      <c r="I81" t="s">
        <v>23</v>
      </c>
      <c r="J81" t="s">
        <v>23</v>
      </c>
      <c r="K81" t="s">
        <v>23</v>
      </c>
    </row>
    <row r="82" spans="1:11">
      <c r="A82" t="s">
        <v>1327</v>
      </c>
      <c r="B82" t="s">
        <v>23</v>
      </c>
      <c r="C82" t="s">
        <v>23</v>
      </c>
      <c r="D82">
        <v>83</v>
      </c>
      <c r="E82">
        <v>0</v>
      </c>
      <c r="F82">
        <v>0</v>
      </c>
      <c r="G82" s="1" t="s">
        <v>23</v>
      </c>
      <c r="H82" t="s">
        <v>23</v>
      </c>
      <c r="I82" t="s">
        <v>23</v>
      </c>
      <c r="J82" t="s">
        <v>23</v>
      </c>
      <c r="K82" t="s">
        <v>23</v>
      </c>
    </row>
    <row r="83" spans="1:11">
      <c r="A83" t="s">
        <v>1328</v>
      </c>
      <c r="B83" t="s">
        <v>23</v>
      </c>
      <c r="C83" t="s">
        <v>23</v>
      </c>
      <c r="D83">
        <v>84</v>
      </c>
      <c r="E83">
        <v>0</v>
      </c>
      <c r="F83">
        <v>0</v>
      </c>
      <c r="G83" s="1" t="s">
        <v>23</v>
      </c>
      <c r="H83" t="s">
        <v>23</v>
      </c>
      <c r="I83" t="s">
        <v>23</v>
      </c>
      <c r="J83" t="s">
        <v>23</v>
      </c>
      <c r="K83" t="s">
        <v>23</v>
      </c>
    </row>
    <row r="84" spans="1:11">
      <c r="A84" t="s">
        <v>1329</v>
      </c>
      <c r="B84" t="s">
        <v>23</v>
      </c>
      <c r="C84" t="s">
        <v>23</v>
      </c>
      <c r="D84">
        <v>85</v>
      </c>
      <c r="E84">
        <v>0</v>
      </c>
      <c r="F84">
        <v>0</v>
      </c>
      <c r="G84" s="1" t="s">
        <v>23</v>
      </c>
      <c r="H84" t="s">
        <v>23</v>
      </c>
      <c r="I84" t="s">
        <v>23</v>
      </c>
      <c r="J84" t="s">
        <v>23</v>
      </c>
      <c r="K84" t="s">
        <v>23</v>
      </c>
    </row>
    <row r="85" spans="1:11">
      <c r="A85" t="s">
        <v>1330</v>
      </c>
      <c r="B85" t="s">
        <v>23</v>
      </c>
      <c r="C85" t="s">
        <v>23</v>
      </c>
      <c r="D85">
        <v>86</v>
      </c>
      <c r="E85">
        <v>0</v>
      </c>
      <c r="F85">
        <v>0</v>
      </c>
      <c r="G85" s="1" t="s">
        <v>23</v>
      </c>
      <c r="H85" t="s">
        <v>23</v>
      </c>
      <c r="I85" t="s">
        <v>23</v>
      </c>
      <c r="J85" t="s">
        <v>23</v>
      </c>
      <c r="K85" t="s">
        <v>23</v>
      </c>
    </row>
    <row r="86" spans="1:11">
      <c r="A86" t="s">
        <v>1331</v>
      </c>
      <c r="B86" t="s">
        <v>23</v>
      </c>
      <c r="C86" t="s">
        <v>23</v>
      </c>
      <c r="D86">
        <v>87</v>
      </c>
      <c r="E86">
        <v>0</v>
      </c>
      <c r="F86">
        <v>0</v>
      </c>
      <c r="G86" s="1" t="s">
        <v>23</v>
      </c>
      <c r="H86" t="s">
        <v>23</v>
      </c>
      <c r="I86" t="s">
        <v>23</v>
      </c>
      <c r="J86" t="s">
        <v>23</v>
      </c>
      <c r="K86" t="s">
        <v>23</v>
      </c>
    </row>
    <row r="87" spans="1:11">
      <c r="A87" t="s">
        <v>1332</v>
      </c>
      <c r="B87" t="s">
        <v>23</v>
      </c>
      <c r="C87" t="s">
        <v>23</v>
      </c>
      <c r="D87">
        <v>88</v>
      </c>
      <c r="E87">
        <v>0</v>
      </c>
      <c r="F87">
        <v>0</v>
      </c>
      <c r="G87" s="1" t="s">
        <v>23</v>
      </c>
      <c r="H87" t="s">
        <v>23</v>
      </c>
      <c r="I87" t="s">
        <v>23</v>
      </c>
      <c r="J87" t="s">
        <v>23</v>
      </c>
      <c r="K87" t="s">
        <v>23</v>
      </c>
    </row>
    <row r="88" spans="1:11">
      <c r="A88" t="s">
        <v>1333</v>
      </c>
      <c r="B88" t="s">
        <v>23</v>
      </c>
      <c r="C88" t="s">
        <v>23</v>
      </c>
      <c r="D88">
        <v>89</v>
      </c>
      <c r="E88">
        <v>0</v>
      </c>
      <c r="F88">
        <v>0</v>
      </c>
      <c r="G88" s="1" t="s">
        <v>23</v>
      </c>
      <c r="H88" t="s">
        <v>23</v>
      </c>
      <c r="I88" t="s">
        <v>23</v>
      </c>
      <c r="J88" t="s">
        <v>23</v>
      </c>
      <c r="K88" t="s">
        <v>23</v>
      </c>
    </row>
    <row r="89" spans="1:11">
      <c r="A89" t="s">
        <v>1334</v>
      </c>
      <c r="B89" t="s">
        <v>23</v>
      </c>
      <c r="C89" t="s">
        <v>23</v>
      </c>
      <c r="D89">
        <v>90</v>
      </c>
      <c r="E89">
        <v>0</v>
      </c>
      <c r="F89">
        <v>0</v>
      </c>
      <c r="G89" s="1" t="s">
        <v>23</v>
      </c>
      <c r="H89" t="s">
        <v>23</v>
      </c>
      <c r="I89" t="s">
        <v>23</v>
      </c>
      <c r="J89" t="s">
        <v>23</v>
      </c>
      <c r="K89" t="s">
        <v>23</v>
      </c>
    </row>
    <row r="90" spans="1:11">
      <c r="A90" t="s">
        <v>1335</v>
      </c>
      <c r="B90" t="s">
        <v>23</v>
      </c>
      <c r="C90" t="s">
        <v>23</v>
      </c>
      <c r="D90">
        <v>91</v>
      </c>
      <c r="E90">
        <v>0</v>
      </c>
      <c r="F90">
        <v>0</v>
      </c>
      <c r="G90" s="1" t="s">
        <v>23</v>
      </c>
      <c r="H90" t="s">
        <v>23</v>
      </c>
      <c r="I90" t="s">
        <v>23</v>
      </c>
      <c r="J90" t="s">
        <v>23</v>
      </c>
      <c r="K90" t="s">
        <v>23</v>
      </c>
    </row>
    <row r="91" spans="1:11">
      <c r="A91" t="s">
        <v>1336</v>
      </c>
      <c r="B91" t="s">
        <v>23</v>
      </c>
      <c r="C91" t="s">
        <v>23</v>
      </c>
      <c r="D91">
        <v>92</v>
      </c>
      <c r="E91">
        <v>0</v>
      </c>
      <c r="F91">
        <v>0</v>
      </c>
      <c r="G91" s="1" t="s">
        <v>23</v>
      </c>
      <c r="H91" t="s">
        <v>23</v>
      </c>
      <c r="I91" t="s">
        <v>23</v>
      </c>
      <c r="J91" t="s">
        <v>23</v>
      </c>
      <c r="K91" t="s">
        <v>23</v>
      </c>
    </row>
    <row r="92" spans="1:11">
      <c r="A92" t="s">
        <v>1337</v>
      </c>
      <c r="B92" t="s">
        <v>23</v>
      </c>
      <c r="C92" t="s">
        <v>23</v>
      </c>
      <c r="D92">
        <v>93</v>
      </c>
      <c r="E92">
        <v>0</v>
      </c>
      <c r="F92">
        <v>0</v>
      </c>
      <c r="G92" s="1" t="s">
        <v>23</v>
      </c>
      <c r="H92" t="s">
        <v>23</v>
      </c>
      <c r="I92" t="s">
        <v>23</v>
      </c>
      <c r="J92" t="s">
        <v>23</v>
      </c>
      <c r="K92" t="s">
        <v>23</v>
      </c>
    </row>
    <row r="93" spans="1:11">
      <c r="A93" t="s">
        <v>1338</v>
      </c>
      <c r="B93" t="s">
        <v>23</v>
      </c>
      <c r="C93" t="s">
        <v>23</v>
      </c>
      <c r="D93">
        <v>94</v>
      </c>
      <c r="E93">
        <v>0</v>
      </c>
      <c r="F93">
        <v>0</v>
      </c>
      <c r="G93" s="1" t="s">
        <v>23</v>
      </c>
      <c r="H93" t="s">
        <v>23</v>
      </c>
      <c r="I93" t="s">
        <v>23</v>
      </c>
      <c r="J93" t="s">
        <v>23</v>
      </c>
      <c r="K93" t="s">
        <v>23</v>
      </c>
    </row>
    <row r="94" spans="1:11">
      <c r="A94" t="s">
        <v>1339</v>
      </c>
      <c r="B94" t="s">
        <v>23</v>
      </c>
      <c r="C94" t="s">
        <v>23</v>
      </c>
      <c r="D94">
        <v>95</v>
      </c>
      <c r="E94">
        <v>0</v>
      </c>
      <c r="F94">
        <v>0</v>
      </c>
      <c r="G94" s="1" t="s">
        <v>23</v>
      </c>
      <c r="H94" t="s">
        <v>23</v>
      </c>
      <c r="I94" t="s">
        <v>23</v>
      </c>
      <c r="J94" t="s">
        <v>23</v>
      </c>
      <c r="K94" t="s">
        <v>23</v>
      </c>
    </row>
    <row r="95" spans="1:11">
      <c r="A95" t="s">
        <v>1340</v>
      </c>
      <c r="B95" t="s">
        <v>23</v>
      </c>
      <c r="C95" t="s">
        <v>23</v>
      </c>
      <c r="D95">
        <v>96</v>
      </c>
      <c r="E95">
        <v>0</v>
      </c>
      <c r="F95">
        <v>0</v>
      </c>
      <c r="G95" s="1" t="s">
        <v>23</v>
      </c>
      <c r="H95" t="s">
        <v>23</v>
      </c>
      <c r="I95" t="s">
        <v>23</v>
      </c>
      <c r="J95" t="s">
        <v>23</v>
      </c>
      <c r="K95" t="s">
        <v>23</v>
      </c>
    </row>
    <row r="96" spans="1:11">
      <c r="A96" t="s">
        <v>1341</v>
      </c>
      <c r="B96" t="s">
        <v>23</v>
      </c>
      <c r="C96" t="s">
        <v>23</v>
      </c>
      <c r="D96">
        <v>97</v>
      </c>
      <c r="E96">
        <v>0</v>
      </c>
      <c r="F96">
        <v>0</v>
      </c>
      <c r="G96" s="1" t="s">
        <v>23</v>
      </c>
      <c r="H96" t="s">
        <v>23</v>
      </c>
      <c r="I96" t="s">
        <v>23</v>
      </c>
      <c r="J96" t="s">
        <v>23</v>
      </c>
      <c r="K96" t="s">
        <v>23</v>
      </c>
    </row>
    <row r="97" spans="1:11">
      <c r="A97" t="s">
        <v>1342</v>
      </c>
      <c r="B97" t="s">
        <v>23</v>
      </c>
      <c r="C97" t="s">
        <v>23</v>
      </c>
      <c r="D97">
        <v>98</v>
      </c>
      <c r="E97">
        <v>0</v>
      </c>
      <c r="F97">
        <v>0</v>
      </c>
      <c r="G97" s="1" t="s">
        <v>23</v>
      </c>
      <c r="H97" t="s">
        <v>23</v>
      </c>
      <c r="I97" t="s">
        <v>23</v>
      </c>
      <c r="J97" t="s">
        <v>23</v>
      </c>
      <c r="K97" t="s">
        <v>23</v>
      </c>
    </row>
    <row r="98" spans="1:11">
      <c r="A98" t="s">
        <v>1343</v>
      </c>
      <c r="B98" t="s">
        <v>23</v>
      </c>
      <c r="C98" t="s">
        <v>23</v>
      </c>
      <c r="D98">
        <v>99</v>
      </c>
      <c r="E98">
        <v>0</v>
      </c>
      <c r="F98">
        <v>0</v>
      </c>
      <c r="G98" s="1" t="s">
        <v>23</v>
      </c>
      <c r="H98" t="s">
        <v>23</v>
      </c>
      <c r="I98" t="s">
        <v>23</v>
      </c>
      <c r="J98" t="s">
        <v>23</v>
      </c>
      <c r="K98" t="s">
        <v>23</v>
      </c>
    </row>
    <row r="99" spans="1:11">
      <c r="A99" t="s">
        <v>1344</v>
      </c>
      <c r="B99" t="s">
        <v>23</v>
      </c>
      <c r="C99" t="s">
        <v>23</v>
      </c>
      <c r="D99">
        <v>100</v>
      </c>
      <c r="E99">
        <v>0</v>
      </c>
      <c r="F99">
        <v>0</v>
      </c>
      <c r="G99" s="1" t="s">
        <v>23</v>
      </c>
      <c r="H99" t="s">
        <v>23</v>
      </c>
      <c r="I99" t="s">
        <v>23</v>
      </c>
      <c r="J99" t="s">
        <v>23</v>
      </c>
      <c r="K99" t="s">
        <v>23</v>
      </c>
    </row>
    <row r="100" spans="1:11">
      <c r="A100" t="s">
        <v>1345</v>
      </c>
      <c r="B100" t="s">
        <v>23</v>
      </c>
      <c r="C100" t="s">
        <v>23</v>
      </c>
      <c r="D100">
        <v>101</v>
      </c>
      <c r="E100">
        <v>0</v>
      </c>
      <c r="F100">
        <v>0</v>
      </c>
      <c r="G100" s="1" t="s">
        <v>23</v>
      </c>
      <c r="H100" t="s">
        <v>23</v>
      </c>
      <c r="I100" t="s">
        <v>23</v>
      </c>
      <c r="J100" t="s">
        <v>23</v>
      </c>
      <c r="K100" t="s">
        <v>23</v>
      </c>
    </row>
    <row r="101" spans="1:11">
      <c r="A101" t="s">
        <v>1346</v>
      </c>
      <c r="B101" t="s">
        <v>23</v>
      </c>
      <c r="C101" t="s">
        <v>23</v>
      </c>
      <c r="D101">
        <v>102</v>
      </c>
      <c r="E101">
        <v>0</v>
      </c>
      <c r="F101">
        <v>0</v>
      </c>
      <c r="G101" s="1" t="s">
        <v>23</v>
      </c>
      <c r="H101" t="s">
        <v>23</v>
      </c>
      <c r="I101" t="s">
        <v>23</v>
      </c>
      <c r="J101" t="s">
        <v>23</v>
      </c>
      <c r="K101" t="s">
        <v>23</v>
      </c>
    </row>
    <row r="102" spans="1:11">
      <c r="A102" t="s">
        <v>1347</v>
      </c>
      <c r="B102" t="s">
        <v>23</v>
      </c>
      <c r="C102" t="s">
        <v>23</v>
      </c>
      <c r="D102">
        <v>103</v>
      </c>
      <c r="E102">
        <v>0</v>
      </c>
      <c r="F102">
        <v>0</v>
      </c>
      <c r="G102" s="1" t="s">
        <v>23</v>
      </c>
      <c r="H102" t="s">
        <v>23</v>
      </c>
      <c r="I102" t="s">
        <v>23</v>
      </c>
      <c r="J102" t="s">
        <v>23</v>
      </c>
      <c r="K102" t="s">
        <v>23</v>
      </c>
    </row>
    <row r="103" spans="1:11">
      <c r="A103" t="s">
        <v>1348</v>
      </c>
      <c r="B103" t="s">
        <v>23</v>
      </c>
      <c r="C103" t="s">
        <v>23</v>
      </c>
      <c r="D103">
        <v>104</v>
      </c>
      <c r="E103">
        <v>0</v>
      </c>
      <c r="F103">
        <v>0</v>
      </c>
      <c r="G103" s="1" t="s">
        <v>23</v>
      </c>
      <c r="H103" t="s">
        <v>23</v>
      </c>
      <c r="I103" t="s">
        <v>23</v>
      </c>
      <c r="J103" t="s">
        <v>23</v>
      </c>
      <c r="K103" t="s">
        <v>23</v>
      </c>
    </row>
    <row r="104" spans="1:11">
      <c r="A104" t="s">
        <v>1349</v>
      </c>
      <c r="B104" t="s">
        <v>23</v>
      </c>
      <c r="C104" t="s">
        <v>23</v>
      </c>
      <c r="D104">
        <v>105</v>
      </c>
      <c r="E104">
        <v>0</v>
      </c>
      <c r="F104">
        <v>0</v>
      </c>
      <c r="G104" s="1" t="s">
        <v>23</v>
      </c>
      <c r="H104" t="s">
        <v>23</v>
      </c>
      <c r="I104" t="s">
        <v>23</v>
      </c>
      <c r="J104" t="s">
        <v>23</v>
      </c>
      <c r="K104" t="s">
        <v>23</v>
      </c>
    </row>
    <row r="105" spans="1:11">
      <c r="A105" t="s">
        <v>1350</v>
      </c>
      <c r="B105" t="s">
        <v>23</v>
      </c>
      <c r="C105" t="s">
        <v>23</v>
      </c>
      <c r="D105">
        <v>106</v>
      </c>
      <c r="E105">
        <v>0</v>
      </c>
      <c r="F105">
        <v>0</v>
      </c>
      <c r="G105" s="1" t="s">
        <v>23</v>
      </c>
      <c r="H105" t="s">
        <v>23</v>
      </c>
      <c r="I105" t="s">
        <v>23</v>
      </c>
      <c r="J105" t="s">
        <v>23</v>
      </c>
      <c r="K105" t="s">
        <v>23</v>
      </c>
    </row>
    <row r="106" spans="1:11">
      <c r="A106" t="s">
        <v>1351</v>
      </c>
      <c r="B106" t="s">
        <v>23</v>
      </c>
      <c r="C106" t="s">
        <v>23</v>
      </c>
      <c r="D106">
        <v>107</v>
      </c>
      <c r="E106">
        <v>0</v>
      </c>
      <c r="F106">
        <v>0</v>
      </c>
      <c r="G106" s="1" t="s">
        <v>23</v>
      </c>
      <c r="H106" t="s">
        <v>23</v>
      </c>
      <c r="I106" t="s">
        <v>23</v>
      </c>
      <c r="J106" t="s">
        <v>23</v>
      </c>
      <c r="K106" t="s">
        <v>23</v>
      </c>
    </row>
    <row r="107" spans="1:11">
      <c r="A107" t="s">
        <v>1352</v>
      </c>
      <c r="B107" t="s">
        <v>23</v>
      </c>
      <c r="C107" t="s">
        <v>23</v>
      </c>
      <c r="D107">
        <v>108</v>
      </c>
      <c r="E107">
        <v>0</v>
      </c>
      <c r="F107">
        <v>0</v>
      </c>
      <c r="G107" s="1" t="s">
        <v>23</v>
      </c>
      <c r="H107" t="s">
        <v>23</v>
      </c>
      <c r="I107" t="s">
        <v>23</v>
      </c>
      <c r="J107" t="s">
        <v>23</v>
      </c>
      <c r="K107" t="s">
        <v>23</v>
      </c>
    </row>
    <row r="108" spans="1:11">
      <c r="A108" t="s">
        <v>1353</v>
      </c>
      <c r="B108" t="s">
        <v>23</v>
      </c>
      <c r="C108" t="s">
        <v>23</v>
      </c>
      <c r="D108">
        <v>109</v>
      </c>
      <c r="E108">
        <v>0</v>
      </c>
      <c r="F108">
        <v>0</v>
      </c>
      <c r="G108" s="1" t="s">
        <v>23</v>
      </c>
      <c r="H108" t="s">
        <v>23</v>
      </c>
      <c r="I108" t="s">
        <v>23</v>
      </c>
      <c r="J108" t="s">
        <v>23</v>
      </c>
      <c r="K108" t="s">
        <v>23</v>
      </c>
    </row>
    <row r="109" spans="1:11">
      <c r="A109" t="s">
        <v>1354</v>
      </c>
      <c r="B109" t="s">
        <v>23</v>
      </c>
      <c r="C109" t="s">
        <v>23</v>
      </c>
      <c r="D109">
        <v>110</v>
      </c>
      <c r="E109">
        <v>0</v>
      </c>
      <c r="F109">
        <v>0</v>
      </c>
      <c r="G109" s="1" t="s">
        <v>23</v>
      </c>
      <c r="H109" t="s">
        <v>23</v>
      </c>
      <c r="I109" t="s">
        <v>23</v>
      </c>
      <c r="J109" t="s">
        <v>23</v>
      </c>
      <c r="K109" t="s">
        <v>23</v>
      </c>
    </row>
    <row r="110" spans="1:11">
      <c r="A110" t="s">
        <v>1355</v>
      </c>
      <c r="B110" t="s">
        <v>23</v>
      </c>
      <c r="C110" t="s">
        <v>23</v>
      </c>
      <c r="D110">
        <v>111</v>
      </c>
      <c r="E110">
        <v>0</v>
      </c>
      <c r="F110">
        <v>0</v>
      </c>
      <c r="G110" s="1" t="s">
        <v>23</v>
      </c>
      <c r="H110" t="s">
        <v>23</v>
      </c>
      <c r="I110" t="s">
        <v>23</v>
      </c>
      <c r="J110" t="s">
        <v>23</v>
      </c>
      <c r="K110" t="s">
        <v>23</v>
      </c>
    </row>
    <row r="111" spans="1:11">
      <c r="A111" t="s">
        <v>1356</v>
      </c>
      <c r="B111" t="s">
        <v>23</v>
      </c>
      <c r="C111" t="s">
        <v>23</v>
      </c>
      <c r="D111">
        <v>112</v>
      </c>
      <c r="E111">
        <v>0</v>
      </c>
      <c r="F111">
        <v>0</v>
      </c>
      <c r="G111" s="1" t="s">
        <v>23</v>
      </c>
      <c r="H111" t="s">
        <v>23</v>
      </c>
      <c r="I111" t="s">
        <v>23</v>
      </c>
      <c r="J111" t="s">
        <v>23</v>
      </c>
      <c r="K111" t="s">
        <v>23</v>
      </c>
    </row>
    <row r="112" spans="1:11">
      <c r="A112" t="s">
        <v>556</v>
      </c>
      <c r="B112" t="s">
        <v>23</v>
      </c>
      <c r="C112" t="s">
        <v>23</v>
      </c>
      <c r="D112">
        <v>113</v>
      </c>
      <c r="E112">
        <v>0</v>
      </c>
      <c r="F112">
        <v>0</v>
      </c>
      <c r="G112" s="1" t="s">
        <v>23</v>
      </c>
      <c r="H112" t="s">
        <v>23</v>
      </c>
      <c r="I112" t="s">
        <v>23</v>
      </c>
      <c r="J112" t="s">
        <v>23</v>
      </c>
      <c r="K112" t="s">
        <v>23</v>
      </c>
    </row>
    <row r="113" spans="1:11">
      <c r="A113" t="s">
        <v>1357</v>
      </c>
      <c r="B113" t="s">
        <v>23</v>
      </c>
      <c r="C113" t="s">
        <v>23</v>
      </c>
      <c r="D113">
        <v>114</v>
      </c>
      <c r="E113">
        <v>0</v>
      </c>
      <c r="F113">
        <v>0</v>
      </c>
      <c r="G113" s="1" t="s">
        <v>23</v>
      </c>
      <c r="H113" t="s">
        <v>23</v>
      </c>
      <c r="I113" t="s">
        <v>23</v>
      </c>
      <c r="J113" t="s">
        <v>23</v>
      </c>
      <c r="K113" t="s">
        <v>23</v>
      </c>
    </row>
    <row r="114" spans="1:11">
      <c r="A114" t="s">
        <v>1358</v>
      </c>
      <c r="B114" t="s">
        <v>23</v>
      </c>
      <c r="C114" t="s">
        <v>23</v>
      </c>
      <c r="D114">
        <v>115</v>
      </c>
      <c r="E114">
        <v>0</v>
      </c>
      <c r="F114">
        <v>0</v>
      </c>
      <c r="G114" s="1" t="s">
        <v>23</v>
      </c>
      <c r="H114" t="s">
        <v>23</v>
      </c>
      <c r="I114" t="s">
        <v>23</v>
      </c>
      <c r="J114" t="s">
        <v>23</v>
      </c>
      <c r="K114" t="s">
        <v>23</v>
      </c>
    </row>
    <row r="115" spans="1:11">
      <c r="A115" t="s">
        <v>53</v>
      </c>
      <c r="B115" t="s">
        <v>23</v>
      </c>
      <c r="C115" t="s">
        <v>23</v>
      </c>
      <c r="D115">
        <v>116</v>
      </c>
      <c r="E115">
        <v>0</v>
      </c>
      <c r="F115">
        <v>0</v>
      </c>
      <c r="G115" s="1" t="s">
        <v>23</v>
      </c>
      <c r="H115" t="s">
        <v>23</v>
      </c>
      <c r="I115" t="s">
        <v>23</v>
      </c>
      <c r="J115" t="s">
        <v>23</v>
      </c>
      <c r="K115" t="s">
        <v>23</v>
      </c>
    </row>
    <row r="116" spans="1:11">
      <c r="A116" t="s">
        <v>1359</v>
      </c>
      <c r="B116" t="s">
        <v>23</v>
      </c>
      <c r="C116" t="s">
        <v>23</v>
      </c>
      <c r="D116">
        <v>117</v>
      </c>
      <c r="E116">
        <v>0</v>
      </c>
      <c r="F116">
        <v>0</v>
      </c>
      <c r="G116" s="1" t="s">
        <v>23</v>
      </c>
      <c r="H116" t="s">
        <v>23</v>
      </c>
      <c r="I116" t="s">
        <v>23</v>
      </c>
      <c r="J116" t="s">
        <v>23</v>
      </c>
      <c r="K116" t="s">
        <v>23</v>
      </c>
    </row>
    <row r="117" spans="1:11">
      <c r="A117" t="s">
        <v>138</v>
      </c>
      <c r="B117" t="s">
        <v>23</v>
      </c>
      <c r="C117" t="s">
        <v>23</v>
      </c>
      <c r="D117">
        <v>118</v>
      </c>
      <c r="E117">
        <v>0</v>
      </c>
      <c r="F117">
        <v>0</v>
      </c>
      <c r="G117" s="1" t="s">
        <v>23</v>
      </c>
      <c r="H117" t="s">
        <v>23</v>
      </c>
      <c r="I117" t="s">
        <v>23</v>
      </c>
      <c r="J117" t="s">
        <v>23</v>
      </c>
      <c r="K117" t="s">
        <v>23</v>
      </c>
    </row>
    <row r="118" spans="1:11" ht="30">
      <c r="A118" t="s">
        <v>1360</v>
      </c>
      <c r="B118" t="s">
        <v>1361</v>
      </c>
      <c r="C118" t="s">
        <v>1362</v>
      </c>
      <c r="D118">
        <v>119</v>
      </c>
      <c r="E118">
        <v>30</v>
      </c>
      <c r="F118">
        <v>0</v>
      </c>
      <c r="G118" s="1" t="s">
        <v>1363</v>
      </c>
      <c r="H118">
        <v>17</v>
      </c>
      <c r="I118">
        <v>0.5</v>
      </c>
      <c r="J118" t="s">
        <v>1364</v>
      </c>
      <c r="K118" t="s">
        <v>1364</v>
      </c>
    </row>
    <row r="119" spans="1:11" ht="30">
      <c r="A119" t="s">
        <v>1365</v>
      </c>
      <c r="B119" t="s">
        <v>1366</v>
      </c>
      <c r="C119" t="s">
        <v>1367</v>
      </c>
      <c r="D119">
        <v>120</v>
      </c>
      <c r="E119">
        <v>50</v>
      </c>
      <c r="F119">
        <v>10</v>
      </c>
      <c r="G119" s="1" t="s">
        <v>1368</v>
      </c>
      <c r="H119">
        <v>31</v>
      </c>
      <c r="I119">
        <v>1.1000000000000001</v>
      </c>
      <c r="J119" t="s">
        <v>1369</v>
      </c>
      <c r="K119" t="s">
        <v>1369</v>
      </c>
    </row>
    <row r="120" spans="1:11" ht="30">
      <c r="A120" t="s">
        <v>1370</v>
      </c>
      <c r="B120" t="s">
        <v>1371</v>
      </c>
      <c r="C120" t="s">
        <v>1372</v>
      </c>
      <c r="D120">
        <v>121</v>
      </c>
      <c r="E120">
        <v>65</v>
      </c>
      <c r="F120">
        <v>0</v>
      </c>
      <c r="G120" s="1" t="s">
        <v>1373</v>
      </c>
      <c r="H120">
        <v>41</v>
      </c>
      <c r="I120">
        <v>1.3</v>
      </c>
      <c r="J120" t="s">
        <v>1374</v>
      </c>
      <c r="K120" t="s">
        <v>1374</v>
      </c>
    </row>
    <row r="121" spans="1:11" ht="45">
      <c r="A121" t="s">
        <v>1375</v>
      </c>
      <c r="B121" t="s">
        <v>1376</v>
      </c>
      <c r="C121" t="s">
        <v>1377</v>
      </c>
      <c r="D121">
        <v>122</v>
      </c>
      <c r="E121">
        <v>50</v>
      </c>
      <c r="F121">
        <v>10</v>
      </c>
      <c r="G121" s="1" t="s">
        <v>1378</v>
      </c>
      <c r="H121">
        <v>31</v>
      </c>
      <c r="I121">
        <v>1</v>
      </c>
      <c r="J121" t="s">
        <v>1379</v>
      </c>
      <c r="K121" t="s">
        <v>1379</v>
      </c>
    </row>
    <row r="122" spans="1:11" ht="30">
      <c r="A122" t="s">
        <v>1380</v>
      </c>
      <c r="B122" t="s">
        <v>1381</v>
      </c>
      <c r="C122" t="s">
        <v>1382</v>
      </c>
      <c r="D122">
        <v>123</v>
      </c>
      <c r="E122">
        <v>95</v>
      </c>
      <c r="F122">
        <v>0</v>
      </c>
      <c r="G122" s="1" t="s">
        <v>1383</v>
      </c>
      <c r="H122">
        <v>61</v>
      </c>
      <c r="I122">
        <v>1.8</v>
      </c>
      <c r="J122" t="s">
        <v>1384</v>
      </c>
      <c r="K122" t="s">
        <v>1384</v>
      </c>
    </row>
    <row r="123" spans="1:11" ht="30">
      <c r="A123" t="s">
        <v>1385</v>
      </c>
      <c r="B123" t="s">
        <v>1386</v>
      </c>
      <c r="C123" t="s">
        <v>1387</v>
      </c>
      <c r="D123">
        <v>124</v>
      </c>
      <c r="E123">
        <v>95</v>
      </c>
      <c r="F123">
        <v>0</v>
      </c>
      <c r="G123" s="1" t="s">
        <v>1388</v>
      </c>
      <c r="H123">
        <v>61</v>
      </c>
      <c r="I123">
        <v>1.6</v>
      </c>
      <c r="J123" t="s">
        <v>1389</v>
      </c>
      <c r="K123" t="s">
        <v>1389</v>
      </c>
    </row>
    <row r="124" spans="1:11" ht="30">
      <c r="A124" t="s">
        <v>1390</v>
      </c>
      <c r="B124" t="s">
        <v>1391</v>
      </c>
      <c r="C124" t="s">
        <v>1392</v>
      </c>
      <c r="D124">
        <v>125</v>
      </c>
      <c r="E124">
        <v>30</v>
      </c>
      <c r="F124">
        <v>0</v>
      </c>
      <c r="G124" s="1" t="s">
        <v>1393</v>
      </c>
      <c r="H124">
        <v>17</v>
      </c>
      <c r="I124">
        <v>0.6</v>
      </c>
      <c r="J124" t="s">
        <v>1394</v>
      </c>
      <c r="K124" t="s">
        <v>1394</v>
      </c>
    </row>
    <row r="125" spans="1:11">
      <c r="A125" t="s">
        <v>1395</v>
      </c>
      <c r="B125" t="s">
        <v>23</v>
      </c>
      <c r="C125" t="s">
        <v>23</v>
      </c>
      <c r="D125">
        <v>126</v>
      </c>
      <c r="E125">
        <v>0</v>
      </c>
      <c r="F125">
        <v>0</v>
      </c>
      <c r="G125" s="1" t="s">
        <v>23</v>
      </c>
      <c r="H125" t="s">
        <v>23</v>
      </c>
      <c r="I125" t="s">
        <v>23</v>
      </c>
      <c r="J125" t="s">
        <v>23</v>
      </c>
      <c r="K125" t="s">
        <v>23</v>
      </c>
    </row>
    <row r="126" spans="1:11">
      <c r="A126" t="s">
        <v>1396</v>
      </c>
      <c r="B126" t="s">
        <v>23</v>
      </c>
      <c r="C126" t="s">
        <v>23</v>
      </c>
      <c r="D126">
        <v>127</v>
      </c>
      <c r="E126">
        <v>0</v>
      </c>
      <c r="F126">
        <v>0</v>
      </c>
      <c r="G126" s="1" t="s">
        <v>23</v>
      </c>
      <c r="H126" t="s">
        <v>23</v>
      </c>
      <c r="I126" t="s">
        <v>23</v>
      </c>
      <c r="J126" t="s">
        <v>23</v>
      </c>
      <c r="K126" t="s">
        <v>23</v>
      </c>
    </row>
    <row r="127" spans="1:11">
      <c r="A127" t="s">
        <v>1397</v>
      </c>
      <c r="B127" t="s">
        <v>23</v>
      </c>
      <c r="C127" t="s">
        <v>23</v>
      </c>
      <c r="D127">
        <v>128</v>
      </c>
      <c r="E127">
        <v>0</v>
      </c>
      <c r="F127">
        <v>0</v>
      </c>
      <c r="G127" s="1" t="s">
        <v>23</v>
      </c>
      <c r="H127" t="s">
        <v>23</v>
      </c>
      <c r="I127" t="s">
        <v>23</v>
      </c>
      <c r="J127" t="s">
        <v>23</v>
      </c>
      <c r="K127" t="s">
        <v>23</v>
      </c>
    </row>
    <row r="128" spans="1:11">
      <c r="A128" t="s">
        <v>1398</v>
      </c>
      <c r="B128" t="s">
        <v>23</v>
      </c>
      <c r="C128" t="s">
        <v>23</v>
      </c>
      <c r="D128">
        <v>129</v>
      </c>
      <c r="E128">
        <v>0</v>
      </c>
      <c r="F128">
        <v>0</v>
      </c>
      <c r="G128" s="1" t="s">
        <v>23</v>
      </c>
      <c r="H128" t="s">
        <v>23</v>
      </c>
      <c r="I128" t="s">
        <v>23</v>
      </c>
      <c r="J128" t="s">
        <v>23</v>
      </c>
      <c r="K128" t="s">
        <v>23</v>
      </c>
    </row>
    <row r="129" spans="1:11">
      <c r="A129" t="s">
        <v>1399</v>
      </c>
      <c r="B129" t="s">
        <v>23</v>
      </c>
      <c r="C129" t="s">
        <v>23</v>
      </c>
      <c r="D129">
        <v>130</v>
      </c>
      <c r="E129">
        <v>0</v>
      </c>
      <c r="F129">
        <v>0</v>
      </c>
      <c r="G129" s="1" t="s">
        <v>23</v>
      </c>
      <c r="H129" t="s">
        <v>23</v>
      </c>
      <c r="I129" t="s">
        <v>23</v>
      </c>
      <c r="J129" t="s">
        <v>23</v>
      </c>
      <c r="K129" t="s">
        <v>23</v>
      </c>
    </row>
    <row r="130" spans="1:11">
      <c r="A130" t="s">
        <v>1400</v>
      </c>
      <c r="B130" t="s">
        <v>23</v>
      </c>
      <c r="C130" t="s">
        <v>23</v>
      </c>
      <c r="D130">
        <v>131</v>
      </c>
      <c r="E130">
        <v>0</v>
      </c>
      <c r="F130">
        <v>0</v>
      </c>
      <c r="G130" s="1" t="s">
        <v>23</v>
      </c>
      <c r="H130" t="s">
        <v>23</v>
      </c>
      <c r="I130" t="s">
        <v>23</v>
      </c>
      <c r="J130" t="s">
        <v>23</v>
      </c>
      <c r="K130" t="s">
        <v>23</v>
      </c>
    </row>
    <row r="131" spans="1:11">
      <c r="A131" t="s">
        <v>1401</v>
      </c>
      <c r="B131" t="s">
        <v>23</v>
      </c>
      <c r="C131" t="s">
        <v>23</v>
      </c>
      <c r="D131">
        <v>132</v>
      </c>
      <c r="E131">
        <v>0</v>
      </c>
      <c r="F131">
        <v>0</v>
      </c>
      <c r="G131" s="1" t="s">
        <v>23</v>
      </c>
      <c r="H131" t="s">
        <v>23</v>
      </c>
      <c r="I131" t="s">
        <v>23</v>
      </c>
      <c r="J131" t="s">
        <v>23</v>
      </c>
      <c r="K131" t="s">
        <v>23</v>
      </c>
    </row>
    <row r="132" spans="1:11">
      <c r="A132" t="s">
        <v>1402</v>
      </c>
      <c r="B132" t="s">
        <v>23</v>
      </c>
      <c r="C132" t="s">
        <v>23</v>
      </c>
      <c r="D132">
        <v>133</v>
      </c>
      <c r="E132">
        <v>0</v>
      </c>
      <c r="F132">
        <v>0</v>
      </c>
      <c r="G132" s="1" t="s">
        <v>23</v>
      </c>
      <c r="H132" t="s">
        <v>23</v>
      </c>
      <c r="I132" t="s">
        <v>23</v>
      </c>
      <c r="J132" t="s">
        <v>23</v>
      </c>
      <c r="K132" t="s">
        <v>23</v>
      </c>
    </row>
    <row r="133" spans="1:11">
      <c r="A133" t="s">
        <v>1403</v>
      </c>
      <c r="B133" t="s">
        <v>23</v>
      </c>
      <c r="C133" t="s">
        <v>23</v>
      </c>
      <c r="D133">
        <v>134</v>
      </c>
      <c r="E133">
        <v>0</v>
      </c>
      <c r="F133">
        <v>0</v>
      </c>
      <c r="G133" s="1" t="s">
        <v>23</v>
      </c>
      <c r="H133" t="s">
        <v>23</v>
      </c>
      <c r="I133" t="s">
        <v>23</v>
      </c>
      <c r="J133" t="s">
        <v>23</v>
      </c>
      <c r="K133" t="s">
        <v>23</v>
      </c>
    </row>
    <row r="134" spans="1:11">
      <c r="A134" t="s">
        <v>1404</v>
      </c>
      <c r="B134" t="s">
        <v>23</v>
      </c>
      <c r="C134" t="s">
        <v>23</v>
      </c>
      <c r="D134">
        <v>135</v>
      </c>
      <c r="E134">
        <v>0</v>
      </c>
      <c r="F134">
        <v>0</v>
      </c>
      <c r="G134" s="1" t="s">
        <v>23</v>
      </c>
      <c r="H134" t="s">
        <v>23</v>
      </c>
      <c r="I134" t="s">
        <v>23</v>
      </c>
      <c r="J134" t="s">
        <v>23</v>
      </c>
      <c r="K134" t="s">
        <v>23</v>
      </c>
    </row>
    <row r="135" spans="1:11">
      <c r="A135" t="s">
        <v>1405</v>
      </c>
      <c r="B135" t="s">
        <v>23</v>
      </c>
      <c r="C135" t="s">
        <v>23</v>
      </c>
      <c r="D135">
        <v>136</v>
      </c>
      <c r="E135">
        <v>0</v>
      </c>
      <c r="F135">
        <v>0</v>
      </c>
      <c r="G135" s="1" t="s">
        <v>23</v>
      </c>
      <c r="H135" t="s">
        <v>23</v>
      </c>
      <c r="I135" t="s">
        <v>23</v>
      </c>
      <c r="J135" t="s">
        <v>23</v>
      </c>
      <c r="K135" t="s">
        <v>23</v>
      </c>
    </row>
    <row r="136" spans="1:11">
      <c r="A136" t="s">
        <v>1406</v>
      </c>
      <c r="B136" t="s">
        <v>23</v>
      </c>
      <c r="C136" t="s">
        <v>23</v>
      </c>
      <c r="D136">
        <v>137</v>
      </c>
      <c r="E136">
        <v>0</v>
      </c>
      <c r="F136">
        <v>0</v>
      </c>
      <c r="G136" s="1" t="s">
        <v>23</v>
      </c>
      <c r="H136" t="s">
        <v>23</v>
      </c>
      <c r="I136" t="s">
        <v>23</v>
      </c>
      <c r="J136" t="s">
        <v>23</v>
      </c>
      <c r="K136" t="s">
        <v>23</v>
      </c>
    </row>
    <row r="137" spans="1:11">
      <c r="A137" t="s">
        <v>1407</v>
      </c>
      <c r="B137" t="s">
        <v>23</v>
      </c>
      <c r="C137" t="s">
        <v>23</v>
      </c>
      <c r="D137">
        <v>138</v>
      </c>
      <c r="E137">
        <v>0</v>
      </c>
      <c r="F137">
        <v>0</v>
      </c>
      <c r="G137" s="1" t="s">
        <v>23</v>
      </c>
      <c r="H137" t="s">
        <v>23</v>
      </c>
      <c r="I137" t="s">
        <v>23</v>
      </c>
      <c r="J137" t="s">
        <v>23</v>
      </c>
      <c r="K137" t="s">
        <v>23</v>
      </c>
    </row>
    <row r="138" spans="1:11">
      <c r="A138" t="s">
        <v>1408</v>
      </c>
      <c r="B138" t="s">
        <v>23</v>
      </c>
      <c r="C138" t="s">
        <v>23</v>
      </c>
      <c r="D138">
        <v>139</v>
      </c>
      <c r="E138">
        <v>0</v>
      </c>
      <c r="F138">
        <v>0</v>
      </c>
      <c r="G138" s="1" t="s">
        <v>23</v>
      </c>
      <c r="H138" t="s">
        <v>23</v>
      </c>
      <c r="I138" t="s">
        <v>23</v>
      </c>
      <c r="J138" t="s">
        <v>23</v>
      </c>
      <c r="K138" t="s">
        <v>23</v>
      </c>
    </row>
    <row r="139" spans="1:11">
      <c r="A139" t="s">
        <v>1409</v>
      </c>
      <c r="B139" t="s">
        <v>23</v>
      </c>
      <c r="C139" t="s">
        <v>23</v>
      </c>
      <c r="D139">
        <v>140</v>
      </c>
      <c r="E139">
        <v>0</v>
      </c>
      <c r="F139">
        <v>0</v>
      </c>
      <c r="G139" s="1" t="s">
        <v>23</v>
      </c>
      <c r="H139" t="s">
        <v>23</v>
      </c>
      <c r="I139" t="s">
        <v>23</v>
      </c>
      <c r="J139" t="s">
        <v>23</v>
      </c>
      <c r="K139" t="s">
        <v>23</v>
      </c>
    </row>
    <row r="140" spans="1:11">
      <c r="A140" t="s">
        <v>1410</v>
      </c>
      <c r="B140" t="s">
        <v>23</v>
      </c>
      <c r="C140" t="s">
        <v>23</v>
      </c>
      <c r="D140">
        <v>141</v>
      </c>
      <c r="E140">
        <v>0</v>
      </c>
      <c r="F140">
        <v>0</v>
      </c>
      <c r="G140" s="1" t="s">
        <v>23</v>
      </c>
      <c r="H140" t="s">
        <v>23</v>
      </c>
      <c r="I140" t="s">
        <v>23</v>
      </c>
      <c r="J140" t="s">
        <v>23</v>
      </c>
      <c r="K140" t="s">
        <v>23</v>
      </c>
    </row>
    <row r="141" spans="1:11">
      <c r="A141" t="s">
        <v>1411</v>
      </c>
      <c r="B141" t="s">
        <v>23</v>
      </c>
      <c r="C141" t="s">
        <v>23</v>
      </c>
      <c r="D141">
        <v>142</v>
      </c>
      <c r="E141">
        <v>0</v>
      </c>
      <c r="F141">
        <v>0</v>
      </c>
      <c r="G141" s="1" t="s">
        <v>23</v>
      </c>
      <c r="H141" t="s">
        <v>23</v>
      </c>
      <c r="I141" t="s">
        <v>23</v>
      </c>
      <c r="J141" t="s">
        <v>23</v>
      </c>
      <c r="K141" t="s">
        <v>23</v>
      </c>
    </row>
    <row r="142" spans="1:11">
      <c r="A142" t="s">
        <v>1412</v>
      </c>
      <c r="B142" t="s">
        <v>23</v>
      </c>
      <c r="C142" t="s">
        <v>23</v>
      </c>
      <c r="D142">
        <v>143</v>
      </c>
      <c r="E142">
        <v>0</v>
      </c>
      <c r="F142">
        <v>0</v>
      </c>
      <c r="G142" s="1" t="s">
        <v>23</v>
      </c>
      <c r="H142" t="s">
        <v>23</v>
      </c>
      <c r="I142" t="s">
        <v>23</v>
      </c>
      <c r="J142" t="s">
        <v>23</v>
      </c>
      <c r="K142" t="s">
        <v>23</v>
      </c>
    </row>
    <row r="143" spans="1:11">
      <c r="A143" t="s">
        <v>1413</v>
      </c>
      <c r="B143" t="s">
        <v>23</v>
      </c>
      <c r="C143" t="s">
        <v>23</v>
      </c>
      <c r="D143">
        <v>144</v>
      </c>
      <c r="E143">
        <v>0</v>
      </c>
      <c r="F143">
        <v>0</v>
      </c>
      <c r="G143" s="1" t="s">
        <v>23</v>
      </c>
      <c r="H143" t="s">
        <v>23</v>
      </c>
      <c r="I143" t="s">
        <v>23</v>
      </c>
      <c r="J143" t="s">
        <v>23</v>
      </c>
      <c r="K143" t="s">
        <v>23</v>
      </c>
    </row>
    <row r="144" spans="1:11">
      <c r="A144" t="s">
        <v>1414</v>
      </c>
      <c r="B144" t="s">
        <v>23</v>
      </c>
      <c r="C144" t="s">
        <v>23</v>
      </c>
      <c r="D144">
        <v>145</v>
      </c>
      <c r="E144">
        <v>0</v>
      </c>
      <c r="F144">
        <v>0</v>
      </c>
      <c r="G144" s="1" t="s">
        <v>23</v>
      </c>
      <c r="H144" t="s">
        <v>23</v>
      </c>
      <c r="I144" t="s">
        <v>23</v>
      </c>
      <c r="J144" t="s">
        <v>23</v>
      </c>
      <c r="K144" t="s">
        <v>23</v>
      </c>
    </row>
    <row r="145" spans="1:11">
      <c r="A145" t="s">
        <v>1415</v>
      </c>
      <c r="B145" t="s">
        <v>23</v>
      </c>
      <c r="C145" t="s">
        <v>23</v>
      </c>
      <c r="D145">
        <v>146</v>
      </c>
      <c r="E145">
        <v>0</v>
      </c>
      <c r="F145">
        <v>0</v>
      </c>
      <c r="G145" s="1" t="s">
        <v>23</v>
      </c>
      <c r="H145" t="s">
        <v>23</v>
      </c>
      <c r="I145" t="s">
        <v>23</v>
      </c>
      <c r="J145" t="s">
        <v>23</v>
      </c>
      <c r="K145" t="s">
        <v>23</v>
      </c>
    </row>
    <row r="146" spans="1:11">
      <c r="A146" t="s">
        <v>1416</v>
      </c>
      <c r="B146" t="s">
        <v>23</v>
      </c>
      <c r="C146" t="s">
        <v>23</v>
      </c>
      <c r="D146">
        <v>147</v>
      </c>
      <c r="E146">
        <v>0</v>
      </c>
      <c r="F146">
        <v>0</v>
      </c>
      <c r="G146" s="1" t="s">
        <v>23</v>
      </c>
      <c r="H146" t="s">
        <v>23</v>
      </c>
      <c r="I146" t="s">
        <v>23</v>
      </c>
      <c r="J146" t="s">
        <v>23</v>
      </c>
      <c r="K146" t="s">
        <v>23</v>
      </c>
    </row>
    <row r="147" spans="1:11">
      <c r="A147" t="s">
        <v>1417</v>
      </c>
      <c r="B147" t="s">
        <v>23</v>
      </c>
      <c r="C147" t="s">
        <v>23</v>
      </c>
      <c r="D147">
        <v>148</v>
      </c>
      <c r="E147">
        <v>0</v>
      </c>
      <c r="F147">
        <v>0</v>
      </c>
      <c r="G147" s="1" t="s">
        <v>23</v>
      </c>
      <c r="H147" t="s">
        <v>23</v>
      </c>
      <c r="I147" t="s">
        <v>23</v>
      </c>
      <c r="J147" t="s">
        <v>23</v>
      </c>
      <c r="K147" t="s">
        <v>23</v>
      </c>
    </row>
    <row r="148" spans="1:11">
      <c r="A148" t="s">
        <v>1418</v>
      </c>
      <c r="B148" t="s">
        <v>23</v>
      </c>
      <c r="C148" t="s">
        <v>23</v>
      </c>
      <c r="D148">
        <v>149</v>
      </c>
      <c r="E148">
        <v>0</v>
      </c>
      <c r="F148">
        <v>0</v>
      </c>
      <c r="G148" s="1" t="s">
        <v>23</v>
      </c>
      <c r="H148" t="s">
        <v>23</v>
      </c>
      <c r="I148" t="s">
        <v>23</v>
      </c>
      <c r="J148" t="s">
        <v>23</v>
      </c>
      <c r="K148" t="s">
        <v>23</v>
      </c>
    </row>
    <row r="149" spans="1:11">
      <c r="A149" t="s">
        <v>1419</v>
      </c>
      <c r="B149" t="s">
        <v>23</v>
      </c>
      <c r="C149" t="s">
        <v>23</v>
      </c>
      <c r="D149">
        <v>150</v>
      </c>
      <c r="E149">
        <v>0</v>
      </c>
      <c r="F149">
        <v>0</v>
      </c>
      <c r="G149" s="1" t="s">
        <v>23</v>
      </c>
      <c r="H149" t="s">
        <v>23</v>
      </c>
      <c r="I149" t="s">
        <v>23</v>
      </c>
      <c r="J149" t="s">
        <v>23</v>
      </c>
      <c r="K149" t="s">
        <v>23</v>
      </c>
    </row>
    <row r="150" spans="1:11">
      <c r="A150" t="s">
        <v>1420</v>
      </c>
      <c r="B150" t="s">
        <v>23</v>
      </c>
      <c r="C150" t="s">
        <v>23</v>
      </c>
      <c r="D150">
        <v>151</v>
      </c>
      <c r="E150">
        <v>0</v>
      </c>
      <c r="F150">
        <v>0</v>
      </c>
      <c r="G150" s="1" t="s">
        <v>23</v>
      </c>
      <c r="H150" t="s">
        <v>23</v>
      </c>
      <c r="I150" t="s">
        <v>23</v>
      </c>
      <c r="J150" t="s">
        <v>23</v>
      </c>
      <c r="K150" t="s">
        <v>23</v>
      </c>
    </row>
    <row r="151" spans="1:11">
      <c r="A151" t="s">
        <v>1421</v>
      </c>
      <c r="B151" t="s">
        <v>23</v>
      </c>
      <c r="C151" t="s">
        <v>23</v>
      </c>
      <c r="D151">
        <v>152</v>
      </c>
      <c r="E151">
        <v>0</v>
      </c>
      <c r="F151">
        <v>0</v>
      </c>
      <c r="G151" s="1" t="s">
        <v>23</v>
      </c>
      <c r="H151" t="s">
        <v>23</v>
      </c>
      <c r="I151" t="s">
        <v>23</v>
      </c>
      <c r="J151" t="s">
        <v>23</v>
      </c>
      <c r="K151" t="s">
        <v>23</v>
      </c>
    </row>
    <row r="152" spans="1:11">
      <c r="A152" t="s">
        <v>1422</v>
      </c>
      <c r="B152" t="s">
        <v>23</v>
      </c>
      <c r="C152" t="s">
        <v>23</v>
      </c>
      <c r="D152">
        <v>153</v>
      </c>
      <c r="E152">
        <v>0</v>
      </c>
      <c r="F152">
        <v>0</v>
      </c>
      <c r="G152" s="1" t="s">
        <v>23</v>
      </c>
      <c r="H152" t="s">
        <v>23</v>
      </c>
      <c r="I152" t="s">
        <v>23</v>
      </c>
      <c r="J152" t="s">
        <v>23</v>
      </c>
      <c r="K152" t="s">
        <v>23</v>
      </c>
    </row>
    <row r="153" spans="1:11">
      <c r="A153" t="s">
        <v>1423</v>
      </c>
      <c r="B153" t="s">
        <v>23</v>
      </c>
      <c r="C153" t="s">
        <v>23</v>
      </c>
      <c r="D153">
        <v>154</v>
      </c>
      <c r="E153">
        <v>0</v>
      </c>
      <c r="F153">
        <v>0</v>
      </c>
      <c r="G153" s="1" t="s">
        <v>23</v>
      </c>
      <c r="H153" t="s">
        <v>23</v>
      </c>
      <c r="I153" t="s">
        <v>23</v>
      </c>
      <c r="J153" t="s">
        <v>23</v>
      </c>
      <c r="K153" t="s">
        <v>23</v>
      </c>
    </row>
    <row r="154" spans="1:11">
      <c r="A154" t="s">
        <v>1424</v>
      </c>
      <c r="B154" t="s">
        <v>23</v>
      </c>
      <c r="C154" t="s">
        <v>23</v>
      </c>
      <c r="D154">
        <v>155</v>
      </c>
      <c r="E154">
        <v>0</v>
      </c>
      <c r="F154">
        <v>0</v>
      </c>
      <c r="G154" s="1" t="s">
        <v>23</v>
      </c>
      <c r="H154" t="s">
        <v>23</v>
      </c>
      <c r="I154" t="s">
        <v>23</v>
      </c>
      <c r="J154" t="s">
        <v>23</v>
      </c>
      <c r="K154" t="s">
        <v>23</v>
      </c>
    </row>
    <row r="155" spans="1:11">
      <c r="A155" t="s">
        <v>1425</v>
      </c>
      <c r="B155" t="s">
        <v>23</v>
      </c>
      <c r="C155" t="s">
        <v>23</v>
      </c>
      <c r="D155">
        <v>156</v>
      </c>
      <c r="E155">
        <v>0</v>
      </c>
      <c r="F155">
        <v>0</v>
      </c>
      <c r="G155" s="1" t="s">
        <v>23</v>
      </c>
      <c r="H155" t="s">
        <v>23</v>
      </c>
      <c r="I155" t="s">
        <v>23</v>
      </c>
      <c r="J155" t="s">
        <v>23</v>
      </c>
      <c r="K155" t="s">
        <v>23</v>
      </c>
    </row>
    <row r="156" spans="1:11">
      <c r="A156" t="s">
        <v>1426</v>
      </c>
      <c r="B156" t="s">
        <v>23</v>
      </c>
      <c r="C156" t="s">
        <v>23</v>
      </c>
      <c r="D156">
        <v>157</v>
      </c>
      <c r="E156">
        <v>0</v>
      </c>
      <c r="F156">
        <v>0</v>
      </c>
      <c r="G156" s="1" t="s">
        <v>23</v>
      </c>
      <c r="H156" t="s">
        <v>23</v>
      </c>
      <c r="I156" t="s">
        <v>23</v>
      </c>
      <c r="J156" t="s">
        <v>23</v>
      </c>
      <c r="K156" t="s">
        <v>23</v>
      </c>
    </row>
    <row r="157" spans="1:11">
      <c r="A157" t="s">
        <v>1427</v>
      </c>
      <c r="B157" t="s">
        <v>23</v>
      </c>
      <c r="C157" t="s">
        <v>23</v>
      </c>
      <c r="D157">
        <v>158</v>
      </c>
      <c r="E157">
        <v>0</v>
      </c>
      <c r="F157">
        <v>0</v>
      </c>
      <c r="G157" s="1" t="s">
        <v>23</v>
      </c>
      <c r="H157" t="s">
        <v>23</v>
      </c>
      <c r="I157" t="s">
        <v>23</v>
      </c>
      <c r="J157" t="s">
        <v>23</v>
      </c>
      <c r="K157" t="s">
        <v>23</v>
      </c>
    </row>
    <row r="158" spans="1:11">
      <c r="A158" t="s">
        <v>1428</v>
      </c>
      <c r="B158" t="s">
        <v>23</v>
      </c>
      <c r="C158" t="s">
        <v>23</v>
      </c>
      <c r="D158">
        <v>159</v>
      </c>
      <c r="E158">
        <v>0</v>
      </c>
      <c r="F158">
        <v>0</v>
      </c>
      <c r="G158" s="1" t="s">
        <v>23</v>
      </c>
      <c r="H158" t="s">
        <v>23</v>
      </c>
      <c r="I158" t="s">
        <v>23</v>
      </c>
      <c r="J158" t="s">
        <v>23</v>
      </c>
      <c r="K158" t="s">
        <v>23</v>
      </c>
    </row>
    <row r="159" spans="1:11">
      <c r="A159" t="s">
        <v>1429</v>
      </c>
      <c r="B159" t="s">
        <v>23</v>
      </c>
      <c r="C159" t="s">
        <v>23</v>
      </c>
      <c r="D159">
        <v>160</v>
      </c>
      <c r="E159">
        <v>0</v>
      </c>
      <c r="F159">
        <v>0</v>
      </c>
      <c r="G159" s="1" t="s">
        <v>23</v>
      </c>
      <c r="H159" t="s">
        <v>23</v>
      </c>
      <c r="I159" t="s">
        <v>23</v>
      </c>
      <c r="J159" t="s">
        <v>23</v>
      </c>
      <c r="K159" t="s">
        <v>23</v>
      </c>
    </row>
    <row r="160" spans="1:11">
      <c r="A160" t="s">
        <v>1430</v>
      </c>
      <c r="B160" t="s">
        <v>23</v>
      </c>
      <c r="C160" t="s">
        <v>23</v>
      </c>
      <c r="D160">
        <v>161</v>
      </c>
      <c r="E160">
        <v>0</v>
      </c>
      <c r="F160">
        <v>0</v>
      </c>
      <c r="G160" s="1" t="s">
        <v>23</v>
      </c>
      <c r="H160" t="s">
        <v>23</v>
      </c>
      <c r="I160" t="s">
        <v>23</v>
      </c>
      <c r="J160" t="s">
        <v>23</v>
      </c>
      <c r="K160" t="s">
        <v>23</v>
      </c>
    </row>
    <row r="161" spans="1:11">
      <c r="A161" t="s">
        <v>1431</v>
      </c>
      <c r="B161" t="s">
        <v>23</v>
      </c>
      <c r="C161" t="s">
        <v>23</v>
      </c>
      <c r="D161">
        <v>162</v>
      </c>
      <c r="E161">
        <v>0</v>
      </c>
      <c r="F161">
        <v>0</v>
      </c>
      <c r="G161" s="1" t="s">
        <v>23</v>
      </c>
      <c r="H161" t="s">
        <v>23</v>
      </c>
      <c r="I161" t="s">
        <v>23</v>
      </c>
      <c r="J161" t="s">
        <v>23</v>
      </c>
      <c r="K161" t="s">
        <v>23</v>
      </c>
    </row>
    <row r="162" spans="1:11">
      <c r="A162" t="s">
        <v>1432</v>
      </c>
      <c r="B162" t="s">
        <v>23</v>
      </c>
      <c r="C162" t="s">
        <v>23</v>
      </c>
      <c r="D162">
        <v>163</v>
      </c>
      <c r="E162">
        <v>0</v>
      </c>
      <c r="F162">
        <v>0</v>
      </c>
      <c r="G162" s="1" t="s">
        <v>23</v>
      </c>
      <c r="H162" t="s">
        <v>23</v>
      </c>
      <c r="I162" t="s">
        <v>23</v>
      </c>
      <c r="J162" t="s">
        <v>23</v>
      </c>
      <c r="K162" t="s">
        <v>23</v>
      </c>
    </row>
    <row r="163" spans="1:11">
      <c r="A163" t="s">
        <v>1433</v>
      </c>
      <c r="B163" t="s">
        <v>23</v>
      </c>
      <c r="C163" t="s">
        <v>23</v>
      </c>
      <c r="D163">
        <v>164</v>
      </c>
      <c r="E163">
        <v>0</v>
      </c>
      <c r="F163">
        <v>0</v>
      </c>
      <c r="G163" s="1" t="s">
        <v>23</v>
      </c>
      <c r="H163" t="s">
        <v>23</v>
      </c>
      <c r="I163" t="s">
        <v>23</v>
      </c>
      <c r="J163" t="s">
        <v>23</v>
      </c>
      <c r="K163" t="s">
        <v>23</v>
      </c>
    </row>
    <row r="164" spans="1:11">
      <c r="A164" t="s">
        <v>1434</v>
      </c>
      <c r="B164" t="s">
        <v>23</v>
      </c>
      <c r="C164" t="s">
        <v>23</v>
      </c>
      <c r="D164">
        <v>165</v>
      </c>
      <c r="E164">
        <v>0</v>
      </c>
      <c r="F164">
        <v>0</v>
      </c>
      <c r="G164" s="1" t="s">
        <v>23</v>
      </c>
      <c r="H164" t="s">
        <v>23</v>
      </c>
      <c r="I164" t="s">
        <v>23</v>
      </c>
      <c r="J164" t="s">
        <v>23</v>
      </c>
      <c r="K164" t="s">
        <v>23</v>
      </c>
    </row>
    <row r="165" spans="1:11">
      <c r="A165" t="s">
        <v>1435</v>
      </c>
      <c r="B165" t="s">
        <v>23</v>
      </c>
      <c r="C165" t="s">
        <v>23</v>
      </c>
      <c r="D165">
        <v>166</v>
      </c>
      <c r="E165">
        <v>0</v>
      </c>
      <c r="F165">
        <v>0</v>
      </c>
      <c r="G165" s="1" t="s">
        <v>23</v>
      </c>
      <c r="H165" t="s">
        <v>23</v>
      </c>
      <c r="I165" t="s">
        <v>23</v>
      </c>
      <c r="J165" t="s">
        <v>23</v>
      </c>
      <c r="K165" t="s">
        <v>23</v>
      </c>
    </row>
    <row r="166" spans="1:11">
      <c r="A166" t="s">
        <v>1436</v>
      </c>
      <c r="B166" t="s">
        <v>23</v>
      </c>
      <c r="C166" t="s">
        <v>23</v>
      </c>
      <c r="D166">
        <v>167</v>
      </c>
      <c r="E166">
        <v>0</v>
      </c>
      <c r="F166">
        <v>0</v>
      </c>
      <c r="G166" s="1" t="s">
        <v>23</v>
      </c>
      <c r="H166" t="s">
        <v>23</v>
      </c>
      <c r="I166" t="s">
        <v>23</v>
      </c>
      <c r="J166" t="s">
        <v>23</v>
      </c>
      <c r="K166" t="s">
        <v>23</v>
      </c>
    </row>
    <row r="167" spans="1:11">
      <c r="A167" t="s">
        <v>1437</v>
      </c>
      <c r="B167" t="s">
        <v>23</v>
      </c>
      <c r="C167" t="s">
        <v>23</v>
      </c>
      <c r="D167">
        <v>168</v>
      </c>
      <c r="E167">
        <v>0</v>
      </c>
      <c r="F167">
        <v>0</v>
      </c>
      <c r="G167" s="1" t="s">
        <v>23</v>
      </c>
      <c r="H167" t="s">
        <v>23</v>
      </c>
      <c r="I167" t="s">
        <v>23</v>
      </c>
      <c r="J167" t="s">
        <v>23</v>
      </c>
      <c r="K167" t="s">
        <v>23</v>
      </c>
    </row>
    <row r="168" spans="1:11" ht="45">
      <c r="A168" t="s">
        <v>1438</v>
      </c>
      <c r="B168" t="s">
        <v>1439</v>
      </c>
      <c r="C168" t="s">
        <v>1440</v>
      </c>
      <c r="D168">
        <v>169</v>
      </c>
      <c r="E168">
        <v>95</v>
      </c>
      <c r="F168">
        <v>20</v>
      </c>
      <c r="G168" s="1" t="s">
        <v>1441</v>
      </c>
      <c r="H168">
        <v>61</v>
      </c>
      <c r="I168">
        <v>2.1</v>
      </c>
      <c r="J168" t="s">
        <v>1442</v>
      </c>
      <c r="K168" t="s">
        <v>1442</v>
      </c>
    </row>
    <row r="169" spans="1:11" ht="30">
      <c r="A169" t="s">
        <v>1443</v>
      </c>
      <c r="B169" t="s">
        <v>1444</v>
      </c>
      <c r="C169" t="s">
        <v>1445</v>
      </c>
      <c r="D169">
        <v>170</v>
      </c>
      <c r="E169">
        <v>75</v>
      </c>
      <c r="F169" t="s">
        <v>23</v>
      </c>
      <c r="G169" s="1" t="s">
        <v>1446</v>
      </c>
      <c r="H169">
        <v>47</v>
      </c>
      <c r="I169">
        <v>1.6</v>
      </c>
      <c r="J169" t="s">
        <v>1447</v>
      </c>
      <c r="K169" t="s">
        <v>1447</v>
      </c>
    </row>
    <row r="170" spans="1:11" ht="30">
      <c r="A170" t="s">
        <v>1448</v>
      </c>
      <c r="B170" t="s">
        <v>1449</v>
      </c>
      <c r="C170" t="s">
        <v>1450</v>
      </c>
      <c r="D170">
        <v>171</v>
      </c>
      <c r="E170">
        <v>65</v>
      </c>
      <c r="F170" t="s">
        <v>23</v>
      </c>
      <c r="G170" s="1" t="s">
        <v>1451</v>
      </c>
      <c r="H170">
        <v>41</v>
      </c>
      <c r="I170">
        <v>1.2</v>
      </c>
      <c r="J170" t="s">
        <v>1452</v>
      </c>
      <c r="K170" t="s">
        <v>1452</v>
      </c>
    </row>
    <row r="171" spans="1:11" ht="45">
      <c r="A171" t="s">
        <v>1453</v>
      </c>
      <c r="B171" t="s">
        <v>1454</v>
      </c>
      <c r="C171" t="s">
        <v>1455</v>
      </c>
      <c r="D171">
        <v>172</v>
      </c>
      <c r="E171">
        <v>30</v>
      </c>
      <c r="F171">
        <v>20</v>
      </c>
      <c r="G171" s="1" t="s">
        <v>1456</v>
      </c>
      <c r="H171">
        <v>17</v>
      </c>
      <c r="I171">
        <v>0.35</v>
      </c>
      <c r="J171" t="s">
        <v>1457</v>
      </c>
      <c r="K171" t="s">
        <v>1457</v>
      </c>
    </row>
    <row r="172" spans="1:11" ht="30">
      <c r="A172" t="s">
        <v>1458</v>
      </c>
      <c r="B172" t="s">
        <v>1459</v>
      </c>
      <c r="C172" t="s">
        <v>1460</v>
      </c>
      <c r="D172">
        <v>173</v>
      </c>
      <c r="E172">
        <v>60</v>
      </c>
      <c r="F172" t="s">
        <v>23</v>
      </c>
      <c r="G172" s="1" t="s">
        <v>1461</v>
      </c>
      <c r="H172">
        <v>37</v>
      </c>
      <c r="I172">
        <v>1</v>
      </c>
      <c r="J172" t="s">
        <v>1462</v>
      </c>
      <c r="K172" t="s">
        <v>1462</v>
      </c>
    </row>
    <row r="173" spans="1:11" ht="30">
      <c r="A173" t="s">
        <v>1463</v>
      </c>
      <c r="B173" t="s">
        <v>1464</v>
      </c>
      <c r="C173" t="s">
        <v>1465</v>
      </c>
      <c r="D173">
        <v>174</v>
      </c>
      <c r="E173">
        <v>95</v>
      </c>
      <c r="F173" t="s">
        <v>23</v>
      </c>
      <c r="G173" s="1" t="s">
        <v>1466</v>
      </c>
      <c r="H173">
        <v>61</v>
      </c>
      <c r="I173">
        <v>1.2</v>
      </c>
      <c r="J173" t="s">
        <v>1467</v>
      </c>
      <c r="K173" t="s">
        <v>1467</v>
      </c>
    </row>
    <row r="174" spans="1:11" ht="30">
      <c r="A174" t="s">
        <v>1468</v>
      </c>
      <c r="B174" t="s">
        <v>1469</v>
      </c>
      <c r="C174" t="s">
        <v>1470</v>
      </c>
      <c r="D174">
        <v>175</v>
      </c>
      <c r="E174">
        <v>95</v>
      </c>
      <c r="F174" t="s">
        <v>23</v>
      </c>
      <c r="G174" s="1" t="s">
        <v>1471</v>
      </c>
      <c r="H174">
        <v>61</v>
      </c>
      <c r="I174">
        <v>1.8</v>
      </c>
      <c r="J174" t="s">
        <v>1472</v>
      </c>
      <c r="K174" t="s">
        <v>1472</v>
      </c>
    </row>
    <row r="175" spans="1:11">
      <c r="A175" t="s">
        <v>1473</v>
      </c>
      <c r="B175" t="s">
        <v>23</v>
      </c>
      <c r="C175" t="s">
        <v>23</v>
      </c>
      <c r="D175">
        <v>176</v>
      </c>
      <c r="E175">
        <v>0</v>
      </c>
      <c r="F175">
        <v>0</v>
      </c>
      <c r="G175" s="1" t="s">
        <v>23</v>
      </c>
      <c r="H175" t="s">
        <v>23</v>
      </c>
      <c r="I175" t="s">
        <v>23</v>
      </c>
      <c r="J175" t="s">
        <v>23</v>
      </c>
      <c r="K175" t="s">
        <v>23</v>
      </c>
    </row>
    <row r="176" spans="1:11">
      <c r="A176" t="s">
        <v>1474</v>
      </c>
      <c r="B176" t="s">
        <v>23</v>
      </c>
      <c r="C176" t="s">
        <v>23</v>
      </c>
      <c r="D176">
        <v>177</v>
      </c>
      <c r="E176">
        <v>0</v>
      </c>
      <c r="F176">
        <v>0</v>
      </c>
      <c r="G176" s="1" t="s">
        <v>23</v>
      </c>
      <c r="H176" t="s">
        <v>23</v>
      </c>
      <c r="I176" t="s">
        <v>23</v>
      </c>
      <c r="J176" t="s">
        <v>23</v>
      </c>
      <c r="K176" t="s">
        <v>23</v>
      </c>
    </row>
    <row r="177" spans="1:11">
      <c r="A177" t="s">
        <v>1475</v>
      </c>
      <c r="B177" t="s">
        <v>23</v>
      </c>
      <c r="C177" t="s">
        <v>23</v>
      </c>
      <c r="D177">
        <v>178</v>
      </c>
      <c r="E177">
        <v>0</v>
      </c>
      <c r="F177">
        <v>0</v>
      </c>
      <c r="G177" s="1" t="s">
        <v>23</v>
      </c>
      <c r="H177" t="s">
        <v>23</v>
      </c>
      <c r="I177" t="s">
        <v>23</v>
      </c>
      <c r="J177" t="s">
        <v>23</v>
      </c>
      <c r="K177" t="s">
        <v>23</v>
      </c>
    </row>
    <row r="178" spans="1:11">
      <c r="A178" t="s">
        <v>1476</v>
      </c>
      <c r="B178" t="s">
        <v>23</v>
      </c>
      <c r="C178" t="s">
        <v>23</v>
      </c>
      <c r="D178">
        <v>179</v>
      </c>
      <c r="E178">
        <v>0</v>
      </c>
      <c r="F178">
        <v>0</v>
      </c>
      <c r="G178" s="1" t="s">
        <v>23</v>
      </c>
      <c r="H178" t="s">
        <v>23</v>
      </c>
      <c r="I178" t="s">
        <v>23</v>
      </c>
      <c r="J178" t="s">
        <v>23</v>
      </c>
      <c r="K178" t="s">
        <v>23</v>
      </c>
    </row>
    <row r="179" spans="1:11">
      <c r="A179" t="s">
        <v>1477</v>
      </c>
      <c r="B179" t="s">
        <v>23</v>
      </c>
      <c r="C179" t="s">
        <v>23</v>
      </c>
      <c r="D179">
        <v>180</v>
      </c>
      <c r="E179">
        <v>0</v>
      </c>
      <c r="F179">
        <v>0</v>
      </c>
      <c r="G179" s="1" t="s">
        <v>23</v>
      </c>
      <c r="H179" t="s">
        <v>23</v>
      </c>
      <c r="I179" t="s">
        <v>23</v>
      </c>
      <c r="J179" t="s">
        <v>23</v>
      </c>
      <c r="K179" t="s">
        <v>23</v>
      </c>
    </row>
    <row r="180" spans="1:11">
      <c r="A180" t="s">
        <v>1478</v>
      </c>
      <c r="B180" t="s">
        <v>23</v>
      </c>
      <c r="C180" t="s">
        <v>23</v>
      </c>
      <c r="D180">
        <v>181</v>
      </c>
      <c r="E180">
        <v>0</v>
      </c>
      <c r="F180">
        <v>0</v>
      </c>
      <c r="G180" s="1" t="s">
        <v>23</v>
      </c>
      <c r="H180" t="s">
        <v>23</v>
      </c>
      <c r="I180" t="s">
        <v>23</v>
      </c>
      <c r="J180" t="s">
        <v>23</v>
      </c>
      <c r="K180" t="s">
        <v>23</v>
      </c>
    </row>
    <row r="181" spans="1:11">
      <c r="A181" t="s">
        <v>1479</v>
      </c>
      <c r="B181" t="s">
        <v>23</v>
      </c>
      <c r="C181" t="s">
        <v>23</v>
      </c>
      <c r="D181">
        <v>182</v>
      </c>
      <c r="E181">
        <v>0</v>
      </c>
      <c r="F181">
        <v>0</v>
      </c>
      <c r="G181" s="1" t="s">
        <v>23</v>
      </c>
      <c r="H181" t="s">
        <v>23</v>
      </c>
      <c r="I181" t="s">
        <v>23</v>
      </c>
      <c r="J181" t="s">
        <v>23</v>
      </c>
      <c r="K181" t="s">
        <v>23</v>
      </c>
    </row>
    <row r="182" spans="1:11">
      <c r="A182" t="s">
        <v>1480</v>
      </c>
      <c r="B182" t="s">
        <v>23</v>
      </c>
      <c r="C182" t="s">
        <v>23</v>
      </c>
      <c r="D182">
        <v>183</v>
      </c>
      <c r="E182">
        <v>0</v>
      </c>
      <c r="F182">
        <v>0</v>
      </c>
      <c r="G182" s="1" t="s">
        <v>23</v>
      </c>
      <c r="H182" t="s">
        <v>23</v>
      </c>
      <c r="I182" t="s">
        <v>23</v>
      </c>
      <c r="J182" t="s">
        <v>23</v>
      </c>
      <c r="K182" t="s">
        <v>23</v>
      </c>
    </row>
    <row r="183" spans="1:11">
      <c r="A183" t="s">
        <v>1481</v>
      </c>
      <c r="B183" t="s">
        <v>23</v>
      </c>
      <c r="C183" t="s">
        <v>23</v>
      </c>
      <c r="D183">
        <v>184</v>
      </c>
      <c r="E183">
        <v>0</v>
      </c>
      <c r="F183">
        <v>0</v>
      </c>
      <c r="G183" s="1" t="s">
        <v>23</v>
      </c>
      <c r="H183" t="s">
        <v>23</v>
      </c>
      <c r="I183" t="s">
        <v>23</v>
      </c>
      <c r="J183" t="s">
        <v>23</v>
      </c>
      <c r="K183" t="s">
        <v>23</v>
      </c>
    </row>
    <row r="184" spans="1:11">
      <c r="A184" t="s">
        <v>1482</v>
      </c>
      <c r="B184" t="s">
        <v>23</v>
      </c>
      <c r="C184" t="s">
        <v>23</v>
      </c>
      <c r="D184">
        <v>185</v>
      </c>
      <c r="E184">
        <v>0</v>
      </c>
      <c r="F184">
        <v>0</v>
      </c>
      <c r="G184" s="1" t="s">
        <v>23</v>
      </c>
      <c r="H184" t="s">
        <v>23</v>
      </c>
      <c r="I184" t="s">
        <v>23</v>
      </c>
      <c r="J184" t="s">
        <v>23</v>
      </c>
      <c r="K184" t="s">
        <v>23</v>
      </c>
    </row>
    <row r="185" spans="1:11">
      <c r="A185" t="s">
        <v>1483</v>
      </c>
      <c r="B185" t="s">
        <v>23</v>
      </c>
      <c r="C185" t="s">
        <v>23</v>
      </c>
      <c r="D185">
        <v>186</v>
      </c>
      <c r="E185">
        <v>0</v>
      </c>
      <c r="F185">
        <v>0</v>
      </c>
      <c r="G185" s="1" t="s">
        <v>23</v>
      </c>
      <c r="H185" t="s">
        <v>23</v>
      </c>
      <c r="I185" t="s">
        <v>23</v>
      </c>
      <c r="J185" t="s">
        <v>23</v>
      </c>
      <c r="K185" t="s">
        <v>23</v>
      </c>
    </row>
    <row r="186" spans="1:11">
      <c r="A186" t="s">
        <v>1484</v>
      </c>
      <c r="B186" t="s">
        <v>23</v>
      </c>
      <c r="C186" t="s">
        <v>23</v>
      </c>
      <c r="D186">
        <v>187</v>
      </c>
      <c r="E186">
        <v>0</v>
      </c>
      <c r="F186">
        <v>0</v>
      </c>
      <c r="G186" s="1" t="s">
        <v>23</v>
      </c>
      <c r="H186" t="s">
        <v>23</v>
      </c>
      <c r="I186" t="s">
        <v>23</v>
      </c>
      <c r="J186" t="s">
        <v>23</v>
      </c>
      <c r="K186" t="s">
        <v>23</v>
      </c>
    </row>
    <row r="187" spans="1:11">
      <c r="A187" t="s">
        <v>1485</v>
      </c>
      <c r="B187" t="s">
        <v>23</v>
      </c>
      <c r="C187" t="s">
        <v>23</v>
      </c>
      <c r="D187">
        <v>188</v>
      </c>
      <c r="E187">
        <v>0</v>
      </c>
      <c r="F187">
        <v>0</v>
      </c>
      <c r="G187" s="1" t="s">
        <v>23</v>
      </c>
      <c r="H187" t="s">
        <v>23</v>
      </c>
      <c r="I187" t="s">
        <v>23</v>
      </c>
      <c r="J187" t="s">
        <v>23</v>
      </c>
      <c r="K187" t="s">
        <v>23</v>
      </c>
    </row>
    <row r="188" spans="1:11" ht="45">
      <c r="A188" t="s">
        <v>1486</v>
      </c>
      <c r="B188" t="s">
        <v>1487</v>
      </c>
      <c r="C188" t="s">
        <v>1488</v>
      </c>
      <c r="D188">
        <v>189</v>
      </c>
      <c r="E188">
        <v>20</v>
      </c>
      <c r="F188" t="s">
        <v>23</v>
      </c>
      <c r="G188" s="1" t="s">
        <v>1489</v>
      </c>
      <c r="H188">
        <v>11</v>
      </c>
      <c r="I188">
        <v>0.3</v>
      </c>
      <c r="J188" t="s">
        <v>1490</v>
      </c>
      <c r="K188" t="s">
        <v>1490</v>
      </c>
    </row>
    <row r="189" spans="1:11" ht="30">
      <c r="A189" t="s">
        <v>1491</v>
      </c>
      <c r="B189" t="s">
        <v>1492</v>
      </c>
      <c r="C189" t="s">
        <v>1493</v>
      </c>
      <c r="D189">
        <v>190</v>
      </c>
      <c r="E189">
        <v>45</v>
      </c>
      <c r="F189" t="s">
        <v>23</v>
      </c>
      <c r="G189" s="1" t="s">
        <v>1494</v>
      </c>
      <c r="H189">
        <v>27</v>
      </c>
      <c r="I189">
        <v>0.9</v>
      </c>
      <c r="J189" t="s">
        <v>1495</v>
      </c>
      <c r="K189" t="s">
        <v>1495</v>
      </c>
    </row>
    <row r="190" spans="1:11" ht="30">
      <c r="A190" t="s">
        <v>1496</v>
      </c>
      <c r="B190" t="s">
        <v>1497</v>
      </c>
      <c r="C190" t="s">
        <v>1498</v>
      </c>
      <c r="D190">
        <v>191</v>
      </c>
      <c r="E190">
        <v>15</v>
      </c>
      <c r="F190" t="s">
        <v>23</v>
      </c>
      <c r="G190" s="1" t="s">
        <v>1499</v>
      </c>
      <c r="H190">
        <v>7</v>
      </c>
      <c r="I190">
        <v>0.1</v>
      </c>
      <c r="J190" t="s">
        <v>1500</v>
      </c>
      <c r="K190" t="s">
        <v>1500</v>
      </c>
    </row>
    <row r="191" spans="1:11" ht="45">
      <c r="A191" t="s">
        <v>1501</v>
      </c>
      <c r="B191" t="s">
        <v>1502</v>
      </c>
      <c r="C191" t="s">
        <v>1503</v>
      </c>
      <c r="D191">
        <v>192</v>
      </c>
      <c r="E191">
        <v>15</v>
      </c>
      <c r="F191">
        <v>15</v>
      </c>
      <c r="G191" s="1" t="s">
        <v>1504</v>
      </c>
      <c r="H191">
        <v>9</v>
      </c>
      <c r="I191">
        <v>0.3</v>
      </c>
      <c r="J191" t="s">
        <v>1505</v>
      </c>
      <c r="K191" t="s">
        <v>1505</v>
      </c>
    </row>
    <row r="192" spans="1:11" ht="30">
      <c r="A192" t="s">
        <v>1506</v>
      </c>
      <c r="B192" t="s">
        <v>1507</v>
      </c>
      <c r="C192" t="s">
        <v>1508</v>
      </c>
      <c r="D192">
        <v>193</v>
      </c>
      <c r="E192">
        <v>50</v>
      </c>
      <c r="F192" t="s">
        <v>23</v>
      </c>
      <c r="G192" s="1" t="s">
        <v>1509</v>
      </c>
      <c r="H192">
        <v>31</v>
      </c>
      <c r="I192">
        <v>0.95</v>
      </c>
      <c r="J192" t="s">
        <v>1510</v>
      </c>
      <c r="K192" t="s">
        <v>1510</v>
      </c>
    </row>
    <row r="193" spans="1:11" ht="30">
      <c r="A193" t="s">
        <v>1511</v>
      </c>
      <c r="B193" t="s">
        <v>1512</v>
      </c>
      <c r="C193" t="s">
        <v>1513</v>
      </c>
      <c r="D193">
        <v>194</v>
      </c>
      <c r="E193">
        <v>20</v>
      </c>
      <c r="F193" t="s">
        <v>23</v>
      </c>
      <c r="G193" s="1" t="s">
        <v>1514</v>
      </c>
      <c r="H193">
        <v>11</v>
      </c>
      <c r="I193">
        <v>0.35</v>
      </c>
      <c r="J193" t="s">
        <v>1515</v>
      </c>
      <c r="K193" t="s">
        <v>1515</v>
      </c>
    </row>
    <row r="194" spans="1:11" ht="45">
      <c r="A194" t="s">
        <v>1516</v>
      </c>
      <c r="B194" t="s">
        <v>1517</v>
      </c>
      <c r="C194" t="s">
        <v>1518</v>
      </c>
      <c r="D194">
        <v>195</v>
      </c>
      <c r="E194">
        <v>15</v>
      </c>
      <c r="F194" t="s">
        <v>23</v>
      </c>
      <c r="G194" s="1" t="s">
        <v>1519</v>
      </c>
      <c r="H194">
        <v>7</v>
      </c>
      <c r="I194">
        <v>0.2</v>
      </c>
      <c r="J194" t="s">
        <v>1520</v>
      </c>
      <c r="K194" t="s">
        <v>1520</v>
      </c>
    </row>
    <row r="195" spans="1:11" ht="30">
      <c r="A195" t="s">
        <v>1521</v>
      </c>
      <c r="B195" t="s">
        <v>1522</v>
      </c>
      <c r="C195" t="s">
        <v>1523</v>
      </c>
      <c r="D195">
        <v>196</v>
      </c>
      <c r="E195">
        <v>40</v>
      </c>
      <c r="F195" t="s">
        <v>23</v>
      </c>
      <c r="G195" s="1" t="s">
        <v>1524</v>
      </c>
      <c r="H195">
        <v>23</v>
      </c>
      <c r="I195">
        <v>0.85</v>
      </c>
      <c r="J195" t="s">
        <v>1525</v>
      </c>
      <c r="K195" t="s">
        <v>1525</v>
      </c>
    </row>
    <row r="196" spans="1:11" ht="45">
      <c r="A196" t="s">
        <v>1526</v>
      </c>
      <c r="B196" t="s">
        <v>1527</v>
      </c>
      <c r="C196" t="s">
        <v>1528</v>
      </c>
      <c r="D196">
        <v>197</v>
      </c>
      <c r="E196">
        <v>30</v>
      </c>
      <c r="F196">
        <v>10</v>
      </c>
      <c r="G196" s="1" t="s">
        <v>1529</v>
      </c>
      <c r="H196">
        <v>17</v>
      </c>
      <c r="I196">
        <v>0.35</v>
      </c>
      <c r="J196" t="s">
        <v>1530</v>
      </c>
      <c r="K196" t="s">
        <v>1530</v>
      </c>
    </row>
    <row r="197" spans="1:11">
      <c r="A197" t="s">
        <v>1531</v>
      </c>
      <c r="B197" t="s">
        <v>23</v>
      </c>
      <c r="C197" t="s">
        <v>23</v>
      </c>
      <c r="D197">
        <v>198</v>
      </c>
      <c r="E197">
        <v>0</v>
      </c>
      <c r="F197">
        <v>0</v>
      </c>
      <c r="G197" s="1" t="s">
        <v>23</v>
      </c>
      <c r="H197" t="s">
        <v>23</v>
      </c>
      <c r="I197" t="s">
        <v>23</v>
      </c>
      <c r="J197" t="s">
        <v>23</v>
      </c>
      <c r="K197" t="s">
        <v>23</v>
      </c>
    </row>
    <row r="198" spans="1:11">
      <c r="G198" s="1"/>
    </row>
    <row r="199" spans="1:11">
      <c r="G199" s="1"/>
    </row>
    <row r="200" spans="1:11">
      <c r="G200" s="1"/>
    </row>
    <row r="201" spans="1:11">
      <c r="G201" s="1"/>
    </row>
    <row r="202" spans="1:11">
      <c r="G202" s="1"/>
    </row>
    <row r="203" spans="1:11">
      <c r="G203" s="1"/>
    </row>
    <row r="204" spans="1:11">
      <c r="G204" s="1"/>
    </row>
    <row r="205" spans="1:11">
      <c r="G205" s="1"/>
    </row>
    <row r="206" spans="1:11">
      <c r="G206" s="1"/>
    </row>
    <row r="207" spans="1:11">
      <c r="G207" s="1"/>
    </row>
    <row r="208" spans="1:11">
      <c r="G208" s="1"/>
    </row>
    <row r="209" spans="7:7">
      <c r="G209" s="1"/>
    </row>
    <row r="210" spans="7:7">
      <c r="G210" s="1"/>
    </row>
    <row r="211" spans="7:7">
      <c r="G211" s="1"/>
    </row>
    <row r="212" spans="7:7">
      <c r="G212" s="1"/>
    </row>
    <row r="213" spans="7:7">
      <c r="G213" s="1"/>
    </row>
    <row r="214" spans="7:7">
      <c r="G214" s="1"/>
    </row>
    <row r="215" spans="7:7">
      <c r="G215" s="1"/>
    </row>
    <row r="216" spans="7:7">
      <c r="G216" s="1"/>
    </row>
    <row r="217" spans="7:7">
      <c r="G217" s="1"/>
    </row>
    <row r="218" spans="7:7">
      <c r="G218" s="1"/>
    </row>
    <row r="219" spans="7:7">
      <c r="G219" s="1"/>
    </row>
    <row r="220" spans="7:7">
      <c r="G220" s="1"/>
    </row>
    <row r="221" spans="7:7">
      <c r="G221" s="1"/>
    </row>
    <row r="222" spans="7:7">
      <c r="G222" s="1"/>
    </row>
    <row r="223" spans="7:7">
      <c r="G223" s="1"/>
    </row>
    <row r="224" spans="7:7">
      <c r="G224" s="1"/>
    </row>
    <row r="225" spans="7:7">
      <c r="G225" s="1"/>
    </row>
    <row r="226" spans="7:7">
      <c r="G226" s="1"/>
    </row>
    <row r="227" spans="7:7">
      <c r="G227" s="1"/>
    </row>
    <row r="228" spans="7:7">
      <c r="G228" s="1"/>
    </row>
    <row r="229" spans="7:7">
      <c r="G229" s="1"/>
    </row>
    <row r="230" spans="7:7">
      <c r="G230" s="1"/>
    </row>
    <row r="231" spans="7:7">
      <c r="G231" s="1"/>
    </row>
    <row r="232" spans="7:7">
      <c r="G232" s="1"/>
    </row>
    <row r="233" spans="7:7">
      <c r="G233" s="1"/>
    </row>
    <row r="234" spans="7:7">
      <c r="G234" s="1"/>
    </row>
    <row r="235" spans="7:7">
      <c r="G235" s="1"/>
    </row>
    <row r="236" spans="7:7">
      <c r="G236" s="1"/>
    </row>
    <row r="237" spans="7:7">
      <c r="G237" s="1"/>
    </row>
    <row r="238" spans="7:7">
      <c r="G238" s="1"/>
    </row>
    <row r="239" spans="7:7">
      <c r="G239" s="1"/>
    </row>
    <row r="240" spans="7:7">
      <c r="G240" s="1"/>
    </row>
    <row r="241" spans="7:7">
      <c r="G241" s="1"/>
    </row>
    <row r="242" spans="7:7">
      <c r="G242" s="1"/>
    </row>
    <row r="243" spans="7:7">
      <c r="G243" s="1"/>
    </row>
    <row r="244" spans="7:7">
      <c r="G244" s="1"/>
    </row>
    <row r="245" spans="7:7">
      <c r="G245" s="1"/>
    </row>
    <row r="246" spans="7:7">
      <c r="G246" s="1"/>
    </row>
    <row r="247" spans="7:7">
      <c r="G247" s="1"/>
    </row>
    <row r="248" spans="7:7">
      <c r="G248" s="1"/>
    </row>
    <row r="249" spans="7:7">
      <c r="G249" s="1"/>
    </row>
    <row r="250" spans="7:7">
      <c r="G250" s="1"/>
    </row>
    <row r="251" spans="7:7">
      <c r="G251" s="1"/>
    </row>
    <row r="252" spans="7:7">
      <c r="G252" s="1"/>
    </row>
    <row r="253" spans="7:7">
      <c r="G253" s="1"/>
    </row>
    <row r="254" spans="7:7">
      <c r="G254" s="1"/>
    </row>
    <row r="255" spans="7:7">
      <c r="G255" s="1"/>
    </row>
    <row r="256" spans="7:7">
      <c r="G256" s="1"/>
    </row>
    <row r="257" spans="7:7">
      <c r="G257" s="1"/>
    </row>
    <row r="258" spans="7:7">
      <c r="G258" s="1"/>
    </row>
    <row r="259" spans="7:7">
      <c r="G259" s="1"/>
    </row>
    <row r="260" spans="7:7">
      <c r="G260" s="1"/>
    </row>
    <row r="261" spans="7:7">
      <c r="G261" s="1"/>
    </row>
    <row r="262" spans="7:7">
      <c r="G262" s="1"/>
    </row>
    <row r="263" spans="7:7">
      <c r="G263" s="1"/>
    </row>
    <row r="264" spans="7:7">
      <c r="G264" s="1"/>
    </row>
    <row r="265" spans="7:7">
      <c r="G265" s="1"/>
    </row>
    <row r="266" spans="7:7">
      <c r="G266" s="1"/>
    </row>
    <row r="267" spans="7:7">
      <c r="G267" s="1"/>
    </row>
    <row r="268" spans="7:7">
      <c r="G268" s="1"/>
    </row>
    <row r="269" spans="7:7">
      <c r="G269" s="1"/>
    </row>
    <row r="270" spans="7:7">
      <c r="G270" s="1"/>
    </row>
    <row r="271" spans="7:7">
      <c r="G271" s="1"/>
    </row>
    <row r="272" spans="7:7">
      <c r="G272" s="1"/>
    </row>
    <row r="273" spans="7:7">
      <c r="G273" s="1"/>
    </row>
    <row r="274" spans="7:7">
      <c r="G274" s="1"/>
    </row>
    <row r="275" spans="7:7">
      <c r="G275" s="1"/>
    </row>
    <row r="276" spans="7:7">
      <c r="G276" s="1"/>
    </row>
    <row r="277" spans="7:7">
      <c r="G277" s="1"/>
    </row>
    <row r="278" spans="7:7">
      <c r="G278" s="1"/>
    </row>
    <row r="279" spans="7:7">
      <c r="G279" s="1"/>
    </row>
    <row r="280" spans="7:7">
      <c r="G280" s="1"/>
    </row>
    <row r="281" spans="7:7">
      <c r="G281" s="1"/>
    </row>
    <row r="282" spans="7:7">
      <c r="G282" s="1"/>
    </row>
    <row r="283" spans="7:7">
      <c r="G283" s="1"/>
    </row>
    <row r="284" spans="7:7">
      <c r="G284" s="1"/>
    </row>
    <row r="285" spans="7:7">
      <c r="G285" s="1"/>
    </row>
    <row r="286" spans="7:7">
      <c r="G286" s="1"/>
    </row>
    <row r="287" spans="7:7">
      <c r="G287" s="1"/>
    </row>
    <row r="288" spans="7:7">
      <c r="G288" s="1"/>
    </row>
    <row r="289" spans="7:7">
      <c r="G289" s="1"/>
    </row>
    <row r="290" spans="7:7">
      <c r="G290" s="1"/>
    </row>
    <row r="291" spans="7:7">
      <c r="G291" s="1"/>
    </row>
    <row r="292" spans="7:7">
      <c r="G292" s="1"/>
    </row>
    <row r="293" spans="7:7">
      <c r="G293" s="1"/>
    </row>
    <row r="294" spans="7:7">
      <c r="G294" s="1"/>
    </row>
    <row r="295" spans="7:7">
      <c r="G295" s="1"/>
    </row>
    <row r="296" spans="7:7">
      <c r="G296" s="1"/>
    </row>
    <row r="297" spans="7:7">
      <c r="G297" s="1"/>
    </row>
    <row r="298" spans="7:7">
      <c r="G298" s="1"/>
    </row>
    <row r="299" spans="7:7">
      <c r="G299" s="1"/>
    </row>
    <row r="300" spans="7:7">
      <c r="G300" s="1"/>
    </row>
    <row r="301" spans="7:7">
      <c r="G301" s="1"/>
    </row>
    <row r="302" spans="7:7">
      <c r="G302" s="1"/>
    </row>
    <row r="303" spans="7:7">
      <c r="G303" s="1"/>
    </row>
    <row r="304" spans="7:7">
      <c r="G304" s="1"/>
    </row>
    <row r="305" spans="7:7">
      <c r="G305" s="1"/>
    </row>
    <row r="306" spans="7:7">
      <c r="G306" s="1"/>
    </row>
    <row r="307" spans="7:7">
      <c r="G307" s="1"/>
    </row>
    <row r="308" spans="7:7">
      <c r="G308" s="1"/>
    </row>
    <row r="309" spans="7:7">
      <c r="G309" s="1"/>
    </row>
    <row r="310" spans="7:7">
      <c r="G310" s="1"/>
    </row>
    <row r="311" spans="7:7">
      <c r="G311" s="1"/>
    </row>
    <row r="312" spans="7:7">
      <c r="G312" s="1"/>
    </row>
    <row r="313" spans="7:7">
      <c r="G313" s="1"/>
    </row>
    <row r="314" spans="7:7">
      <c r="G314" s="1"/>
    </row>
    <row r="315" spans="7:7">
      <c r="G315" s="1"/>
    </row>
    <row r="316" spans="7:7">
      <c r="G316" s="1"/>
    </row>
    <row r="317" spans="7:7">
      <c r="G317" s="1"/>
    </row>
    <row r="318" spans="7:7">
      <c r="G318" s="1"/>
    </row>
    <row r="319" spans="7:7">
      <c r="G319" s="1"/>
    </row>
    <row r="320" spans="7:7">
      <c r="G320" s="1"/>
    </row>
    <row r="321" spans="7:7">
      <c r="G321" s="1"/>
    </row>
    <row r="322" spans="7:7">
      <c r="G322" s="1"/>
    </row>
    <row r="323" spans="7:7">
      <c r="G323" s="1"/>
    </row>
    <row r="324" spans="7:7">
      <c r="G324" s="1"/>
    </row>
    <row r="325" spans="7:7">
      <c r="G325" s="1"/>
    </row>
    <row r="326" spans="7:7">
      <c r="G326" s="1"/>
    </row>
    <row r="327" spans="7:7">
      <c r="G327" s="1"/>
    </row>
    <row r="328" spans="7:7">
      <c r="G328" s="1"/>
    </row>
    <row r="329" spans="7:7">
      <c r="G329" s="1"/>
    </row>
    <row r="330" spans="7:7">
      <c r="G330" s="1"/>
    </row>
    <row r="331" spans="7:7">
      <c r="G331" s="1"/>
    </row>
    <row r="332" spans="7:7">
      <c r="G332" s="1"/>
    </row>
    <row r="333" spans="7:7">
      <c r="G333" s="1"/>
    </row>
    <row r="334" spans="7:7">
      <c r="G334" s="1"/>
    </row>
    <row r="335" spans="7:7">
      <c r="G335" s="1"/>
    </row>
    <row r="336" spans="7:7">
      <c r="G336" s="1"/>
    </row>
    <row r="337" spans="7:7">
      <c r="G337" s="1"/>
    </row>
    <row r="338" spans="7:7">
      <c r="G338" s="1"/>
    </row>
    <row r="339" spans="7:7">
      <c r="G339" s="1"/>
    </row>
    <row r="340" spans="7:7">
      <c r="G340" s="1"/>
    </row>
    <row r="341" spans="7:7">
      <c r="G341" s="1"/>
    </row>
    <row r="342" spans="7:7">
      <c r="G342" s="1"/>
    </row>
    <row r="343" spans="7:7">
      <c r="G343" s="1"/>
    </row>
    <row r="344" spans="7:7">
      <c r="G344" s="1"/>
    </row>
    <row r="345" spans="7:7">
      <c r="G345" s="1"/>
    </row>
    <row r="346" spans="7:7">
      <c r="G346" s="1"/>
    </row>
    <row r="347" spans="7:7">
      <c r="G347" s="1"/>
    </row>
    <row r="348" spans="7:7">
      <c r="G348" s="1"/>
    </row>
    <row r="349" spans="7:7">
      <c r="G349" s="1"/>
    </row>
    <row r="350" spans="7:7">
      <c r="G350" s="1"/>
    </row>
    <row r="351" spans="7:7">
      <c r="G351" s="1"/>
    </row>
    <row r="352" spans="7:7">
      <c r="G352" s="1"/>
    </row>
    <row r="353" spans="7:7">
      <c r="G353" s="1"/>
    </row>
    <row r="354" spans="7:7">
      <c r="G354" s="1"/>
    </row>
    <row r="355" spans="7:7">
      <c r="G355" s="1"/>
    </row>
    <row r="356" spans="7:7">
      <c r="G356" s="1"/>
    </row>
    <row r="357" spans="7:7">
      <c r="G357" s="1"/>
    </row>
    <row r="358" spans="7:7">
      <c r="G358" s="1"/>
    </row>
    <row r="359" spans="7:7">
      <c r="G359" s="1"/>
    </row>
    <row r="360" spans="7:7">
      <c r="G360" s="1"/>
    </row>
    <row r="361" spans="7:7">
      <c r="G361" s="1"/>
    </row>
    <row r="362" spans="7:7">
      <c r="G362" s="1"/>
    </row>
    <row r="363" spans="7:7">
      <c r="G363" s="1"/>
    </row>
    <row r="364" spans="7:7">
      <c r="G364" s="1"/>
    </row>
    <row r="365" spans="7:7">
      <c r="G365" s="1"/>
    </row>
    <row r="366" spans="7:7">
      <c r="G366" s="1"/>
    </row>
    <row r="367" spans="7:7">
      <c r="G367" s="1"/>
    </row>
    <row r="368" spans="7:7">
      <c r="G368" s="1"/>
    </row>
    <row r="369" spans="7:7">
      <c r="G369" s="1"/>
    </row>
    <row r="370" spans="7:7">
      <c r="G370" s="1"/>
    </row>
    <row r="371" spans="7:7">
      <c r="G371" s="1"/>
    </row>
    <row r="372" spans="7:7">
      <c r="G372" s="1"/>
    </row>
    <row r="373" spans="7:7">
      <c r="G373" s="1"/>
    </row>
    <row r="374" spans="7:7">
      <c r="G374" s="1"/>
    </row>
    <row r="375" spans="7:7">
      <c r="G375" s="1"/>
    </row>
    <row r="376" spans="7:7">
      <c r="G376" s="1"/>
    </row>
    <row r="377" spans="7:7">
      <c r="G377" s="1"/>
    </row>
    <row r="378" spans="7:7">
      <c r="G378" s="1"/>
    </row>
    <row r="379" spans="7:7">
      <c r="G379" s="1"/>
    </row>
    <row r="380" spans="7:7">
      <c r="G380" s="1"/>
    </row>
    <row r="381" spans="7:7">
      <c r="G381" s="1"/>
    </row>
    <row r="382" spans="7:7">
      <c r="G382" s="1"/>
    </row>
    <row r="383" spans="7:7">
      <c r="G383" s="1"/>
    </row>
    <row r="384" spans="7:7">
      <c r="G384" s="1"/>
    </row>
    <row r="385" spans="7:7">
      <c r="G385" s="1"/>
    </row>
    <row r="386" spans="7:7">
      <c r="G386" s="1"/>
    </row>
    <row r="387" spans="7:7">
      <c r="G387" s="1"/>
    </row>
    <row r="388" spans="7:7">
      <c r="G388" s="1"/>
    </row>
    <row r="389" spans="7:7">
      <c r="G389" s="1"/>
    </row>
    <row r="390" spans="7:7">
      <c r="G390" s="1"/>
    </row>
  </sheetData>
  <pageMargins left="0.7" right="0.7" top="0.78740157499999996" bottom="0.78740157499999996" header="0.3" footer="0.3"/>
  <headerFooter>
    <oddHeader>&amp;L&amp;"DB Neo Office"&amp;11&amp;KEC0016           DB Intern / DB internal&amp;1#_x000D_</oddHead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067FB-76CB-49C9-BB03-BD82F9E78C3B}">
  <sheetPr>
    <tabColor theme="4"/>
  </sheetPr>
  <dimension ref="A1:K197"/>
  <sheetViews>
    <sheetView workbookViewId="0">
      <selection activeCell="H63" sqref="H63"/>
    </sheetView>
  </sheetViews>
  <sheetFormatPr baseColWidth="10" defaultColWidth="11.42578125" defaultRowHeight="15"/>
  <cols>
    <col min="1" max="1" width="7.140625" bestFit="1" customWidth="1"/>
    <col min="2" max="2" width="37.42578125" bestFit="1" customWidth="1"/>
    <col min="3" max="3" width="24.42578125" bestFit="1" customWidth="1"/>
    <col min="4" max="5" width="8.42578125" customWidth="1"/>
    <col min="6" max="6" width="7.7109375" customWidth="1"/>
    <col min="7" max="7" width="58.42578125" style="1" customWidth="1"/>
    <col min="8" max="9" width="7.7109375" customWidth="1"/>
  </cols>
  <sheetData>
    <row r="1" spans="1:11" s="1" customFormat="1" ht="45">
      <c r="A1" s="61" t="s">
        <v>1208</v>
      </c>
      <c r="B1" s="61" t="s">
        <v>149</v>
      </c>
      <c r="C1" s="61" t="s">
        <v>16</v>
      </c>
      <c r="D1" s="61" t="s">
        <v>150</v>
      </c>
      <c r="E1" s="61" t="s">
        <v>151</v>
      </c>
      <c r="F1" s="61" t="s">
        <v>152</v>
      </c>
      <c r="G1" s="61" t="s">
        <v>1209</v>
      </c>
      <c r="H1" s="61" t="s">
        <v>1210</v>
      </c>
      <c r="I1" s="61" t="s">
        <v>1211</v>
      </c>
      <c r="J1" s="61" t="s">
        <v>1212</v>
      </c>
      <c r="K1" s="61" t="s">
        <v>1213</v>
      </c>
    </row>
    <row r="2" spans="1:11">
      <c r="A2" s="62" t="e" cm="1" vm="1">
        <f t="array" aca="1" ref="A2" ca="1">_xlfn._xlws.FILTER(Lose[LosID],Lose[Ziehung])</f>
        <v>#VALUE!</v>
      </c>
      <c r="B2" s="62" t="e" cm="1" vm="1">
        <f t="array" aca="1" ref="B2" ca="1">_xlfn._xlws.FILTER(IF(Lose[Google Adresse]="","",Lose[Google Adresse]),Lose[Ziehung])</f>
        <v>#VALUE!</v>
      </c>
      <c r="C2" s="62" t="e" cm="1" vm="1">
        <f t="array" aca="1" ref="C2" ca="1">_xlfn._xlws.FILTER(Lose[Bahnhof],Lose[Ziehung])</f>
        <v>#VALUE!</v>
      </c>
      <c r="D2" s="62" t="e" cm="1" vm="1">
        <f t="array" aca="1" ref="D2" ca="1">_xlfn._xlws.FILTER(Lose[Punkte Bahnhof],Lose[Ziehung])</f>
        <v>#VALUE!</v>
      </c>
      <c r="E2" s="62" t="e" cm="1" vm="1">
        <f t="array" aca="1" ref="E2" ca="1">_xlfn._xlws.FILTER(Lose[Punkte Aufgabe],Lose[Ziehung])</f>
        <v>#VALUE!</v>
      </c>
      <c r="F2" s="62" t="e" cm="1" vm="1">
        <f t="array" aca="1" ref="F2" ca="1">_xlfn._xlws.FILTER(Lose[Bonus-punkte],Lose[Ziehung])</f>
        <v>#VALUE!</v>
      </c>
      <c r="G2" s="63" t="e" cm="1" vm="1">
        <f t="array" aca="1" ref="G2" ca="1">_xlfn._xlws.FILTER(IF(Lose[Beschreibung]="","",Lose[Beschreibung]),Lose[Ziehung])</f>
        <v>#VALUE!</v>
      </c>
      <c r="H2" s="62" t="e" cm="1" vm="1">
        <f t="array" aca="1" ref="H2" ca="1">_xlfn._xlws.FILTER(IF(Lose[Gehzeit (min)]="","",Lose[Gehzeit (min)]*2+Lose[Aufgaben-zeit (min)]),Lose[Ziehung])</f>
        <v>#VALUE!</v>
      </c>
      <c r="I2" s="62" t="e" cm="1" vm="1">
        <f t="array" aca="1" ref="I2" ca="1">_xlfn._xlws.FILTER(IF(Lose[Distanz (km)]="","",Lose[Distanz (km)]),Lose[Ziehung])</f>
        <v>#VALUE!</v>
      </c>
      <c r="J2" s="62" t="e" cm="1" vm="1">
        <f t="array" aca="1" ref="J2" ca="1">_xlfn._xlws.FILTER(IF(Lose[Breitengrad Aufgabe]="","",Lose[Längengrad Aufgabe]),Lose[Ziehung])</f>
        <v>#VALUE!</v>
      </c>
      <c r="K2" s="62" t="e" cm="1" vm="1">
        <f t="array" aca="1" ref="K2" ca="1">_xlfn._xlws.FILTER(IF(Lose[Längengrad Aufgabe]="","",Lose[Längengrad Aufgabe]),Lose[Ziehung])</f>
        <v>#VALUE!</v>
      </c>
    </row>
    <row r="3" spans="1:11">
      <c r="A3" s="62"/>
      <c r="B3" s="62"/>
      <c r="C3" s="62"/>
      <c r="D3" s="62"/>
      <c r="E3" s="62"/>
      <c r="F3" s="62"/>
      <c r="G3" s="63"/>
      <c r="H3" s="62"/>
      <c r="I3" s="62"/>
      <c r="J3" s="62"/>
      <c r="K3" s="62"/>
    </row>
    <row r="4" spans="1:11">
      <c r="A4" s="62"/>
      <c r="B4" s="62"/>
      <c r="C4" s="62"/>
      <c r="D4" s="62"/>
      <c r="E4" s="62"/>
      <c r="F4" s="62"/>
      <c r="G4" s="63"/>
      <c r="H4" s="62"/>
      <c r="I4" s="62"/>
      <c r="J4" s="62"/>
      <c r="K4" s="62"/>
    </row>
    <row r="5" spans="1:11">
      <c r="A5" s="62"/>
      <c r="B5" s="62"/>
      <c r="C5" s="62"/>
      <c r="D5" s="62"/>
      <c r="E5" s="62"/>
      <c r="F5" s="62"/>
      <c r="G5" s="63"/>
      <c r="H5" s="62"/>
      <c r="I5" s="62"/>
      <c r="J5" s="62"/>
      <c r="K5" s="62"/>
    </row>
    <row r="6" spans="1:11">
      <c r="A6" s="62"/>
      <c r="B6" s="62"/>
      <c r="C6" s="62"/>
      <c r="D6" s="62"/>
      <c r="E6" s="62"/>
      <c r="F6" s="62"/>
      <c r="G6" s="63"/>
      <c r="H6" s="62"/>
      <c r="I6" s="62"/>
      <c r="J6" s="62"/>
      <c r="K6" s="62"/>
    </row>
    <row r="7" spans="1:11">
      <c r="A7" s="62"/>
      <c r="B7" s="62"/>
      <c r="C7" s="62"/>
      <c r="D7" s="62"/>
      <c r="E7" s="62"/>
      <c r="F7" s="62"/>
      <c r="G7" s="63"/>
      <c r="H7" s="62"/>
      <c r="I7" s="62"/>
      <c r="J7" s="62"/>
      <c r="K7" s="62"/>
    </row>
    <row r="8" spans="1:11">
      <c r="A8" s="62"/>
      <c r="B8" s="62"/>
      <c r="C8" s="62"/>
      <c r="D8" s="62"/>
      <c r="E8" s="62"/>
      <c r="F8" s="62"/>
      <c r="G8" s="63"/>
      <c r="H8" s="62"/>
      <c r="I8" s="62"/>
      <c r="J8" s="62"/>
      <c r="K8" s="62"/>
    </row>
    <row r="9" spans="1:11">
      <c r="A9" s="62"/>
      <c r="B9" s="62"/>
      <c r="C9" s="62"/>
      <c r="D9" s="62"/>
      <c r="E9" s="62"/>
      <c r="F9" s="62"/>
      <c r="G9" s="63"/>
      <c r="H9" s="62"/>
      <c r="I9" s="62"/>
      <c r="J9" s="62"/>
      <c r="K9" s="62"/>
    </row>
    <row r="10" spans="1:11">
      <c r="A10" s="62"/>
      <c r="B10" s="62"/>
      <c r="C10" s="62"/>
      <c r="D10" s="62"/>
      <c r="E10" s="62"/>
      <c r="F10" s="62"/>
      <c r="G10" s="63"/>
      <c r="H10" s="62"/>
      <c r="I10" s="62"/>
      <c r="J10" s="62"/>
      <c r="K10" s="62"/>
    </row>
    <row r="11" spans="1:11">
      <c r="A11" s="62"/>
      <c r="B11" s="62"/>
      <c r="C11" s="62"/>
      <c r="D11" s="62"/>
      <c r="E11" s="62"/>
      <c r="F11" s="62"/>
      <c r="G11" s="63"/>
      <c r="H11" s="62"/>
      <c r="I11" s="62"/>
      <c r="J11" s="62"/>
      <c r="K11" s="62"/>
    </row>
    <row r="12" spans="1:11">
      <c r="A12" s="62"/>
      <c r="B12" s="62"/>
      <c r="C12" s="62"/>
      <c r="D12" s="62"/>
      <c r="E12" s="62"/>
      <c r="F12" s="62"/>
      <c r="G12" s="63"/>
      <c r="H12" s="62"/>
      <c r="I12" s="62"/>
      <c r="J12" s="62"/>
      <c r="K12" s="62"/>
    </row>
    <row r="13" spans="1:11">
      <c r="A13" s="62"/>
      <c r="B13" s="62"/>
      <c r="C13" s="62"/>
      <c r="D13" s="62"/>
      <c r="E13" s="62"/>
      <c r="F13" s="62"/>
      <c r="G13" s="63"/>
      <c r="H13" s="62"/>
      <c r="I13" s="62"/>
      <c r="J13" s="62"/>
      <c r="K13" s="62"/>
    </row>
    <row r="14" spans="1:11">
      <c r="A14" s="62"/>
      <c r="B14" s="62"/>
      <c r="C14" s="62"/>
      <c r="D14" s="62"/>
      <c r="E14" s="62"/>
      <c r="F14" s="62"/>
      <c r="G14" s="63"/>
      <c r="H14" s="62"/>
      <c r="I14" s="62"/>
      <c r="J14" s="62"/>
      <c r="K14" s="62"/>
    </row>
    <row r="15" spans="1:11">
      <c r="A15" s="62"/>
      <c r="B15" s="62"/>
      <c r="C15" s="62"/>
      <c r="D15" s="62"/>
      <c r="E15" s="62"/>
      <c r="F15" s="62"/>
      <c r="G15" s="63"/>
      <c r="H15" s="62"/>
      <c r="I15" s="62"/>
      <c r="J15" s="62"/>
      <c r="K15" s="62"/>
    </row>
    <row r="16" spans="1:11">
      <c r="A16" s="62"/>
      <c r="B16" s="62"/>
      <c r="C16" s="62"/>
      <c r="D16" s="62"/>
      <c r="E16" s="62"/>
      <c r="F16" s="62"/>
      <c r="G16" s="63"/>
      <c r="H16" s="62"/>
      <c r="I16" s="62"/>
      <c r="J16" s="62"/>
      <c r="K16" s="62"/>
    </row>
    <row r="17" spans="1:11">
      <c r="A17" s="62"/>
      <c r="B17" s="62"/>
      <c r="C17" s="62"/>
      <c r="D17" s="62"/>
      <c r="E17" s="62"/>
      <c r="F17" s="62"/>
      <c r="G17" s="63"/>
      <c r="H17" s="62"/>
      <c r="I17" s="62"/>
      <c r="J17" s="62"/>
      <c r="K17" s="62"/>
    </row>
    <row r="18" spans="1:11">
      <c r="A18" s="62"/>
      <c r="B18" s="62"/>
      <c r="C18" s="62"/>
      <c r="D18" s="62"/>
      <c r="E18" s="62"/>
      <c r="F18" s="62"/>
      <c r="G18" s="63"/>
      <c r="H18" s="62"/>
      <c r="I18" s="62"/>
      <c r="J18" s="62"/>
      <c r="K18" s="62"/>
    </row>
    <row r="19" spans="1:11">
      <c r="A19" s="62"/>
      <c r="B19" s="62"/>
      <c r="C19" s="62"/>
      <c r="D19" s="62"/>
      <c r="E19" s="62"/>
      <c r="F19" s="62"/>
      <c r="G19" s="63"/>
      <c r="H19" s="62"/>
      <c r="I19" s="62"/>
      <c r="J19" s="62"/>
      <c r="K19" s="62"/>
    </row>
    <row r="20" spans="1:11">
      <c r="A20" s="62"/>
      <c r="B20" s="62"/>
      <c r="C20" s="62"/>
      <c r="D20" s="62"/>
      <c r="E20" s="62"/>
      <c r="F20" s="62"/>
      <c r="G20" s="63"/>
      <c r="H20" s="62"/>
      <c r="I20" s="62"/>
      <c r="J20" s="62"/>
      <c r="K20" s="62"/>
    </row>
    <row r="21" spans="1:11">
      <c r="A21" s="62"/>
      <c r="B21" s="62"/>
      <c r="C21" s="62"/>
      <c r="D21" s="62"/>
      <c r="E21" s="62"/>
      <c r="F21" s="62"/>
      <c r="G21" s="63"/>
      <c r="H21" s="62"/>
      <c r="I21" s="62"/>
      <c r="J21" s="62"/>
      <c r="K21" s="62"/>
    </row>
    <row r="22" spans="1:11">
      <c r="A22" s="62"/>
      <c r="B22" s="62"/>
      <c r="C22" s="62"/>
      <c r="D22" s="62"/>
      <c r="E22" s="62"/>
      <c r="F22" s="62"/>
      <c r="G22" s="63"/>
      <c r="H22" s="62"/>
      <c r="I22" s="62"/>
      <c r="J22" s="62"/>
      <c r="K22" s="62"/>
    </row>
    <row r="23" spans="1:11">
      <c r="A23" s="62"/>
      <c r="B23" s="62"/>
      <c r="C23" s="62"/>
      <c r="D23" s="62"/>
      <c r="E23" s="62"/>
      <c r="F23" s="62"/>
      <c r="G23" s="63"/>
      <c r="H23" s="62"/>
      <c r="I23" s="62"/>
      <c r="J23" s="62"/>
      <c r="K23" s="62"/>
    </row>
    <row r="24" spans="1:11">
      <c r="A24" s="62"/>
      <c r="B24" s="62"/>
      <c r="C24" s="62"/>
      <c r="D24" s="62"/>
      <c r="E24" s="62"/>
      <c r="F24" s="62"/>
      <c r="G24" s="63"/>
      <c r="H24" s="62"/>
      <c r="I24" s="62"/>
      <c r="J24" s="62"/>
      <c r="K24" s="62"/>
    </row>
    <row r="25" spans="1:11">
      <c r="A25" s="62"/>
      <c r="B25" s="62"/>
      <c r="C25" s="62"/>
      <c r="D25" s="62"/>
      <c r="E25" s="62"/>
      <c r="F25" s="62"/>
      <c r="G25" s="63"/>
      <c r="H25" s="62"/>
      <c r="I25" s="62"/>
      <c r="J25" s="62"/>
      <c r="K25" s="62"/>
    </row>
    <row r="26" spans="1:11">
      <c r="A26" s="62"/>
      <c r="B26" s="62"/>
      <c r="C26" s="62"/>
      <c r="D26" s="62"/>
      <c r="E26" s="62"/>
      <c r="F26" s="62"/>
      <c r="G26" s="63"/>
      <c r="H26" s="62"/>
      <c r="I26" s="62"/>
      <c r="J26" s="62"/>
      <c r="K26" s="62"/>
    </row>
    <row r="27" spans="1:11">
      <c r="A27" s="62"/>
      <c r="B27" s="62"/>
      <c r="C27" s="62"/>
      <c r="D27" s="62"/>
      <c r="E27" s="62"/>
      <c r="F27" s="62"/>
      <c r="G27" s="63"/>
      <c r="H27" s="62"/>
      <c r="I27" s="62"/>
      <c r="J27" s="62"/>
      <c r="K27" s="62"/>
    </row>
    <row r="28" spans="1:11">
      <c r="A28" s="62"/>
      <c r="B28" s="62"/>
      <c r="C28" s="62"/>
      <c r="D28" s="62"/>
      <c r="E28" s="62"/>
      <c r="F28" s="62"/>
      <c r="G28" s="63"/>
      <c r="H28" s="62"/>
      <c r="I28" s="62"/>
      <c r="J28" s="62"/>
      <c r="K28" s="62"/>
    </row>
    <row r="29" spans="1:11">
      <c r="A29" s="62"/>
      <c r="B29" s="62"/>
      <c r="C29" s="62"/>
      <c r="D29" s="62"/>
      <c r="E29" s="62"/>
      <c r="F29" s="62"/>
      <c r="G29" s="63"/>
      <c r="H29" s="62"/>
      <c r="I29" s="62"/>
      <c r="J29" s="62"/>
      <c r="K29" s="62"/>
    </row>
    <row r="30" spans="1:11">
      <c r="A30" s="62"/>
      <c r="B30" s="62"/>
      <c r="C30" s="62"/>
      <c r="D30" s="62"/>
      <c r="E30" s="62"/>
      <c r="F30" s="62"/>
      <c r="G30" s="63"/>
      <c r="H30" s="62"/>
      <c r="I30" s="62"/>
      <c r="J30" s="62"/>
      <c r="K30" s="62"/>
    </row>
    <row r="31" spans="1:11">
      <c r="A31" s="62"/>
      <c r="B31" s="62"/>
      <c r="C31" s="62"/>
      <c r="D31" s="62"/>
      <c r="E31" s="62"/>
      <c r="F31" s="62"/>
      <c r="G31" s="63"/>
      <c r="H31" s="62"/>
      <c r="I31" s="62"/>
      <c r="J31" s="62"/>
      <c r="K31" s="62"/>
    </row>
    <row r="32" spans="1:11">
      <c r="A32" s="62"/>
      <c r="B32" s="62"/>
      <c r="C32" s="62"/>
      <c r="D32" s="62"/>
      <c r="E32" s="62"/>
      <c r="F32" s="62"/>
      <c r="G32" s="63"/>
      <c r="H32" s="62"/>
      <c r="I32" s="62"/>
      <c r="J32" s="62"/>
      <c r="K32" s="62"/>
    </row>
    <row r="33" spans="1:11">
      <c r="A33" s="62"/>
      <c r="B33" s="62"/>
      <c r="C33" s="62"/>
      <c r="D33" s="62"/>
      <c r="E33" s="62"/>
      <c r="F33" s="62"/>
      <c r="G33" s="63"/>
      <c r="H33" s="62"/>
      <c r="I33" s="62"/>
      <c r="J33" s="62"/>
      <c r="K33" s="62"/>
    </row>
    <row r="34" spans="1:11">
      <c r="A34" s="62"/>
      <c r="B34" s="62"/>
      <c r="C34" s="62"/>
      <c r="D34" s="62"/>
      <c r="E34" s="62"/>
      <c r="F34" s="62"/>
      <c r="G34" s="63"/>
      <c r="H34" s="62"/>
      <c r="I34" s="62"/>
      <c r="J34" s="62"/>
      <c r="K34" s="62"/>
    </row>
    <row r="35" spans="1:11">
      <c r="A35" s="62"/>
      <c r="B35" s="62"/>
      <c r="C35" s="62"/>
      <c r="D35" s="62"/>
      <c r="E35" s="62"/>
      <c r="F35" s="62"/>
      <c r="G35" s="63"/>
      <c r="H35" s="62"/>
      <c r="I35" s="62"/>
      <c r="J35" s="62"/>
      <c r="K35" s="62"/>
    </row>
    <row r="36" spans="1:11">
      <c r="A36" s="62"/>
      <c r="B36" s="62"/>
      <c r="C36" s="62"/>
      <c r="D36" s="62"/>
      <c r="E36" s="62"/>
      <c r="F36" s="62"/>
      <c r="G36" s="63"/>
      <c r="H36" s="62"/>
      <c r="I36" s="62"/>
      <c r="J36" s="62"/>
      <c r="K36" s="62"/>
    </row>
    <row r="37" spans="1:11">
      <c r="A37" s="62"/>
      <c r="B37" s="62"/>
      <c r="C37" s="62"/>
      <c r="D37" s="62"/>
      <c r="E37" s="62"/>
      <c r="F37" s="62"/>
      <c r="G37" s="63"/>
      <c r="H37" s="62"/>
      <c r="I37" s="62"/>
      <c r="J37" s="62"/>
      <c r="K37" s="62"/>
    </row>
    <row r="38" spans="1:11">
      <c r="A38" s="62"/>
      <c r="B38" s="62"/>
      <c r="C38" s="62"/>
      <c r="D38" s="62"/>
      <c r="E38" s="62"/>
      <c r="F38" s="62"/>
      <c r="G38" s="63"/>
      <c r="H38" s="62"/>
      <c r="I38" s="62"/>
      <c r="J38" s="62"/>
      <c r="K38" s="62"/>
    </row>
    <row r="39" spans="1:11">
      <c r="A39" s="62"/>
      <c r="B39" s="62"/>
      <c r="C39" s="62"/>
      <c r="D39" s="62"/>
      <c r="E39" s="62"/>
      <c r="F39" s="62"/>
      <c r="G39" s="63"/>
      <c r="H39" s="62"/>
      <c r="I39" s="62"/>
      <c r="J39" s="62"/>
      <c r="K39" s="62"/>
    </row>
    <row r="40" spans="1:11">
      <c r="A40" s="62"/>
      <c r="B40" s="62"/>
      <c r="C40" s="62"/>
      <c r="D40" s="62"/>
      <c r="E40" s="62"/>
      <c r="F40" s="62"/>
      <c r="G40" s="63"/>
      <c r="H40" s="62"/>
      <c r="I40" s="62"/>
      <c r="J40" s="62"/>
      <c r="K40" s="62"/>
    </row>
    <row r="41" spans="1:11">
      <c r="A41" s="62"/>
      <c r="B41" s="62"/>
      <c r="C41" s="62"/>
      <c r="D41" s="62"/>
      <c r="E41" s="62"/>
      <c r="F41" s="62"/>
      <c r="G41" s="63"/>
      <c r="H41" s="62"/>
      <c r="I41" s="62"/>
      <c r="J41" s="62"/>
      <c r="K41" s="62"/>
    </row>
    <row r="42" spans="1:11">
      <c r="A42" s="62"/>
      <c r="B42" s="62"/>
      <c r="C42" s="62"/>
      <c r="D42" s="62"/>
      <c r="E42" s="62"/>
      <c r="F42" s="62"/>
      <c r="G42" s="63"/>
      <c r="H42" s="62"/>
      <c r="I42" s="62"/>
      <c r="J42" s="62"/>
      <c r="K42" s="62"/>
    </row>
    <row r="43" spans="1:11">
      <c r="A43" s="62"/>
      <c r="B43" s="62"/>
      <c r="C43" s="62"/>
      <c r="D43" s="62"/>
      <c r="E43" s="62"/>
      <c r="F43" s="62"/>
      <c r="G43" s="63"/>
      <c r="H43" s="62"/>
      <c r="I43" s="62"/>
      <c r="J43" s="62"/>
      <c r="K43" s="62"/>
    </row>
    <row r="44" spans="1:11">
      <c r="A44" s="62"/>
      <c r="B44" s="62"/>
      <c r="C44" s="62"/>
      <c r="D44" s="62"/>
      <c r="E44" s="62"/>
      <c r="F44" s="62"/>
      <c r="G44" s="63"/>
      <c r="H44" s="62"/>
      <c r="I44" s="62"/>
      <c r="J44" s="62"/>
      <c r="K44" s="62"/>
    </row>
    <row r="45" spans="1:11">
      <c r="A45" s="62"/>
      <c r="B45" s="62"/>
      <c r="C45" s="62"/>
      <c r="D45" s="62"/>
      <c r="E45" s="62"/>
      <c r="F45" s="62"/>
      <c r="G45" s="63"/>
      <c r="H45" s="62"/>
      <c r="I45" s="62"/>
      <c r="J45" s="62"/>
      <c r="K45" s="62"/>
    </row>
    <row r="46" spans="1:11">
      <c r="A46" s="62"/>
      <c r="B46" s="62"/>
      <c r="C46" s="62"/>
      <c r="D46" s="62"/>
      <c r="E46" s="62"/>
      <c r="F46" s="62"/>
      <c r="G46" s="63"/>
      <c r="H46" s="62"/>
      <c r="I46" s="62"/>
      <c r="J46" s="62"/>
      <c r="K46" s="62"/>
    </row>
    <row r="47" spans="1:11">
      <c r="A47" s="62"/>
      <c r="B47" s="62"/>
      <c r="C47" s="62"/>
      <c r="D47" s="62"/>
      <c r="E47" s="62"/>
      <c r="F47" s="62"/>
      <c r="G47" s="63"/>
      <c r="H47" s="62"/>
      <c r="I47" s="62"/>
      <c r="J47" s="62"/>
      <c r="K47" s="62"/>
    </row>
    <row r="48" spans="1:11">
      <c r="A48" s="62"/>
      <c r="B48" s="62"/>
      <c r="C48" s="62"/>
      <c r="D48" s="62"/>
      <c r="E48" s="62"/>
      <c r="F48" s="62"/>
      <c r="G48" s="63"/>
      <c r="H48" s="62"/>
      <c r="I48" s="62"/>
      <c r="J48" s="62"/>
      <c r="K48" s="62"/>
    </row>
    <row r="49" spans="1:11">
      <c r="A49" s="62"/>
      <c r="B49" s="62"/>
      <c r="C49" s="62"/>
      <c r="D49" s="62"/>
      <c r="E49" s="62"/>
      <c r="F49" s="62"/>
      <c r="G49" s="63"/>
      <c r="H49" s="62"/>
      <c r="I49" s="62"/>
      <c r="J49" s="62"/>
      <c r="K49" s="62"/>
    </row>
    <row r="50" spans="1:11">
      <c r="A50" s="62"/>
      <c r="B50" s="62"/>
      <c r="C50" s="62"/>
      <c r="D50" s="62"/>
      <c r="E50" s="62"/>
      <c r="F50" s="62"/>
      <c r="G50" s="63"/>
      <c r="H50" s="62"/>
      <c r="I50" s="62"/>
      <c r="J50" s="62"/>
      <c r="K50" s="62"/>
    </row>
    <row r="51" spans="1:11">
      <c r="A51" s="62"/>
      <c r="B51" s="62"/>
      <c r="C51" s="62"/>
      <c r="D51" s="62"/>
      <c r="E51" s="62"/>
      <c r="F51" s="62"/>
      <c r="G51" s="63"/>
      <c r="H51" s="62"/>
      <c r="I51" s="62"/>
      <c r="J51" s="62"/>
      <c r="K51" s="62"/>
    </row>
    <row r="52" spans="1:11">
      <c r="A52" s="62"/>
      <c r="B52" s="62"/>
      <c r="C52" s="62"/>
      <c r="D52" s="62"/>
      <c r="E52" s="62"/>
      <c r="F52" s="62"/>
      <c r="G52" s="63"/>
      <c r="H52" s="62"/>
      <c r="I52" s="62"/>
      <c r="J52" s="62"/>
      <c r="K52" s="62"/>
    </row>
    <row r="53" spans="1:11">
      <c r="A53" s="62"/>
      <c r="B53" s="62"/>
      <c r="C53" s="62"/>
      <c r="D53" s="62"/>
      <c r="E53" s="62"/>
      <c r="F53" s="62"/>
      <c r="G53" s="63"/>
      <c r="H53" s="62"/>
      <c r="I53" s="62"/>
      <c r="J53" s="62"/>
      <c r="K53" s="62"/>
    </row>
    <row r="54" spans="1:11">
      <c r="A54" s="62"/>
      <c r="B54" s="62"/>
      <c r="C54" s="62"/>
      <c r="D54" s="62"/>
      <c r="E54" s="62"/>
      <c r="F54" s="62"/>
      <c r="G54" s="63"/>
      <c r="H54" s="62"/>
      <c r="I54" s="62"/>
      <c r="J54" s="62"/>
      <c r="K54" s="62"/>
    </row>
    <row r="55" spans="1:11">
      <c r="A55" s="62"/>
      <c r="B55" s="62"/>
      <c r="C55" s="62"/>
      <c r="D55" s="62"/>
      <c r="E55" s="62"/>
      <c r="F55" s="62"/>
      <c r="G55" s="63"/>
      <c r="H55" s="62"/>
      <c r="I55" s="62"/>
      <c r="J55" s="62"/>
      <c r="K55" s="62"/>
    </row>
    <row r="56" spans="1:11">
      <c r="A56" s="62"/>
      <c r="B56" s="62"/>
      <c r="C56" s="62"/>
      <c r="D56" s="62"/>
      <c r="E56" s="62"/>
      <c r="F56" s="62"/>
      <c r="G56" s="63"/>
      <c r="H56" s="62"/>
      <c r="I56" s="62"/>
      <c r="J56" s="62"/>
      <c r="K56" s="62"/>
    </row>
    <row r="57" spans="1:11">
      <c r="A57" s="62"/>
      <c r="B57" s="62"/>
      <c r="C57" s="62"/>
      <c r="D57" s="62"/>
      <c r="E57" s="62"/>
      <c r="F57" s="62"/>
      <c r="G57" s="63"/>
      <c r="H57" s="62"/>
      <c r="I57" s="62"/>
      <c r="J57" s="62"/>
      <c r="K57" s="62"/>
    </row>
    <row r="58" spans="1:11">
      <c r="A58" s="62"/>
      <c r="B58" s="62"/>
      <c r="C58" s="62"/>
      <c r="D58" s="62"/>
      <c r="E58" s="62"/>
      <c r="F58" s="62"/>
      <c r="G58" s="63"/>
      <c r="H58" s="62"/>
      <c r="I58" s="62"/>
      <c r="J58" s="62"/>
      <c r="K58" s="62"/>
    </row>
    <row r="59" spans="1:11">
      <c r="A59" s="62"/>
      <c r="B59" s="62"/>
      <c r="C59" s="62"/>
      <c r="D59" s="62"/>
      <c r="E59" s="62"/>
      <c r="F59" s="62"/>
      <c r="G59" s="63"/>
      <c r="H59" s="62"/>
      <c r="I59" s="62"/>
      <c r="J59" s="62"/>
      <c r="K59" s="62"/>
    </row>
    <row r="60" spans="1:11">
      <c r="A60" s="62"/>
      <c r="B60" s="62"/>
      <c r="C60" s="62"/>
      <c r="D60" s="62"/>
      <c r="E60" s="62"/>
      <c r="F60" s="62"/>
      <c r="G60" s="63"/>
      <c r="H60" s="62"/>
      <c r="I60" s="62"/>
      <c r="J60" s="62"/>
      <c r="K60" s="62"/>
    </row>
    <row r="61" spans="1:11">
      <c r="A61" s="62"/>
      <c r="B61" s="62"/>
      <c r="C61" s="62"/>
      <c r="D61" s="62"/>
      <c r="E61" s="62"/>
      <c r="F61" s="62"/>
      <c r="G61" s="63"/>
      <c r="H61" s="62"/>
      <c r="I61" s="62"/>
      <c r="J61" s="62"/>
      <c r="K61" s="62"/>
    </row>
    <row r="62" spans="1:11">
      <c r="A62" s="62"/>
      <c r="B62" s="62"/>
      <c r="C62" s="62"/>
      <c r="D62" s="62"/>
      <c r="E62" s="62"/>
      <c r="F62" s="62"/>
      <c r="G62" s="63"/>
      <c r="H62" s="62"/>
      <c r="I62" s="62"/>
      <c r="J62" s="62"/>
      <c r="K62" s="62"/>
    </row>
    <row r="63" spans="1:11">
      <c r="A63" s="62"/>
      <c r="B63" s="62"/>
      <c r="C63" s="62"/>
      <c r="D63" s="62"/>
      <c r="E63" s="62"/>
      <c r="F63" s="62"/>
      <c r="G63" s="63"/>
      <c r="H63" s="62"/>
      <c r="I63" s="62"/>
      <c r="J63" s="62"/>
      <c r="K63" s="62"/>
    </row>
    <row r="64" spans="1:11">
      <c r="A64" s="62"/>
      <c r="B64" s="62"/>
      <c r="C64" s="62"/>
      <c r="D64" s="62"/>
      <c r="E64" s="62"/>
      <c r="F64" s="62"/>
      <c r="G64" s="63"/>
      <c r="H64" s="62"/>
      <c r="I64" s="62"/>
      <c r="J64" s="62"/>
      <c r="K64" s="62"/>
    </row>
    <row r="65" spans="1:11">
      <c r="A65" s="62"/>
      <c r="B65" s="62"/>
      <c r="C65" s="62"/>
      <c r="D65" s="62"/>
      <c r="E65" s="62"/>
      <c r="F65" s="62"/>
      <c r="G65" s="63"/>
      <c r="H65" s="62"/>
      <c r="I65" s="62"/>
      <c r="J65" s="62"/>
      <c r="K65" s="62"/>
    </row>
    <row r="66" spans="1:11">
      <c r="A66" s="62"/>
      <c r="B66" s="62"/>
      <c r="C66" s="62"/>
      <c r="D66" s="62"/>
      <c r="E66" s="62"/>
      <c r="F66" s="62"/>
      <c r="G66" s="63"/>
      <c r="H66" s="62"/>
      <c r="I66" s="62"/>
      <c r="J66" s="62"/>
      <c r="K66" s="62"/>
    </row>
    <row r="67" spans="1:11">
      <c r="A67" s="62"/>
      <c r="B67" s="62"/>
      <c r="C67" s="62"/>
      <c r="D67" s="62"/>
      <c r="E67" s="62"/>
      <c r="F67" s="62"/>
      <c r="G67" s="63"/>
      <c r="H67" s="62"/>
      <c r="I67" s="62"/>
      <c r="J67" s="62"/>
      <c r="K67" s="62"/>
    </row>
    <row r="68" spans="1:11">
      <c r="A68" s="62"/>
      <c r="B68" s="62"/>
      <c r="C68" s="62"/>
      <c r="D68" s="62"/>
      <c r="E68" s="62"/>
      <c r="F68" s="62"/>
      <c r="G68" s="63"/>
      <c r="H68" s="62"/>
      <c r="I68" s="62"/>
      <c r="J68" s="62"/>
      <c r="K68" s="62"/>
    </row>
    <row r="69" spans="1:11">
      <c r="A69" s="62"/>
      <c r="B69" s="62"/>
      <c r="C69" s="62"/>
      <c r="D69" s="62"/>
      <c r="E69" s="62"/>
      <c r="F69" s="62"/>
      <c r="G69" s="63"/>
      <c r="H69" s="62"/>
      <c r="I69" s="62"/>
      <c r="J69" s="62"/>
      <c r="K69" s="62"/>
    </row>
    <row r="70" spans="1:11">
      <c r="A70" s="62"/>
      <c r="B70" s="62"/>
      <c r="C70" s="62"/>
      <c r="D70" s="62"/>
      <c r="E70" s="62"/>
      <c r="F70" s="62"/>
      <c r="G70" s="63"/>
      <c r="H70" s="62"/>
      <c r="I70" s="62"/>
      <c r="J70" s="62"/>
      <c r="K70" s="62"/>
    </row>
    <row r="71" spans="1:11">
      <c r="A71" s="62"/>
      <c r="B71" s="62"/>
      <c r="C71" s="62"/>
      <c r="D71" s="62"/>
      <c r="E71" s="62"/>
      <c r="F71" s="62"/>
      <c r="G71" s="63"/>
      <c r="H71" s="62"/>
      <c r="I71" s="62"/>
      <c r="J71" s="62"/>
      <c r="K71" s="62"/>
    </row>
    <row r="72" spans="1:11">
      <c r="A72" s="62"/>
      <c r="B72" s="62"/>
      <c r="C72" s="62"/>
      <c r="D72" s="62"/>
      <c r="E72" s="62"/>
      <c r="F72" s="62"/>
      <c r="G72" s="63"/>
      <c r="H72" s="62"/>
      <c r="I72" s="62"/>
      <c r="J72" s="62"/>
      <c r="K72" s="62"/>
    </row>
    <row r="73" spans="1:11">
      <c r="A73" s="62"/>
      <c r="B73" s="62"/>
      <c r="C73" s="62"/>
      <c r="D73" s="62"/>
      <c r="E73" s="62"/>
      <c r="F73" s="62"/>
      <c r="G73" s="63"/>
      <c r="H73" s="62"/>
      <c r="I73" s="62"/>
      <c r="J73" s="62"/>
      <c r="K73" s="62"/>
    </row>
    <row r="74" spans="1:11">
      <c r="A74" s="62"/>
      <c r="B74" s="62"/>
      <c r="C74" s="62"/>
      <c r="D74" s="62"/>
      <c r="E74" s="62"/>
      <c r="F74" s="62"/>
      <c r="G74" s="63"/>
      <c r="H74" s="62"/>
      <c r="I74" s="62"/>
      <c r="J74" s="62"/>
      <c r="K74" s="62"/>
    </row>
    <row r="75" spans="1:11">
      <c r="A75" s="62"/>
      <c r="B75" s="62"/>
      <c r="C75" s="62"/>
      <c r="D75" s="62"/>
      <c r="E75" s="62"/>
      <c r="F75" s="62"/>
      <c r="G75" s="63"/>
      <c r="H75" s="62"/>
      <c r="I75" s="62"/>
      <c r="J75" s="62"/>
      <c r="K75" s="62"/>
    </row>
    <row r="76" spans="1:11">
      <c r="A76" s="62"/>
      <c r="B76" s="62"/>
      <c r="C76" s="62"/>
      <c r="D76" s="62"/>
      <c r="E76" s="62"/>
      <c r="F76" s="62"/>
      <c r="G76" s="63"/>
      <c r="H76" s="62"/>
      <c r="I76" s="62"/>
      <c r="J76" s="62"/>
      <c r="K76" s="62"/>
    </row>
    <row r="77" spans="1:11">
      <c r="A77" s="62"/>
      <c r="B77" s="62"/>
      <c r="C77" s="62"/>
      <c r="D77" s="62"/>
      <c r="E77" s="62"/>
      <c r="F77" s="62"/>
      <c r="G77" s="63"/>
      <c r="H77" s="62"/>
      <c r="I77" s="62"/>
      <c r="J77" s="62"/>
      <c r="K77" s="62"/>
    </row>
    <row r="78" spans="1:11">
      <c r="A78" s="62"/>
      <c r="B78" s="62"/>
      <c r="C78" s="62"/>
      <c r="D78" s="62"/>
      <c r="E78" s="62"/>
      <c r="F78" s="62"/>
      <c r="G78" s="63"/>
      <c r="H78" s="62"/>
      <c r="I78" s="62"/>
      <c r="J78" s="62"/>
      <c r="K78" s="62"/>
    </row>
    <row r="79" spans="1:11">
      <c r="A79" s="62"/>
      <c r="B79" s="62"/>
      <c r="C79" s="62"/>
      <c r="D79" s="62"/>
      <c r="E79" s="62"/>
      <c r="F79" s="62"/>
      <c r="G79" s="63"/>
      <c r="H79" s="62"/>
      <c r="I79" s="62"/>
      <c r="J79" s="62"/>
      <c r="K79" s="62"/>
    </row>
    <row r="80" spans="1:11">
      <c r="A80" s="62"/>
      <c r="B80" s="62"/>
      <c r="C80" s="62"/>
      <c r="D80" s="62"/>
      <c r="E80" s="62"/>
      <c r="F80" s="62"/>
      <c r="G80" s="63"/>
      <c r="H80" s="62"/>
      <c r="I80" s="62"/>
      <c r="J80" s="62"/>
      <c r="K80" s="62"/>
    </row>
    <row r="81" spans="1:11">
      <c r="A81" s="62"/>
      <c r="B81" s="62"/>
      <c r="C81" s="62"/>
      <c r="D81" s="62"/>
      <c r="E81" s="62"/>
      <c r="F81" s="62"/>
      <c r="G81" s="63"/>
      <c r="H81" s="62"/>
      <c r="I81" s="62"/>
      <c r="J81" s="62"/>
      <c r="K81" s="62"/>
    </row>
    <row r="82" spans="1:11">
      <c r="A82" s="62"/>
      <c r="B82" s="62"/>
      <c r="C82" s="62"/>
      <c r="D82" s="62"/>
      <c r="E82" s="62"/>
      <c r="F82" s="62"/>
      <c r="G82" s="63"/>
      <c r="H82" s="62"/>
      <c r="I82" s="62"/>
      <c r="J82" s="62"/>
      <c r="K82" s="62"/>
    </row>
    <row r="83" spans="1:11">
      <c r="A83" s="62"/>
      <c r="B83" s="62"/>
      <c r="C83" s="62"/>
      <c r="D83" s="62"/>
      <c r="E83" s="62"/>
      <c r="F83" s="62"/>
      <c r="G83" s="63"/>
      <c r="H83" s="62"/>
      <c r="I83" s="62"/>
      <c r="J83" s="62"/>
      <c r="K83" s="62"/>
    </row>
    <row r="84" spans="1:11">
      <c r="A84" s="62"/>
      <c r="B84" s="62"/>
      <c r="C84" s="62"/>
      <c r="D84" s="62"/>
      <c r="E84" s="62"/>
      <c r="F84" s="62"/>
      <c r="G84" s="63"/>
      <c r="H84" s="62"/>
      <c r="I84" s="62"/>
      <c r="J84" s="62"/>
      <c r="K84" s="62"/>
    </row>
    <row r="85" spans="1:11">
      <c r="A85" s="62"/>
      <c r="B85" s="62"/>
      <c r="C85" s="62"/>
      <c r="D85" s="62"/>
      <c r="E85" s="62"/>
      <c r="F85" s="62"/>
      <c r="G85" s="63"/>
      <c r="H85" s="62"/>
      <c r="I85" s="62"/>
      <c r="J85" s="62"/>
      <c r="K85" s="62"/>
    </row>
    <row r="86" spans="1:11">
      <c r="A86" s="62"/>
      <c r="B86" s="62"/>
      <c r="C86" s="62"/>
      <c r="D86" s="62"/>
      <c r="E86" s="62"/>
      <c r="F86" s="62"/>
      <c r="G86" s="63"/>
      <c r="H86" s="62"/>
      <c r="I86" s="62"/>
      <c r="J86" s="62"/>
      <c r="K86" s="62"/>
    </row>
    <row r="87" spans="1:11">
      <c r="A87" s="62"/>
      <c r="B87" s="62"/>
      <c r="C87" s="62"/>
      <c r="D87" s="62"/>
      <c r="E87" s="62"/>
      <c r="F87" s="62"/>
      <c r="G87" s="63"/>
      <c r="H87" s="62"/>
      <c r="I87" s="62"/>
      <c r="J87" s="62"/>
      <c r="K87" s="62"/>
    </row>
    <row r="88" spans="1:11">
      <c r="A88" s="62"/>
      <c r="B88" s="62"/>
      <c r="C88" s="62"/>
      <c r="D88" s="62"/>
      <c r="E88" s="62"/>
      <c r="F88" s="62"/>
      <c r="G88" s="63"/>
      <c r="H88" s="62"/>
      <c r="I88" s="62"/>
      <c r="J88" s="62"/>
      <c r="K88" s="62"/>
    </row>
    <row r="89" spans="1:11">
      <c r="A89" s="62"/>
      <c r="B89" s="62"/>
      <c r="C89" s="62"/>
      <c r="D89" s="62"/>
      <c r="E89" s="62"/>
      <c r="F89" s="62"/>
      <c r="G89" s="63"/>
      <c r="H89" s="62"/>
      <c r="I89" s="62"/>
      <c r="J89" s="62"/>
      <c r="K89" s="62"/>
    </row>
    <row r="90" spans="1:11">
      <c r="A90" s="62"/>
      <c r="B90" s="62"/>
      <c r="C90" s="62"/>
      <c r="D90" s="62"/>
      <c r="E90" s="62"/>
      <c r="F90" s="62"/>
      <c r="G90" s="63"/>
      <c r="H90" s="62"/>
      <c r="I90" s="62"/>
      <c r="J90" s="62"/>
      <c r="K90" s="62"/>
    </row>
    <row r="91" spans="1:11">
      <c r="A91" s="62"/>
      <c r="B91" s="62"/>
      <c r="C91" s="62"/>
      <c r="D91" s="62"/>
      <c r="E91" s="62"/>
      <c r="F91" s="62"/>
      <c r="G91" s="63"/>
      <c r="H91" s="62"/>
      <c r="I91" s="62"/>
      <c r="J91" s="62"/>
      <c r="K91" s="62"/>
    </row>
    <row r="92" spans="1:11">
      <c r="A92" s="62"/>
      <c r="B92" s="62"/>
      <c r="C92" s="62"/>
      <c r="D92" s="62"/>
      <c r="E92" s="62"/>
      <c r="F92" s="62"/>
      <c r="G92" s="63"/>
      <c r="H92" s="62"/>
      <c r="I92" s="62"/>
      <c r="J92" s="62"/>
      <c r="K92" s="62"/>
    </row>
    <row r="93" spans="1:11">
      <c r="A93" s="62"/>
      <c r="B93" s="62"/>
      <c r="C93" s="62"/>
      <c r="D93" s="62"/>
      <c r="E93" s="62"/>
      <c r="F93" s="62"/>
      <c r="G93" s="63"/>
      <c r="H93" s="62"/>
      <c r="I93" s="62"/>
      <c r="J93" s="62"/>
      <c r="K93" s="62"/>
    </row>
    <row r="94" spans="1:11">
      <c r="A94" s="62"/>
      <c r="B94" s="62"/>
      <c r="C94" s="62"/>
      <c r="D94" s="62"/>
      <c r="E94" s="62"/>
      <c r="F94" s="62"/>
      <c r="G94" s="63"/>
      <c r="H94" s="62"/>
      <c r="I94" s="62"/>
      <c r="J94" s="62"/>
      <c r="K94" s="62"/>
    </row>
    <row r="95" spans="1:11">
      <c r="A95" s="62"/>
      <c r="B95" s="62"/>
      <c r="C95" s="62"/>
      <c r="D95" s="62"/>
      <c r="E95" s="62"/>
      <c r="F95" s="62"/>
      <c r="G95" s="63"/>
      <c r="H95" s="62"/>
      <c r="I95" s="62"/>
      <c r="J95" s="62"/>
      <c r="K95" s="62"/>
    </row>
    <row r="96" spans="1:11">
      <c r="A96" s="62"/>
      <c r="B96" s="62"/>
      <c r="C96" s="62"/>
      <c r="D96" s="62"/>
      <c r="E96" s="62"/>
      <c r="F96" s="62"/>
      <c r="G96" s="63"/>
      <c r="H96" s="62"/>
      <c r="I96" s="62"/>
      <c r="J96" s="62"/>
      <c r="K96" s="62"/>
    </row>
    <row r="97" spans="1:11">
      <c r="A97" s="62"/>
      <c r="B97" s="62"/>
      <c r="C97" s="62"/>
      <c r="D97" s="62"/>
      <c r="E97" s="62"/>
      <c r="F97" s="62"/>
      <c r="G97" s="63"/>
      <c r="H97" s="62"/>
      <c r="I97" s="62"/>
      <c r="J97" s="62"/>
      <c r="K97" s="62"/>
    </row>
    <row r="98" spans="1:11">
      <c r="A98" s="62"/>
      <c r="B98" s="62"/>
      <c r="C98" s="62"/>
      <c r="D98" s="62"/>
      <c r="E98" s="62"/>
      <c r="F98" s="62"/>
      <c r="G98" s="63"/>
      <c r="H98" s="62"/>
      <c r="I98" s="62"/>
      <c r="J98" s="62"/>
      <c r="K98" s="62"/>
    </row>
    <row r="99" spans="1:11">
      <c r="A99" s="62"/>
      <c r="B99" s="62"/>
      <c r="C99" s="62"/>
      <c r="D99" s="62"/>
      <c r="E99" s="62"/>
      <c r="F99" s="62"/>
      <c r="G99" s="63"/>
      <c r="H99" s="62"/>
      <c r="I99" s="62"/>
      <c r="J99" s="62"/>
      <c r="K99" s="62"/>
    </row>
    <row r="100" spans="1:11">
      <c r="A100" s="62"/>
      <c r="B100" s="62"/>
      <c r="C100" s="62"/>
      <c r="D100" s="62"/>
      <c r="E100" s="62"/>
      <c r="F100" s="62"/>
      <c r="G100" s="63"/>
      <c r="H100" s="62"/>
      <c r="I100" s="62"/>
      <c r="J100" s="62"/>
      <c r="K100" s="62"/>
    </row>
    <row r="101" spans="1:11">
      <c r="A101" s="62"/>
      <c r="B101" s="62"/>
      <c r="C101" s="62"/>
      <c r="D101" s="62"/>
      <c r="E101" s="62"/>
      <c r="F101" s="62"/>
      <c r="G101" s="63"/>
      <c r="H101" s="62"/>
      <c r="I101" s="62"/>
      <c r="J101" s="62"/>
      <c r="K101" s="62"/>
    </row>
    <row r="102" spans="1:11">
      <c r="A102" s="62"/>
      <c r="B102" s="62"/>
      <c r="C102" s="62"/>
      <c r="D102" s="62"/>
      <c r="E102" s="62"/>
      <c r="F102" s="62"/>
      <c r="G102" s="63"/>
      <c r="H102" s="62"/>
      <c r="I102" s="62"/>
      <c r="J102" s="62"/>
      <c r="K102" s="62"/>
    </row>
    <row r="103" spans="1:11">
      <c r="A103" s="62"/>
      <c r="B103" s="62"/>
      <c r="C103" s="62"/>
      <c r="D103" s="62"/>
      <c r="E103" s="62"/>
      <c r="F103" s="62"/>
      <c r="G103" s="63"/>
      <c r="H103" s="62"/>
      <c r="I103" s="62"/>
      <c r="J103" s="62"/>
      <c r="K103" s="62"/>
    </row>
    <row r="104" spans="1:11">
      <c r="A104" s="62"/>
      <c r="B104" s="62"/>
      <c r="C104" s="62"/>
      <c r="D104" s="62"/>
      <c r="E104" s="62"/>
      <c r="F104" s="62"/>
      <c r="G104" s="63"/>
      <c r="H104" s="62"/>
      <c r="I104" s="62"/>
      <c r="J104" s="62"/>
      <c r="K104" s="62"/>
    </row>
    <row r="105" spans="1:11">
      <c r="A105" s="62"/>
      <c r="B105" s="62"/>
      <c r="C105" s="62"/>
      <c r="D105" s="62"/>
      <c r="E105" s="62"/>
      <c r="F105" s="62"/>
      <c r="G105" s="63"/>
      <c r="H105" s="62"/>
      <c r="I105" s="62"/>
      <c r="J105" s="62"/>
      <c r="K105" s="62"/>
    </row>
    <row r="106" spans="1:11">
      <c r="A106" s="62"/>
      <c r="B106" s="62"/>
      <c r="C106" s="62"/>
      <c r="D106" s="62"/>
      <c r="E106" s="62"/>
      <c r="F106" s="62"/>
      <c r="G106" s="63"/>
      <c r="H106" s="62"/>
      <c r="I106" s="62"/>
      <c r="J106" s="62"/>
      <c r="K106" s="62"/>
    </row>
    <row r="107" spans="1:11">
      <c r="A107" s="62"/>
      <c r="B107" s="62"/>
      <c r="C107" s="62"/>
      <c r="D107" s="62"/>
      <c r="E107" s="62"/>
      <c r="F107" s="62"/>
      <c r="G107" s="63"/>
      <c r="H107" s="62"/>
      <c r="I107" s="62"/>
      <c r="J107" s="62"/>
      <c r="K107" s="62"/>
    </row>
    <row r="108" spans="1:11">
      <c r="A108" s="62"/>
      <c r="B108" s="62"/>
      <c r="C108" s="62"/>
      <c r="D108" s="62"/>
      <c r="E108" s="62"/>
      <c r="F108" s="62"/>
      <c r="G108" s="63"/>
      <c r="H108" s="62"/>
      <c r="I108" s="62"/>
      <c r="J108" s="62"/>
      <c r="K108" s="62"/>
    </row>
    <row r="109" spans="1:11">
      <c r="A109" s="62"/>
      <c r="B109" s="62"/>
      <c r="C109" s="62"/>
      <c r="D109" s="62"/>
      <c r="E109" s="62"/>
      <c r="F109" s="62"/>
      <c r="G109" s="63"/>
      <c r="H109" s="62"/>
      <c r="I109" s="62"/>
      <c r="J109" s="62"/>
      <c r="K109" s="62"/>
    </row>
    <row r="110" spans="1:11">
      <c r="A110" s="62"/>
      <c r="B110" s="62"/>
      <c r="C110" s="62"/>
      <c r="D110" s="62"/>
      <c r="E110" s="62"/>
      <c r="F110" s="62"/>
      <c r="G110" s="63"/>
      <c r="H110" s="62"/>
      <c r="I110" s="62"/>
      <c r="J110" s="62"/>
      <c r="K110" s="62"/>
    </row>
    <row r="111" spans="1:11">
      <c r="A111" s="62"/>
      <c r="B111" s="62"/>
      <c r="C111" s="62"/>
      <c r="D111" s="62"/>
      <c r="E111" s="62"/>
      <c r="F111" s="62"/>
      <c r="G111" s="63"/>
      <c r="H111" s="62"/>
      <c r="I111" s="62"/>
      <c r="J111" s="62"/>
      <c r="K111" s="62"/>
    </row>
    <row r="112" spans="1:11">
      <c r="A112" s="62"/>
      <c r="B112" s="62"/>
      <c r="C112" s="62"/>
      <c r="D112" s="62"/>
      <c r="E112" s="62"/>
      <c r="F112" s="62"/>
      <c r="G112" s="63"/>
      <c r="H112" s="62"/>
      <c r="I112" s="62"/>
      <c r="J112" s="62"/>
      <c r="K112" s="62"/>
    </row>
    <row r="113" spans="1:11">
      <c r="A113" s="62"/>
      <c r="B113" s="62"/>
      <c r="C113" s="62"/>
      <c r="D113" s="62"/>
      <c r="E113" s="62"/>
      <c r="F113" s="62"/>
      <c r="G113" s="63"/>
      <c r="H113" s="62"/>
      <c r="I113" s="62"/>
      <c r="J113" s="62"/>
      <c r="K113" s="62"/>
    </row>
    <row r="114" spans="1:11">
      <c r="A114" s="62"/>
      <c r="B114" s="62"/>
      <c r="C114" s="62"/>
      <c r="D114" s="62"/>
      <c r="E114" s="62"/>
      <c r="F114" s="62"/>
      <c r="G114" s="63"/>
      <c r="H114" s="62"/>
      <c r="I114" s="62"/>
      <c r="J114" s="62"/>
      <c r="K114" s="62"/>
    </row>
    <row r="115" spans="1:11">
      <c r="A115" s="62"/>
      <c r="B115" s="62"/>
      <c r="C115" s="62"/>
      <c r="D115" s="62"/>
      <c r="E115" s="62"/>
      <c r="F115" s="62"/>
      <c r="G115" s="63"/>
      <c r="H115" s="62"/>
      <c r="I115" s="62"/>
      <c r="J115" s="62"/>
      <c r="K115" s="62"/>
    </row>
    <row r="116" spans="1:11">
      <c r="A116" s="62"/>
      <c r="B116" s="62"/>
      <c r="C116" s="62"/>
      <c r="D116" s="62"/>
      <c r="E116" s="62"/>
      <c r="F116" s="62"/>
      <c r="G116" s="63"/>
      <c r="H116" s="62"/>
      <c r="I116" s="62"/>
      <c r="J116" s="62"/>
      <c r="K116" s="62"/>
    </row>
    <row r="117" spans="1:11">
      <c r="A117" s="62"/>
      <c r="B117" s="62"/>
      <c r="C117" s="62"/>
      <c r="D117" s="62"/>
      <c r="E117" s="62"/>
      <c r="F117" s="62"/>
      <c r="G117" s="63"/>
      <c r="H117" s="62"/>
      <c r="I117" s="62"/>
      <c r="J117" s="62"/>
      <c r="K117" s="62"/>
    </row>
    <row r="118" spans="1:11">
      <c r="A118" s="62"/>
      <c r="B118" s="62"/>
      <c r="C118" s="62"/>
      <c r="D118" s="62"/>
      <c r="E118" s="62"/>
      <c r="F118" s="62"/>
      <c r="G118" s="63"/>
      <c r="H118" s="62"/>
      <c r="I118" s="62"/>
      <c r="J118" s="62"/>
      <c r="K118" s="62"/>
    </row>
    <row r="119" spans="1:11">
      <c r="A119" s="62"/>
      <c r="B119" s="62"/>
      <c r="C119" s="62"/>
      <c r="D119" s="62"/>
      <c r="E119" s="62"/>
      <c r="F119" s="62"/>
      <c r="G119" s="63"/>
      <c r="H119" s="62"/>
      <c r="I119" s="62"/>
      <c r="J119" s="62"/>
      <c r="K119" s="62"/>
    </row>
    <row r="120" spans="1:11">
      <c r="A120" s="62"/>
      <c r="B120" s="62"/>
      <c r="C120" s="62"/>
      <c r="D120" s="62"/>
      <c r="E120" s="62"/>
      <c r="F120" s="62"/>
      <c r="G120" s="63"/>
      <c r="H120" s="62"/>
      <c r="I120" s="62"/>
      <c r="J120" s="62"/>
      <c r="K120" s="62"/>
    </row>
    <row r="121" spans="1:11">
      <c r="A121" s="62"/>
      <c r="B121" s="62"/>
      <c r="C121" s="62"/>
      <c r="D121" s="62"/>
      <c r="E121" s="62"/>
      <c r="F121" s="62"/>
      <c r="G121" s="63"/>
      <c r="H121" s="62"/>
      <c r="I121" s="62"/>
      <c r="J121" s="62"/>
      <c r="K121" s="62"/>
    </row>
    <row r="122" spans="1:11">
      <c r="A122" s="62"/>
      <c r="B122" s="62"/>
      <c r="C122" s="62"/>
      <c r="D122" s="62"/>
      <c r="E122" s="62"/>
      <c r="F122" s="62"/>
      <c r="G122" s="63"/>
      <c r="H122" s="62"/>
      <c r="I122" s="62"/>
      <c r="J122" s="62"/>
      <c r="K122" s="62"/>
    </row>
    <row r="123" spans="1:11">
      <c r="A123" s="62"/>
      <c r="B123" s="62"/>
      <c r="C123" s="62"/>
      <c r="D123" s="62"/>
      <c r="E123" s="62"/>
      <c r="F123" s="62"/>
      <c r="G123" s="63"/>
      <c r="H123" s="62"/>
      <c r="I123" s="62"/>
      <c r="J123" s="62"/>
      <c r="K123" s="62"/>
    </row>
    <row r="124" spans="1:11">
      <c r="A124" s="62"/>
      <c r="B124" s="62"/>
      <c r="C124" s="62"/>
      <c r="D124" s="62"/>
      <c r="E124" s="62"/>
      <c r="F124" s="62"/>
      <c r="G124" s="63"/>
      <c r="H124" s="62"/>
      <c r="I124" s="62"/>
      <c r="J124" s="62"/>
      <c r="K124" s="62"/>
    </row>
    <row r="125" spans="1:11">
      <c r="A125" s="62"/>
      <c r="B125" s="62"/>
      <c r="C125" s="62"/>
      <c r="D125" s="62"/>
      <c r="E125" s="62"/>
      <c r="F125" s="62"/>
      <c r="G125" s="63"/>
      <c r="H125" s="62"/>
      <c r="I125" s="62"/>
      <c r="J125" s="62"/>
      <c r="K125" s="62"/>
    </row>
    <row r="126" spans="1:11">
      <c r="A126" s="62"/>
      <c r="B126" s="62"/>
      <c r="C126" s="62"/>
      <c r="D126" s="62"/>
      <c r="E126" s="62"/>
      <c r="F126" s="62"/>
      <c r="G126" s="63"/>
      <c r="H126" s="62"/>
      <c r="I126" s="62"/>
      <c r="J126" s="62"/>
      <c r="K126" s="62"/>
    </row>
    <row r="127" spans="1:11">
      <c r="A127" s="62"/>
      <c r="B127" s="62"/>
      <c r="C127" s="62"/>
      <c r="D127" s="62"/>
      <c r="E127" s="62"/>
      <c r="F127" s="62"/>
      <c r="G127" s="63"/>
      <c r="H127" s="62"/>
      <c r="I127" s="62"/>
      <c r="J127" s="62"/>
      <c r="K127" s="62"/>
    </row>
    <row r="128" spans="1:11">
      <c r="A128" s="62"/>
      <c r="B128" s="62"/>
      <c r="C128" s="62"/>
      <c r="D128" s="62"/>
      <c r="E128" s="62"/>
      <c r="F128" s="62"/>
      <c r="G128" s="63"/>
      <c r="H128" s="62"/>
      <c r="I128" s="62"/>
      <c r="J128" s="62"/>
      <c r="K128" s="62"/>
    </row>
    <row r="129" spans="1:11">
      <c r="A129" s="62"/>
      <c r="B129" s="62"/>
      <c r="C129" s="62"/>
      <c r="D129" s="62"/>
      <c r="E129" s="62"/>
      <c r="F129" s="62"/>
      <c r="G129" s="63"/>
      <c r="H129" s="62"/>
      <c r="I129" s="62"/>
      <c r="J129" s="62"/>
      <c r="K129" s="62"/>
    </row>
    <row r="130" spans="1:11">
      <c r="A130" s="62"/>
      <c r="B130" s="62"/>
      <c r="C130" s="62"/>
      <c r="D130" s="62"/>
      <c r="E130" s="62"/>
      <c r="F130" s="62"/>
      <c r="G130" s="63"/>
      <c r="H130" s="62"/>
      <c r="I130" s="62"/>
      <c r="J130" s="62"/>
      <c r="K130" s="62"/>
    </row>
    <row r="131" spans="1:11">
      <c r="A131" s="62"/>
      <c r="B131" s="62"/>
      <c r="C131" s="62"/>
      <c r="D131" s="62"/>
      <c r="E131" s="62"/>
      <c r="F131" s="62"/>
      <c r="G131" s="63"/>
      <c r="H131" s="62"/>
      <c r="I131" s="62"/>
      <c r="J131" s="62"/>
      <c r="K131" s="62"/>
    </row>
    <row r="132" spans="1:11">
      <c r="A132" s="62"/>
      <c r="B132" s="62"/>
      <c r="C132" s="62"/>
      <c r="D132" s="62"/>
      <c r="E132" s="62"/>
      <c r="F132" s="62"/>
      <c r="G132" s="63"/>
      <c r="H132" s="62"/>
      <c r="I132" s="62"/>
      <c r="J132" s="62"/>
      <c r="K132" s="62"/>
    </row>
    <row r="133" spans="1:11">
      <c r="A133" s="62"/>
      <c r="B133" s="62"/>
      <c r="C133" s="62"/>
      <c r="D133" s="62"/>
      <c r="E133" s="62"/>
      <c r="F133" s="62"/>
      <c r="G133" s="63"/>
      <c r="H133" s="62"/>
      <c r="I133" s="62"/>
      <c r="J133" s="62"/>
      <c r="K133" s="62"/>
    </row>
    <row r="134" spans="1:11">
      <c r="A134" s="62"/>
      <c r="B134" s="62"/>
      <c r="C134" s="62"/>
      <c r="D134" s="62"/>
      <c r="E134" s="62"/>
      <c r="F134" s="62"/>
      <c r="G134" s="63"/>
      <c r="H134" s="62"/>
      <c r="I134" s="62"/>
      <c r="J134" s="62"/>
      <c r="K134" s="62"/>
    </row>
    <row r="135" spans="1:11">
      <c r="A135" s="62"/>
      <c r="B135" s="62"/>
      <c r="C135" s="62"/>
      <c r="D135" s="62"/>
      <c r="E135" s="62"/>
      <c r="F135" s="62"/>
      <c r="G135" s="63"/>
      <c r="H135" s="62"/>
      <c r="I135" s="62"/>
      <c r="J135" s="62"/>
      <c r="K135" s="62"/>
    </row>
    <row r="136" spans="1:11">
      <c r="A136" s="62"/>
      <c r="B136" s="62"/>
      <c r="C136" s="62"/>
      <c r="D136" s="62"/>
      <c r="E136" s="62"/>
      <c r="F136" s="62"/>
      <c r="G136" s="63"/>
      <c r="H136" s="62"/>
      <c r="I136" s="62"/>
      <c r="J136" s="62"/>
      <c r="K136" s="62"/>
    </row>
    <row r="137" spans="1:11">
      <c r="A137" s="62"/>
      <c r="B137" s="62"/>
      <c r="C137" s="62"/>
      <c r="D137" s="62"/>
      <c r="E137" s="62"/>
      <c r="F137" s="62"/>
      <c r="G137" s="63"/>
      <c r="H137" s="62"/>
      <c r="I137" s="62"/>
      <c r="J137" s="62"/>
      <c r="K137" s="62"/>
    </row>
    <row r="138" spans="1:11">
      <c r="A138" s="62"/>
      <c r="B138" s="62"/>
      <c r="C138" s="62"/>
      <c r="D138" s="62"/>
      <c r="E138" s="62"/>
      <c r="F138" s="62"/>
      <c r="G138" s="63"/>
      <c r="H138" s="62"/>
      <c r="I138" s="62"/>
      <c r="J138" s="62"/>
      <c r="K138" s="62"/>
    </row>
    <row r="139" spans="1:11">
      <c r="A139" s="62"/>
      <c r="B139" s="62"/>
      <c r="C139" s="62"/>
      <c r="D139" s="62"/>
      <c r="E139" s="62"/>
      <c r="F139" s="62"/>
      <c r="G139" s="63"/>
      <c r="H139" s="62"/>
      <c r="I139" s="62"/>
      <c r="J139" s="62"/>
      <c r="K139" s="62"/>
    </row>
    <row r="140" spans="1:11">
      <c r="A140" s="62"/>
      <c r="B140" s="62"/>
      <c r="C140" s="62"/>
      <c r="D140" s="62"/>
      <c r="E140" s="62"/>
      <c r="F140" s="62"/>
      <c r="G140" s="63"/>
      <c r="H140" s="62"/>
      <c r="I140" s="62"/>
      <c r="J140" s="62"/>
      <c r="K140" s="62"/>
    </row>
    <row r="141" spans="1:11">
      <c r="A141" s="62"/>
      <c r="B141" s="62"/>
      <c r="C141" s="62"/>
      <c r="D141" s="62"/>
      <c r="E141" s="62"/>
      <c r="F141" s="62"/>
      <c r="G141" s="63"/>
      <c r="H141" s="62"/>
      <c r="I141" s="62"/>
      <c r="J141" s="62"/>
      <c r="K141" s="62"/>
    </row>
    <row r="142" spans="1:11">
      <c r="A142" s="62"/>
      <c r="B142" s="62"/>
      <c r="C142" s="62"/>
      <c r="D142" s="62"/>
      <c r="E142" s="62"/>
      <c r="F142" s="62"/>
      <c r="G142" s="63"/>
      <c r="H142" s="62"/>
      <c r="I142" s="62"/>
      <c r="J142" s="62"/>
      <c r="K142" s="62"/>
    </row>
    <row r="143" spans="1:11">
      <c r="A143" s="62"/>
      <c r="B143" s="62"/>
      <c r="C143" s="62"/>
      <c r="D143" s="62"/>
      <c r="E143" s="62"/>
      <c r="F143" s="62"/>
      <c r="G143" s="63"/>
      <c r="H143" s="62"/>
      <c r="I143" s="62"/>
      <c r="J143" s="62"/>
      <c r="K143" s="62"/>
    </row>
    <row r="144" spans="1:11">
      <c r="A144" s="62"/>
      <c r="B144" s="62"/>
      <c r="C144" s="62"/>
      <c r="D144" s="62"/>
      <c r="E144" s="62"/>
      <c r="F144" s="62"/>
      <c r="G144" s="63"/>
      <c r="H144" s="62"/>
      <c r="I144" s="62"/>
      <c r="J144" s="62"/>
      <c r="K144" s="62"/>
    </row>
    <row r="145" spans="1:11">
      <c r="A145" s="62"/>
      <c r="B145" s="62"/>
      <c r="C145" s="62"/>
      <c r="D145" s="62"/>
      <c r="E145" s="62"/>
      <c r="F145" s="62"/>
      <c r="G145" s="63"/>
      <c r="H145" s="62"/>
      <c r="I145" s="62"/>
      <c r="J145" s="62"/>
      <c r="K145" s="62"/>
    </row>
    <row r="146" spans="1:11">
      <c r="A146" s="62"/>
      <c r="B146" s="62"/>
      <c r="C146" s="62"/>
      <c r="D146" s="62"/>
      <c r="E146" s="62"/>
      <c r="F146" s="62"/>
      <c r="G146" s="63"/>
      <c r="H146" s="62"/>
      <c r="I146" s="62"/>
      <c r="J146" s="62"/>
      <c r="K146" s="62"/>
    </row>
    <row r="147" spans="1:11">
      <c r="A147" s="62"/>
      <c r="B147" s="62"/>
      <c r="C147" s="62"/>
      <c r="D147" s="62"/>
      <c r="E147" s="62"/>
      <c r="F147" s="62"/>
      <c r="G147" s="63"/>
      <c r="H147" s="62"/>
      <c r="I147" s="62"/>
      <c r="J147" s="62"/>
      <c r="K147" s="62"/>
    </row>
    <row r="148" spans="1:11">
      <c r="A148" s="62"/>
      <c r="B148" s="62"/>
      <c r="C148" s="62"/>
      <c r="D148" s="62"/>
      <c r="E148" s="62"/>
      <c r="F148" s="62"/>
      <c r="G148" s="63"/>
      <c r="H148" s="62"/>
      <c r="I148" s="62"/>
      <c r="J148" s="62"/>
      <c r="K148" s="62"/>
    </row>
    <row r="149" spans="1:11">
      <c r="A149" s="62"/>
      <c r="B149" s="62"/>
      <c r="C149" s="62"/>
      <c r="D149" s="62"/>
      <c r="E149" s="62"/>
      <c r="F149" s="62"/>
      <c r="G149" s="63"/>
      <c r="H149" s="62"/>
      <c r="I149" s="62"/>
      <c r="J149" s="62"/>
      <c r="K149" s="62"/>
    </row>
    <row r="150" spans="1:11">
      <c r="A150" s="62"/>
      <c r="B150" s="62"/>
      <c r="C150" s="62"/>
      <c r="D150" s="62"/>
      <c r="E150" s="62"/>
      <c r="F150" s="62"/>
      <c r="G150" s="63"/>
      <c r="H150" s="62"/>
      <c r="I150" s="62"/>
      <c r="J150" s="62"/>
      <c r="K150" s="62"/>
    </row>
    <row r="151" spans="1:11">
      <c r="A151" s="62"/>
      <c r="B151" s="62"/>
      <c r="C151" s="62"/>
      <c r="D151" s="62"/>
      <c r="E151" s="62"/>
      <c r="F151" s="62"/>
      <c r="G151" s="63"/>
      <c r="H151" s="62"/>
      <c r="I151" s="62"/>
      <c r="J151" s="62"/>
      <c r="K151" s="62"/>
    </row>
    <row r="152" spans="1:11">
      <c r="A152" s="62"/>
      <c r="B152" s="62"/>
      <c r="C152" s="62"/>
      <c r="D152" s="62"/>
      <c r="E152" s="62"/>
      <c r="F152" s="62"/>
      <c r="G152" s="63"/>
      <c r="H152" s="62"/>
      <c r="I152" s="62"/>
      <c r="J152" s="62"/>
      <c r="K152" s="62"/>
    </row>
    <row r="153" spans="1:11">
      <c r="A153" s="62"/>
      <c r="B153" s="62"/>
      <c r="C153" s="62"/>
      <c r="D153" s="62"/>
      <c r="E153" s="62"/>
      <c r="F153" s="62"/>
      <c r="G153" s="63"/>
      <c r="H153" s="62"/>
      <c r="I153" s="62"/>
      <c r="J153" s="62"/>
      <c r="K153" s="62"/>
    </row>
    <row r="154" spans="1:11">
      <c r="A154" s="62"/>
      <c r="B154" s="62"/>
      <c r="C154" s="62"/>
      <c r="D154" s="62"/>
      <c r="E154" s="62"/>
      <c r="F154" s="62"/>
      <c r="G154" s="63"/>
      <c r="H154" s="62"/>
      <c r="I154" s="62"/>
      <c r="J154" s="62"/>
      <c r="K154" s="62"/>
    </row>
    <row r="155" spans="1:11">
      <c r="A155" s="62"/>
      <c r="B155" s="62"/>
      <c r="C155" s="62"/>
      <c r="D155" s="62"/>
      <c r="E155" s="62"/>
      <c r="F155" s="62"/>
      <c r="G155" s="63"/>
      <c r="H155" s="62"/>
      <c r="I155" s="62"/>
      <c r="J155" s="62"/>
      <c r="K155" s="62"/>
    </row>
    <row r="156" spans="1:11">
      <c r="A156" s="62"/>
      <c r="B156" s="62"/>
      <c r="C156" s="62"/>
      <c r="D156" s="62"/>
      <c r="E156" s="62"/>
      <c r="F156" s="62"/>
      <c r="G156" s="63"/>
      <c r="H156" s="62"/>
      <c r="I156" s="62"/>
      <c r="J156" s="62"/>
      <c r="K156" s="62"/>
    </row>
    <row r="157" spans="1:11">
      <c r="A157" s="62"/>
      <c r="B157" s="62"/>
      <c r="C157" s="62"/>
      <c r="D157" s="62"/>
      <c r="E157" s="62"/>
      <c r="F157" s="62"/>
      <c r="G157" s="63"/>
      <c r="H157" s="62"/>
      <c r="I157" s="62"/>
      <c r="J157" s="62"/>
      <c r="K157" s="62"/>
    </row>
    <row r="158" spans="1:11">
      <c r="A158" s="62"/>
      <c r="B158" s="62"/>
      <c r="C158" s="62"/>
      <c r="D158" s="62"/>
      <c r="E158" s="62"/>
      <c r="F158" s="62"/>
      <c r="G158" s="63"/>
      <c r="H158" s="62"/>
      <c r="I158" s="62"/>
      <c r="J158" s="62"/>
      <c r="K158" s="62"/>
    </row>
    <row r="159" spans="1:11">
      <c r="A159" s="62"/>
      <c r="B159" s="62"/>
      <c r="C159" s="62"/>
      <c r="D159" s="62"/>
      <c r="E159" s="62"/>
      <c r="F159" s="62"/>
      <c r="G159" s="63"/>
      <c r="H159" s="62"/>
      <c r="I159" s="62"/>
      <c r="J159" s="62"/>
      <c r="K159" s="62"/>
    </row>
    <row r="160" spans="1:11">
      <c r="A160" s="62"/>
      <c r="B160" s="62"/>
      <c r="C160" s="62"/>
      <c r="D160" s="62"/>
      <c r="E160" s="62"/>
      <c r="F160" s="62"/>
      <c r="G160" s="63"/>
      <c r="H160" s="62"/>
      <c r="I160" s="62"/>
      <c r="J160" s="62"/>
      <c r="K160" s="62"/>
    </row>
    <row r="161" spans="1:11">
      <c r="A161" s="62"/>
      <c r="B161" s="62"/>
      <c r="C161" s="62"/>
      <c r="D161" s="62"/>
      <c r="E161" s="62"/>
      <c r="F161" s="62"/>
      <c r="G161" s="63"/>
      <c r="H161" s="62"/>
      <c r="I161" s="62"/>
      <c r="J161" s="62"/>
      <c r="K161" s="62"/>
    </row>
    <row r="162" spans="1:11">
      <c r="A162" s="62"/>
      <c r="B162" s="62"/>
      <c r="C162" s="62"/>
      <c r="D162" s="62"/>
      <c r="E162" s="62"/>
      <c r="F162" s="62"/>
      <c r="G162" s="63"/>
      <c r="H162" s="62"/>
      <c r="I162" s="62"/>
      <c r="J162" s="62"/>
      <c r="K162" s="62"/>
    </row>
    <row r="163" spans="1:11">
      <c r="A163" s="62"/>
      <c r="B163" s="62"/>
      <c r="C163" s="62"/>
      <c r="D163" s="62"/>
      <c r="E163" s="62"/>
      <c r="F163" s="62"/>
      <c r="G163" s="63"/>
      <c r="H163" s="62"/>
      <c r="I163" s="62"/>
      <c r="J163" s="62"/>
      <c r="K163" s="62"/>
    </row>
    <row r="164" spans="1:11">
      <c r="A164" s="62"/>
      <c r="B164" s="62"/>
      <c r="C164" s="62"/>
      <c r="D164" s="62"/>
      <c r="E164" s="62"/>
      <c r="F164" s="62"/>
      <c r="G164" s="63"/>
      <c r="H164" s="62"/>
      <c r="I164" s="62"/>
      <c r="J164" s="62"/>
      <c r="K164" s="62"/>
    </row>
    <row r="165" spans="1:11">
      <c r="A165" s="62"/>
      <c r="B165" s="62"/>
      <c r="C165" s="62"/>
      <c r="D165" s="62"/>
      <c r="E165" s="62"/>
      <c r="F165" s="62"/>
      <c r="G165" s="63"/>
      <c r="H165" s="62"/>
      <c r="I165" s="62"/>
      <c r="J165" s="62"/>
      <c r="K165" s="62"/>
    </row>
    <row r="166" spans="1:11">
      <c r="A166" s="62"/>
      <c r="B166" s="62"/>
      <c r="C166" s="62"/>
      <c r="D166" s="62"/>
      <c r="E166" s="62"/>
      <c r="F166" s="62"/>
      <c r="G166" s="63"/>
      <c r="H166" s="62"/>
      <c r="I166" s="62"/>
      <c r="J166" s="62"/>
      <c r="K166" s="62"/>
    </row>
    <row r="167" spans="1:11">
      <c r="A167" s="62"/>
      <c r="B167" s="62"/>
      <c r="C167" s="62"/>
      <c r="D167" s="62"/>
      <c r="E167" s="62"/>
      <c r="F167" s="62"/>
      <c r="G167" s="63"/>
      <c r="H167" s="62"/>
      <c r="I167" s="62"/>
      <c r="J167" s="62"/>
      <c r="K167" s="62"/>
    </row>
    <row r="168" spans="1:11">
      <c r="A168" s="62"/>
      <c r="B168" s="62"/>
      <c r="C168" s="62"/>
      <c r="D168" s="62"/>
      <c r="E168" s="62"/>
      <c r="F168" s="62"/>
      <c r="G168" s="63"/>
      <c r="H168" s="62"/>
      <c r="I168" s="62"/>
      <c r="J168" s="62"/>
      <c r="K168" s="62"/>
    </row>
    <row r="169" spans="1:11">
      <c r="A169" s="62"/>
      <c r="B169" s="62"/>
      <c r="C169" s="62"/>
      <c r="D169" s="62"/>
      <c r="E169" s="62"/>
      <c r="F169" s="62"/>
      <c r="G169" s="63"/>
      <c r="H169" s="62"/>
      <c r="I169" s="62"/>
      <c r="J169" s="62"/>
      <c r="K169" s="62"/>
    </row>
    <row r="170" spans="1:11">
      <c r="A170" s="62"/>
      <c r="B170" s="62"/>
      <c r="C170" s="62"/>
      <c r="D170" s="62"/>
      <c r="E170" s="62"/>
      <c r="F170" s="62"/>
      <c r="G170" s="63"/>
      <c r="H170" s="62"/>
      <c r="I170" s="62"/>
      <c r="J170" s="62"/>
      <c r="K170" s="62"/>
    </row>
    <row r="171" spans="1:11">
      <c r="A171" s="62"/>
      <c r="B171" s="62"/>
      <c r="C171" s="62"/>
      <c r="D171" s="62"/>
      <c r="E171" s="62"/>
      <c r="F171" s="62"/>
      <c r="G171" s="63"/>
      <c r="H171" s="62"/>
      <c r="I171" s="62"/>
      <c r="J171" s="62"/>
      <c r="K171" s="62"/>
    </row>
    <row r="172" spans="1:11">
      <c r="A172" s="62"/>
      <c r="B172" s="62"/>
      <c r="C172" s="62"/>
      <c r="D172" s="62"/>
      <c r="E172" s="62"/>
      <c r="F172" s="62"/>
      <c r="G172" s="63"/>
      <c r="H172" s="62"/>
      <c r="I172" s="62"/>
      <c r="J172" s="62"/>
      <c r="K172" s="62"/>
    </row>
    <row r="173" spans="1:11">
      <c r="A173" s="62"/>
      <c r="B173" s="62"/>
      <c r="C173" s="62"/>
      <c r="D173" s="62"/>
      <c r="E173" s="62"/>
      <c r="F173" s="62"/>
      <c r="G173" s="63"/>
      <c r="H173" s="62"/>
      <c r="I173" s="62"/>
      <c r="J173" s="62"/>
      <c r="K173" s="62"/>
    </row>
    <row r="174" spans="1:11">
      <c r="A174" s="62"/>
      <c r="B174" s="62"/>
      <c r="C174" s="62"/>
      <c r="D174" s="62"/>
      <c r="E174" s="62"/>
      <c r="F174" s="62"/>
      <c r="G174" s="63"/>
      <c r="H174" s="62"/>
      <c r="I174" s="62"/>
      <c r="J174" s="62"/>
      <c r="K174" s="62"/>
    </row>
    <row r="175" spans="1:11">
      <c r="A175" s="62"/>
      <c r="B175" s="62"/>
      <c r="C175" s="62"/>
      <c r="D175" s="62"/>
      <c r="E175" s="62"/>
      <c r="F175" s="62"/>
      <c r="G175" s="63"/>
      <c r="H175" s="62"/>
      <c r="I175" s="62"/>
      <c r="J175" s="62"/>
      <c r="K175" s="62"/>
    </row>
    <row r="176" spans="1:11">
      <c r="A176" s="62"/>
      <c r="B176" s="62"/>
      <c r="C176" s="62"/>
      <c r="D176" s="62"/>
      <c r="E176" s="62"/>
      <c r="F176" s="62"/>
      <c r="G176" s="63"/>
      <c r="H176" s="62"/>
      <c r="I176" s="62"/>
      <c r="J176" s="62"/>
      <c r="K176" s="62"/>
    </row>
    <row r="177" spans="1:11">
      <c r="A177" s="62"/>
      <c r="B177" s="62"/>
      <c r="C177" s="62"/>
      <c r="D177" s="62"/>
      <c r="E177" s="62"/>
      <c r="F177" s="62"/>
      <c r="G177" s="63"/>
      <c r="H177" s="62"/>
      <c r="I177" s="62"/>
      <c r="J177" s="62"/>
      <c r="K177" s="62"/>
    </row>
    <row r="178" spans="1:11">
      <c r="A178" s="62"/>
      <c r="B178" s="62"/>
      <c r="C178" s="62"/>
      <c r="D178" s="62"/>
      <c r="E178" s="62"/>
      <c r="F178" s="62"/>
      <c r="G178" s="63"/>
      <c r="H178" s="62"/>
      <c r="I178" s="62"/>
      <c r="J178" s="62"/>
      <c r="K178" s="62"/>
    </row>
    <row r="179" spans="1:11">
      <c r="A179" s="62"/>
      <c r="B179" s="62"/>
      <c r="C179" s="62"/>
      <c r="D179" s="62"/>
      <c r="E179" s="62"/>
      <c r="F179" s="62"/>
      <c r="G179" s="63"/>
      <c r="H179" s="62"/>
      <c r="I179" s="62"/>
      <c r="J179" s="62"/>
      <c r="K179" s="62"/>
    </row>
    <row r="180" spans="1:11">
      <c r="A180" s="62"/>
      <c r="B180" s="62"/>
      <c r="C180" s="62"/>
      <c r="D180" s="62"/>
      <c r="E180" s="62"/>
      <c r="F180" s="62"/>
      <c r="G180" s="63"/>
      <c r="H180" s="62"/>
      <c r="I180" s="62"/>
      <c r="J180" s="62"/>
      <c r="K180" s="62"/>
    </row>
    <row r="181" spans="1:11">
      <c r="A181" s="62"/>
      <c r="B181" s="62"/>
      <c r="C181" s="62"/>
      <c r="D181" s="62"/>
      <c r="E181" s="62"/>
      <c r="F181" s="62"/>
      <c r="G181" s="63"/>
      <c r="H181" s="62"/>
      <c r="I181" s="62"/>
      <c r="J181" s="62"/>
      <c r="K181" s="62"/>
    </row>
    <row r="182" spans="1:11">
      <c r="A182" s="62"/>
      <c r="B182" s="62"/>
      <c r="C182" s="62"/>
      <c r="D182" s="62"/>
      <c r="E182" s="62"/>
      <c r="F182" s="62"/>
      <c r="G182" s="63"/>
      <c r="H182" s="62"/>
      <c r="I182" s="62"/>
      <c r="J182" s="62"/>
      <c r="K182" s="62"/>
    </row>
    <row r="183" spans="1:11">
      <c r="A183" s="62"/>
      <c r="B183" s="62"/>
      <c r="C183" s="62"/>
      <c r="D183" s="62"/>
      <c r="E183" s="62"/>
      <c r="F183" s="62"/>
      <c r="G183" s="63"/>
      <c r="H183" s="62"/>
      <c r="I183" s="62"/>
      <c r="J183" s="62"/>
      <c r="K183" s="62"/>
    </row>
    <row r="184" spans="1:11">
      <c r="A184" s="62"/>
      <c r="B184" s="62"/>
      <c r="C184" s="62"/>
      <c r="D184" s="62"/>
      <c r="E184" s="62"/>
      <c r="F184" s="62"/>
      <c r="G184" s="63"/>
      <c r="H184" s="62"/>
      <c r="I184" s="62"/>
      <c r="J184" s="62"/>
      <c r="K184" s="62"/>
    </row>
    <row r="185" spans="1:11">
      <c r="A185" s="62"/>
      <c r="B185" s="62"/>
      <c r="C185" s="62"/>
      <c r="D185" s="62"/>
      <c r="E185" s="62"/>
      <c r="F185" s="62"/>
      <c r="G185" s="63"/>
      <c r="H185" s="62"/>
      <c r="I185" s="62"/>
      <c r="J185" s="62"/>
      <c r="K185" s="62"/>
    </row>
    <row r="186" spans="1:11">
      <c r="A186" s="62"/>
      <c r="B186" s="62"/>
      <c r="C186" s="62"/>
      <c r="D186" s="62"/>
      <c r="E186" s="62"/>
      <c r="F186" s="62"/>
      <c r="G186" s="63"/>
      <c r="H186" s="62"/>
      <c r="I186" s="62"/>
      <c r="J186" s="62"/>
      <c r="K186" s="62"/>
    </row>
    <row r="187" spans="1:11">
      <c r="A187" s="62"/>
      <c r="B187" s="62"/>
      <c r="C187" s="62"/>
      <c r="D187" s="62"/>
      <c r="E187" s="62"/>
      <c r="F187" s="62"/>
      <c r="G187" s="63"/>
      <c r="H187" s="62"/>
      <c r="I187" s="62"/>
      <c r="J187" s="62"/>
      <c r="K187" s="62"/>
    </row>
    <row r="188" spans="1:11">
      <c r="A188" s="62"/>
      <c r="B188" s="62"/>
      <c r="C188" s="62"/>
      <c r="D188" s="62"/>
      <c r="E188" s="62"/>
      <c r="F188" s="62"/>
      <c r="G188" s="63"/>
      <c r="H188" s="62"/>
      <c r="I188" s="62"/>
      <c r="J188" s="62"/>
      <c r="K188" s="62"/>
    </row>
    <row r="189" spans="1:11">
      <c r="A189" s="62"/>
      <c r="B189" s="62"/>
      <c r="C189" s="62"/>
      <c r="D189" s="62"/>
      <c r="E189" s="62"/>
      <c r="F189" s="62"/>
      <c r="G189" s="63"/>
      <c r="H189" s="62"/>
      <c r="I189" s="62"/>
      <c r="J189" s="62"/>
      <c r="K189" s="62"/>
    </row>
    <row r="190" spans="1:11">
      <c r="A190" s="62"/>
      <c r="B190" s="62"/>
      <c r="C190" s="62"/>
      <c r="D190" s="62"/>
      <c r="E190" s="62"/>
      <c r="F190" s="62"/>
      <c r="G190" s="63"/>
      <c r="H190" s="62"/>
      <c r="I190" s="62"/>
      <c r="J190" s="62"/>
      <c r="K190" s="62"/>
    </row>
    <row r="191" spans="1:11">
      <c r="A191" s="62"/>
      <c r="B191" s="62"/>
      <c r="C191" s="62"/>
      <c r="D191" s="62"/>
      <c r="E191" s="62"/>
      <c r="F191" s="62"/>
      <c r="G191" s="63"/>
      <c r="H191" s="62"/>
      <c r="I191" s="62"/>
      <c r="J191" s="62"/>
      <c r="K191" s="62"/>
    </row>
    <row r="192" spans="1:11">
      <c r="A192" s="62"/>
      <c r="B192" s="62"/>
      <c r="C192" s="62"/>
      <c r="D192" s="62"/>
      <c r="E192" s="62"/>
      <c r="F192" s="62"/>
      <c r="G192" s="63"/>
      <c r="H192" s="62"/>
      <c r="I192" s="62"/>
      <c r="J192" s="62"/>
      <c r="K192" s="62"/>
    </row>
    <row r="193" spans="1:11">
      <c r="A193" s="62"/>
      <c r="B193" s="62"/>
      <c r="C193" s="62"/>
      <c r="D193" s="62"/>
      <c r="E193" s="62"/>
      <c r="F193" s="62"/>
      <c r="G193" s="63"/>
      <c r="H193" s="62"/>
      <c r="I193" s="62"/>
      <c r="J193" s="62"/>
      <c r="K193" s="62"/>
    </row>
    <row r="194" spans="1:11">
      <c r="A194" s="62"/>
      <c r="B194" s="62"/>
      <c r="C194" s="62"/>
      <c r="D194" s="62"/>
      <c r="E194" s="62"/>
      <c r="F194" s="62"/>
      <c r="G194" s="63"/>
      <c r="H194" s="62"/>
      <c r="I194" s="62"/>
      <c r="J194" s="62"/>
      <c r="K194" s="62"/>
    </row>
    <row r="195" spans="1:11">
      <c r="A195" s="62"/>
      <c r="B195" s="62"/>
      <c r="C195" s="62"/>
      <c r="D195" s="62"/>
      <c r="E195" s="62"/>
      <c r="F195" s="62"/>
      <c r="G195" s="63"/>
      <c r="H195" s="62"/>
      <c r="I195" s="62"/>
      <c r="J195" s="62"/>
      <c r="K195" s="62"/>
    </row>
    <row r="196" spans="1:11">
      <c r="A196" s="62"/>
      <c r="B196" s="62"/>
      <c r="C196" s="62"/>
      <c r="D196" s="62"/>
      <c r="E196" s="62"/>
      <c r="F196" s="62"/>
      <c r="G196" s="63"/>
      <c r="H196" s="62"/>
      <c r="I196" s="62"/>
      <c r="J196" s="62"/>
      <c r="K196" s="62"/>
    </row>
    <row r="197" spans="1:11">
      <c r="A197" s="62"/>
      <c r="B197" s="62"/>
      <c r="C197" s="62"/>
      <c r="D197" s="62"/>
      <c r="E197" s="62"/>
      <c r="F197" s="62"/>
      <c r="G197" s="63"/>
      <c r="H197" s="62"/>
      <c r="I197" s="62"/>
      <c r="J197" s="62"/>
      <c r="K197" s="62"/>
    </row>
  </sheetData>
  <pageMargins left="0.7" right="0.7" top="0.78740157499999996" bottom="0.78740157499999996" header="0.3" footer="0.3"/>
  <headerFooter>
    <oddHeader>&amp;L&amp;"DB Neo Office"&amp;11&amp;KEC0016           DB Intern / DB internal&amp;1#_x000D_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44A6-4D82-4DA6-8C7F-E718640D5C85}">
  <sheetPr codeName="Tabelle11">
    <tabColor theme="2" tint="-9.9978637043366805E-2"/>
  </sheetPr>
  <dimension ref="A1:E7504"/>
  <sheetViews>
    <sheetView workbookViewId="0">
      <pane xSplit="1" ySplit="1" topLeftCell="B2091" activePane="bottomRight" state="frozen"/>
      <selection pane="topRight" activeCell="B1" sqref="B1"/>
      <selection pane="bottomLeft" activeCell="A2" sqref="A2"/>
      <selection pane="bottomRight" activeCell="M29" sqref="M29"/>
    </sheetView>
  </sheetViews>
  <sheetFormatPr baseColWidth="10" defaultColWidth="11.42578125" defaultRowHeight="15"/>
  <cols>
    <col min="1" max="1" width="39.42578125" customWidth="1"/>
    <col min="2" max="2" width="10.42578125" customWidth="1"/>
    <col min="3" max="3" width="13.42578125" customWidth="1"/>
    <col min="4" max="4" width="21.42578125" style="11" customWidth="1"/>
    <col min="5" max="5" width="21.140625" style="11" customWidth="1"/>
  </cols>
  <sheetData>
    <row r="1" spans="1:5" s="1" customFormat="1">
      <c r="A1" s="49" t="s">
        <v>1532</v>
      </c>
      <c r="B1" s="49" t="s">
        <v>1533</v>
      </c>
      <c r="C1" s="49" t="s">
        <v>1534</v>
      </c>
      <c r="D1" s="50" t="s">
        <v>156</v>
      </c>
      <c r="E1" s="50" t="s">
        <v>157</v>
      </c>
    </row>
    <row r="2" spans="1:5">
      <c r="A2" s="11" t="s">
        <v>1535</v>
      </c>
      <c r="B2">
        <v>8000001</v>
      </c>
      <c r="D2" s="11" t="s">
        <v>1536</v>
      </c>
      <c r="E2" s="11" t="s">
        <v>1537</v>
      </c>
    </row>
    <row r="3" spans="1:5">
      <c r="A3" s="11" t="s">
        <v>1012</v>
      </c>
      <c r="B3">
        <v>8070704</v>
      </c>
      <c r="D3" s="11" t="s">
        <v>1014</v>
      </c>
      <c r="E3" s="11" t="s">
        <v>1015</v>
      </c>
    </row>
    <row r="4" spans="1:5">
      <c r="A4" s="11" t="s">
        <v>1538</v>
      </c>
      <c r="B4">
        <v>8000403</v>
      </c>
      <c r="D4" s="11" t="s">
        <v>1539</v>
      </c>
      <c r="E4" s="11" t="s">
        <v>1539</v>
      </c>
    </row>
    <row r="5" spans="1:5">
      <c r="A5" s="11" t="s">
        <v>1540</v>
      </c>
      <c r="B5">
        <v>8000404</v>
      </c>
      <c r="D5" s="11" t="s">
        <v>1541</v>
      </c>
      <c r="E5" s="11" t="s">
        <v>1542</v>
      </c>
    </row>
    <row r="6" spans="1:5">
      <c r="A6" s="11" t="s">
        <v>1543</v>
      </c>
      <c r="B6">
        <v>8000406</v>
      </c>
      <c r="D6" s="11" t="s">
        <v>1544</v>
      </c>
      <c r="E6" s="11" t="s">
        <v>1545</v>
      </c>
    </row>
    <row r="7" spans="1:5">
      <c r="A7" s="11" t="s">
        <v>1084</v>
      </c>
      <c r="B7">
        <v>8000002</v>
      </c>
      <c r="D7" s="11" t="s">
        <v>1086</v>
      </c>
      <c r="E7" s="11" t="s">
        <v>1087</v>
      </c>
    </row>
    <row r="8" spans="1:5">
      <c r="A8" s="11" t="s">
        <v>1546</v>
      </c>
      <c r="B8">
        <v>8007826</v>
      </c>
      <c r="D8" s="11" t="s">
        <v>1547</v>
      </c>
      <c r="E8" s="11" t="s">
        <v>1548</v>
      </c>
    </row>
    <row r="9" spans="1:5">
      <c r="A9" s="11" t="s">
        <v>1549</v>
      </c>
      <c r="B9">
        <v>8000410</v>
      </c>
      <c r="D9" s="11" t="s">
        <v>1550</v>
      </c>
      <c r="E9" s="11" t="s">
        <v>1551</v>
      </c>
    </row>
    <row r="10" spans="1:5">
      <c r="A10" s="11" t="s">
        <v>1552</v>
      </c>
      <c r="B10">
        <v>8000412</v>
      </c>
      <c r="D10" s="11" t="s">
        <v>1553</v>
      </c>
      <c r="E10" s="11" t="s">
        <v>1554</v>
      </c>
    </row>
    <row r="11" spans="1:5">
      <c r="A11" s="11" t="s">
        <v>1555</v>
      </c>
      <c r="B11">
        <v>8007001</v>
      </c>
      <c r="D11" s="11" t="s">
        <v>1556</v>
      </c>
      <c r="E11" s="11" t="s">
        <v>1557</v>
      </c>
    </row>
    <row r="12" spans="1:5">
      <c r="A12" s="11" t="s">
        <v>1558</v>
      </c>
      <c r="B12">
        <v>8000413</v>
      </c>
      <c r="D12" s="11" t="s">
        <v>1559</v>
      </c>
      <c r="E12" s="11" t="s">
        <v>1560</v>
      </c>
    </row>
    <row r="13" spans="1:5">
      <c r="A13" s="11" t="s">
        <v>1561</v>
      </c>
      <c r="B13">
        <v>8007291</v>
      </c>
      <c r="D13" s="11" t="s">
        <v>1562</v>
      </c>
      <c r="E13" s="11" t="s">
        <v>1563</v>
      </c>
    </row>
    <row r="14" spans="1:5">
      <c r="A14" s="11" t="s">
        <v>1564</v>
      </c>
      <c r="B14">
        <v>8000414</v>
      </c>
      <c r="D14" s="11" t="s">
        <v>1565</v>
      </c>
      <c r="E14" s="11" t="s">
        <v>1566</v>
      </c>
    </row>
    <row r="15" spans="1:5">
      <c r="A15" s="11" t="s">
        <v>1567</v>
      </c>
      <c r="B15">
        <v>8000416</v>
      </c>
      <c r="D15" s="11" t="s">
        <v>1568</v>
      </c>
      <c r="E15" s="11" t="s">
        <v>1569</v>
      </c>
    </row>
    <row r="16" spans="1:5">
      <c r="A16" s="11" t="s">
        <v>1570</v>
      </c>
      <c r="B16">
        <v>8000418</v>
      </c>
      <c r="D16" s="11" t="s">
        <v>1571</v>
      </c>
      <c r="E16" s="11" t="s">
        <v>1572</v>
      </c>
    </row>
    <row r="17" spans="1:5">
      <c r="A17" s="11" t="s">
        <v>1573</v>
      </c>
      <c r="B17">
        <v>8000419</v>
      </c>
      <c r="D17" s="11" t="s">
        <v>1574</v>
      </c>
      <c r="E17" s="11" t="s">
        <v>1575</v>
      </c>
    </row>
    <row r="18" spans="1:5">
      <c r="A18" s="11" t="s">
        <v>1576</v>
      </c>
      <c r="B18">
        <v>8000420</v>
      </c>
      <c r="D18" s="11" t="s">
        <v>1577</v>
      </c>
      <c r="E18" s="11" t="s">
        <v>1578</v>
      </c>
    </row>
    <row r="19" spans="1:5">
      <c r="A19" s="11" t="s">
        <v>1579</v>
      </c>
      <c r="B19">
        <v>8000423</v>
      </c>
      <c r="D19" s="11" t="s">
        <v>1580</v>
      </c>
      <c r="E19" s="11" t="s">
        <v>1581</v>
      </c>
    </row>
    <row r="20" spans="1:5">
      <c r="A20" s="11" t="s">
        <v>1582</v>
      </c>
      <c r="B20">
        <v>8000424</v>
      </c>
      <c r="D20" s="11" t="s">
        <v>1583</v>
      </c>
      <c r="E20" s="11" t="s">
        <v>1584</v>
      </c>
    </row>
    <row r="21" spans="1:5">
      <c r="A21" s="11" t="s">
        <v>1585</v>
      </c>
      <c r="B21">
        <v>8011002</v>
      </c>
      <c r="D21" s="11" t="s">
        <v>1586</v>
      </c>
      <c r="E21" s="11" t="s">
        <v>1587</v>
      </c>
    </row>
    <row r="22" spans="1:5">
      <c r="A22" s="11" t="s">
        <v>1588</v>
      </c>
      <c r="B22">
        <v>8010001</v>
      </c>
      <c r="D22" s="11" t="s">
        <v>1589</v>
      </c>
      <c r="E22" s="11" t="s">
        <v>1590</v>
      </c>
    </row>
    <row r="23" spans="1:5">
      <c r="A23" s="11" t="s">
        <v>1591</v>
      </c>
      <c r="B23">
        <v>8000431</v>
      </c>
      <c r="D23" s="11" t="s">
        <v>1592</v>
      </c>
      <c r="E23" s="11" t="s">
        <v>1593</v>
      </c>
    </row>
    <row r="24" spans="1:5">
      <c r="A24" s="11" t="s">
        <v>1594</v>
      </c>
      <c r="B24">
        <v>8000433</v>
      </c>
      <c r="D24" s="11" t="s">
        <v>1595</v>
      </c>
      <c r="E24" s="11" t="s">
        <v>1596</v>
      </c>
    </row>
    <row r="25" spans="1:5">
      <c r="A25" s="11" t="s">
        <v>1597</v>
      </c>
      <c r="B25">
        <v>8000434</v>
      </c>
      <c r="D25" s="11" t="s">
        <v>1598</v>
      </c>
      <c r="E25" s="11" t="s">
        <v>1599</v>
      </c>
    </row>
    <row r="26" spans="1:5">
      <c r="A26" s="11" t="s">
        <v>1600</v>
      </c>
      <c r="B26">
        <v>8007445</v>
      </c>
      <c r="D26" s="11" t="s">
        <v>1601</v>
      </c>
      <c r="E26" s="11" t="s">
        <v>1602</v>
      </c>
    </row>
    <row r="27" spans="1:5">
      <c r="A27" s="11" t="s">
        <v>1488</v>
      </c>
      <c r="B27">
        <v>8000436</v>
      </c>
      <c r="D27" s="11" t="s">
        <v>1603</v>
      </c>
      <c r="E27" s="11" t="s">
        <v>1604</v>
      </c>
    </row>
    <row r="28" spans="1:5">
      <c r="A28" s="11" t="s">
        <v>1605</v>
      </c>
      <c r="B28">
        <v>8000437</v>
      </c>
      <c r="D28" s="11" t="s">
        <v>1606</v>
      </c>
      <c r="E28" s="11" t="s">
        <v>1607</v>
      </c>
    </row>
    <row r="29" spans="1:5">
      <c r="A29" s="11" t="s">
        <v>1608</v>
      </c>
      <c r="B29">
        <v>8079084</v>
      </c>
      <c r="D29" s="11" t="s">
        <v>1609</v>
      </c>
      <c r="E29" s="11" t="s">
        <v>1610</v>
      </c>
    </row>
    <row r="30" spans="1:5">
      <c r="A30" s="11" t="s">
        <v>1611</v>
      </c>
      <c r="B30">
        <v>8087025</v>
      </c>
      <c r="D30" s="11" t="s">
        <v>1612</v>
      </c>
      <c r="E30" s="11" t="s">
        <v>1613</v>
      </c>
    </row>
    <row r="31" spans="1:5">
      <c r="A31" s="11" t="s">
        <v>1614</v>
      </c>
      <c r="B31">
        <v>8000441</v>
      </c>
      <c r="D31" s="11" t="s">
        <v>1615</v>
      </c>
      <c r="E31" s="11" t="s">
        <v>1616</v>
      </c>
    </row>
    <row r="32" spans="1:5">
      <c r="A32" s="11" t="s">
        <v>1617</v>
      </c>
      <c r="B32">
        <v>8000442</v>
      </c>
      <c r="D32" s="11" t="s">
        <v>1618</v>
      </c>
      <c r="E32" s="11" t="s">
        <v>1619</v>
      </c>
    </row>
    <row r="33" spans="1:5">
      <c r="A33" s="11" t="s">
        <v>1620</v>
      </c>
      <c r="B33">
        <v>8000443</v>
      </c>
      <c r="D33" s="11" t="s">
        <v>1621</v>
      </c>
      <c r="E33" s="11" t="s">
        <v>1622</v>
      </c>
    </row>
    <row r="34" spans="1:5">
      <c r="A34" s="11" t="s">
        <v>1623</v>
      </c>
      <c r="B34">
        <v>8000457</v>
      </c>
      <c r="D34" s="11" t="s">
        <v>1624</v>
      </c>
      <c r="E34" s="11" t="s">
        <v>1625</v>
      </c>
    </row>
    <row r="35" spans="1:5">
      <c r="A35" s="11" t="s">
        <v>1626</v>
      </c>
      <c r="B35">
        <v>8002675</v>
      </c>
      <c r="D35" s="11" t="s">
        <v>1627</v>
      </c>
      <c r="E35" s="11" t="s">
        <v>1628</v>
      </c>
    </row>
    <row r="36" spans="1:5">
      <c r="A36" s="11" t="s">
        <v>1629</v>
      </c>
      <c r="B36">
        <v>8006286</v>
      </c>
      <c r="D36" s="11" t="s">
        <v>1630</v>
      </c>
      <c r="E36" s="11" t="s">
        <v>1631</v>
      </c>
    </row>
    <row r="37" spans="1:5">
      <c r="A37" s="11" t="s">
        <v>1632</v>
      </c>
      <c r="B37">
        <v>8001209</v>
      </c>
      <c r="D37" s="11" t="s">
        <v>1633</v>
      </c>
      <c r="E37" s="11" t="s">
        <v>1634</v>
      </c>
    </row>
    <row r="38" spans="1:5">
      <c r="A38" s="11" t="s">
        <v>1635</v>
      </c>
      <c r="B38">
        <v>8000446</v>
      </c>
      <c r="D38" s="11" t="s">
        <v>1636</v>
      </c>
      <c r="E38" s="11" t="s">
        <v>1637</v>
      </c>
    </row>
    <row r="39" spans="1:5">
      <c r="A39" s="11" t="s">
        <v>1638</v>
      </c>
      <c r="B39">
        <v>8000480</v>
      </c>
      <c r="D39" s="11" t="s">
        <v>1639</v>
      </c>
      <c r="E39" s="11" t="s">
        <v>1640</v>
      </c>
    </row>
    <row r="40" spans="1:5">
      <c r="A40" s="11" t="s">
        <v>1641</v>
      </c>
      <c r="B40">
        <v>8011003</v>
      </c>
      <c r="D40" s="11" t="s">
        <v>1642</v>
      </c>
      <c r="E40" s="11" t="s">
        <v>1643</v>
      </c>
    </row>
    <row r="41" spans="1:5">
      <c r="A41" s="11" t="s">
        <v>1644</v>
      </c>
      <c r="B41">
        <v>8089188</v>
      </c>
      <c r="D41" s="11" t="s">
        <v>1645</v>
      </c>
      <c r="E41" s="11" t="s">
        <v>1646</v>
      </c>
    </row>
    <row r="42" spans="1:5">
      <c r="A42" s="11" t="s">
        <v>1647</v>
      </c>
      <c r="B42">
        <v>8071843</v>
      </c>
      <c r="D42" s="11" t="s">
        <v>1648</v>
      </c>
      <c r="E42" s="11" t="s">
        <v>1649</v>
      </c>
    </row>
    <row r="43" spans="1:5">
      <c r="A43" s="11" t="s">
        <v>1650</v>
      </c>
      <c r="B43">
        <v>8011004</v>
      </c>
      <c r="D43" s="11" t="s">
        <v>1651</v>
      </c>
      <c r="E43" s="11" t="s">
        <v>1652</v>
      </c>
    </row>
    <row r="44" spans="1:5">
      <c r="A44" s="11" t="s">
        <v>1653</v>
      </c>
      <c r="B44">
        <v>8071844</v>
      </c>
      <c r="D44" s="11" t="s">
        <v>1654</v>
      </c>
      <c r="E44" s="11" t="s">
        <v>1655</v>
      </c>
    </row>
    <row r="45" spans="1:5">
      <c r="A45" s="11" t="s">
        <v>1656</v>
      </c>
      <c r="B45">
        <v>8071842</v>
      </c>
      <c r="D45" s="11" t="s">
        <v>1657</v>
      </c>
      <c r="E45" s="11" t="s">
        <v>1658</v>
      </c>
    </row>
    <row r="46" spans="1:5">
      <c r="A46" s="11" t="s">
        <v>1659</v>
      </c>
      <c r="B46">
        <v>8011005</v>
      </c>
      <c r="D46" s="11" t="s">
        <v>1660</v>
      </c>
      <c r="E46" s="11" t="s">
        <v>1661</v>
      </c>
    </row>
    <row r="47" spans="1:5">
      <c r="A47" s="11" t="s">
        <v>1662</v>
      </c>
      <c r="B47">
        <v>8000448</v>
      </c>
      <c r="D47" s="11" t="s">
        <v>1663</v>
      </c>
      <c r="E47" s="11" t="s">
        <v>1664</v>
      </c>
    </row>
    <row r="48" spans="1:5">
      <c r="A48" s="11" t="s">
        <v>1665</v>
      </c>
      <c r="B48">
        <v>8000449</v>
      </c>
      <c r="D48" s="11" t="s">
        <v>1666</v>
      </c>
      <c r="E48" s="11" t="s">
        <v>1667</v>
      </c>
    </row>
    <row r="49" spans="1:5">
      <c r="A49" s="11" t="s">
        <v>1668</v>
      </c>
      <c r="B49">
        <v>8000451</v>
      </c>
      <c r="D49" s="11" t="s">
        <v>1669</v>
      </c>
      <c r="E49" s="11" t="s">
        <v>1670</v>
      </c>
    </row>
    <row r="50" spans="1:5">
      <c r="A50" s="11" t="s">
        <v>1671</v>
      </c>
      <c r="B50">
        <v>8000452</v>
      </c>
      <c r="D50" s="11" t="s">
        <v>1672</v>
      </c>
      <c r="E50" s="11" t="s">
        <v>1673</v>
      </c>
    </row>
    <row r="51" spans="1:5">
      <c r="A51" s="11" t="s">
        <v>1674</v>
      </c>
      <c r="B51">
        <v>8000454</v>
      </c>
      <c r="D51" s="11" t="s">
        <v>1675</v>
      </c>
      <c r="E51" s="11" t="s">
        <v>1676</v>
      </c>
    </row>
    <row r="52" spans="1:5">
      <c r="A52" s="11" t="s">
        <v>1677</v>
      </c>
      <c r="B52">
        <v>8072132</v>
      </c>
      <c r="D52" s="11" t="s">
        <v>1678</v>
      </c>
      <c r="E52" s="11" t="s">
        <v>1679</v>
      </c>
    </row>
    <row r="53" spans="1:5">
      <c r="A53" s="11" t="s">
        <v>1680</v>
      </c>
      <c r="B53">
        <v>8000459</v>
      </c>
      <c r="D53" s="11" t="s">
        <v>1681</v>
      </c>
      <c r="E53" s="11" t="s">
        <v>1682</v>
      </c>
    </row>
    <row r="54" spans="1:5">
      <c r="A54" s="11" t="s">
        <v>1683</v>
      </c>
      <c r="B54">
        <v>8081968</v>
      </c>
      <c r="D54" s="11" t="s">
        <v>1684</v>
      </c>
      <c r="E54" s="11" t="s">
        <v>1685</v>
      </c>
    </row>
    <row r="55" spans="1:5">
      <c r="A55" s="11" t="s">
        <v>1686</v>
      </c>
      <c r="B55">
        <v>8000463</v>
      </c>
      <c r="D55" s="11" t="s">
        <v>1687</v>
      </c>
      <c r="E55" s="11" t="s">
        <v>1688</v>
      </c>
    </row>
    <row r="56" spans="1:5">
      <c r="A56" s="11" t="s">
        <v>1689</v>
      </c>
      <c r="B56">
        <v>8000464</v>
      </c>
      <c r="D56" s="11" t="s">
        <v>1690</v>
      </c>
      <c r="E56" s="11" t="s">
        <v>1691</v>
      </c>
    </row>
    <row r="57" spans="1:5">
      <c r="A57" s="11" t="s">
        <v>1692</v>
      </c>
      <c r="B57">
        <v>8000466</v>
      </c>
      <c r="D57" s="11" t="s">
        <v>1693</v>
      </c>
      <c r="E57" s="11" t="s">
        <v>1694</v>
      </c>
    </row>
    <row r="58" spans="1:5">
      <c r="A58" s="11" t="s">
        <v>1695</v>
      </c>
      <c r="B58">
        <v>8081003</v>
      </c>
      <c r="D58" s="11" t="s">
        <v>1696</v>
      </c>
      <c r="E58" s="11" t="s">
        <v>1697</v>
      </c>
    </row>
    <row r="59" spans="1:5">
      <c r="A59" s="11" t="s">
        <v>1698</v>
      </c>
      <c r="B59">
        <v>8000468</v>
      </c>
      <c r="D59" s="11" t="s">
        <v>1699</v>
      </c>
      <c r="E59" s="11" t="s">
        <v>1700</v>
      </c>
    </row>
    <row r="60" spans="1:5">
      <c r="A60" s="11" t="s">
        <v>1701</v>
      </c>
      <c r="B60">
        <v>8070252</v>
      </c>
      <c r="D60" s="11" t="s">
        <v>1702</v>
      </c>
      <c r="E60" s="11" t="s">
        <v>1703</v>
      </c>
    </row>
    <row r="61" spans="1:5">
      <c r="A61" s="11" t="s">
        <v>1704</v>
      </c>
      <c r="B61">
        <v>8017000</v>
      </c>
      <c r="D61" s="11" t="s">
        <v>1705</v>
      </c>
      <c r="E61" s="11" t="s">
        <v>1706</v>
      </c>
    </row>
    <row r="62" spans="1:5">
      <c r="A62" s="11" t="s">
        <v>1707</v>
      </c>
      <c r="B62">
        <v>8080040</v>
      </c>
      <c r="D62" s="11" t="s">
        <v>1708</v>
      </c>
      <c r="E62" s="11" t="s">
        <v>1709</v>
      </c>
    </row>
    <row r="63" spans="1:5">
      <c r="A63" s="11" t="s">
        <v>1710</v>
      </c>
      <c r="B63">
        <v>8000471</v>
      </c>
      <c r="D63" s="11" t="s">
        <v>1711</v>
      </c>
      <c r="E63" s="11" t="s">
        <v>1712</v>
      </c>
    </row>
    <row r="64" spans="1:5">
      <c r="A64" s="11" t="s">
        <v>1713</v>
      </c>
      <c r="B64">
        <v>8070096</v>
      </c>
      <c r="D64" s="11" t="s">
        <v>1714</v>
      </c>
      <c r="E64" s="11" t="s">
        <v>1715</v>
      </c>
    </row>
    <row r="65" spans="1:5">
      <c r="A65" s="11" t="s">
        <v>1716</v>
      </c>
      <c r="B65">
        <v>8000473</v>
      </c>
      <c r="D65" s="11" t="s">
        <v>1717</v>
      </c>
      <c r="E65" s="11" t="s">
        <v>1718</v>
      </c>
    </row>
    <row r="66" spans="1:5">
      <c r="A66" s="11" t="s">
        <v>1719</v>
      </c>
      <c r="B66">
        <v>8079089</v>
      </c>
      <c r="D66" s="11" t="s">
        <v>1720</v>
      </c>
      <c r="E66" s="11" t="s">
        <v>1721</v>
      </c>
    </row>
    <row r="67" spans="1:5">
      <c r="A67" s="11" t="s">
        <v>1722</v>
      </c>
      <c r="B67">
        <v>8000474</v>
      </c>
      <c r="D67" s="11" t="s">
        <v>1723</v>
      </c>
      <c r="E67" s="11" t="s">
        <v>1724</v>
      </c>
    </row>
    <row r="68" spans="1:5">
      <c r="A68" s="11" t="s">
        <v>1725</v>
      </c>
      <c r="B68">
        <v>8000475</v>
      </c>
      <c r="D68" s="11" t="s">
        <v>1726</v>
      </c>
      <c r="E68" s="11" t="s">
        <v>1727</v>
      </c>
    </row>
    <row r="69" spans="1:5">
      <c r="A69" s="11" t="s">
        <v>1728</v>
      </c>
      <c r="B69">
        <v>8000477</v>
      </c>
      <c r="D69" s="11" t="s">
        <v>1729</v>
      </c>
      <c r="E69" s="11" t="s">
        <v>1730</v>
      </c>
    </row>
    <row r="70" spans="1:5">
      <c r="A70" s="11" t="s">
        <v>1731</v>
      </c>
      <c r="B70">
        <v>8000481</v>
      </c>
      <c r="D70" s="11" t="s">
        <v>1732</v>
      </c>
      <c r="E70" s="11" t="s">
        <v>1733</v>
      </c>
    </row>
    <row r="71" spans="1:5">
      <c r="A71" s="11" t="s">
        <v>1734</v>
      </c>
      <c r="B71">
        <v>8000482</v>
      </c>
      <c r="D71" s="11" t="s">
        <v>1735</v>
      </c>
      <c r="E71" s="11" t="s">
        <v>1736</v>
      </c>
    </row>
    <row r="72" spans="1:5">
      <c r="A72" s="11" t="s">
        <v>1737</v>
      </c>
      <c r="B72">
        <v>8017001</v>
      </c>
      <c r="D72" s="11" t="s">
        <v>1738</v>
      </c>
      <c r="E72" s="11" t="s">
        <v>1739</v>
      </c>
    </row>
    <row r="73" spans="1:5">
      <c r="A73" s="11" t="s">
        <v>1740</v>
      </c>
      <c r="B73">
        <v>8000483</v>
      </c>
      <c r="D73" s="11" t="s">
        <v>1741</v>
      </c>
      <c r="E73" s="11" t="s">
        <v>1742</v>
      </c>
    </row>
    <row r="74" spans="1:5">
      <c r="A74" s="11" t="s">
        <v>1743</v>
      </c>
      <c r="B74">
        <v>8000495</v>
      </c>
      <c r="D74" s="11" t="s">
        <v>1744</v>
      </c>
      <c r="E74" s="11" t="s">
        <v>1745</v>
      </c>
    </row>
    <row r="75" spans="1:5">
      <c r="A75" s="11" t="s">
        <v>1746</v>
      </c>
      <c r="B75">
        <v>8006516</v>
      </c>
      <c r="D75" s="11" t="s">
        <v>1747</v>
      </c>
      <c r="E75" s="11" t="s">
        <v>1748</v>
      </c>
    </row>
    <row r="76" spans="1:5">
      <c r="A76" s="11" t="s">
        <v>1749</v>
      </c>
      <c r="B76">
        <v>8000488</v>
      </c>
      <c r="D76" s="11" t="s">
        <v>1750</v>
      </c>
      <c r="E76" s="11" t="s">
        <v>1751</v>
      </c>
    </row>
    <row r="77" spans="1:5">
      <c r="A77" s="11" t="s">
        <v>1752</v>
      </c>
      <c r="B77">
        <v>8000489</v>
      </c>
      <c r="D77" s="11" t="s">
        <v>1753</v>
      </c>
      <c r="E77" s="11" t="s">
        <v>1754</v>
      </c>
    </row>
    <row r="78" spans="1:5">
      <c r="A78" s="11" t="s">
        <v>1755</v>
      </c>
      <c r="B78">
        <v>8000492</v>
      </c>
      <c r="D78" s="11" t="s">
        <v>1756</v>
      </c>
      <c r="E78" s="11" t="s">
        <v>1757</v>
      </c>
    </row>
    <row r="79" spans="1:5">
      <c r="A79" s="11" t="s">
        <v>1758</v>
      </c>
      <c r="B79">
        <v>8000493</v>
      </c>
      <c r="D79" s="11" t="s">
        <v>1759</v>
      </c>
      <c r="E79" s="11" t="s">
        <v>1760</v>
      </c>
    </row>
    <row r="80" spans="1:5">
      <c r="A80" s="11" t="s">
        <v>1761</v>
      </c>
      <c r="B80">
        <v>8000496</v>
      </c>
      <c r="D80" s="11" t="s">
        <v>1762</v>
      </c>
      <c r="E80" s="11" t="s">
        <v>1763</v>
      </c>
    </row>
    <row r="81" spans="1:5">
      <c r="A81" s="11" t="s">
        <v>1764</v>
      </c>
      <c r="B81">
        <v>8000498</v>
      </c>
      <c r="D81" s="11" t="s">
        <v>1765</v>
      </c>
      <c r="E81" s="11" t="s">
        <v>1766</v>
      </c>
    </row>
    <row r="82" spans="1:5">
      <c r="A82" s="11" t="s">
        <v>1767</v>
      </c>
      <c r="B82">
        <v>8000499</v>
      </c>
      <c r="D82" s="11" t="s">
        <v>1768</v>
      </c>
      <c r="E82" s="11" t="s">
        <v>1769</v>
      </c>
    </row>
    <row r="83" spans="1:5">
      <c r="A83" s="11" t="s">
        <v>1493</v>
      </c>
      <c r="B83">
        <v>8000500</v>
      </c>
      <c r="D83" s="11" t="s">
        <v>1770</v>
      </c>
      <c r="E83" s="11" t="s">
        <v>1771</v>
      </c>
    </row>
    <row r="84" spans="1:5">
      <c r="A84" s="11" t="s">
        <v>1772</v>
      </c>
      <c r="B84">
        <v>8000501</v>
      </c>
      <c r="D84" s="11" t="s">
        <v>1773</v>
      </c>
      <c r="E84" s="11" t="s">
        <v>1774</v>
      </c>
    </row>
    <row r="85" spans="1:5">
      <c r="A85" s="11" t="s">
        <v>1775</v>
      </c>
      <c r="B85">
        <v>8000510</v>
      </c>
      <c r="D85" s="11" t="s">
        <v>1776</v>
      </c>
      <c r="E85" s="11" t="s">
        <v>1777</v>
      </c>
    </row>
    <row r="86" spans="1:5">
      <c r="A86" s="11" t="s">
        <v>1778</v>
      </c>
      <c r="B86">
        <v>8007078</v>
      </c>
      <c r="D86" s="11" t="s">
        <v>1779</v>
      </c>
      <c r="E86" s="11" t="s">
        <v>1780</v>
      </c>
    </row>
    <row r="87" spans="1:5">
      <c r="A87" s="11" t="s">
        <v>1781</v>
      </c>
      <c r="B87">
        <v>8000502</v>
      </c>
      <c r="D87" s="11" t="s">
        <v>1782</v>
      </c>
      <c r="E87" s="11" t="s">
        <v>1783</v>
      </c>
    </row>
    <row r="88" spans="1:5">
      <c r="A88" s="11" t="s">
        <v>1784</v>
      </c>
      <c r="B88">
        <v>8000507</v>
      </c>
      <c r="D88" s="11" t="s">
        <v>1785</v>
      </c>
      <c r="E88" s="11" t="s">
        <v>1786</v>
      </c>
    </row>
    <row r="89" spans="1:5">
      <c r="A89" s="11" t="s">
        <v>1787</v>
      </c>
      <c r="B89">
        <v>8000521</v>
      </c>
      <c r="D89" s="11" t="s">
        <v>1788</v>
      </c>
      <c r="E89" s="11" t="s">
        <v>1789</v>
      </c>
    </row>
    <row r="90" spans="1:5">
      <c r="A90" s="11" t="s">
        <v>1790</v>
      </c>
      <c r="B90">
        <v>8000527</v>
      </c>
      <c r="D90" s="11" t="s">
        <v>1791</v>
      </c>
      <c r="E90" s="11" t="s">
        <v>1792</v>
      </c>
    </row>
    <row r="91" spans="1:5">
      <c r="A91" s="11" t="s">
        <v>1793</v>
      </c>
      <c r="B91">
        <v>8000505</v>
      </c>
      <c r="D91" s="11" t="s">
        <v>1794</v>
      </c>
      <c r="E91" s="11" t="s">
        <v>1795</v>
      </c>
    </row>
    <row r="92" spans="1:5">
      <c r="A92" s="11" t="s">
        <v>1796</v>
      </c>
      <c r="B92">
        <v>8000350</v>
      </c>
      <c r="D92" s="11" t="s">
        <v>1797</v>
      </c>
      <c r="E92" s="11" t="s">
        <v>1798</v>
      </c>
    </row>
    <row r="93" spans="1:5">
      <c r="A93" s="11" t="s">
        <v>1799</v>
      </c>
      <c r="B93">
        <v>8000506</v>
      </c>
      <c r="D93" s="11" t="s">
        <v>1800</v>
      </c>
      <c r="E93" s="11" t="s">
        <v>1801</v>
      </c>
    </row>
    <row r="94" spans="1:5">
      <c r="A94" s="11" t="s">
        <v>1802</v>
      </c>
      <c r="B94">
        <v>8070013</v>
      </c>
      <c r="D94" s="11" t="s">
        <v>1803</v>
      </c>
      <c r="E94" s="11" t="s">
        <v>1804</v>
      </c>
    </row>
    <row r="95" spans="1:5">
      <c r="A95" s="11" t="s">
        <v>1805</v>
      </c>
      <c r="B95">
        <v>8011011</v>
      </c>
      <c r="D95" s="11" t="s">
        <v>1806</v>
      </c>
      <c r="E95" s="11" t="s">
        <v>1807</v>
      </c>
    </row>
    <row r="96" spans="1:5">
      <c r="A96" s="11" t="s">
        <v>1808</v>
      </c>
      <c r="B96">
        <v>8011014</v>
      </c>
      <c r="D96" s="11" t="s">
        <v>1809</v>
      </c>
      <c r="E96" s="11" t="s">
        <v>1810</v>
      </c>
    </row>
    <row r="97" spans="1:5">
      <c r="A97" s="11" t="s">
        <v>1811</v>
      </c>
      <c r="B97">
        <v>8011015</v>
      </c>
      <c r="D97" s="11" t="s">
        <v>1812</v>
      </c>
      <c r="E97" s="11" t="s">
        <v>1813</v>
      </c>
    </row>
    <row r="98" spans="1:5">
      <c r="A98" s="11" t="s">
        <v>1814</v>
      </c>
      <c r="B98">
        <v>8000508</v>
      </c>
      <c r="D98" s="11" t="s">
        <v>1815</v>
      </c>
      <c r="E98" s="11" t="s">
        <v>1816</v>
      </c>
    </row>
    <row r="99" spans="1:5">
      <c r="A99" s="11" t="s">
        <v>1817</v>
      </c>
      <c r="B99">
        <v>8011016</v>
      </c>
      <c r="D99" s="11" t="s">
        <v>1818</v>
      </c>
      <c r="E99" s="11" t="s">
        <v>1819</v>
      </c>
    </row>
    <row r="100" spans="1:5">
      <c r="A100" s="11" t="s">
        <v>1820</v>
      </c>
      <c r="B100">
        <v>8071406</v>
      </c>
      <c r="D100" s="11" t="s">
        <v>1821</v>
      </c>
      <c r="E100" s="11" t="s">
        <v>1822</v>
      </c>
    </row>
    <row r="101" spans="1:5">
      <c r="A101" s="11" t="s">
        <v>1823</v>
      </c>
      <c r="B101">
        <v>8000504</v>
      </c>
      <c r="D101" s="11" t="s">
        <v>1824</v>
      </c>
      <c r="E101" s="11" t="s">
        <v>1825</v>
      </c>
    </row>
    <row r="102" spans="1:5">
      <c r="A102" s="11" t="s">
        <v>1826</v>
      </c>
      <c r="B102">
        <v>8000509</v>
      </c>
      <c r="D102" s="11" t="s">
        <v>1827</v>
      </c>
      <c r="E102" s="11" t="s">
        <v>1828</v>
      </c>
    </row>
    <row r="103" spans="1:5">
      <c r="A103" s="11" t="s">
        <v>1829</v>
      </c>
      <c r="B103">
        <v>8000511</v>
      </c>
      <c r="D103" s="11" t="s">
        <v>1830</v>
      </c>
      <c r="E103" s="11" t="s">
        <v>1831</v>
      </c>
    </row>
    <row r="104" spans="1:5">
      <c r="A104" s="11" t="s">
        <v>1832</v>
      </c>
      <c r="B104">
        <v>8011017</v>
      </c>
      <c r="D104" s="11" t="s">
        <v>1833</v>
      </c>
      <c r="E104" s="11" t="s">
        <v>1834</v>
      </c>
    </row>
    <row r="105" spans="1:5">
      <c r="A105" s="11" t="s">
        <v>1835</v>
      </c>
      <c r="B105">
        <v>8000513</v>
      </c>
      <c r="D105" s="11" t="s">
        <v>1836</v>
      </c>
      <c r="E105" s="11" t="s">
        <v>1837</v>
      </c>
    </row>
    <row r="106" spans="1:5">
      <c r="A106" s="11" t="s">
        <v>1838</v>
      </c>
      <c r="B106">
        <v>8000514</v>
      </c>
      <c r="D106" s="11" t="s">
        <v>1839</v>
      </c>
      <c r="E106" s="11" t="s">
        <v>1840</v>
      </c>
    </row>
    <row r="107" spans="1:5">
      <c r="A107" s="11" t="s">
        <v>1841</v>
      </c>
      <c r="B107">
        <v>8000515</v>
      </c>
      <c r="D107" s="11" t="s">
        <v>1842</v>
      </c>
      <c r="E107" s="11" t="s">
        <v>1843</v>
      </c>
    </row>
    <row r="108" spans="1:5">
      <c r="A108" s="11" t="s">
        <v>1844</v>
      </c>
      <c r="B108">
        <v>8011018</v>
      </c>
      <c r="D108" s="11" t="s">
        <v>1845</v>
      </c>
      <c r="E108" s="11" t="s">
        <v>1846</v>
      </c>
    </row>
    <row r="109" spans="1:5">
      <c r="A109" s="11" t="s">
        <v>1847</v>
      </c>
      <c r="B109">
        <v>8000517</v>
      </c>
      <c r="D109" s="11" t="s">
        <v>1848</v>
      </c>
      <c r="E109" s="11" t="s">
        <v>1849</v>
      </c>
    </row>
    <row r="110" spans="1:5">
      <c r="A110" s="11" t="s">
        <v>1850</v>
      </c>
      <c r="B110">
        <v>8000004</v>
      </c>
      <c r="D110" s="11" t="s">
        <v>1851</v>
      </c>
      <c r="E110" s="11" t="s">
        <v>1852</v>
      </c>
    </row>
    <row r="111" spans="1:5">
      <c r="A111" s="11" t="s">
        <v>1853</v>
      </c>
      <c r="B111">
        <v>8071306</v>
      </c>
      <c r="D111" s="11" t="s">
        <v>1854</v>
      </c>
      <c r="E111" s="11" t="s">
        <v>1855</v>
      </c>
    </row>
    <row r="112" spans="1:5">
      <c r="A112" s="11" t="s">
        <v>1856</v>
      </c>
      <c r="B112">
        <v>8000518</v>
      </c>
      <c r="D112" s="11" t="s">
        <v>1857</v>
      </c>
      <c r="E112" s="11" t="s">
        <v>1858</v>
      </c>
    </row>
    <row r="113" spans="1:5">
      <c r="A113" s="11" t="s">
        <v>135</v>
      </c>
      <c r="B113">
        <v>8010003</v>
      </c>
      <c r="D113" s="11" t="s">
        <v>1859</v>
      </c>
      <c r="E113" s="11" t="s">
        <v>1860</v>
      </c>
    </row>
    <row r="114" spans="1:5">
      <c r="A114" s="11" t="s">
        <v>1861</v>
      </c>
      <c r="B114">
        <v>8071513</v>
      </c>
      <c r="D114" s="11" t="s">
        <v>1862</v>
      </c>
      <c r="E114" s="11" t="s">
        <v>1863</v>
      </c>
    </row>
    <row r="115" spans="1:5">
      <c r="A115" s="11" t="s">
        <v>1864</v>
      </c>
      <c r="B115">
        <v>8000524</v>
      </c>
      <c r="D115" s="11" t="s">
        <v>1865</v>
      </c>
      <c r="E115" s="11" t="s">
        <v>1866</v>
      </c>
    </row>
    <row r="116" spans="1:5">
      <c r="A116" s="11" t="s">
        <v>1867</v>
      </c>
      <c r="B116">
        <v>8000525</v>
      </c>
      <c r="D116" s="11" t="s">
        <v>1868</v>
      </c>
      <c r="E116" s="11" t="s">
        <v>1869</v>
      </c>
    </row>
    <row r="117" spans="1:5">
      <c r="A117" s="11" t="s">
        <v>1870</v>
      </c>
      <c r="B117">
        <v>8000491</v>
      </c>
      <c r="D117" s="11" t="s">
        <v>1871</v>
      </c>
      <c r="E117" s="11" t="s">
        <v>1872</v>
      </c>
    </row>
    <row r="118" spans="1:5">
      <c r="A118" s="11" t="s">
        <v>1873</v>
      </c>
      <c r="B118">
        <v>8000526</v>
      </c>
      <c r="D118" s="11" t="s">
        <v>1874</v>
      </c>
      <c r="E118" s="11" t="s">
        <v>1875</v>
      </c>
    </row>
    <row r="119" spans="1:5">
      <c r="A119" s="11" t="s">
        <v>1876</v>
      </c>
      <c r="B119">
        <v>8000530</v>
      </c>
      <c r="D119" s="11" t="s">
        <v>1877</v>
      </c>
      <c r="E119" s="11" t="s">
        <v>1878</v>
      </c>
    </row>
    <row r="120" spans="1:5">
      <c r="A120" s="11" t="s">
        <v>1879</v>
      </c>
      <c r="B120">
        <v>8000351</v>
      </c>
      <c r="D120" s="11" t="s">
        <v>1880</v>
      </c>
      <c r="E120" s="11" t="s">
        <v>1881</v>
      </c>
    </row>
    <row r="121" spans="1:5">
      <c r="A121" s="11" t="s">
        <v>1882</v>
      </c>
      <c r="B121">
        <v>8000533</v>
      </c>
      <c r="D121" s="11" t="s">
        <v>1883</v>
      </c>
      <c r="E121" s="11" t="s">
        <v>1884</v>
      </c>
    </row>
    <row r="122" spans="1:5">
      <c r="A122" s="11" t="s">
        <v>1885</v>
      </c>
      <c r="B122">
        <v>8000537</v>
      </c>
      <c r="D122" s="11" t="s">
        <v>1886</v>
      </c>
      <c r="E122" s="11" t="s">
        <v>1887</v>
      </c>
    </row>
    <row r="123" spans="1:5">
      <c r="A123" s="11" t="s">
        <v>1888</v>
      </c>
      <c r="B123">
        <v>8000538</v>
      </c>
      <c r="D123" s="11" t="s">
        <v>1889</v>
      </c>
      <c r="E123" s="11" t="s">
        <v>1890</v>
      </c>
    </row>
    <row r="124" spans="1:5">
      <c r="A124" s="11" t="s">
        <v>1891</v>
      </c>
      <c r="B124">
        <v>8000539</v>
      </c>
      <c r="D124" s="11" t="s">
        <v>1892</v>
      </c>
      <c r="E124" s="11" t="s">
        <v>1893</v>
      </c>
    </row>
    <row r="125" spans="1:5">
      <c r="A125" s="11" t="s">
        <v>1894</v>
      </c>
      <c r="B125">
        <v>8000540</v>
      </c>
      <c r="D125" s="11" t="s">
        <v>1895</v>
      </c>
      <c r="E125" s="11" t="s">
        <v>1896</v>
      </c>
    </row>
    <row r="126" spans="1:5">
      <c r="A126" s="11" t="s">
        <v>1897</v>
      </c>
      <c r="B126">
        <v>8002886</v>
      </c>
      <c r="D126" s="11" t="s">
        <v>1898</v>
      </c>
      <c r="E126" s="11" t="s">
        <v>1899</v>
      </c>
    </row>
    <row r="127" spans="1:5">
      <c r="A127" s="11" t="s">
        <v>1900</v>
      </c>
      <c r="B127">
        <v>8003698</v>
      </c>
      <c r="D127" s="11" t="s">
        <v>1901</v>
      </c>
      <c r="E127" s="11" t="s">
        <v>1902</v>
      </c>
    </row>
    <row r="128" spans="1:5">
      <c r="A128" s="11" t="s">
        <v>1903</v>
      </c>
      <c r="B128">
        <v>8011025</v>
      </c>
      <c r="D128" s="11" t="s">
        <v>1904</v>
      </c>
      <c r="E128" s="11" t="s">
        <v>1905</v>
      </c>
    </row>
    <row r="129" spans="1:5">
      <c r="A129" s="11" t="s">
        <v>1906</v>
      </c>
      <c r="B129">
        <v>8011027</v>
      </c>
      <c r="D129" s="11" t="s">
        <v>1907</v>
      </c>
      <c r="E129" s="11" t="s">
        <v>1908</v>
      </c>
    </row>
    <row r="130" spans="1:5">
      <c r="A130" s="11" t="s">
        <v>1909</v>
      </c>
      <c r="B130">
        <v>8087035</v>
      </c>
      <c r="D130" s="11" t="s">
        <v>1910</v>
      </c>
      <c r="E130" s="11" t="s">
        <v>1911</v>
      </c>
    </row>
    <row r="131" spans="1:5">
      <c r="A131" s="11" t="s">
        <v>1912</v>
      </c>
      <c r="B131">
        <v>8011028</v>
      </c>
      <c r="D131" s="11" t="s">
        <v>1913</v>
      </c>
      <c r="E131" s="11" t="s">
        <v>1914</v>
      </c>
    </row>
    <row r="132" spans="1:5">
      <c r="A132" s="11" t="s">
        <v>466</v>
      </c>
      <c r="B132">
        <v>8011968</v>
      </c>
      <c r="D132" s="11" t="s">
        <v>468</v>
      </c>
      <c r="E132" s="11" t="s">
        <v>469</v>
      </c>
    </row>
    <row r="133" spans="1:5">
      <c r="A133" s="11" t="s">
        <v>1915</v>
      </c>
      <c r="B133">
        <v>8084057</v>
      </c>
      <c r="D133" s="11" t="s">
        <v>1916</v>
      </c>
      <c r="E133" s="11" t="s">
        <v>1917</v>
      </c>
    </row>
    <row r="134" spans="1:5">
      <c r="A134" s="11" t="s">
        <v>1918</v>
      </c>
      <c r="B134">
        <v>8000544</v>
      </c>
      <c r="D134" s="11" t="s">
        <v>1919</v>
      </c>
      <c r="E134" s="11" t="s">
        <v>1920</v>
      </c>
    </row>
    <row r="135" spans="1:5">
      <c r="A135" s="11" t="s">
        <v>1921</v>
      </c>
      <c r="B135">
        <v>8000545</v>
      </c>
      <c r="D135" s="11" t="s">
        <v>1922</v>
      </c>
      <c r="E135" s="11" t="s">
        <v>1923</v>
      </c>
    </row>
    <row r="136" spans="1:5">
      <c r="A136" s="11" t="s">
        <v>1924</v>
      </c>
      <c r="B136">
        <v>8000546</v>
      </c>
      <c r="D136" s="11" t="s">
        <v>1925</v>
      </c>
      <c r="E136" s="11" t="s">
        <v>1926</v>
      </c>
    </row>
    <row r="137" spans="1:5">
      <c r="A137" s="11" t="s">
        <v>1927</v>
      </c>
      <c r="B137">
        <v>8011031</v>
      </c>
      <c r="D137" s="11" t="s">
        <v>1928</v>
      </c>
      <c r="E137" s="11" t="s">
        <v>1929</v>
      </c>
    </row>
    <row r="138" spans="1:5">
      <c r="A138" s="11" t="s">
        <v>1930</v>
      </c>
      <c r="B138">
        <v>8070591</v>
      </c>
      <c r="D138" s="11" t="s">
        <v>1931</v>
      </c>
      <c r="E138" s="11" t="s">
        <v>1932</v>
      </c>
    </row>
    <row r="139" spans="1:5">
      <c r="A139" s="11" t="s">
        <v>1933</v>
      </c>
      <c r="B139">
        <v>8011033</v>
      </c>
      <c r="D139" s="11" t="s">
        <v>1934</v>
      </c>
      <c r="E139" s="11" t="s">
        <v>1935</v>
      </c>
    </row>
    <row r="140" spans="1:5">
      <c r="A140" s="11" t="s">
        <v>1936</v>
      </c>
      <c r="B140">
        <v>8000553</v>
      </c>
      <c r="D140" s="11" t="s">
        <v>1937</v>
      </c>
      <c r="E140" s="11" t="s">
        <v>1938</v>
      </c>
    </row>
    <row r="141" spans="1:5">
      <c r="A141" s="11" t="s">
        <v>1939</v>
      </c>
      <c r="B141">
        <v>8000556</v>
      </c>
      <c r="D141" s="11" t="s">
        <v>1940</v>
      </c>
      <c r="E141" s="11" t="s">
        <v>1941</v>
      </c>
    </row>
    <row r="142" spans="1:5">
      <c r="A142" s="11" t="s">
        <v>1942</v>
      </c>
      <c r="B142">
        <v>8070689</v>
      </c>
      <c r="D142" s="11" t="s">
        <v>1943</v>
      </c>
      <c r="E142" s="11" t="s">
        <v>1944</v>
      </c>
    </row>
    <row r="143" spans="1:5">
      <c r="A143" s="11" t="s">
        <v>1945</v>
      </c>
      <c r="B143">
        <v>8000555</v>
      </c>
      <c r="D143" s="11" t="s">
        <v>1946</v>
      </c>
      <c r="E143" s="11" t="s">
        <v>1947</v>
      </c>
    </row>
    <row r="144" spans="1:5">
      <c r="A144" s="11" t="s">
        <v>1948</v>
      </c>
      <c r="B144">
        <v>8011034</v>
      </c>
      <c r="D144" s="11" t="s">
        <v>1949</v>
      </c>
      <c r="E144" s="11" t="s">
        <v>1950</v>
      </c>
    </row>
    <row r="145" spans="1:5">
      <c r="A145" s="11" t="s">
        <v>1951</v>
      </c>
      <c r="B145">
        <v>8081039</v>
      </c>
      <c r="D145" s="11" t="s">
        <v>1952</v>
      </c>
      <c r="E145" s="11" t="s">
        <v>1953</v>
      </c>
    </row>
    <row r="146" spans="1:5">
      <c r="A146" s="11" t="s">
        <v>1954</v>
      </c>
      <c r="B146">
        <v>8079634</v>
      </c>
      <c r="D146" s="11" t="s">
        <v>1955</v>
      </c>
      <c r="E146" s="11" t="s">
        <v>1956</v>
      </c>
    </row>
    <row r="147" spans="1:5">
      <c r="A147" s="11" t="s">
        <v>1957</v>
      </c>
      <c r="B147">
        <v>8000559</v>
      </c>
      <c r="D147" s="11" t="s">
        <v>1958</v>
      </c>
      <c r="E147" s="11" t="s">
        <v>1959</v>
      </c>
    </row>
    <row r="148" spans="1:5">
      <c r="A148" s="11" t="s">
        <v>1960</v>
      </c>
      <c r="B148">
        <v>8000561</v>
      </c>
      <c r="D148" s="11" t="s">
        <v>1961</v>
      </c>
      <c r="E148" s="11" t="s">
        <v>1962</v>
      </c>
    </row>
    <row r="149" spans="1:5">
      <c r="A149" s="11" t="s">
        <v>1963</v>
      </c>
      <c r="B149">
        <v>8000562</v>
      </c>
      <c r="D149" s="11" t="s">
        <v>1964</v>
      </c>
      <c r="E149" s="11" t="s">
        <v>1965</v>
      </c>
    </row>
    <row r="150" spans="1:5">
      <c r="A150" s="11" t="s">
        <v>1966</v>
      </c>
      <c r="B150">
        <v>8070185</v>
      </c>
      <c r="D150" s="11" t="s">
        <v>1967</v>
      </c>
      <c r="E150" s="11" t="s">
        <v>1968</v>
      </c>
    </row>
    <row r="151" spans="1:5">
      <c r="A151" s="11" t="s">
        <v>1969</v>
      </c>
      <c r="B151">
        <v>8077275</v>
      </c>
      <c r="D151" s="11" t="s">
        <v>1970</v>
      </c>
      <c r="E151" s="11" t="s">
        <v>1971</v>
      </c>
    </row>
    <row r="152" spans="1:5">
      <c r="A152" s="11" t="s">
        <v>1972</v>
      </c>
      <c r="B152">
        <v>8077274</v>
      </c>
      <c r="D152" s="11" t="s">
        <v>1973</v>
      </c>
      <c r="E152" s="11" t="s">
        <v>1974</v>
      </c>
    </row>
    <row r="153" spans="1:5">
      <c r="A153" s="11" t="s">
        <v>1975</v>
      </c>
      <c r="B153">
        <v>8007275</v>
      </c>
      <c r="D153" s="11" t="s">
        <v>1976</v>
      </c>
      <c r="E153" s="11" t="s">
        <v>1977</v>
      </c>
    </row>
    <row r="154" spans="1:5">
      <c r="A154" s="11" t="s">
        <v>1978</v>
      </c>
      <c r="B154">
        <v>8000007</v>
      </c>
      <c r="D154" s="11" t="s">
        <v>1979</v>
      </c>
      <c r="E154" s="11" t="s">
        <v>1980</v>
      </c>
    </row>
    <row r="155" spans="1:5">
      <c r="A155" s="11" t="s">
        <v>1981</v>
      </c>
      <c r="B155">
        <v>8000558</v>
      </c>
      <c r="D155" s="11" t="s">
        <v>1982</v>
      </c>
      <c r="E155" s="11" t="s">
        <v>1983</v>
      </c>
    </row>
    <row r="156" spans="1:5">
      <c r="A156" s="11" t="s">
        <v>1984</v>
      </c>
      <c r="B156">
        <v>8007474</v>
      </c>
      <c r="D156" s="11" t="s">
        <v>1985</v>
      </c>
      <c r="E156" s="11" t="s">
        <v>1986</v>
      </c>
    </row>
    <row r="157" spans="1:5">
      <c r="A157" s="11" t="s">
        <v>1987</v>
      </c>
      <c r="B157">
        <v>8000566</v>
      </c>
      <c r="D157" s="11" t="s">
        <v>1988</v>
      </c>
      <c r="E157" s="11" t="s">
        <v>1989</v>
      </c>
    </row>
    <row r="158" spans="1:5">
      <c r="A158" s="11" t="s">
        <v>1990</v>
      </c>
      <c r="B158">
        <v>8070802</v>
      </c>
      <c r="D158" s="11" t="s">
        <v>1991</v>
      </c>
      <c r="E158" s="11" t="s">
        <v>1992</v>
      </c>
    </row>
    <row r="159" spans="1:5">
      <c r="A159" s="11" t="s">
        <v>1993</v>
      </c>
      <c r="B159">
        <v>8011029</v>
      </c>
      <c r="D159" s="11" t="s">
        <v>1994</v>
      </c>
      <c r="E159" s="11" t="s">
        <v>1995</v>
      </c>
    </row>
    <row r="160" spans="1:5">
      <c r="A160" s="11" t="s">
        <v>1996</v>
      </c>
      <c r="B160">
        <v>8000575</v>
      </c>
      <c r="D160" s="11" t="s">
        <v>1997</v>
      </c>
      <c r="E160" s="11" t="s">
        <v>1998</v>
      </c>
    </row>
    <row r="161" spans="1:5">
      <c r="A161" s="11" t="s">
        <v>1999</v>
      </c>
      <c r="B161">
        <v>8000576</v>
      </c>
      <c r="D161" s="11" t="s">
        <v>2000</v>
      </c>
      <c r="E161" s="11" t="s">
        <v>2001</v>
      </c>
    </row>
    <row r="162" spans="1:5">
      <c r="A162" s="11" t="s">
        <v>2002</v>
      </c>
      <c r="B162">
        <v>8011038</v>
      </c>
      <c r="D162" s="11" t="s">
        <v>2003</v>
      </c>
      <c r="E162" s="11" t="s">
        <v>2004</v>
      </c>
    </row>
    <row r="163" spans="1:5">
      <c r="A163" s="11" t="s">
        <v>2005</v>
      </c>
      <c r="B163">
        <v>8079075</v>
      </c>
      <c r="D163" s="11" t="s">
        <v>2006</v>
      </c>
      <c r="E163" s="11" t="s">
        <v>2007</v>
      </c>
    </row>
    <row r="164" spans="1:5">
      <c r="A164" s="11" t="s">
        <v>2008</v>
      </c>
      <c r="B164">
        <v>8000577</v>
      </c>
      <c r="D164" s="11" t="s">
        <v>2009</v>
      </c>
      <c r="E164" s="11" t="s">
        <v>2010</v>
      </c>
    </row>
    <row r="165" spans="1:5">
      <c r="A165" s="11" t="s">
        <v>2011</v>
      </c>
      <c r="B165">
        <v>8011039</v>
      </c>
      <c r="D165" s="11" t="s">
        <v>2012</v>
      </c>
      <c r="E165" s="11" t="s">
        <v>2013</v>
      </c>
    </row>
    <row r="166" spans="1:5">
      <c r="A166" s="11" t="s">
        <v>2014</v>
      </c>
      <c r="B166">
        <v>8000331</v>
      </c>
      <c r="D166" s="11" t="s">
        <v>2015</v>
      </c>
      <c r="E166" s="11" t="s">
        <v>2016</v>
      </c>
    </row>
    <row r="167" spans="1:5">
      <c r="A167" s="11" t="s">
        <v>2017</v>
      </c>
      <c r="B167">
        <v>8000579</v>
      </c>
      <c r="D167" s="11" t="s">
        <v>2018</v>
      </c>
      <c r="E167" s="11" t="s">
        <v>2019</v>
      </c>
    </row>
    <row r="168" spans="1:5">
      <c r="A168" s="11" t="s">
        <v>2020</v>
      </c>
      <c r="B168">
        <v>8010004</v>
      </c>
      <c r="D168" s="11" t="s">
        <v>2021</v>
      </c>
      <c r="E168" s="11" t="s">
        <v>2022</v>
      </c>
    </row>
    <row r="169" spans="1:5">
      <c r="A169" s="11" t="s">
        <v>2023</v>
      </c>
      <c r="B169">
        <v>8011042</v>
      </c>
      <c r="D169" s="11" t="s">
        <v>2024</v>
      </c>
      <c r="E169" s="11" t="s">
        <v>2025</v>
      </c>
    </row>
    <row r="170" spans="1:5">
      <c r="A170" s="11" t="s">
        <v>2026</v>
      </c>
      <c r="B170">
        <v>8000580</v>
      </c>
      <c r="D170" s="11" t="s">
        <v>2027</v>
      </c>
      <c r="E170" s="11" t="s">
        <v>2028</v>
      </c>
    </row>
    <row r="171" spans="1:5">
      <c r="A171" s="11" t="s">
        <v>2029</v>
      </c>
      <c r="B171">
        <v>8011043</v>
      </c>
      <c r="D171" s="11" t="s">
        <v>2030</v>
      </c>
      <c r="E171" s="11" t="s">
        <v>2031</v>
      </c>
    </row>
    <row r="172" spans="1:5">
      <c r="A172" s="11" t="s">
        <v>2032</v>
      </c>
      <c r="B172">
        <v>8011044</v>
      </c>
      <c r="D172" s="11" t="s">
        <v>2033</v>
      </c>
      <c r="E172" s="11" t="s">
        <v>2034</v>
      </c>
    </row>
    <row r="173" spans="1:5">
      <c r="A173" s="11" t="s">
        <v>2035</v>
      </c>
      <c r="B173">
        <v>8071637</v>
      </c>
      <c r="D173" s="11" t="s">
        <v>2036</v>
      </c>
      <c r="E173" s="11" t="s">
        <v>2037</v>
      </c>
    </row>
    <row r="174" spans="1:5">
      <c r="A174" s="11" t="s">
        <v>2038</v>
      </c>
      <c r="B174">
        <v>8011045</v>
      </c>
      <c r="D174" s="11" t="s">
        <v>2039</v>
      </c>
      <c r="E174" s="11" t="s">
        <v>2040</v>
      </c>
    </row>
    <row r="175" spans="1:5">
      <c r="A175" s="11" t="s">
        <v>2041</v>
      </c>
      <c r="B175">
        <v>8010005</v>
      </c>
      <c r="D175" s="11" t="s">
        <v>2042</v>
      </c>
      <c r="E175" s="11" t="s">
        <v>2043</v>
      </c>
    </row>
    <row r="176" spans="1:5">
      <c r="A176" s="11" t="s">
        <v>2044</v>
      </c>
      <c r="B176">
        <v>8011047</v>
      </c>
      <c r="D176" s="11" t="s">
        <v>2045</v>
      </c>
      <c r="E176" s="11" t="s">
        <v>2046</v>
      </c>
    </row>
    <row r="177" spans="1:5">
      <c r="A177" s="11" t="s">
        <v>2047</v>
      </c>
      <c r="B177">
        <v>8011048</v>
      </c>
      <c r="D177" s="11" t="s">
        <v>2048</v>
      </c>
      <c r="E177" s="11" t="s">
        <v>2049</v>
      </c>
    </row>
    <row r="178" spans="1:5">
      <c r="A178" s="11" t="s">
        <v>2050</v>
      </c>
      <c r="B178">
        <v>8081004</v>
      </c>
      <c r="D178" s="11" t="s">
        <v>2051</v>
      </c>
      <c r="E178" s="11" t="s">
        <v>2052</v>
      </c>
    </row>
    <row r="179" spans="1:5">
      <c r="A179" s="11" t="s">
        <v>2053</v>
      </c>
      <c r="B179">
        <v>8000582</v>
      </c>
      <c r="D179" s="11" t="s">
        <v>2054</v>
      </c>
      <c r="E179" s="11" t="s">
        <v>2055</v>
      </c>
    </row>
    <row r="180" spans="1:5">
      <c r="A180" s="11" t="s">
        <v>2056</v>
      </c>
      <c r="B180">
        <v>8005257</v>
      </c>
      <c r="D180" s="11" t="s">
        <v>2057</v>
      </c>
      <c r="E180" s="11" t="s">
        <v>2058</v>
      </c>
    </row>
    <row r="181" spans="1:5">
      <c r="A181" s="11" t="s">
        <v>2059</v>
      </c>
      <c r="B181">
        <v>8000584</v>
      </c>
      <c r="D181" s="11" t="s">
        <v>2060</v>
      </c>
      <c r="E181" s="11" t="s">
        <v>2061</v>
      </c>
    </row>
    <row r="182" spans="1:5">
      <c r="A182" s="11" t="s">
        <v>2062</v>
      </c>
      <c r="B182">
        <v>8000009</v>
      </c>
      <c r="D182" s="11" t="s">
        <v>2063</v>
      </c>
      <c r="E182" s="11" t="s">
        <v>2064</v>
      </c>
    </row>
    <row r="183" spans="1:5">
      <c r="A183" s="11" t="s">
        <v>2065</v>
      </c>
      <c r="B183">
        <v>8011049</v>
      </c>
      <c r="D183" s="11" t="s">
        <v>2066</v>
      </c>
      <c r="E183" s="11" t="s">
        <v>2067</v>
      </c>
    </row>
    <row r="184" spans="1:5">
      <c r="A184" s="11" t="s">
        <v>2068</v>
      </c>
      <c r="B184">
        <v>8000588</v>
      </c>
      <c r="D184" s="11" t="s">
        <v>2069</v>
      </c>
      <c r="E184" s="11" t="s">
        <v>2070</v>
      </c>
    </row>
    <row r="185" spans="1:5">
      <c r="A185" s="11" t="s">
        <v>2071</v>
      </c>
      <c r="B185">
        <v>8000589</v>
      </c>
      <c r="D185" s="11" t="s">
        <v>2072</v>
      </c>
      <c r="E185" s="11" t="s">
        <v>2073</v>
      </c>
    </row>
    <row r="186" spans="1:5">
      <c r="A186" s="11" t="s">
        <v>2074</v>
      </c>
      <c r="B186">
        <v>8000590</v>
      </c>
      <c r="D186" s="11" t="s">
        <v>2075</v>
      </c>
      <c r="E186" s="11" t="s">
        <v>2076</v>
      </c>
    </row>
    <row r="187" spans="1:5">
      <c r="A187" s="11" t="s">
        <v>2077</v>
      </c>
      <c r="B187">
        <v>8000591</v>
      </c>
      <c r="D187" s="11" t="s">
        <v>2078</v>
      </c>
      <c r="E187" s="11" t="s">
        <v>2079</v>
      </c>
    </row>
    <row r="188" spans="1:5">
      <c r="A188" s="11" t="s">
        <v>2080</v>
      </c>
      <c r="B188">
        <v>8007831</v>
      </c>
      <c r="D188" s="11" t="s">
        <v>2081</v>
      </c>
      <c r="E188" s="11" t="s">
        <v>2082</v>
      </c>
    </row>
    <row r="189" spans="1:5">
      <c r="A189" s="11" t="s">
        <v>2083</v>
      </c>
      <c r="B189">
        <v>8079092</v>
      </c>
      <c r="D189" s="11" t="s">
        <v>2084</v>
      </c>
      <c r="E189" s="11" t="s">
        <v>2085</v>
      </c>
    </row>
    <row r="190" spans="1:5">
      <c r="A190" s="11" t="s">
        <v>2086</v>
      </c>
      <c r="B190">
        <v>8011051</v>
      </c>
      <c r="D190" s="11" t="s">
        <v>2087</v>
      </c>
      <c r="E190" s="11" t="s">
        <v>2088</v>
      </c>
    </row>
    <row r="191" spans="1:5">
      <c r="A191" s="11" t="s">
        <v>2089</v>
      </c>
      <c r="B191">
        <v>8000596</v>
      </c>
      <c r="D191" s="11" t="s">
        <v>2090</v>
      </c>
      <c r="E191" s="11" t="s">
        <v>2091</v>
      </c>
    </row>
    <row r="192" spans="1:5">
      <c r="A192" s="11" t="s">
        <v>2092</v>
      </c>
      <c r="B192">
        <v>8070304</v>
      </c>
      <c r="D192" s="11" t="s">
        <v>2093</v>
      </c>
      <c r="E192" s="11" t="s">
        <v>2094</v>
      </c>
    </row>
    <row r="193" spans="1:5">
      <c r="A193" s="11" t="s">
        <v>2095</v>
      </c>
      <c r="B193">
        <v>8000597</v>
      </c>
      <c r="D193" s="11" t="s">
        <v>2096</v>
      </c>
      <c r="E193" s="11" t="s">
        <v>2097</v>
      </c>
    </row>
    <row r="194" spans="1:5">
      <c r="A194" s="11" t="s">
        <v>2098</v>
      </c>
      <c r="B194">
        <v>8011053</v>
      </c>
      <c r="D194" s="11" t="s">
        <v>2099</v>
      </c>
      <c r="E194" s="11" t="s">
        <v>2100</v>
      </c>
    </row>
    <row r="195" spans="1:5">
      <c r="A195" s="11" t="s">
        <v>2101</v>
      </c>
      <c r="B195">
        <v>8071797</v>
      </c>
      <c r="D195" s="11" t="s">
        <v>2102</v>
      </c>
      <c r="E195" s="11" t="s">
        <v>2103</v>
      </c>
    </row>
    <row r="196" spans="1:5">
      <c r="A196" s="11" t="s">
        <v>2104</v>
      </c>
      <c r="B196">
        <v>8011054</v>
      </c>
      <c r="D196" s="11" t="s">
        <v>2105</v>
      </c>
      <c r="E196" s="11" t="s">
        <v>2106</v>
      </c>
    </row>
    <row r="197" spans="1:5">
      <c r="A197" s="11" t="s">
        <v>2107</v>
      </c>
      <c r="B197">
        <v>8071346</v>
      </c>
      <c r="D197" s="11" t="s">
        <v>2108</v>
      </c>
      <c r="E197" s="11" t="s">
        <v>2109</v>
      </c>
    </row>
    <row r="198" spans="1:5">
      <c r="A198" s="11" t="s">
        <v>2110</v>
      </c>
      <c r="B198">
        <v>8000599</v>
      </c>
      <c r="D198" s="11" t="s">
        <v>2111</v>
      </c>
      <c r="E198" s="11" t="s">
        <v>2112</v>
      </c>
    </row>
    <row r="199" spans="1:5">
      <c r="A199" s="11" t="s">
        <v>2113</v>
      </c>
      <c r="B199">
        <v>8000602</v>
      </c>
      <c r="D199" s="11" t="s">
        <v>2114</v>
      </c>
      <c r="E199" s="11" t="s">
        <v>2115</v>
      </c>
    </row>
    <row r="200" spans="1:5">
      <c r="A200" s="11" t="s">
        <v>2116</v>
      </c>
      <c r="B200">
        <v>8000603</v>
      </c>
      <c r="D200" s="11" t="s">
        <v>2117</v>
      </c>
      <c r="E200" s="11" t="s">
        <v>2118</v>
      </c>
    </row>
    <row r="201" spans="1:5">
      <c r="A201" s="11" t="s">
        <v>2119</v>
      </c>
      <c r="B201">
        <v>8000605</v>
      </c>
      <c r="D201" s="11" t="s">
        <v>2120</v>
      </c>
      <c r="E201" s="11" t="s">
        <v>2121</v>
      </c>
    </row>
    <row r="202" spans="1:5">
      <c r="A202" s="11" t="s">
        <v>2122</v>
      </c>
      <c r="B202">
        <v>8000606</v>
      </c>
      <c r="D202" s="11" t="s">
        <v>2123</v>
      </c>
      <c r="E202" s="11" t="s">
        <v>2124</v>
      </c>
    </row>
    <row r="203" spans="1:5">
      <c r="A203" s="11" t="s">
        <v>2125</v>
      </c>
      <c r="B203">
        <v>8010006</v>
      </c>
      <c r="D203" s="11" t="s">
        <v>2126</v>
      </c>
      <c r="E203" s="11" t="s">
        <v>2127</v>
      </c>
    </row>
    <row r="204" spans="1:5">
      <c r="A204" s="11" t="s">
        <v>2128</v>
      </c>
      <c r="B204">
        <v>8010007</v>
      </c>
      <c r="D204" s="11" t="s">
        <v>2129</v>
      </c>
      <c r="E204" s="11" t="s">
        <v>2130</v>
      </c>
    </row>
    <row r="205" spans="1:5">
      <c r="A205" s="11" t="s">
        <v>2131</v>
      </c>
      <c r="B205">
        <v>8011055</v>
      </c>
      <c r="D205" s="11" t="s">
        <v>2132</v>
      </c>
      <c r="E205" s="11" t="s">
        <v>2133</v>
      </c>
    </row>
    <row r="206" spans="1:5">
      <c r="A206" s="11" t="s">
        <v>2134</v>
      </c>
      <c r="B206">
        <v>8007343</v>
      </c>
      <c r="D206" s="11" t="s">
        <v>2135</v>
      </c>
      <c r="E206" s="11" t="s">
        <v>2136</v>
      </c>
    </row>
    <row r="207" spans="1:5">
      <c r="A207" s="11" t="s">
        <v>2137</v>
      </c>
      <c r="B207">
        <v>8000611</v>
      </c>
      <c r="D207" s="11" t="s">
        <v>2138</v>
      </c>
      <c r="E207" s="11" t="s">
        <v>2139</v>
      </c>
    </row>
    <row r="208" spans="1:5">
      <c r="A208" s="11" t="s">
        <v>2140</v>
      </c>
      <c r="B208">
        <v>8012440</v>
      </c>
      <c r="D208" s="11" t="s">
        <v>2141</v>
      </c>
      <c r="E208" s="11" t="s">
        <v>2142</v>
      </c>
    </row>
    <row r="209" spans="1:5">
      <c r="A209" s="11" t="s">
        <v>2143</v>
      </c>
      <c r="B209">
        <v>8000613</v>
      </c>
      <c r="D209" s="11" t="s">
        <v>2144</v>
      </c>
      <c r="E209" s="11" t="s">
        <v>2145</v>
      </c>
    </row>
    <row r="210" spans="1:5">
      <c r="A210" s="11" t="s">
        <v>2146</v>
      </c>
      <c r="B210">
        <v>8000010</v>
      </c>
      <c r="D210" s="11" t="s">
        <v>2147</v>
      </c>
      <c r="E210" s="11" t="s">
        <v>2148</v>
      </c>
    </row>
    <row r="211" spans="1:5">
      <c r="A211" s="11" t="s">
        <v>2149</v>
      </c>
      <c r="B211">
        <v>8000618</v>
      </c>
      <c r="D211" s="11" t="s">
        <v>2150</v>
      </c>
      <c r="E211" s="11" t="s">
        <v>2151</v>
      </c>
    </row>
    <row r="212" spans="1:5">
      <c r="A212" s="11" t="s">
        <v>2152</v>
      </c>
      <c r="B212">
        <v>8000619</v>
      </c>
      <c r="D212" s="11" t="s">
        <v>2153</v>
      </c>
      <c r="E212" s="11" t="s">
        <v>2154</v>
      </c>
    </row>
    <row r="213" spans="1:5">
      <c r="A213" s="11" t="s">
        <v>2155</v>
      </c>
      <c r="B213">
        <v>8000621</v>
      </c>
      <c r="D213" s="11" t="s">
        <v>2156</v>
      </c>
      <c r="E213" s="11" t="s">
        <v>2157</v>
      </c>
    </row>
    <row r="214" spans="1:5">
      <c r="A214" s="11" t="s">
        <v>2158</v>
      </c>
      <c r="B214">
        <v>8071310</v>
      </c>
      <c r="D214" s="11" t="s">
        <v>1539</v>
      </c>
      <c r="E214" s="11" t="s">
        <v>1539</v>
      </c>
    </row>
    <row r="215" spans="1:5">
      <c r="A215" s="11" t="s">
        <v>2159</v>
      </c>
      <c r="B215">
        <v>8000011</v>
      </c>
      <c r="D215" s="11" t="s">
        <v>2160</v>
      </c>
      <c r="E215" s="11" t="s">
        <v>2161</v>
      </c>
    </row>
    <row r="216" spans="1:5">
      <c r="A216" s="11" t="s">
        <v>2162</v>
      </c>
      <c r="B216">
        <v>8000623</v>
      </c>
      <c r="D216" s="11" t="s">
        <v>2163</v>
      </c>
      <c r="E216" s="11" t="s">
        <v>2164</v>
      </c>
    </row>
    <row r="217" spans="1:5">
      <c r="A217" s="11" t="s">
        <v>2165</v>
      </c>
      <c r="B217">
        <v>8000624</v>
      </c>
      <c r="D217" s="11" t="s">
        <v>2166</v>
      </c>
      <c r="E217" s="11" t="s">
        <v>2167</v>
      </c>
    </row>
    <row r="218" spans="1:5">
      <c r="A218" s="11" t="s">
        <v>2168</v>
      </c>
      <c r="B218">
        <v>8010009</v>
      </c>
      <c r="D218" s="11" t="s">
        <v>2169</v>
      </c>
      <c r="E218" s="11" t="s">
        <v>2170</v>
      </c>
    </row>
    <row r="219" spans="1:5">
      <c r="A219" s="11" t="s">
        <v>2171</v>
      </c>
      <c r="B219">
        <v>8070305</v>
      </c>
      <c r="D219" s="11" t="s">
        <v>2172</v>
      </c>
      <c r="E219" s="11" t="s">
        <v>2173</v>
      </c>
    </row>
    <row r="220" spans="1:5">
      <c r="A220" s="11" t="s">
        <v>2174</v>
      </c>
      <c r="B220">
        <v>8000627</v>
      </c>
      <c r="D220" s="11" t="s">
        <v>2175</v>
      </c>
      <c r="E220" s="11" t="s">
        <v>2176</v>
      </c>
    </row>
    <row r="221" spans="1:5">
      <c r="A221" s="11" t="s">
        <v>2177</v>
      </c>
      <c r="B221">
        <v>8000630</v>
      </c>
      <c r="D221" s="11" t="s">
        <v>2178</v>
      </c>
      <c r="E221" s="11" t="s">
        <v>2179</v>
      </c>
    </row>
    <row r="222" spans="1:5">
      <c r="A222" s="11" t="s">
        <v>2180</v>
      </c>
      <c r="B222">
        <v>8000625</v>
      </c>
      <c r="D222" s="11" t="s">
        <v>2181</v>
      </c>
      <c r="E222" s="11" t="s">
        <v>2182</v>
      </c>
    </row>
    <row r="223" spans="1:5">
      <c r="A223" s="11" t="s">
        <v>2183</v>
      </c>
      <c r="B223">
        <v>8000632</v>
      </c>
      <c r="D223" s="11" t="s">
        <v>2184</v>
      </c>
      <c r="E223" s="11" t="s">
        <v>2185</v>
      </c>
    </row>
    <row r="224" spans="1:5">
      <c r="A224" s="11" t="s">
        <v>2186</v>
      </c>
      <c r="B224">
        <v>8000633</v>
      </c>
      <c r="D224" s="11" t="s">
        <v>2187</v>
      </c>
      <c r="E224" s="11" t="s">
        <v>2188</v>
      </c>
    </row>
    <row r="225" spans="1:5">
      <c r="A225" s="11" t="s">
        <v>2189</v>
      </c>
      <c r="B225">
        <v>8000634</v>
      </c>
      <c r="D225" s="11" t="s">
        <v>2190</v>
      </c>
      <c r="E225" s="11" t="s">
        <v>2191</v>
      </c>
    </row>
    <row r="226" spans="1:5">
      <c r="A226" s="11" t="s">
        <v>756</v>
      </c>
      <c r="B226">
        <v>8000635</v>
      </c>
      <c r="D226" s="11" t="s">
        <v>758</v>
      </c>
      <c r="E226" s="11" t="s">
        <v>759</v>
      </c>
    </row>
    <row r="227" spans="1:5">
      <c r="A227" s="11" t="s">
        <v>2192</v>
      </c>
      <c r="B227">
        <v>8075967</v>
      </c>
      <c r="D227" s="11" t="s">
        <v>1539</v>
      </c>
      <c r="E227" s="11" t="s">
        <v>1539</v>
      </c>
    </row>
    <row r="228" spans="1:5">
      <c r="A228" s="11" t="s">
        <v>2193</v>
      </c>
      <c r="B228">
        <v>8000638</v>
      </c>
      <c r="D228" s="11" t="s">
        <v>2194</v>
      </c>
      <c r="E228" s="11" t="s">
        <v>2195</v>
      </c>
    </row>
    <row r="229" spans="1:5">
      <c r="A229" s="11" t="s">
        <v>2196</v>
      </c>
      <c r="B229">
        <v>8087039</v>
      </c>
      <c r="D229" s="11" t="s">
        <v>2197</v>
      </c>
      <c r="E229" s="11" t="s">
        <v>2198</v>
      </c>
    </row>
    <row r="230" spans="1:5">
      <c r="A230" s="11" t="s">
        <v>2199</v>
      </c>
      <c r="B230">
        <v>8000643</v>
      </c>
      <c r="D230" s="11" t="s">
        <v>2200</v>
      </c>
      <c r="E230" s="11" t="s">
        <v>2201</v>
      </c>
    </row>
    <row r="231" spans="1:5">
      <c r="A231" s="11" t="s">
        <v>474</v>
      </c>
      <c r="B231">
        <v>8000012</v>
      </c>
      <c r="D231" s="11" t="s">
        <v>476</v>
      </c>
      <c r="E231" s="11" t="s">
        <v>477</v>
      </c>
    </row>
    <row r="232" spans="1:5">
      <c r="A232" s="11" t="s">
        <v>2202</v>
      </c>
      <c r="B232">
        <v>8010010</v>
      </c>
      <c r="D232" s="11" t="s">
        <v>2203</v>
      </c>
      <c r="E232" s="11" t="s">
        <v>2204</v>
      </c>
    </row>
    <row r="233" spans="1:5">
      <c r="A233" s="11" t="s">
        <v>2205</v>
      </c>
      <c r="B233">
        <v>8010027</v>
      </c>
      <c r="D233" s="11" t="s">
        <v>2206</v>
      </c>
      <c r="E233" s="11" t="s">
        <v>2207</v>
      </c>
    </row>
    <row r="234" spans="1:5">
      <c r="A234" s="11" t="s">
        <v>2208</v>
      </c>
      <c r="B234">
        <v>8011057</v>
      </c>
      <c r="D234" s="11" t="s">
        <v>2209</v>
      </c>
      <c r="E234" s="11" t="s">
        <v>2210</v>
      </c>
    </row>
    <row r="235" spans="1:5">
      <c r="A235" s="11" t="s">
        <v>2211</v>
      </c>
      <c r="B235">
        <v>8000649</v>
      </c>
      <c r="D235" s="11" t="s">
        <v>2212</v>
      </c>
      <c r="E235" s="11" t="s">
        <v>2213</v>
      </c>
    </row>
    <row r="236" spans="1:5">
      <c r="A236" s="11" t="s">
        <v>2214</v>
      </c>
      <c r="B236">
        <v>8010011</v>
      </c>
      <c r="D236" s="11" t="s">
        <v>2215</v>
      </c>
      <c r="E236" s="11" t="s">
        <v>2216</v>
      </c>
    </row>
    <row r="237" spans="1:5">
      <c r="A237" s="11" t="s">
        <v>2217</v>
      </c>
      <c r="B237">
        <v>8010012</v>
      </c>
      <c r="D237" s="11" t="s">
        <v>2218</v>
      </c>
      <c r="E237" s="11" t="s">
        <v>2219</v>
      </c>
    </row>
    <row r="238" spans="1:5">
      <c r="A238" s="11" t="s">
        <v>2220</v>
      </c>
      <c r="B238">
        <v>8011059</v>
      </c>
      <c r="D238" s="11" t="s">
        <v>2221</v>
      </c>
      <c r="E238" s="11" t="s">
        <v>2222</v>
      </c>
    </row>
    <row r="239" spans="1:5">
      <c r="A239" s="11" t="s">
        <v>2223</v>
      </c>
      <c r="B239">
        <v>8000651</v>
      </c>
      <c r="D239" s="11" t="s">
        <v>2224</v>
      </c>
      <c r="E239" s="11" t="s">
        <v>2225</v>
      </c>
    </row>
    <row r="240" spans="1:5">
      <c r="A240" s="11" t="s">
        <v>2226</v>
      </c>
      <c r="B240">
        <v>8000647</v>
      </c>
      <c r="D240" s="11" t="s">
        <v>2227</v>
      </c>
      <c r="E240" s="11" t="s">
        <v>2228</v>
      </c>
    </row>
    <row r="241" spans="1:5">
      <c r="A241" s="11" t="s">
        <v>2229</v>
      </c>
      <c r="B241">
        <v>8079031</v>
      </c>
      <c r="D241" s="11" t="s">
        <v>2230</v>
      </c>
      <c r="E241" s="11" t="s">
        <v>2231</v>
      </c>
    </row>
    <row r="242" spans="1:5">
      <c r="A242" s="11" t="s">
        <v>2232</v>
      </c>
      <c r="B242">
        <v>8000653</v>
      </c>
      <c r="D242" s="11" t="s">
        <v>2233</v>
      </c>
      <c r="E242" s="11" t="s">
        <v>2234</v>
      </c>
    </row>
    <row r="243" spans="1:5">
      <c r="A243" s="11" t="s">
        <v>2232</v>
      </c>
      <c r="B243">
        <v>8072990</v>
      </c>
      <c r="D243" s="11" t="s">
        <v>2235</v>
      </c>
      <c r="E243" s="11" t="s">
        <v>2236</v>
      </c>
    </row>
    <row r="244" spans="1:5">
      <c r="A244" s="11" t="s">
        <v>2232</v>
      </c>
      <c r="B244">
        <v>8072991</v>
      </c>
      <c r="D244" s="11" t="s">
        <v>2237</v>
      </c>
      <c r="E244" s="11" t="s">
        <v>2238</v>
      </c>
    </row>
    <row r="245" spans="1:5">
      <c r="A245" s="11" t="s">
        <v>2239</v>
      </c>
      <c r="B245">
        <v>8000655</v>
      </c>
      <c r="D245" s="11" t="s">
        <v>2240</v>
      </c>
      <c r="E245" s="11" t="s">
        <v>2241</v>
      </c>
    </row>
    <row r="246" spans="1:5">
      <c r="A246" s="11" t="s">
        <v>2242</v>
      </c>
      <c r="B246">
        <v>8000657</v>
      </c>
      <c r="D246" s="11" t="s">
        <v>2243</v>
      </c>
      <c r="E246" s="11" t="s">
        <v>2244</v>
      </c>
    </row>
    <row r="247" spans="1:5">
      <c r="A247" s="11" t="s">
        <v>2245</v>
      </c>
      <c r="B247">
        <v>8000658</v>
      </c>
      <c r="D247" s="11" t="s">
        <v>2246</v>
      </c>
      <c r="E247" s="11" t="s">
        <v>2247</v>
      </c>
    </row>
    <row r="248" spans="1:5">
      <c r="A248" s="11" t="s">
        <v>2248</v>
      </c>
      <c r="B248">
        <v>8000013</v>
      </c>
      <c r="D248" s="11" t="s">
        <v>2249</v>
      </c>
      <c r="E248" s="11" t="s">
        <v>2250</v>
      </c>
    </row>
    <row r="249" spans="1:5">
      <c r="A249" s="11" t="s">
        <v>2251</v>
      </c>
      <c r="B249">
        <v>8000659</v>
      </c>
      <c r="D249" s="11" t="s">
        <v>2252</v>
      </c>
      <c r="E249" s="11" t="s">
        <v>2253</v>
      </c>
    </row>
    <row r="250" spans="1:5">
      <c r="A250" s="11" t="s">
        <v>2254</v>
      </c>
      <c r="B250">
        <v>8000660</v>
      </c>
      <c r="D250" s="11" t="s">
        <v>2255</v>
      </c>
      <c r="E250" s="11" t="s">
        <v>2256</v>
      </c>
    </row>
    <row r="251" spans="1:5">
      <c r="A251" s="11" t="s">
        <v>2257</v>
      </c>
      <c r="B251">
        <v>8000661</v>
      </c>
      <c r="D251" s="11" t="s">
        <v>2258</v>
      </c>
      <c r="E251" s="11" t="s">
        <v>2259</v>
      </c>
    </row>
    <row r="252" spans="1:5">
      <c r="A252" s="11" t="s">
        <v>2260</v>
      </c>
      <c r="B252">
        <v>8000662</v>
      </c>
      <c r="D252" s="11" t="s">
        <v>2261</v>
      </c>
      <c r="E252" s="11" t="s">
        <v>2262</v>
      </c>
    </row>
    <row r="253" spans="1:5">
      <c r="A253" s="11" t="s">
        <v>2263</v>
      </c>
      <c r="B253">
        <v>8000664</v>
      </c>
      <c r="D253" s="11" t="s">
        <v>2264</v>
      </c>
      <c r="E253" s="11" t="s">
        <v>2265</v>
      </c>
    </row>
    <row r="254" spans="1:5">
      <c r="A254" s="11" t="s">
        <v>2266</v>
      </c>
      <c r="B254">
        <v>8080060</v>
      </c>
      <c r="D254" s="11" t="s">
        <v>2267</v>
      </c>
      <c r="E254" s="11" t="s">
        <v>2268</v>
      </c>
    </row>
    <row r="255" spans="1:5">
      <c r="A255" s="11" t="s">
        <v>2269</v>
      </c>
      <c r="B255">
        <v>8071880</v>
      </c>
      <c r="D255" s="11" t="s">
        <v>2270</v>
      </c>
      <c r="E255" s="11" t="s">
        <v>2271</v>
      </c>
    </row>
    <row r="256" spans="1:5">
      <c r="A256" s="11" t="s">
        <v>2272</v>
      </c>
      <c r="B256">
        <v>8071103</v>
      </c>
      <c r="D256" s="11" t="s">
        <v>2273</v>
      </c>
      <c r="E256" s="11" t="s">
        <v>2274</v>
      </c>
    </row>
    <row r="257" spans="1:5">
      <c r="A257" s="11" t="s">
        <v>2275</v>
      </c>
      <c r="B257">
        <v>8003078</v>
      </c>
      <c r="D257" s="11" t="s">
        <v>2276</v>
      </c>
      <c r="E257" s="11" t="s">
        <v>2277</v>
      </c>
    </row>
    <row r="258" spans="1:5">
      <c r="A258" s="11" t="s">
        <v>2278</v>
      </c>
      <c r="B258">
        <v>8000014</v>
      </c>
      <c r="D258" s="11" t="s">
        <v>2279</v>
      </c>
      <c r="E258" s="11" t="s">
        <v>2280</v>
      </c>
    </row>
    <row r="259" spans="1:5">
      <c r="A259" s="11" t="s">
        <v>2281</v>
      </c>
      <c r="B259">
        <v>8000668</v>
      </c>
      <c r="D259" s="11" t="s">
        <v>2282</v>
      </c>
      <c r="E259" s="11" t="s">
        <v>2283</v>
      </c>
    </row>
    <row r="260" spans="1:5">
      <c r="A260" s="11" t="s">
        <v>2284</v>
      </c>
      <c r="B260">
        <v>8000669</v>
      </c>
      <c r="D260" s="11" t="s">
        <v>2285</v>
      </c>
      <c r="E260" s="11" t="s">
        <v>2286</v>
      </c>
    </row>
    <row r="261" spans="1:5">
      <c r="A261" s="11" t="s">
        <v>2287</v>
      </c>
      <c r="B261">
        <v>8000671</v>
      </c>
      <c r="D261" s="11" t="s">
        <v>2288</v>
      </c>
      <c r="E261" s="11" t="s">
        <v>2289</v>
      </c>
    </row>
    <row r="262" spans="1:5">
      <c r="A262" s="11" t="s">
        <v>2290</v>
      </c>
      <c r="B262">
        <v>8000672</v>
      </c>
      <c r="D262" s="11" t="s">
        <v>2291</v>
      </c>
      <c r="E262" s="11" t="s">
        <v>2292</v>
      </c>
    </row>
    <row r="263" spans="1:5">
      <c r="A263" s="11" t="s">
        <v>2293</v>
      </c>
      <c r="B263">
        <v>8000674</v>
      </c>
      <c r="D263" s="11" t="s">
        <v>2294</v>
      </c>
      <c r="E263" s="11" t="s">
        <v>2295</v>
      </c>
    </row>
    <row r="264" spans="1:5">
      <c r="A264" s="11" t="s">
        <v>2296</v>
      </c>
      <c r="B264">
        <v>8000675</v>
      </c>
      <c r="D264" s="11" t="s">
        <v>2297</v>
      </c>
      <c r="E264" s="11" t="s">
        <v>2298</v>
      </c>
    </row>
    <row r="265" spans="1:5">
      <c r="A265" s="11" t="s">
        <v>2299</v>
      </c>
      <c r="B265">
        <v>8011063</v>
      </c>
      <c r="D265" s="11" t="s">
        <v>2300</v>
      </c>
      <c r="E265" s="11" t="s">
        <v>2301</v>
      </c>
    </row>
    <row r="266" spans="1:5">
      <c r="A266" s="11" t="s">
        <v>2302</v>
      </c>
      <c r="B266">
        <v>8010013</v>
      </c>
      <c r="D266" s="11" t="s">
        <v>2303</v>
      </c>
      <c r="E266" s="11" t="s">
        <v>2304</v>
      </c>
    </row>
    <row r="267" spans="1:5">
      <c r="A267" s="11" t="s">
        <v>2305</v>
      </c>
      <c r="B267">
        <v>8000678</v>
      </c>
      <c r="D267" s="11" t="s">
        <v>2306</v>
      </c>
      <c r="E267" s="11" t="s">
        <v>2307</v>
      </c>
    </row>
    <row r="268" spans="1:5">
      <c r="A268" s="11" t="s">
        <v>2308</v>
      </c>
      <c r="B268">
        <v>8003559</v>
      </c>
      <c r="D268" s="11" t="s">
        <v>2309</v>
      </c>
      <c r="E268" s="11" t="s">
        <v>2310</v>
      </c>
    </row>
    <row r="269" spans="1:5">
      <c r="A269" s="11" t="s">
        <v>2311</v>
      </c>
      <c r="B269">
        <v>8000015</v>
      </c>
      <c r="D269" s="11" t="s">
        <v>2312</v>
      </c>
      <c r="E269" s="11" t="s">
        <v>2313</v>
      </c>
    </row>
    <row r="270" spans="1:5">
      <c r="A270" s="11" t="s">
        <v>2314</v>
      </c>
      <c r="B270">
        <v>8000681</v>
      </c>
      <c r="D270" s="11" t="s">
        <v>2315</v>
      </c>
      <c r="E270" s="11" t="s">
        <v>2316</v>
      </c>
    </row>
    <row r="271" spans="1:5">
      <c r="A271" s="11" t="s">
        <v>2317</v>
      </c>
      <c r="B271">
        <v>8070919</v>
      </c>
      <c r="D271" s="11" t="s">
        <v>2318</v>
      </c>
      <c r="E271" s="11" t="s">
        <v>2319</v>
      </c>
    </row>
    <row r="272" spans="1:5">
      <c r="A272" s="11" t="s">
        <v>2320</v>
      </c>
      <c r="B272">
        <v>8000683</v>
      </c>
      <c r="D272" s="11" t="s">
        <v>2321</v>
      </c>
      <c r="E272" s="11" t="s">
        <v>2322</v>
      </c>
    </row>
    <row r="273" spans="1:5">
      <c r="A273" s="11" t="s">
        <v>2323</v>
      </c>
      <c r="B273">
        <v>8075964</v>
      </c>
      <c r="D273" s="11" t="s">
        <v>1539</v>
      </c>
      <c r="E273" s="11" t="s">
        <v>1539</v>
      </c>
    </row>
    <row r="274" spans="1:5">
      <c r="A274" s="11" t="s">
        <v>2324</v>
      </c>
      <c r="B274">
        <v>8000224</v>
      </c>
      <c r="D274" s="11" t="s">
        <v>2325</v>
      </c>
      <c r="E274" s="11" t="s">
        <v>2326</v>
      </c>
    </row>
    <row r="275" spans="1:5">
      <c r="A275" s="11" t="s">
        <v>2327</v>
      </c>
      <c r="B275">
        <v>8000685</v>
      </c>
      <c r="D275" s="11" t="s">
        <v>2328</v>
      </c>
      <c r="E275" s="11" t="s">
        <v>2329</v>
      </c>
    </row>
    <row r="276" spans="1:5">
      <c r="A276" s="11" t="s">
        <v>2330</v>
      </c>
      <c r="B276">
        <v>8011065</v>
      </c>
      <c r="D276" s="11" t="s">
        <v>2331</v>
      </c>
      <c r="E276" s="11" t="s">
        <v>2332</v>
      </c>
    </row>
    <row r="277" spans="1:5">
      <c r="A277" s="11" t="s">
        <v>2333</v>
      </c>
      <c r="B277">
        <v>8000686</v>
      </c>
      <c r="D277" s="11" t="s">
        <v>2334</v>
      </c>
      <c r="E277" s="11" t="s">
        <v>2335</v>
      </c>
    </row>
    <row r="278" spans="1:5">
      <c r="A278" s="11" t="s">
        <v>2336</v>
      </c>
      <c r="B278">
        <v>8000016</v>
      </c>
      <c r="D278" s="11" t="s">
        <v>2337</v>
      </c>
      <c r="E278" s="11" t="s">
        <v>2338</v>
      </c>
    </row>
    <row r="279" spans="1:5">
      <c r="A279" s="11" t="s">
        <v>2339</v>
      </c>
      <c r="B279">
        <v>8000689</v>
      </c>
      <c r="D279" s="11" t="s">
        <v>2340</v>
      </c>
      <c r="E279" s="11" t="s">
        <v>2341</v>
      </c>
    </row>
    <row r="280" spans="1:5">
      <c r="A280" s="11" t="s">
        <v>2342</v>
      </c>
      <c r="B280">
        <v>8000690</v>
      </c>
      <c r="D280" s="11" t="s">
        <v>2343</v>
      </c>
      <c r="E280" s="11" t="s">
        <v>2344</v>
      </c>
    </row>
    <row r="281" spans="1:5">
      <c r="A281" s="11" t="s">
        <v>2345</v>
      </c>
      <c r="B281">
        <v>8000696</v>
      </c>
      <c r="D281" s="11" t="s">
        <v>2346</v>
      </c>
      <c r="E281" s="11" t="s">
        <v>2347</v>
      </c>
    </row>
    <row r="282" spans="1:5">
      <c r="A282" s="11" t="s">
        <v>2348</v>
      </c>
      <c r="B282">
        <v>8000609</v>
      </c>
      <c r="D282" s="11" t="s">
        <v>2349</v>
      </c>
      <c r="E282" s="11" t="s">
        <v>2350</v>
      </c>
    </row>
    <row r="283" spans="1:5">
      <c r="A283" s="11" t="s">
        <v>2351</v>
      </c>
      <c r="B283">
        <v>8070050</v>
      </c>
      <c r="D283" s="11" t="s">
        <v>2352</v>
      </c>
      <c r="E283" s="11" t="s">
        <v>2353</v>
      </c>
    </row>
    <row r="284" spans="1:5">
      <c r="A284" s="11" t="s">
        <v>2354</v>
      </c>
      <c r="B284">
        <v>8000864</v>
      </c>
      <c r="D284" s="11" t="s">
        <v>2355</v>
      </c>
      <c r="E284" s="11" t="s">
        <v>2356</v>
      </c>
    </row>
    <row r="285" spans="1:5">
      <c r="A285" s="11" t="s">
        <v>2357</v>
      </c>
      <c r="B285">
        <v>8010031</v>
      </c>
      <c r="D285" s="11" t="s">
        <v>2358</v>
      </c>
      <c r="E285" s="11" t="s">
        <v>2359</v>
      </c>
    </row>
    <row r="286" spans="1:5">
      <c r="A286" s="11" t="s">
        <v>2360</v>
      </c>
      <c r="B286">
        <v>8000879</v>
      </c>
      <c r="D286" s="11" t="s">
        <v>2361</v>
      </c>
      <c r="E286" s="11" t="s">
        <v>2362</v>
      </c>
    </row>
    <row r="287" spans="1:5">
      <c r="A287" s="11" t="s">
        <v>2363</v>
      </c>
      <c r="B287">
        <v>8000151</v>
      </c>
      <c r="D287" s="11" t="s">
        <v>1539</v>
      </c>
      <c r="E287" s="11" t="s">
        <v>1539</v>
      </c>
    </row>
    <row r="288" spans="1:5">
      <c r="A288" s="11" t="s">
        <v>2364</v>
      </c>
      <c r="B288">
        <v>8000691</v>
      </c>
      <c r="D288" s="11" t="s">
        <v>2365</v>
      </c>
      <c r="E288" s="11" t="s">
        <v>2366</v>
      </c>
    </row>
    <row r="289" spans="1:5">
      <c r="A289" s="11" t="s">
        <v>2367</v>
      </c>
      <c r="B289">
        <v>8011066</v>
      </c>
      <c r="D289" s="11" t="s">
        <v>2368</v>
      </c>
      <c r="E289" s="11" t="s">
        <v>2369</v>
      </c>
    </row>
    <row r="290" spans="1:5">
      <c r="A290" s="11" t="s">
        <v>2370</v>
      </c>
      <c r="B290">
        <v>8011067</v>
      </c>
      <c r="D290" s="11" t="s">
        <v>2371</v>
      </c>
      <c r="E290" s="11" t="s">
        <v>2372</v>
      </c>
    </row>
    <row r="291" spans="1:5">
      <c r="A291" s="11" t="s">
        <v>2373</v>
      </c>
      <c r="B291">
        <v>8000907</v>
      </c>
      <c r="D291" s="11" t="s">
        <v>2374</v>
      </c>
      <c r="E291" s="11" t="s">
        <v>2375</v>
      </c>
    </row>
    <row r="292" spans="1:5">
      <c r="A292" s="11" t="s">
        <v>2376</v>
      </c>
      <c r="B292">
        <v>8000935</v>
      </c>
      <c r="D292" s="11" t="s">
        <v>2377</v>
      </c>
      <c r="E292" s="11" t="s">
        <v>2378</v>
      </c>
    </row>
    <row r="293" spans="1:5">
      <c r="A293" s="11" t="s">
        <v>2379</v>
      </c>
      <c r="B293">
        <v>8000988</v>
      </c>
      <c r="D293" s="11" t="s">
        <v>2380</v>
      </c>
      <c r="E293" s="11" t="s">
        <v>2381</v>
      </c>
    </row>
    <row r="294" spans="1:5">
      <c r="A294" s="11" t="s">
        <v>2382</v>
      </c>
      <c r="B294">
        <v>8010014</v>
      </c>
      <c r="D294" s="11" t="s">
        <v>2383</v>
      </c>
      <c r="E294" s="11" t="s">
        <v>2384</v>
      </c>
    </row>
    <row r="295" spans="1:5">
      <c r="A295" s="11" t="s">
        <v>2385</v>
      </c>
      <c r="B295">
        <v>8001049</v>
      </c>
      <c r="D295" s="11" t="s">
        <v>2386</v>
      </c>
      <c r="E295" s="11" t="s">
        <v>2387</v>
      </c>
    </row>
    <row r="296" spans="1:5">
      <c r="A296" s="11" t="s">
        <v>2388</v>
      </c>
      <c r="B296">
        <v>8001052</v>
      </c>
      <c r="D296" s="11" t="s">
        <v>2389</v>
      </c>
      <c r="E296" s="11" t="s">
        <v>2390</v>
      </c>
    </row>
    <row r="297" spans="1:5">
      <c r="A297" s="11" t="s">
        <v>2391</v>
      </c>
      <c r="B297">
        <v>8011068</v>
      </c>
      <c r="D297" s="11" t="s">
        <v>2392</v>
      </c>
      <c r="E297" s="11" t="s">
        <v>2393</v>
      </c>
    </row>
    <row r="298" spans="1:5">
      <c r="A298" s="11" t="s">
        <v>2394</v>
      </c>
      <c r="B298">
        <v>8007058</v>
      </c>
      <c r="D298" s="11" t="s">
        <v>2395</v>
      </c>
      <c r="E298" s="11" t="s">
        <v>2396</v>
      </c>
    </row>
    <row r="299" spans="1:5">
      <c r="A299" s="11" t="s">
        <v>2397</v>
      </c>
      <c r="B299">
        <v>8007057</v>
      </c>
      <c r="D299" s="11" t="s">
        <v>2398</v>
      </c>
      <c r="E299" s="11" t="s">
        <v>2399</v>
      </c>
    </row>
    <row r="300" spans="1:5">
      <c r="A300" s="11" t="s">
        <v>2400</v>
      </c>
      <c r="B300">
        <v>8000694</v>
      </c>
      <c r="D300" s="11" t="s">
        <v>2401</v>
      </c>
      <c r="E300" s="11" t="s">
        <v>2402</v>
      </c>
    </row>
    <row r="301" spans="1:5">
      <c r="A301" s="11" t="s">
        <v>2403</v>
      </c>
      <c r="B301">
        <v>8001322</v>
      </c>
      <c r="D301" s="11" t="s">
        <v>2404</v>
      </c>
      <c r="E301" s="11" t="s">
        <v>2405</v>
      </c>
    </row>
    <row r="302" spans="1:5">
      <c r="A302" s="11" t="s">
        <v>2406</v>
      </c>
      <c r="B302">
        <v>8010016</v>
      </c>
      <c r="D302" s="11" t="s">
        <v>2407</v>
      </c>
      <c r="E302" s="11" t="s">
        <v>2408</v>
      </c>
    </row>
    <row r="303" spans="1:5">
      <c r="A303" s="11" t="s">
        <v>2409</v>
      </c>
      <c r="B303">
        <v>8011069</v>
      </c>
      <c r="D303" s="11" t="s">
        <v>2410</v>
      </c>
      <c r="E303" s="11" t="s">
        <v>2411</v>
      </c>
    </row>
    <row r="304" spans="1:5">
      <c r="A304" s="11" t="s">
        <v>2412</v>
      </c>
      <c r="B304">
        <v>8081085</v>
      </c>
      <c r="D304" s="11" t="s">
        <v>2413</v>
      </c>
      <c r="E304" s="11" t="s">
        <v>2414</v>
      </c>
    </row>
    <row r="305" spans="1:5">
      <c r="A305" s="11" t="s">
        <v>2415</v>
      </c>
      <c r="B305">
        <v>8071934</v>
      </c>
      <c r="D305" s="11" t="s">
        <v>2416</v>
      </c>
      <c r="E305" s="11" t="s">
        <v>2417</v>
      </c>
    </row>
    <row r="306" spans="1:5">
      <c r="A306" s="11" t="s">
        <v>2418</v>
      </c>
      <c r="B306">
        <v>8000697</v>
      </c>
      <c r="D306" s="11" t="s">
        <v>2419</v>
      </c>
      <c r="E306" s="11" t="s">
        <v>2420</v>
      </c>
    </row>
    <row r="307" spans="1:5">
      <c r="A307" s="11" t="s">
        <v>2421</v>
      </c>
      <c r="B307">
        <v>8000698</v>
      </c>
      <c r="D307" s="11" t="s">
        <v>2422</v>
      </c>
      <c r="E307" s="11" t="s">
        <v>2423</v>
      </c>
    </row>
    <row r="308" spans="1:5">
      <c r="A308" s="11" t="s">
        <v>2424</v>
      </c>
      <c r="B308">
        <v>8000708</v>
      </c>
      <c r="D308" s="11" t="s">
        <v>2425</v>
      </c>
      <c r="E308" s="11" t="s">
        <v>2426</v>
      </c>
    </row>
    <row r="309" spans="1:5">
      <c r="A309" s="11" t="s">
        <v>2427</v>
      </c>
      <c r="B309">
        <v>8011071</v>
      </c>
      <c r="D309" s="11" t="s">
        <v>2428</v>
      </c>
      <c r="E309" s="11" t="s">
        <v>2429</v>
      </c>
    </row>
    <row r="310" spans="1:5">
      <c r="A310" s="11" t="s">
        <v>2430</v>
      </c>
      <c r="B310">
        <v>8070225</v>
      </c>
      <c r="D310" s="11" t="s">
        <v>2431</v>
      </c>
      <c r="E310" s="11" t="s">
        <v>2432</v>
      </c>
    </row>
    <row r="311" spans="1:5">
      <c r="A311" s="11" t="s">
        <v>2433</v>
      </c>
      <c r="B311">
        <v>8011072</v>
      </c>
      <c r="D311" s="11" t="s">
        <v>2434</v>
      </c>
      <c r="E311" s="11" t="s">
        <v>2435</v>
      </c>
    </row>
    <row r="312" spans="1:5">
      <c r="A312" s="11" t="s">
        <v>2436</v>
      </c>
      <c r="B312">
        <v>8000701</v>
      </c>
      <c r="D312" s="11" t="s">
        <v>2437</v>
      </c>
      <c r="E312" s="11" t="s">
        <v>2438</v>
      </c>
    </row>
    <row r="313" spans="1:5">
      <c r="A313" s="11" t="s">
        <v>2439</v>
      </c>
      <c r="B313">
        <v>8000702</v>
      </c>
      <c r="D313" s="11" t="s">
        <v>2440</v>
      </c>
      <c r="E313" s="11" t="s">
        <v>2441</v>
      </c>
    </row>
    <row r="314" spans="1:5">
      <c r="A314" s="11" t="s">
        <v>2442</v>
      </c>
      <c r="B314">
        <v>8001787</v>
      </c>
      <c r="D314" s="11" t="s">
        <v>2443</v>
      </c>
      <c r="E314" s="11" t="s">
        <v>2444</v>
      </c>
    </row>
    <row r="315" spans="1:5">
      <c r="A315" s="11" t="s">
        <v>2445</v>
      </c>
      <c r="B315">
        <v>8070307</v>
      </c>
      <c r="D315" s="11" t="s">
        <v>2446</v>
      </c>
      <c r="E315" s="11" t="s">
        <v>2447</v>
      </c>
    </row>
    <row r="316" spans="1:5">
      <c r="A316" s="11" t="s">
        <v>2448</v>
      </c>
      <c r="B316">
        <v>8001958</v>
      </c>
      <c r="D316" s="11" t="s">
        <v>2449</v>
      </c>
      <c r="E316" s="11" t="s">
        <v>2450</v>
      </c>
    </row>
    <row r="317" spans="1:5">
      <c r="A317" s="11" t="s">
        <v>2451</v>
      </c>
      <c r="B317">
        <v>8010017</v>
      </c>
      <c r="D317" s="11" t="s">
        <v>2452</v>
      </c>
      <c r="E317" s="11" t="s">
        <v>2453</v>
      </c>
    </row>
    <row r="318" spans="1:5">
      <c r="A318" s="11" t="s">
        <v>2454</v>
      </c>
      <c r="B318">
        <v>8000017</v>
      </c>
      <c r="D318" s="11" t="s">
        <v>2455</v>
      </c>
      <c r="E318" s="11" t="s">
        <v>2456</v>
      </c>
    </row>
    <row r="319" spans="1:5">
      <c r="A319" s="11" t="s">
        <v>2457</v>
      </c>
      <c r="B319">
        <v>8000704</v>
      </c>
      <c r="D319" s="11" t="s">
        <v>2458</v>
      </c>
      <c r="E319" s="11" t="s">
        <v>2459</v>
      </c>
    </row>
    <row r="320" spans="1:5">
      <c r="A320" s="11" t="s">
        <v>2460</v>
      </c>
      <c r="B320">
        <v>8000352</v>
      </c>
      <c r="D320" s="11" t="s">
        <v>2461</v>
      </c>
      <c r="E320" s="11" t="s">
        <v>2462</v>
      </c>
    </row>
    <row r="321" spans="1:5">
      <c r="A321" s="11" t="s">
        <v>2463</v>
      </c>
      <c r="B321">
        <v>8000707</v>
      </c>
      <c r="D321" s="11" t="s">
        <v>2464</v>
      </c>
      <c r="E321" s="11" t="s">
        <v>2465</v>
      </c>
    </row>
    <row r="322" spans="1:5">
      <c r="A322" s="11" t="s">
        <v>2466</v>
      </c>
      <c r="B322">
        <v>8002378</v>
      </c>
      <c r="D322" s="11" t="s">
        <v>2467</v>
      </c>
      <c r="E322" s="11" t="s">
        <v>2468</v>
      </c>
    </row>
    <row r="323" spans="1:5">
      <c r="A323" s="11" t="s">
        <v>2469</v>
      </c>
      <c r="B323">
        <v>8000019</v>
      </c>
      <c r="D323" s="11" t="s">
        <v>2470</v>
      </c>
      <c r="E323" s="11" t="s">
        <v>2471</v>
      </c>
    </row>
    <row r="324" spans="1:5">
      <c r="A324" s="11" t="s">
        <v>2472</v>
      </c>
      <c r="B324">
        <v>8007011</v>
      </c>
      <c r="D324" s="11" t="s">
        <v>2473</v>
      </c>
      <c r="E324" s="11" t="s">
        <v>2474</v>
      </c>
    </row>
    <row r="325" spans="1:5">
      <c r="A325" s="11" t="s">
        <v>2475</v>
      </c>
      <c r="B325">
        <v>8000020</v>
      </c>
      <c r="D325" s="11" t="s">
        <v>2476</v>
      </c>
      <c r="E325" s="11" t="s">
        <v>2477</v>
      </c>
    </row>
    <row r="326" spans="1:5">
      <c r="A326" s="11" t="s">
        <v>2478</v>
      </c>
      <c r="B326">
        <v>8071207</v>
      </c>
      <c r="D326" s="11" t="s">
        <v>2479</v>
      </c>
      <c r="E326" s="11" t="s">
        <v>2480</v>
      </c>
    </row>
    <row r="327" spans="1:5">
      <c r="A327" s="11" t="s">
        <v>2481</v>
      </c>
      <c r="B327">
        <v>8000710</v>
      </c>
      <c r="D327" s="11" t="s">
        <v>2482</v>
      </c>
      <c r="E327" s="11" t="s">
        <v>2483</v>
      </c>
    </row>
    <row r="328" spans="1:5">
      <c r="A328" s="11" t="s">
        <v>2484</v>
      </c>
      <c r="B328">
        <v>8002978</v>
      </c>
      <c r="D328" s="11" t="s">
        <v>2485</v>
      </c>
      <c r="E328" s="11" t="s">
        <v>2486</v>
      </c>
    </row>
    <row r="329" spans="1:5">
      <c r="A329" s="11" t="s">
        <v>1283</v>
      </c>
      <c r="B329">
        <v>8000712</v>
      </c>
      <c r="D329" s="11" t="s">
        <v>2487</v>
      </c>
      <c r="E329" s="11" t="s">
        <v>2488</v>
      </c>
    </row>
    <row r="330" spans="1:5">
      <c r="A330" s="11" t="s">
        <v>2489</v>
      </c>
      <c r="B330">
        <v>8070770</v>
      </c>
      <c r="D330" s="11" t="s">
        <v>2490</v>
      </c>
      <c r="E330" s="11" t="s">
        <v>2491</v>
      </c>
    </row>
    <row r="331" spans="1:5">
      <c r="A331" s="11" t="s">
        <v>2492</v>
      </c>
      <c r="B331">
        <v>8070073</v>
      </c>
      <c r="D331" s="11" t="s">
        <v>2493</v>
      </c>
      <c r="E331" s="11" t="s">
        <v>2494</v>
      </c>
    </row>
    <row r="332" spans="1:5">
      <c r="A332" s="11" t="s">
        <v>2495</v>
      </c>
      <c r="B332">
        <v>8000713</v>
      </c>
      <c r="D332" s="11" t="s">
        <v>2496</v>
      </c>
      <c r="E332" s="11" t="s">
        <v>2497</v>
      </c>
    </row>
    <row r="333" spans="1:5">
      <c r="A333" s="11" t="s">
        <v>2498</v>
      </c>
      <c r="B333">
        <v>8075944</v>
      </c>
      <c r="D333" s="11" t="s">
        <v>1539</v>
      </c>
      <c r="E333" s="11" t="s">
        <v>1539</v>
      </c>
    </row>
    <row r="334" spans="1:5">
      <c r="A334" s="11" t="s">
        <v>2499</v>
      </c>
      <c r="B334">
        <v>8000711</v>
      </c>
      <c r="D334" s="11" t="s">
        <v>2500</v>
      </c>
      <c r="E334" s="11" t="s">
        <v>2501</v>
      </c>
    </row>
    <row r="335" spans="1:5">
      <c r="A335" s="11" t="s">
        <v>2502</v>
      </c>
      <c r="B335">
        <v>8070308</v>
      </c>
      <c r="D335" s="11" t="s">
        <v>2503</v>
      </c>
      <c r="E335" s="11" t="s">
        <v>2504</v>
      </c>
    </row>
    <row r="336" spans="1:5">
      <c r="A336" s="11" t="s">
        <v>2505</v>
      </c>
      <c r="B336">
        <v>8070309</v>
      </c>
      <c r="D336" s="11" t="s">
        <v>2506</v>
      </c>
      <c r="E336" s="11" t="s">
        <v>2507</v>
      </c>
    </row>
    <row r="337" spans="1:5">
      <c r="A337" s="11" t="s">
        <v>2508</v>
      </c>
      <c r="B337">
        <v>8003182</v>
      </c>
      <c r="D337" s="11" t="s">
        <v>2509</v>
      </c>
      <c r="E337" s="11" t="s">
        <v>2510</v>
      </c>
    </row>
    <row r="338" spans="1:5">
      <c r="A338" s="11" t="s">
        <v>2511</v>
      </c>
      <c r="B338">
        <v>8000714</v>
      </c>
      <c r="D338" s="11" t="s">
        <v>2512</v>
      </c>
      <c r="E338" s="11" t="s">
        <v>2513</v>
      </c>
    </row>
    <row r="339" spans="1:5">
      <c r="A339" s="11" t="s">
        <v>2514</v>
      </c>
      <c r="B339">
        <v>8010018</v>
      </c>
      <c r="D339" s="11" t="s">
        <v>2515</v>
      </c>
      <c r="E339" s="11" t="s">
        <v>2516</v>
      </c>
    </row>
    <row r="340" spans="1:5">
      <c r="A340" s="11" t="s">
        <v>2517</v>
      </c>
      <c r="B340">
        <v>8000716</v>
      </c>
      <c r="D340" s="11" t="s">
        <v>2518</v>
      </c>
      <c r="E340" s="11" t="s">
        <v>2519</v>
      </c>
    </row>
    <row r="341" spans="1:5">
      <c r="A341" s="11" t="s">
        <v>2520</v>
      </c>
      <c r="B341">
        <v>8000717</v>
      </c>
      <c r="D341" s="11" t="s">
        <v>2521</v>
      </c>
      <c r="E341" s="11" t="s">
        <v>2522</v>
      </c>
    </row>
    <row r="342" spans="1:5">
      <c r="A342" s="11" t="s">
        <v>2523</v>
      </c>
      <c r="B342">
        <v>8000715</v>
      </c>
      <c r="D342" s="11" t="s">
        <v>2524</v>
      </c>
      <c r="E342" s="11" t="s">
        <v>2525</v>
      </c>
    </row>
    <row r="343" spans="1:5">
      <c r="A343" s="11" t="s">
        <v>2526</v>
      </c>
      <c r="B343">
        <v>8006643</v>
      </c>
      <c r="D343" s="11" t="s">
        <v>2527</v>
      </c>
      <c r="E343" s="11" t="s">
        <v>2528</v>
      </c>
    </row>
    <row r="344" spans="1:5">
      <c r="A344" s="11" t="s">
        <v>2529</v>
      </c>
      <c r="B344">
        <v>8010019</v>
      </c>
      <c r="D344" s="11" t="s">
        <v>2530</v>
      </c>
      <c r="E344" s="11" t="s">
        <v>2531</v>
      </c>
    </row>
    <row r="345" spans="1:5">
      <c r="A345" s="11" t="s">
        <v>2532</v>
      </c>
      <c r="B345">
        <v>8011074</v>
      </c>
      <c r="D345" s="11" t="s">
        <v>2533</v>
      </c>
      <c r="E345" s="11" t="s">
        <v>2534</v>
      </c>
    </row>
    <row r="346" spans="1:5">
      <c r="A346" s="11" t="s">
        <v>2535</v>
      </c>
      <c r="B346">
        <v>8003393</v>
      </c>
      <c r="D346" s="11" t="s">
        <v>2536</v>
      </c>
      <c r="E346" s="11" t="s">
        <v>2537</v>
      </c>
    </row>
    <row r="347" spans="1:5">
      <c r="A347" s="11" t="s">
        <v>2538</v>
      </c>
      <c r="B347">
        <v>8000021</v>
      </c>
      <c r="D347" s="11" t="s">
        <v>2539</v>
      </c>
      <c r="E347" s="11" t="s">
        <v>2540</v>
      </c>
    </row>
    <row r="348" spans="1:5">
      <c r="A348" s="11" t="s">
        <v>2541</v>
      </c>
      <c r="B348">
        <v>8000718</v>
      </c>
      <c r="D348" s="11" t="s">
        <v>2542</v>
      </c>
      <c r="E348" s="11" t="s">
        <v>2543</v>
      </c>
    </row>
    <row r="349" spans="1:5">
      <c r="A349" s="11" t="s">
        <v>2544</v>
      </c>
      <c r="B349">
        <v>8007330</v>
      </c>
      <c r="D349" s="11" t="s">
        <v>2545</v>
      </c>
      <c r="E349" s="11" t="s">
        <v>2546</v>
      </c>
    </row>
    <row r="350" spans="1:5">
      <c r="A350" s="11" t="s">
        <v>2547</v>
      </c>
      <c r="B350">
        <v>8003486</v>
      </c>
      <c r="D350" s="11" t="s">
        <v>2548</v>
      </c>
      <c r="E350" s="11" t="s">
        <v>2549</v>
      </c>
    </row>
    <row r="351" spans="1:5">
      <c r="A351" s="11" t="s">
        <v>2550</v>
      </c>
      <c r="B351">
        <v>8003493</v>
      </c>
      <c r="D351" s="11" t="s">
        <v>2551</v>
      </c>
      <c r="E351" s="11" t="s">
        <v>2552</v>
      </c>
    </row>
    <row r="352" spans="1:5">
      <c r="A352" s="11" t="s">
        <v>2553</v>
      </c>
      <c r="B352">
        <v>8010020</v>
      </c>
      <c r="D352" s="11" t="s">
        <v>2554</v>
      </c>
      <c r="E352" s="11" t="s">
        <v>2555</v>
      </c>
    </row>
    <row r="353" spans="1:5">
      <c r="A353" s="11" t="s">
        <v>2556</v>
      </c>
      <c r="B353">
        <v>8011075</v>
      </c>
      <c r="D353" s="11" t="s">
        <v>2557</v>
      </c>
      <c r="E353" s="11" t="s">
        <v>2558</v>
      </c>
    </row>
    <row r="354" spans="1:5">
      <c r="A354" s="11" t="s">
        <v>2559</v>
      </c>
      <c r="B354">
        <v>8011077</v>
      </c>
      <c r="D354" s="11" t="s">
        <v>2560</v>
      </c>
      <c r="E354" s="11" t="s">
        <v>2561</v>
      </c>
    </row>
    <row r="355" spans="1:5">
      <c r="A355" s="11" t="s">
        <v>2562</v>
      </c>
      <c r="B355">
        <v>8005324</v>
      </c>
      <c r="D355" s="11" t="s">
        <v>2563</v>
      </c>
      <c r="E355" s="11" t="s">
        <v>2564</v>
      </c>
    </row>
    <row r="356" spans="1:5">
      <c r="A356" s="11" t="s">
        <v>2565</v>
      </c>
      <c r="B356">
        <v>8011078</v>
      </c>
      <c r="D356" s="11" t="s">
        <v>2566</v>
      </c>
      <c r="E356" s="11" t="s">
        <v>2567</v>
      </c>
    </row>
    <row r="357" spans="1:5">
      <c r="A357" s="11" t="s">
        <v>2568</v>
      </c>
      <c r="B357">
        <v>8000721</v>
      </c>
      <c r="D357" s="11" t="s">
        <v>2569</v>
      </c>
      <c r="E357" s="11" t="s">
        <v>2570</v>
      </c>
    </row>
    <row r="358" spans="1:5">
      <c r="A358" s="11" t="s">
        <v>2571</v>
      </c>
      <c r="B358">
        <v>8013452</v>
      </c>
      <c r="D358" s="11" t="s">
        <v>2572</v>
      </c>
      <c r="E358" s="11" t="s">
        <v>2573</v>
      </c>
    </row>
    <row r="359" spans="1:5">
      <c r="A359" s="11" t="s">
        <v>2574</v>
      </c>
      <c r="B359">
        <v>8003829</v>
      </c>
      <c r="D359" s="11" t="s">
        <v>2575</v>
      </c>
      <c r="E359" s="11" t="s">
        <v>2576</v>
      </c>
    </row>
    <row r="360" spans="1:5">
      <c r="A360" s="11" t="s">
        <v>2577</v>
      </c>
      <c r="B360">
        <v>8000724</v>
      </c>
      <c r="D360" s="11" t="s">
        <v>2578</v>
      </c>
      <c r="E360" s="11" t="s">
        <v>2579</v>
      </c>
    </row>
    <row r="361" spans="1:5">
      <c r="A361" s="11" t="s">
        <v>2580</v>
      </c>
      <c r="B361">
        <v>8000725</v>
      </c>
      <c r="D361" s="11" t="s">
        <v>2581</v>
      </c>
      <c r="E361" s="11" t="s">
        <v>2582</v>
      </c>
    </row>
    <row r="362" spans="1:5">
      <c r="A362" s="11" t="s">
        <v>2583</v>
      </c>
      <c r="B362">
        <v>8000726</v>
      </c>
      <c r="D362" s="11" t="s">
        <v>2584</v>
      </c>
      <c r="E362" s="11" t="s">
        <v>2585</v>
      </c>
    </row>
    <row r="363" spans="1:5">
      <c r="A363" s="11" t="s">
        <v>2586</v>
      </c>
      <c r="B363">
        <v>8000727</v>
      </c>
      <c r="D363" s="11" t="s">
        <v>2587</v>
      </c>
      <c r="E363" s="11" t="s">
        <v>2588</v>
      </c>
    </row>
    <row r="364" spans="1:5">
      <c r="A364" s="11" t="s">
        <v>2589</v>
      </c>
      <c r="B364">
        <v>8000601</v>
      </c>
      <c r="D364" s="11" t="s">
        <v>2590</v>
      </c>
      <c r="E364" s="11" t="s">
        <v>2591</v>
      </c>
    </row>
    <row r="365" spans="1:5">
      <c r="A365" s="11" t="s">
        <v>2592</v>
      </c>
      <c r="B365">
        <v>8003104</v>
      </c>
      <c r="D365" s="11" t="s">
        <v>2593</v>
      </c>
      <c r="E365" s="11" t="s">
        <v>2594</v>
      </c>
    </row>
    <row r="366" spans="1:5">
      <c r="A366" s="11" t="s">
        <v>161</v>
      </c>
      <c r="B366">
        <v>8000728</v>
      </c>
      <c r="D366" s="11" t="s">
        <v>163</v>
      </c>
      <c r="E366" s="11" t="s">
        <v>164</v>
      </c>
    </row>
    <row r="367" spans="1:5">
      <c r="A367" s="11" t="s">
        <v>2595</v>
      </c>
      <c r="B367">
        <v>8000022</v>
      </c>
      <c r="D367" s="11" t="s">
        <v>2596</v>
      </c>
      <c r="E367" s="11" t="s">
        <v>2597</v>
      </c>
    </row>
    <row r="368" spans="1:5">
      <c r="A368" s="11" t="s">
        <v>2598</v>
      </c>
      <c r="B368">
        <v>8000729</v>
      </c>
      <c r="D368" s="11" t="s">
        <v>2599</v>
      </c>
      <c r="E368" s="11" t="s">
        <v>2600</v>
      </c>
    </row>
    <row r="369" spans="1:5">
      <c r="A369" s="11" t="s">
        <v>2601</v>
      </c>
      <c r="B369">
        <v>8000730</v>
      </c>
      <c r="D369" s="11" t="s">
        <v>2602</v>
      </c>
      <c r="E369" s="11" t="s">
        <v>2603</v>
      </c>
    </row>
    <row r="370" spans="1:5">
      <c r="A370" s="11" t="s">
        <v>2604</v>
      </c>
      <c r="B370">
        <v>8000731</v>
      </c>
      <c r="D370" s="11" t="s">
        <v>2605</v>
      </c>
      <c r="E370" s="11" t="s">
        <v>2606</v>
      </c>
    </row>
    <row r="371" spans="1:5">
      <c r="A371" s="11" t="s">
        <v>2607</v>
      </c>
      <c r="B371">
        <v>8000732</v>
      </c>
      <c r="D371" s="11" t="s">
        <v>2608</v>
      </c>
      <c r="E371" s="11" t="s">
        <v>2609</v>
      </c>
    </row>
    <row r="372" spans="1:5">
      <c r="A372" s="11" t="s">
        <v>2610</v>
      </c>
      <c r="B372">
        <v>8000733</v>
      </c>
      <c r="D372" s="11" t="s">
        <v>2611</v>
      </c>
      <c r="E372" s="11" t="s">
        <v>2612</v>
      </c>
    </row>
    <row r="373" spans="1:5">
      <c r="A373" s="11" t="s">
        <v>2613</v>
      </c>
      <c r="B373">
        <v>8000023</v>
      </c>
      <c r="D373" s="11" t="s">
        <v>2614</v>
      </c>
      <c r="E373" s="11" t="s">
        <v>2615</v>
      </c>
    </row>
    <row r="374" spans="1:5">
      <c r="A374" s="11" t="s">
        <v>2616</v>
      </c>
      <c r="B374">
        <v>8000734</v>
      </c>
      <c r="D374" s="11" t="s">
        <v>2617</v>
      </c>
      <c r="E374" s="11" t="s">
        <v>2618</v>
      </c>
    </row>
    <row r="375" spans="1:5">
      <c r="A375" s="11" t="s">
        <v>2619</v>
      </c>
      <c r="B375">
        <v>8000735</v>
      </c>
      <c r="D375" s="11" t="s">
        <v>2620</v>
      </c>
      <c r="E375" s="11" t="s">
        <v>2621</v>
      </c>
    </row>
    <row r="376" spans="1:5">
      <c r="A376" s="11" t="s">
        <v>2622</v>
      </c>
      <c r="B376">
        <v>8000736</v>
      </c>
      <c r="D376" s="11" t="s">
        <v>2623</v>
      </c>
      <c r="E376" s="11" t="s">
        <v>2624</v>
      </c>
    </row>
    <row r="377" spans="1:5">
      <c r="A377" s="11" t="s">
        <v>2625</v>
      </c>
      <c r="B377">
        <v>8000777</v>
      </c>
      <c r="D377" s="11" t="s">
        <v>2626</v>
      </c>
      <c r="E377" s="11" t="s">
        <v>2627</v>
      </c>
    </row>
    <row r="378" spans="1:5">
      <c r="A378" s="11" t="s">
        <v>2628</v>
      </c>
      <c r="B378">
        <v>8000737</v>
      </c>
      <c r="D378" s="11" t="s">
        <v>2629</v>
      </c>
      <c r="E378" s="11" t="s">
        <v>2630</v>
      </c>
    </row>
    <row r="379" spans="1:5">
      <c r="A379" s="11" t="s">
        <v>2631</v>
      </c>
      <c r="B379">
        <v>8000738</v>
      </c>
      <c r="D379" s="11" t="s">
        <v>2632</v>
      </c>
      <c r="E379" s="11" t="s">
        <v>2633</v>
      </c>
    </row>
    <row r="380" spans="1:5">
      <c r="A380" s="11" t="s">
        <v>2634</v>
      </c>
      <c r="B380">
        <v>8005112</v>
      </c>
      <c r="D380" s="11" t="s">
        <v>2635</v>
      </c>
      <c r="E380" s="11" t="s">
        <v>2636</v>
      </c>
    </row>
    <row r="381" spans="1:5">
      <c r="A381" s="11" t="s">
        <v>2637</v>
      </c>
      <c r="B381">
        <v>8005183</v>
      </c>
      <c r="D381" s="11" t="s">
        <v>2638</v>
      </c>
      <c r="E381" s="11" t="s">
        <v>2639</v>
      </c>
    </row>
    <row r="382" spans="1:5">
      <c r="A382" s="11" t="s">
        <v>2640</v>
      </c>
      <c r="B382">
        <v>8005186</v>
      </c>
      <c r="D382" s="11" t="s">
        <v>2641</v>
      </c>
      <c r="E382" s="11" t="s">
        <v>2642</v>
      </c>
    </row>
    <row r="383" spans="1:5">
      <c r="A383" s="11" t="s">
        <v>2643</v>
      </c>
      <c r="B383">
        <v>8005187</v>
      </c>
      <c r="D383" s="11" t="s">
        <v>2644</v>
      </c>
      <c r="E383" s="11" t="s">
        <v>2645</v>
      </c>
    </row>
    <row r="384" spans="1:5">
      <c r="A384" s="11" t="s">
        <v>2646</v>
      </c>
      <c r="B384">
        <v>8011079</v>
      </c>
      <c r="D384" s="11" t="s">
        <v>2647</v>
      </c>
      <c r="E384" s="11" t="s">
        <v>2648</v>
      </c>
    </row>
    <row r="385" spans="1:5">
      <c r="A385" s="11" t="s">
        <v>2649</v>
      </c>
      <c r="B385">
        <v>8010028</v>
      </c>
      <c r="D385" s="11" t="s">
        <v>2650</v>
      </c>
      <c r="E385" s="11" t="s">
        <v>2651</v>
      </c>
    </row>
    <row r="386" spans="1:5">
      <c r="A386" s="11" t="s">
        <v>828</v>
      </c>
      <c r="B386">
        <v>8011080</v>
      </c>
      <c r="D386" s="11" t="s">
        <v>830</v>
      </c>
      <c r="E386" s="11" t="s">
        <v>831</v>
      </c>
    </row>
    <row r="387" spans="1:5">
      <c r="A387" s="11" t="s">
        <v>2652</v>
      </c>
      <c r="B387">
        <v>8000739</v>
      </c>
      <c r="D387" s="11" t="s">
        <v>2653</v>
      </c>
      <c r="E387" s="11" t="s">
        <v>2654</v>
      </c>
    </row>
    <row r="388" spans="1:5">
      <c r="A388" s="11" t="s">
        <v>2655</v>
      </c>
      <c r="B388">
        <v>8005255</v>
      </c>
      <c r="D388" s="11" t="s">
        <v>2656</v>
      </c>
      <c r="E388" s="11" t="s">
        <v>2657</v>
      </c>
    </row>
    <row r="389" spans="1:5">
      <c r="A389" s="11" t="s">
        <v>2658</v>
      </c>
      <c r="B389">
        <v>8000740</v>
      </c>
      <c r="D389" s="11" t="s">
        <v>2659</v>
      </c>
      <c r="E389" s="11" t="s">
        <v>2660</v>
      </c>
    </row>
    <row r="390" spans="1:5">
      <c r="A390" s="11" t="s">
        <v>2661</v>
      </c>
      <c r="B390">
        <v>8000759</v>
      </c>
      <c r="D390" s="11" t="s">
        <v>2662</v>
      </c>
      <c r="E390" s="11" t="s">
        <v>2663</v>
      </c>
    </row>
    <row r="391" spans="1:5">
      <c r="A391" s="11" t="s">
        <v>2664</v>
      </c>
      <c r="B391">
        <v>8000741</v>
      </c>
      <c r="D391" s="11" t="s">
        <v>2665</v>
      </c>
      <c r="E391" s="11" t="s">
        <v>2666</v>
      </c>
    </row>
    <row r="392" spans="1:5">
      <c r="A392" s="11" t="s">
        <v>2667</v>
      </c>
      <c r="B392">
        <v>8075959</v>
      </c>
      <c r="D392" s="11" t="s">
        <v>1539</v>
      </c>
      <c r="E392" s="11" t="s">
        <v>1539</v>
      </c>
    </row>
    <row r="393" spans="1:5">
      <c r="A393" s="11" t="s">
        <v>2668</v>
      </c>
      <c r="B393">
        <v>8000743</v>
      </c>
      <c r="D393" s="11" t="s">
        <v>2669</v>
      </c>
      <c r="E393" s="11" t="s">
        <v>2670</v>
      </c>
    </row>
    <row r="394" spans="1:5">
      <c r="A394" s="11" t="s">
        <v>2671</v>
      </c>
      <c r="B394">
        <v>8000744</v>
      </c>
      <c r="D394" s="11" t="s">
        <v>2672</v>
      </c>
      <c r="E394" s="11" t="s">
        <v>2673</v>
      </c>
    </row>
    <row r="395" spans="1:5">
      <c r="A395" s="11" t="s">
        <v>2674</v>
      </c>
      <c r="B395">
        <v>8005810</v>
      </c>
      <c r="D395" s="11" t="s">
        <v>2675</v>
      </c>
      <c r="E395" s="11" t="s">
        <v>2676</v>
      </c>
    </row>
    <row r="396" spans="1:5">
      <c r="A396" s="11" t="s">
        <v>2677</v>
      </c>
      <c r="B396">
        <v>8010021</v>
      </c>
      <c r="D396" s="11" t="s">
        <v>2678</v>
      </c>
      <c r="E396" s="11" t="s">
        <v>2679</v>
      </c>
    </row>
    <row r="397" spans="1:5">
      <c r="A397" s="11" t="s">
        <v>2680</v>
      </c>
      <c r="B397">
        <v>8000745</v>
      </c>
      <c r="D397" s="11" t="s">
        <v>2681</v>
      </c>
      <c r="E397" s="11" t="s">
        <v>2682</v>
      </c>
    </row>
    <row r="398" spans="1:5">
      <c r="A398" s="11" t="s">
        <v>2683</v>
      </c>
      <c r="B398">
        <v>8005301</v>
      </c>
      <c r="D398" s="11" t="s">
        <v>2684</v>
      </c>
      <c r="E398" s="11" t="s">
        <v>2685</v>
      </c>
    </row>
    <row r="399" spans="1:5">
      <c r="A399" s="11" t="s">
        <v>2686</v>
      </c>
      <c r="B399">
        <v>8010022</v>
      </c>
      <c r="D399" s="11" t="s">
        <v>2687</v>
      </c>
      <c r="E399" s="11" t="s">
        <v>2688</v>
      </c>
    </row>
    <row r="400" spans="1:5">
      <c r="A400" s="11" t="s">
        <v>2689</v>
      </c>
      <c r="B400">
        <v>8003619</v>
      </c>
      <c r="D400" s="11" t="s">
        <v>2690</v>
      </c>
      <c r="E400" s="11" t="s">
        <v>2691</v>
      </c>
    </row>
    <row r="401" spans="1:5">
      <c r="A401" s="11" t="s">
        <v>2692</v>
      </c>
      <c r="B401">
        <v>8071514</v>
      </c>
      <c r="D401" s="11" t="s">
        <v>2693</v>
      </c>
      <c r="E401" s="11" t="s">
        <v>2694</v>
      </c>
    </row>
    <row r="402" spans="1:5">
      <c r="A402" s="11" t="s">
        <v>2695</v>
      </c>
      <c r="B402">
        <v>8012873</v>
      </c>
      <c r="D402" s="11" t="s">
        <v>2696</v>
      </c>
      <c r="E402" s="11" t="s">
        <v>2697</v>
      </c>
    </row>
    <row r="403" spans="1:5">
      <c r="A403" s="11" t="s">
        <v>2698</v>
      </c>
      <c r="B403">
        <v>8011081</v>
      </c>
      <c r="D403" s="11" t="s">
        <v>2699</v>
      </c>
      <c r="E403" s="11" t="s">
        <v>2700</v>
      </c>
    </row>
    <row r="404" spans="1:5">
      <c r="A404" s="11" t="s">
        <v>2701</v>
      </c>
      <c r="B404">
        <v>8070831</v>
      </c>
      <c r="D404" s="11" t="s">
        <v>2702</v>
      </c>
      <c r="E404" s="11" t="s">
        <v>2703</v>
      </c>
    </row>
    <row r="405" spans="1:5">
      <c r="A405" s="11" t="s">
        <v>2704</v>
      </c>
      <c r="B405">
        <v>8003533</v>
      </c>
      <c r="D405" s="11" t="s">
        <v>2705</v>
      </c>
      <c r="E405" s="11" t="s">
        <v>2706</v>
      </c>
    </row>
    <row r="406" spans="1:5">
      <c r="A406" s="11" t="s">
        <v>2707</v>
      </c>
      <c r="B406">
        <v>8004032</v>
      </c>
      <c r="D406" s="11" t="s">
        <v>2708</v>
      </c>
      <c r="E406" s="11" t="s">
        <v>2709</v>
      </c>
    </row>
    <row r="407" spans="1:5">
      <c r="A407" s="11" t="s">
        <v>2710</v>
      </c>
      <c r="B407">
        <v>8000746</v>
      </c>
      <c r="D407" s="11" t="s">
        <v>2711</v>
      </c>
      <c r="E407" s="11" t="s">
        <v>2712</v>
      </c>
    </row>
    <row r="408" spans="1:5">
      <c r="A408" s="11" t="s">
        <v>2713</v>
      </c>
      <c r="B408">
        <v>8000749</v>
      </c>
      <c r="D408" s="11" t="s">
        <v>2714</v>
      </c>
      <c r="E408" s="11" t="s">
        <v>2715</v>
      </c>
    </row>
    <row r="409" spans="1:5">
      <c r="A409" s="11" t="s">
        <v>2716</v>
      </c>
      <c r="B409">
        <v>8000750</v>
      </c>
      <c r="D409" s="11" t="s">
        <v>2717</v>
      </c>
      <c r="E409" s="11" t="s">
        <v>2718</v>
      </c>
    </row>
    <row r="410" spans="1:5">
      <c r="A410" s="11" t="s">
        <v>2719</v>
      </c>
      <c r="B410">
        <v>8000751</v>
      </c>
      <c r="D410" s="11" t="s">
        <v>2720</v>
      </c>
      <c r="E410" s="11" t="s">
        <v>2721</v>
      </c>
    </row>
    <row r="411" spans="1:5">
      <c r="A411" s="11" t="s">
        <v>2722</v>
      </c>
      <c r="B411">
        <v>8005583</v>
      </c>
      <c r="D411" s="11" t="s">
        <v>2723</v>
      </c>
      <c r="E411" s="11" t="s">
        <v>2724</v>
      </c>
    </row>
    <row r="412" spans="1:5">
      <c r="A412" s="11" t="s">
        <v>2725</v>
      </c>
      <c r="B412">
        <v>8000752</v>
      </c>
      <c r="D412" s="11" t="s">
        <v>2726</v>
      </c>
      <c r="E412" s="11" t="s">
        <v>2727</v>
      </c>
    </row>
    <row r="413" spans="1:5">
      <c r="A413" s="11" t="s">
        <v>788</v>
      </c>
      <c r="B413">
        <v>8005261</v>
      </c>
      <c r="D413" s="11" t="s">
        <v>790</v>
      </c>
      <c r="E413" s="11" t="s">
        <v>791</v>
      </c>
    </row>
    <row r="414" spans="1:5">
      <c r="A414" s="11" t="s">
        <v>2728</v>
      </c>
      <c r="B414">
        <v>8000753</v>
      </c>
      <c r="D414" s="11" t="s">
        <v>2729</v>
      </c>
      <c r="E414" s="11" t="s">
        <v>2730</v>
      </c>
    </row>
    <row r="415" spans="1:5">
      <c r="A415" s="11" t="s">
        <v>2731</v>
      </c>
      <c r="B415">
        <v>8000754</v>
      </c>
      <c r="D415" s="11" t="s">
        <v>2732</v>
      </c>
      <c r="E415" s="11" t="s">
        <v>2733</v>
      </c>
    </row>
    <row r="416" spans="1:5">
      <c r="A416" s="11" t="s">
        <v>2734</v>
      </c>
      <c r="B416">
        <v>8000755</v>
      </c>
      <c r="D416" s="11" t="s">
        <v>2735</v>
      </c>
      <c r="E416" s="11" t="s">
        <v>2736</v>
      </c>
    </row>
    <row r="417" spans="1:5">
      <c r="A417" s="11" t="s">
        <v>2737</v>
      </c>
      <c r="B417">
        <v>8005670</v>
      </c>
      <c r="D417" s="11" t="s">
        <v>2738</v>
      </c>
      <c r="E417" s="11" t="s">
        <v>2739</v>
      </c>
    </row>
    <row r="418" spans="1:5">
      <c r="A418" s="11" t="s">
        <v>2740</v>
      </c>
      <c r="B418">
        <v>8089311</v>
      </c>
      <c r="D418" s="11" t="s">
        <v>2741</v>
      </c>
      <c r="E418" s="11" t="s">
        <v>2742</v>
      </c>
    </row>
    <row r="419" spans="1:5">
      <c r="A419" s="11" t="s">
        <v>2743</v>
      </c>
      <c r="B419">
        <v>8000756</v>
      </c>
      <c r="D419" s="11" t="s">
        <v>2744</v>
      </c>
      <c r="E419" s="11" t="s">
        <v>2745</v>
      </c>
    </row>
    <row r="420" spans="1:5">
      <c r="A420" s="11" t="s">
        <v>2746</v>
      </c>
      <c r="B420">
        <v>8011084</v>
      </c>
      <c r="D420" s="11" t="s">
        <v>2747</v>
      </c>
      <c r="E420" s="11" t="s">
        <v>2748</v>
      </c>
    </row>
    <row r="421" spans="1:5">
      <c r="A421" s="11" t="s">
        <v>2749</v>
      </c>
      <c r="B421">
        <v>8011085</v>
      </c>
      <c r="D421" s="11" t="s">
        <v>2750</v>
      </c>
      <c r="E421" s="11" t="s">
        <v>2751</v>
      </c>
    </row>
    <row r="422" spans="1:5">
      <c r="A422" s="11" t="s">
        <v>2752</v>
      </c>
      <c r="B422">
        <v>8000757</v>
      </c>
      <c r="D422" s="11" t="s">
        <v>2753</v>
      </c>
      <c r="E422" s="11" t="s">
        <v>2754</v>
      </c>
    </row>
    <row r="423" spans="1:5">
      <c r="A423" s="11" t="s">
        <v>2755</v>
      </c>
      <c r="B423">
        <v>8000758</v>
      </c>
      <c r="D423" s="11" t="s">
        <v>2756</v>
      </c>
      <c r="E423" s="11" t="s">
        <v>2757</v>
      </c>
    </row>
    <row r="424" spans="1:5">
      <c r="A424" s="11" t="s">
        <v>2758</v>
      </c>
      <c r="B424">
        <v>8070314</v>
      </c>
      <c r="D424" s="11" t="s">
        <v>2759</v>
      </c>
      <c r="E424" s="11" t="s">
        <v>2760</v>
      </c>
    </row>
    <row r="425" spans="1:5">
      <c r="A425" s="11" t="s">
        <v>2761</v>
      </c>
      <c r="B425">
        <v>8006029</v>
      </c>
      <c r="D425" s="11" t="s">
        <v>2762</v>
      </c>
      <c r="E425" s="11" t="s">
        <v>2763</v>
      </c>
    </row>
    <row r="426" spans="1:5">
      <c r="A426" s="11" t="s">
        <v>2764</v>
      </c>
      <c r="B426">
        <v>8006027</v>
      </c>
      <c r="D426" s="11" t="s">
        <v>2765</v>
      </c>
      <c r="E426" s="11" t="s">
        <v>2766</v>
      </c>
    </row>
    <row r="427" spans="1:5">
      <c r="A427" s="11" t="s">
        <v>2767</v>
      </c>
      <c r="B427">
        <v>8070680</v>
      </c>
      <c r="D427" s="11" t="s">
        <v>2768</v>
      </c>
      <c r="E427" s="11" t="s">
        <v>2769</v>
      </c>
    </row>
    <row r="428" spans="1:5">
      <c r="A428" s="11" t="s">
        <v>804</v>
      </c>
      <c r="B428">
        <v>8000760</v>
      </c>
      <c r="D428" s="11" t="s">
        <v>806</v>
      </c>
      <c r="E428" s="11" t="s">
        <v>807</v>
      </c>
    </row>
    <row r="429" spans="1:5">
      <c r="A429" s="11" t="s">
        <v>2770</v>
      </c>
      <c r="B429">
        <v>8000761</v>
      </c>
      <c r="D429" s="11" t="s">
        <v>2771</v>
      </c>
      <c r="E429" s="11" t="s">
        <v>2772</v>
      </c>
    </row>
    <row r="430" spans="1:5">
      <c r="A430" s="11" t="s">
        <v>2773</v>
      </c>
      <c r="B430">
        <v>8002382</v>
      </c>
      <c r="D430" s="11" t="s">
        <v>2774</v>
      </c>
      <c r="E430" s="11" t="s">
        <v>2775</v>
      </c>
    </row>
    <row r="431" spans="1:5">
      <c r="A431" s="11" t="s">
        <v>2776</v>
      </c>
      <c r="B431">
        <v>8000763</v>
      </c>
      <c r="D431" s="11" t="s">
        <v>2777</v>
      </c>
      <c r="E431" s="11" t="s">
        <v>2778</v>
      </c>
    </row>
    <row r="432" spans="1:5">
      <c r="A432" s="11" t="s">
        <v>2779</v>
      </c>
      <c r="B432">
        <v>8006431</v>
      </c>
      <c r="D432" s="11" t="s">
        <v>2780</v>
      </c>
      <c r="E432" s="11" t="s">
        <v>2781</v>
      </c>
    </row>
    <row r="433" spans="1:5">
      <c r="A433" s="11" t="s">
        <v>2782</v>
      </c>
      <c r="B433">
        <v>8070283</v>
      </c>
      <c r="D433" s="11" t="s">
        <v>2783</v>
      </c>
      <c r="E433" s="11" t="s">
        <v>2784</v>
      </c>
    </row>
    <row r="434" spans="1:5">
      <c r="A434" s="11" t="s">
        <v>2785</v>
      </c>
      <c r="B434">
        <v>8070281</v>
      </c>
      <c r="D434" s="11" t="s">
        <v>2786</v>
      </c>
      <c r="E434" s="11" t="s">
        <v>2787</v>
      </c>
    </row>
    <row r="435" spans="1:5">
      <c r="A435" s="11" t="s">
        <v>394</v>
      </c>
      <c r="B435">
        <v>8070282</v>
      </c>
      <c r="D435" s="11" t="s">
        <v>396</v>
      </c>
      <c r="E435" s="11" t="s">
        <v>397</v>
      </c>
    </row>
    <row r="436" spans="1:5">
      <c r="A436" s="11" t="s">
        <v>2788</v>
      </c>
      <c r="B436">
        <v>8000764</v>
      </c>
      <c r="D436" s="11" t="s">
        <v>2789</v>
      </c>
      <c r="E436" s="11" t="s">
        <v>2790</v>
      </c>
    </row>
    <row r="437" spans="1:5">
      <c r="A437" s="11" t="s">
        <v>2791</v>
      </c>
      <c r="B437">
        <v>8011088</v>
      </c>
      <c r="D437" s="11" t="s">
        <v>2792</v>
      </c>
      <c r="E437" s="11" t="s">
        <v>2793</v>
      </c>
    </row>
    <row r="438" spans="1:5">
      <c r="A438" s="11" t="s">
        <v>2794</v>
      </c>
      <c r="B438">
        <v>8000765</v>
      </c>
      <c r="D438" s="11" t="s">
        <v>2795</v>
      </c>
      <c r="E438" s="11" t="s">
        <v>2796</v>
      </c>
    </row>
    <row r="439" spans="1:5">
      <c r="A439" s="11" t="s">
        <v>2797</v>
      </c>
      <c r="B439">
        <v>8000706</v>
      </c>
      <c r="D439" s="11" t="s">
        <v>2798</v>
      </c>
      <c r="E439" s="11" t="s">
        <v>2799</v>
      </c>
    </row>
    <row r="440" spans="1:5">
      <c r="A440" s="11" t="s">
        <v>2800</v>
      </c>
      <c r="B440">
        <v>8070920</v>
      </c>
      <c r="D440" s="11" t="s">
        <v>2801</v>
      </c>
      <c r="E440" s="11" t="s">
        <v>2802</v>
      </c>
    </row>
    <row r="441" spans="1:5">
      <c r="A441" s="11" t="s">
        <v>2803</v>
      </c>
      <c r="B441">
        <v>8000766</v>
      </c>
      <c r="D441" s="11" t="s">
        <v>2804</v>
      </c>
      <c r="E441" s="11" t="s">
        <v>2805</v>
      </c>
    </row>
    <row r="442" spans="1:5">
      <c r="A442" s="11" t="s">
        <v>294</v>
      </c>
      <c r="B442">
        <v>8000767</v>
      </c>
      <c r="D442" s="11" t="s">
        <v>296</v>
      </c>
      <c r="E442" s="11" t="s">
        <v>297</v>
      </c>
    </row>
    <row r="443" spans="1:5">
      <c r="A443" s="11" t="s">
        <v>2806</v>
      </c>
      <c r="B443">
        <v>8000768</v>
      </c>
      <c r="D443" s="11" t="s">
        <v>2807</v>
      </c>
      <c r="E443" s="11" t="s">
        <v>2808</v>
      </c>
    </row>
    <row r="444" spans="1:5">
      <c r="A444" s="11" t="s">
        <v>2809</v>
      </c>
      <c r="B444">
        <v>8000769</v>
      </c>
      <c r="D444" s="11" t="s">
        <v>2810</v>
      </c>
      <c r="E444" s="11" t="s">
        <v>2811</v>
      </c>
    </row>
    <row r="445" spans="1:5">
      <c r="A445" s="11" t="s">
        <v>2812</v>
      </c>
      <c r="B445">
        <v>8000770</v>
      </c>
      <c r="D445" s="11" t="s">
        <v>2813</v>
      </c>
      <c r="E445" s="11" t="s">
        <v>2814</v>
      </c>
    </row>
    <row r="446" spans="1:5">
      <c r="A446" s="11" t="s">
        <v>2815</v>
      </c>
      <c r="B446">
        <v>8000772</v>
      </c>
      <c r="D446" s="11" t="s">
        <v>2816</v>
      </c>
      <c r="E446" s="11" t="s">
        <v>2817</v>
      </c>
    </row>
    <row r="447" spans="1:5">
      <c r="A447" s="11" t="s">
        <v>2818</v>
      </c>
      <c r="B447">
        <v>8082058</v>
      </c>
      <c r="D447" s="11" t="s">
        <v>2819</v>
      </c>
      <c r="E447" s="11" t="s">
        <v>2820</v>
      </c>
    </row>
    <row r="448" spans="1:5">
      <c r="A448" s="11" t="s">
        <v>2821</v>
      </c>
      <c r="B448">
        <v>8000773</v>
      </c>
      <c r="D448" s="11" t="s">
        <v>2822</v>
      </c>
      <c r="E448" s="11" t="s">
        <v>2823</v>
      </c>
    </row>
    <row r="449" spans="1:5">
      <c r="A449" s="11" t="s">
        <v>2824</v>
      </c>
      <c r="B449">
        <v>8000774</v>
      </c>
      <c r="D449" s="11" t="s">
        <v>2825</v>
      </c>
      <c r="E449" s="11" t="s">
        <v>2826</v>
      </c>
    </row>
    <row r="450" spans="1:5">
      <c r="A450" s="11" t="s">
        <v>2827</v>
      </c>
      <c r="B450">
        <v>8000771</v>
      </c>
      <c r="D450" s="11" t="s">
        <v>2828</v>
      </c>
      <c r="E450" s="11" t="s">
        <v>2829</v>
      </c>
    </row>
    <row r="451" spans="1:5">
      <c r="A451" s="11" t="s">
        <v>2830</v>
      </c>
      <c r="B451">
        <v>8000775</v>
      </c>
      <c r="D451" s="11" t="s">
        <v>2831</v>
      </c>
      <c r="E451" s="11" t="s">
        <v>2832</v>
      </c>
    </row>
    <row r="452" spans="1:5">
      <c r="A452" s="11" t="s">
        <v>2833</v>
      </c>
      <c r="B452">
        <v>8011097</v>
      </c>
      <c r="D452" s="11" t="s">
        <v>2834</v>
      </c>
      <c r="E452" s="11" t="s">
        <v>2835</v>
      </c>
    </row>
    <row r="453" spans="1:5">
      <c r="A453" s="11" t="s">
        <v>2836</v>
      </c>
      <c r="B453">
        <v>8007293</v>
      </c>
      <c r="D453" s="11" t="s">
        <v>2837</v>
      </c>
      <c r="E453" s="11" t="s">
        <v>2838</v>
      </c>
    </row>
    <row r="454" spans="1:5">
      <c r="A454" s="11" t="s">
        <v>2839</v>
      </c>
      <c r="B454">
        <v>8007310</v>
      </c>
      <c r="D454" s="11" t="s">
        <v>2840</v>
      </c>
      <c r="E454" s="11" t="s">
        <v>2841</v>
      </c>
    </row>
    <row r="455" spans="1:5">
      <c r="A455" s="11" t="s">
        <v>2842</v>
      </c>
      <c r="B455">
        <v>8007144</v>
      </c>
      <c r="D455" s="11" t="s">
        <v>2843</v>
      </c>
      <c r="E455" s="11" t="s">
        <v>2844</v>
      </c>
    </row>
    <row r="456" spans="1:5">
      <c r="A456" s="11" t="s">
        <v>2845</v>
      </c>
      <c r="B456">
        <v>711076</v>
      </c>
      <c r="D456" s="11" t="s">
        <v>2846</v>
      </c>
      <c r="E456" s="11" t="s">
        <v>2847</v>
      </c>
    </row>
    <row r="457" spans="1:5">
      <c r="A457" s="11" t="s">
        <v>2848</v>
      </c>
      <c r="B457">
        <v>711852</v>
      </c>
      <c r="D457" s="11" t="s">
        <v>2849</v>
      </c>
      <c r="E457" s="11" t="s">
        <v>2850</v>
      </c>
    </row>
    <row r="458" spans="1:5">
      <c r="A458" s="11" t="s">
        <v>2851</v>
      </c>
      <c r="B458">
        <v>8011098</v>
      </c>
      <c r="D458" s="11" t="s">
        <v>2852</v>
      </c>
      <c r="E458" s="11" t="s">
        <v>2853</v>
      </c>
    </row>
    <row r="459" spans="1:5">
      <c r="A459" s="11" t="s">
        <v>2854</v>
      </c>
      <c r="B459">
        <v>8000781</v>
      </c>
      <c r="D459" s="11" t="s">
        <v>2855</v>
      </c>
      <c r="E459" s="11" t="s">
        <v>2856</v>
      </c>
    </row>
    <row r="460" spans="1:5">
      <c r="A460" s="11" t="s">
        <v>2857</v>
      </c>
      <c r="B460">
        <v>8000782</v>
      </c>
      <c r="D460" s="11" t="s">
        <v>2858</v>
      </c>
      <c r="E460" s="11" t="s">
        <v>2859</v>
      </c>
    </row>
    <row r="461" spans="1:5">
      <c r="A461" s="11" t="s">
        <v>2860</v>
      </c>
      <c r="B461">
        <v>8000789</v>
      </c>
      <c r="D461" s="11" t="s">
        <v>2861</v>
      </c>
      <c r="E461" s="11" t="s">
        <v>2862</v>
      </c>
    </row>
    <row r="462" spans="1:5">
      <c r="A462" s="11" t="s">
        <v>2863</v>
      </c>
      <c r="B462">
        <v>8000783</v>
      </c>
      <c r="D462" s="11" t="s">
        <v>2864</v>
      </c>
      <c r="E462" s="11" t="s">
        <v>2865</v>
      </c>
    </row>
    <row r="463" spans="1:5">
      <c r="A463" s="11" t="s">
        <v>2866</v>
      </c>
      <c r="B463">
        <v>8011100</v>
      </c>
      <c r="D463" s="11" t="s">
        <v>2867</v>
      </c>
      <c r="E463" s="11" t="s">
        <v>2868</v>
      </c>
    </row>
    <row r="464" spans="1:5">
      <c r="A464" s="11" t="s">
        <v>2869</v>
      </c>
      <c r="B464">
        <v>8000784</v>
      </c>
      <c r="D464" s="11" t="s">
        <v>2870</v>
      </c>
      <c r="E464" s="11" t="s">
        <v>2871</v>
      </c>
    </row>
    <row r="465" spans="1:5">
      <c r="A465" s="11" t="s">
        <v>2872</v>
      </c>
      <c r="B465">
        <v>8000785</v>
      </c>
      <c r="D465" s="11" t="s">
        <v>2873</v>
      </c>
      <c r="E465" s="11" t="s">
        <v>2874</v>
      </c>
    </row>
    <row r="466" spans="1:5">
      <c r="A466" s="11" t="s">
        <v>2875</v>
      </c>
      <c r="B466">
        <v>8000786</v>
      </c>
      <c r="D466" s="11" t="s">
        <v>2876</v>
      </c>
      <c r="E466" s="11" t="s">
        <v>2877</v>
      </c>
    </row>
    <row r="467" spans="1:5">
      <c r="A467" s="11" t="s">
        <v>2878</v>
      </c>
      <c r="B467">
        <v>8000787</v>
      </c>
      <c r="D467" s="11" t="s">
        <v>2879</v>
      </c>
      <c r="E467" s="11" t="s">
        <v>2880</v>
      </c>
    </row>
    <row r="468" spans="1:5">
      <c r="A468" s="11" t="s">
        <v>2881</v>
      </c>
      <c r="B468">
        <v>8011103</v>
      </c>
      <c r="D468" s="11" t="s">
        <v>2882</v>
      </c>
      <c r="E468" s="11" t="s">
        <v>2883</v>
      </c>
    </row>
    <row r="469" spans="1:5">
      <c r="A469" s="11" t="s">
        <v>2884</v>
      </c>
      <c r="B469">
        <v>8000788</v>
      </c>
      <c r="D469" s="11" t="s">
        <v>2885</v>
      </c>
      <c r="E469" s="11" t="s">
        <v>2886</v>
      </c>
    </row>
    <row r="470" spans="1:5">
      <c r="A470" s="11" t="s">
        <v>2887</v>
      </c>
      <c r="B470">
        <v>8000353</v>
      </c>
      <c r="D470" s="11" t="s">
        <v>2888</v>
      </c>
      <c r="E470" s="11" t="s">
        <v>2889</v>
      </c>
    </row>
    <row r="471" spans="1:5">
      <c r="A471" s="11" t="s">
        <v>2890</v>
      </c>
      <c r="B471">
        <v>8000790</v>
      </c>
      <c r="D471" s="11" t="s">
        <v>2891</v>
      </c>
      <c r="E471" s="11" t="s">
        <v>2892</v>
      </c>
    </row>
    <row r="472" spans="1:5">
      <c r="A472" s="11" t="s">
        <v>2893</v>
      </c>
      <c r="B472">
        <v>8011106</v>
      </c>
      <c r="D472" s="11" t="s">
        <v>2894</v>
      </c>
      <c r="E472" s="11" t="s">
        <v>2895</v>
      </c>
    </row>
    <row r="473" spans="1:5">
      <c r="A473" s="11" t="s">
        <v>2896</v>
      </c>
      <c r="B473">
        <v>8000792</v>
      </c>
      <c r="D473" s="11" t="s">
        <v>2897</v>
      </c>
      <c r="E473" s="11" t="s">
        <v>2898</v>
      </c>
    </row>
    <row r="474" spans="1:5">
      <c r="A474" s="11" t="s">
        <v>2899</v>
      </c>
      <c r="B474">
        <v>8007778</v>
      </c>
      <c r="D474" s="11" t="s">
        <v>2900</v>
      </c>
      <c r="E474" s="11" t="s">
        <v>2901</v>
      </c>
    </row>
    <row r="475" spans="1:5">
      <c r="A475" s="11" t="s">
        <v>2902</v>
      </c>
      <c r="B475">
        <v>8000793</v>
      </c>
      <c r="D475" s="11" t="s">
        <v>2903</v>
      </c>
      <c r="E475" s="11" t="s">
        <v>2904</v>
      </c>
    </row>
    <row r="476" spans="1:5">
      <c r="A476" s="11" t="s">
        <v>2905</v>
      </c>
      <c r="B476">
        <v>8000025</v>
      </c>
      <c r="D476" s="11" t="s">
        <v>2906</v>
      </c>
      <c r="E476" s="11" t="s">
        <v>2907</v>
      </c>
    </row>
    <row r="477" spans="1:5">
      <c r="A477" s="11" t="s">
        <v>1450</v>
      </c>
      <c r="B477">
        <v>8089478</v>
      </c>
      <c r="D477" s="11" t="s">
        <v>1539</v>
      </c>
      <c r="E477" s="11" t="s">
        <v>1539</v>
      </c>
    </row>
    <row r="478" spans="1:5">
      <c r="A478" s="11" t="s">
        <v>2908</v>
      </c>
      <c r="B478">
        <v>8000794</v>
      </c>
      <c r="D478" s="11" t="s">
        <v>2909</v>
      </c>
      <c r="E478" s="11" t="s">
        <v>2910</v>
      </c>
    </row>
    <row r="479" spans="1:5">
      <c r="A479" s="11" t="s">
        <v>2911</v>
      </c>
      <c r="B479">
        <v>8011108</v>
      </c>
      <c r="D479" s="11" t="s">
        <v>2912</v>
      </c>
      <c r="E479" s="11" t="s">
        <v>2913</v>
      </c>
    </row>
    <row r="480" spans="1:5">
      <c r="A480" s="11" t="s">
        <v>2914</v>
      </c>
      <c r="B480">
        <v>8011109</v>
      </c>
      <c r="D480" s="11" t="s">
        <v>2915</v>
      </c>
      <c r="E480" s="11" t="s">
        <v>2916</v>
      </c>
    </row>
    <row r="481" spans="1:5">
      <c r="A481" s="11" t="s">
        <v>2917</v>
      </c>
      <c r="B481">
        <v>8000796</v>
      </c>
      <c r="D481" s="11" t="s">
        <v>2918</v>
      </c>
      <c r="E481" s="11" t="s">
        <v>2919</v>
      </c>
    </row>
    <row r="482" spans="1:5">
      <c r="A482" s="11" t="s">
        <v>2920</v>
      </c>
      <c r="B482">
        <v>8011110</v>
      </c>
      <c r="D482" s="11" t="s">
        <v>2921</v>
      </c>
      <c r="E482" s="11" t="s">
        <v>2922</v>
      </c>
    </row>
    <row r="483" spans="1:5">
      <c r="A483" s="11" t="s">
        <v>2923</v>
      </c>
      <c r="B483">
        <v>8070120</v>
      </c>
      <c r="D483" s="11" t="s">
        <v>2924</v>
      </c>
      <c r="E483" s="11" t="s">
        <v>2925</v>
      </c>
    </row>
    <row r="484" spans="1:5">
      <c r="A484" s="11" t="s">
        <v>2926</v>
      </c>
      <c r="B484">
        <v>8000797</v>
      </c>
      <c r="D484" s="11" t="s">
        <v>2927</v>
      </c>
      <c r="E484" s="11" t="s">
        <v>2928</v>
      </c>
    </row>
    <row r="485" spans="1:5">
      <c r="A485" s="11" t="s">
        <v>2929</v>
      </c>
      <c r="B485">
        <v>8079098</v>
      </c>
      <c r="D485" s="11" t="s">
        <v>2930</v>
      </c>
      <c r="E485" s="11" t="s">
        <v>2931</v>
      </c>
    </row>
    <row r="486" spans="1:5">
      <c r="A486" s="11" t="s">
        <v>2932</v>
      </c>
      <c r="B486">
        <v>8000802</v>
      </c>
      <c r="D486" s="11" t="s">
        <v>2933</v>
      </c>
      <c r="E486" s="11" t="s">
        <v>2934</v>
      </c>
    </row>
    <row r="487" spans="1:5">
      <c r="A487" s="11" t="s">
        <v>2935</v>
      </c>
      <c r="B487">
        <v>8010024</v>
      </c>
      <c r="D487" s="11" t="s">
        <v>2936</v>
      </c>
      <c r="E487" s="11" t="s">
        <v>2937</v>
      </c>
    </row>
    <row r="488" spans="1:5">
      <c r="A488" s="11" t="s">
        <v>2938</v>
      </c>
      <c r="B488">
        <v>8071336</v>
      </c>
      <c r="D488" s="11" t="s">
        <v>2939</v>
      </c>
      <c r="E488" s="11" t="s">
        <v>2940</v>
      </c>
    </row>
    <row r="489" spans="1:5">
      <c r="A489" s="11" t="s">
        <v>2941</v>
      </c>
      <c r="B489">
        <v>8000801</v>
      </c>
      <c r="D489" s="11" t="s">
        <v>2942</v>
      </c>
      <c r="E489" s="11" t="s">
        <v>2943</v>
      </c>
    </row>
    <row r="490" spans="1:5">
      <c r="A490" s="11" t="s">
        <v>2944</v>
      </c>
      <c r="B490">
        <v>8011091</v>
      </c>
      <c r="D490" s="11" t="s">
        <v>2945</v>
      </c>
      <c r="E490" s="11" t="s">
        <v>2946</v>
      </c>
    </row>
    <row r="491" spans="1:5">
      <c r="A491" s="11" t="s">
        <v>2947</v>
      </c>
      <c r="B491">
        <v>8011093</v>
      </c>
      <c r="D491" s="11" t="s">
        <v>2948</v>
      </c>
      <c r="E491" s="11" t="s">
        <v>2949</v>
      </c>
    </row>
    <row r="492" spans="1:5">
      <c r="A492" s="11" t="s">
        <v>2950</v>
      </c>
      <c r="B492">
        <v>8011094</v>
      </c>
      <c r="D492" s="11" t="s">
        <v>2951</v>
      </c>
      <c r="E492" s="11" t="s">
        <v>2952</v>
      </c>
    </row>
    <row r="493" spans="1:5">
      <c r="A493" s="11" t="s">
        <v>2953</v>
      </c>
      <c r="B493">
        <v>8011095</v>
      </c>
      <c r="D493" s="11" t="s">
        <v>2954</v>
      </c>
      <c r="E493" s="11" t="s">
        <v>2955</v>
      </c>
    </row>
    <row r="494" spans="1:5">
      <c r="A494" s="11" t="s">
        <v>2956</v>
      </c>
      <c r="B494">
        <v>8070774</v>
      </c>
      <c r="D494" s="11" t="s">
        <v>2957</v>
      </c>
      <c r="E494" s="11" t="s">
        <v>2958</v>
      </c>
    </row>
    <row r="495" spans="1:5">
      <c r="A495" s="11" t="s">
        <v>2959</v>
      </c>
      <c r="B495">
        <v>8007840</v>
      </c>
      <c r="D495" s="11" t="s">
        <v>2960</v>
      </c>
      <c r="E495" s="11" t="s">
        <v>2961</v>
      </c>
    </row>
    <row r="496" spans="1:5">
      <c r="A496" s="11" t="s">
        <v>2962</v>
      </c>
      <c r="B496">
        <v>8000804</v>
      </c>
      <c r="D496" s="11" t="s">
        <v>2963</v>
      </c>
      <c r="E496" s="11" t="s">
        <v>2964</v>
      </c>
    </row>
    <row r="497" spans="1:5">
      <c r="A497" s="11" t="s">
        <v>2965</v>
      </c>
      <c r="B497">
        <v>8011111</v>
      </c>
      <c r="D497" s="11" t="s">
        <v>2966</v>
      </c>
      <c r="E497" s="11" t="s">
        <v>2967</v>
      </c>
    </row>
    <row r="498" spans="1:5">
      <c r="A498" s="11" t="s">
        <v>2968</v>
      </c>
      <c r="B498">
        <v>8011112</v>
      </c>
      <c r="D498" s="11" t="s">
        <v>2969</v>
      </c>
      <c r="E498" s="11" t="s">
        <v>2970</v>
      </c>
    </row>
    <row r="499" spans="1:5">
      <c r="A499" s="11" t="s">
        <v>2971</v>
      </c>
      <c r="B499">
        <v>8007070</v>
      </c>
      <c r="D499" s="11" t="s">
        <v>2972</v>
      </c>
      <c r="E499" s="11" t="s">
        <v>2973</v>
      </c>
    </row>
    <row r="500" spans="1:5">
      <c r="A500" s="11" t="s">
        <v>2974</v>
      </c>
      <c r="B500">
        <v>8007069</v>
      </c>
      <c r="D500" s="11" t="s">
        <v>2975</v>
      </c>
      <c r="E500" s="11" t="s">
        <v>2976</v>
      </c>
    </row>
    <row r="501" spans="1:5">
      <c r="A501" s="11" t="s">
        <v>2977</v>
      </c>
      <c r="B501">
        <v>8011096</v>
      </c>
      <c r="D501" s="11" t="s">
        <v>2978</v>
      </c>
      <c r="E501" s="11" t="s">
        <v>2979</v>
      </c>
    </row>
    <row r="502" spans="1:5">
      <c r="A502" s="11" t="s">
        <v>2980</v>
      </c>
      <c r="B502">
        <v>8000807</v>
      </c>
      <c r="D502" s="11" t="s">
        <v>2981</v>
      </c>
      <c r="E502" s="11" t="s">
        <v>2982</v>
      </c>
    </row>
    <row r="503" spans="1:5">
      <c r="A503" s="11" t="s">
        <v>2983</v>
      </c>
      <c r="B503">
        <v>8000808</v>
      </c>
      <c r="D503" s="11" t="s">
        <v>2984</v>
      </c>
      <c r="E503" s="11" t="s">
        <v>2985</v>
      </c>
    </row>
    <row r="504" spans="1:5">
      <c r="A504" s="11" t="s">
        <v>2986</v>
      </c>
      <c r="B504">
        <v>8000810</v>
      </c>
      <c r="D504" s="11" t="s">
        <v>2987</v>
      </c>
      <c r="E504" s="11" t="s">
        <v>2988</v>
      </c>
    </row>
    <row r="505" spans="1:5">
      <c r="A505" s="11" t="s">
        <v>2989</v>
      </c>
      <c r="B505">
        <v>8000812</v>
      </c>
      <c r="D505" s="11" t="s">
        <v>2990</v>
      </c>
      <c r="E505" s="11" t="s">
        <v>2991</v>
      </c>
    </row>
    <row r="506" spans="1:5">
      <c r="A506" s="11" t="s">
        <v>2992</v>
      </c>
      <c r="B506">
        <v>8011114</v>
      </c>
      <c r="D506" s="11" t="s">
        <v>2993</v>
      </c>
      <c r="E506" s="11" t="s">
        <v>2994</v>
      </c>
    </row>
    <row r="507" spans="1:5">
      <c r="A507" s="11" t="s">
        <v>2995</v>
      </c>
      <c r="B507">
        <v>8011115</v>
      </c>
      <c r="D507" s="11" t="s">
        <v>2996</v>
      </c>
      <c r="E507" s="11" t="s">
        <v>2997</v>
      </c>
    </row>
    <row r="508" spans="1:5">
      <c r="A508" s="11" t="s">
        <v>2998</v>
      </c>
      <c r="B508">
        <v>8011116</v>
      </c>
      <c r="D508" s="11" t="s">
        <v>2999</v>
      </c>
      <c r="E508" s="11" t="s">
        <v>3000</v>
      </c>
    </row>
    <row r="509" spans="1:5">
      <c r="A509" s="11" t="s">
        <v>3001</v>
      </c>
      <c r="B509">
        <v>8070023</v>
      </c>
      <c r="D509" s="11" t="s">
        <v>3002</v>
      </c>
      <c r="E509" s="11" t="s">
        <v>3003</v>
      </c>
    </row>
    <row r="510" spans="1:5">
      <c r="A510" s="11" t="s">
        <v>3004</v>
      </c>
      <c r="B510">
        <v>8010025</v>
      </c>
      <c r="D510" s="11" t="s">
        <v>3005</v>
      </c>
      <c r="E510" s="11" t="s">
        <v>3006</v>
      </c>
    </row>
    <row r="511" spans="1:5">
      <c r="A511" s="11" t="s">
        <v>52</v>
      </c>
      <c r="B511">
        <v>8000026</v>
      </c>
      <c r="D511" s="11" t="s">
        <v>968</v>
      </c>
      <c r="E511" s="11" t="s">
        <v>969</v>
      </c>
    </row>
    <row r="512" spans="1:5">
      <c r="A512" s="11" t="s">
        <v>3007</v>
      </c>
      <c r="B512">
        <v>8000354</v>
      </c>
      <c r="D512" s="11" t="s">
        <v>3008</v>
      </c>
      <c r="E512" s="11" t="s">
        <v>3009</v>
      </c>
    </row>
    <row r="513" spans="1:5">
      <c r="A513" s="11" t="s">
        <v>3010</v>
      </c>
      <c r="B513">
        <v>8000821</v>
      </c>
      <c r="D513" s="11" t="s">
        <v>3011</v>
      </c>
      <c r="E513" s="11" t="s">
        <v>3012</v>
      </c>
    </row>
    <row r="514" spans="1:5">
      <c r="A514" s="11" t="s">
        <v>3013</v>
      </c>
      <c r="B514">
        <v>8000822</v>
      </c>
      <c r="D514" s="11" t="s">
        <v>3014</v>
      </c>
      <c r="E514" s="11" t="s">
        <v>3015</v>
      </c>
    </row>
    <row r="515" spans="1:5">
      <c r="A515" s="11" t="s">
        <v>3016</v>
      </c>
      <c r="B515">
        <v>8000823</v>
      </c>
      <c r="D515" s="11" t="s">
        <v>3017</v>
      </c>
      <c r="E515" s="11" t="s">
        <v>3018</v>
      </c>
    </row>
    <row r="516" spans="1:5">
      <c r="A516" s="11" t="s">
        <v>3019</v>
      </c>
      <c r="B516">
        <v>8000778</v>
      </c>
      <c r="D516" s="11" t="s">
        <v>3020</v>
      </c>
      <c r="E516" s="11" t="s">
        <v>3021</v>
      </c>
    </row>
    <row r="517" spans="1:5">
      <c r="A517" s="11" t="s">
        <v>3022</v>
      </c>
      <c r="B517">
        <v>8007888</v>
      </c>
      <c r="D517" s="11" t="s">
        <v>3023</v>
      </c>
      <c r="E517" s="11" t="s">
        <v>3024</v>
      </c>
    </row>
    <row r="518" spans="1:5">
      <c r="A518" s="11" t="s">
        <v>3025</v>
      </c>
      <c r="B518">
        <v>8000826</v>
      </c>
      <c r="D518" s="11" t="s">
        <v>3026</v>
      </c>
      <c r="E518" s="11" t="s">
        <v>3027</v>
      </c>
    </row>
    <row r="519" spans="1:5">
      <c r="A519" s="11" t="s">
        <v>3028</v>
      </c>
      <c r="B519">
        <v>8070993</v>
      </c>
      <c r="D519" s="11" t="s">
        <v>3029</v>
      </c>
      <c r="E519" s="11" t="s">
        <v>3030</v>
      </c>
    </row>
    <row r="520" spans="1:5">
      <c r="A520" s="11" t="s">
        <v>3031</v>
      </c>
      <c r="B520">
        <v>8000140</v>
      </c>
      <c r="D520" s="11" t="s">
        <v>3032</v>
      </c>
      <c r="E520" s="11" t="s">
        <v>3033</v>
      </c>
    </row>
    <row r="521" spans="1:5">
      <c r="A521" s="11" t="s">
        <v>3034</v>
      </c>
      <c r="B521">
        <v>8005039</v>
      </c>
      <c r="D521" s="11" t="s">
        <v>3035</v>
      </c>
      <c r="E521" s="11" t="s">
        <v>3036</v>
      </c>
    </row>
    <row r="522" spans="1:5">
      <c r="A522" s="11" t="s">
        <v>876</v>
      </c>
      <c r="B522">
        <v>8010026</v>
      </c>
      <c r="D522" s="11" t="s">
        <v>878</v>
      </c>
      <c r="E522" s="11" t="s">
        <v>879</v>
      </c>
    </row>
    <row r="523" spans="1:5">
      <c r="A523" s="11" t="s">
        <v>3037</v>
      </c>
      <c r="B523">
        <v>8000827</v>
      </c>
      <c r="D523" s="11" t="s">
        <v>3038</v>
      </c>
      <c r="E523" s="11" t="s">
        <v>3039</v>
      </c>
    </row>
    <row r="524" spans="1:5">
      <c r="A524" s="11" t="s">
        <v>3040</v>
      </c>
      <c r="B524">
        <v>8000828</v>
      </c>
      <c r="D524" s="11" t="s">
        <v>3041</v>
      </c>
      <c r="E524" s="11" t="s">
        <v>3042</v>
      </c>
    </row>
    <row r="525" spans="1:5">
      <c r="A525" s="11" t="s">
        <v>868</v>
      </c>
      <c r="B525">
        <v>8000830</v>
      </c>
      <c r="D525" s="11" t="s">
        <v>870</v>
      </c>
      <c r="E525" s="11" t="s">
        <v>871</v>
      </c>
    </row>
    <row r="526" spans="1:5">
      <c r="A526" s="11" t="s">
        <v>3043</v>
      </c>
      <c r="B526">
        <v>8000831</v>
      </c>
      <c r="D526" s="11" t="s">
        <v>3044</v>
      </c>
      <c r="E526" s="11" t="s">
        <v>3045</v>
      </c>
    </row>
    <row r="527" spans="1:5">
      <c r="A527" s="11" t="s">
        <v>3046</v>
      </c>
      <c r="B527">
        <v>8081923</v>
      </c>
      <c r="D527" s="11" t="s">
        <v>3047</v>
      </c>
      <c r="E527" s="11" t="s">
        <v>3048</v>
      </c>
    </row>
    <row r="528" spans="1:5">
      <c r="A528" s="11" t="s">
        <v>3049</v>
      </c>
      <c r="B528">
        <v>8000028</v>
      </c>
      <c r="D528" s="11" t="s">
        <v>3050</v>
      </c>
      <c r="E528" s="11" t="s">
        <v>3051</v>
      </c>
    </row>
    <row r="529" spans="1:5">
      <c r="A529" s="11" t="s">
        <v>3052</v>
      </c>
      <c r="B529">
        <v>8000833</v>
      </c>
      <c r="D529" s="11" t="s">
        <v>3053</v>
      </c>
      <c r="E529" s="11" t="s">
        <v>3054</v>
      </c>
    </row>
    <row r="530" spans="1:5">
      <c r="A530" s="11" t="s">
        <v>3055</v>
      </c>
      <c r="B530">
        <v>8000834</v>
      </c>
      <c r="D530" s="11" t="s">
        <v>3056</v>
      </c>
      <c r="E530" s="11" t="s">
        <v>3057</v>
      </c>
    </row>
    <row r="531" spans="1:5">
      <c r="A531" s="11" t="s">
        <v>3058</v>
      </c>
      <c r="B531">
        <v>8011119</v>
      </c>
      <c r="D531" s="11" t="s">
        <v>3059</v>
      </c>
      <c r="E531" s="11" t="s">
        <v>3060</v>
      </c>
    </row>
    <row r="532" spans="1:5">
      <c r="A532" s="11" t="s">
        <v>694</v>
      </c>
      <c r="B532">
        <v>8000029</v>
      </c>
      <c r="D532" s="11" t="s">
        <v>696</v>
      </c>
      <c r="E532" s="11" t="s">
        <v>697</v>
      </c>
    </row>
    <row r="533" spans="1:5">
      <c r="A533" s="11" t="s">
        <v>3061</v>
      </c>
      <c r="B533">
        <v>8011121</v>
      </c>
      <c r="D533" s="11" t="s">
        <v>3062</v>
      </c>
      <c r="E533" s="11" t="s">
        <v>3063</v>
      </c>
    </row>
    <row r="534" spans="1:5">
      <c r="A534" s="11" t="s">
        <v>3064</v>
      </c>
      <c r="B534">
        <v>8000840</v>
      </c>
      <c r="D534" s="11" t="s">
        <v>3065</v>
      </c>
      <c r="E534" s="11" t="s">
        <v>3066</v>
      </c>
    </row>
    <row r="535" spans="1:5">
      <c r="A535" s="11" t="s">
        <v>3067</v>
      </c>
      <c r="B535">
        <v>8004251</v>
      </c>
      <c r="D535" s="11" t="s">
        <v>3068</v>
      </c>
      <c r="E535" s="11" t="s">
        <v>3069</v>
      </c>
    </row>
    <row r="536" spans="1:5">
      <c r="A536" s="11" t="s">
        <v>3070</v>
      </c>
      <c r="B536">
        <v>8000030</v>
      </c>
      <c r="D536" s="11" t="s">
        <v>3071</v>
      </c>
      <c r="E536" s="11" t="s">
        <v>3072</v>
      </c>
    </row>
    <row r="537" spans="1:5">
      <c r="A537" s="11" t="s">
        <v>3073</v>
      </c>
      <c r="B537">
        <v>8000842</v>
      </c>
      <c r="D537" s="11" t="s">
        <v>3074</v>
      </c>
      <c r="E537" s="11" t="s">
        <v>3075</v>
      </c>
    </row>
    <row r="538" spans="1:5">
      <c r="A538" s="11" t="s">
        <v>3076</v>
      </c>
      <c r="B538">
        <v>8000846</v>
      </c>
      <c r="D538" s="11" t="s">
        <v>3077</v>
      </c>
      <c r="E538" s="11" t="s">
        <v>3078</v>
      </c>
    </row>
    <row r="539" spans="1:5">
      <c r="A539" s="11" t="s">
        <v>3079</v>
      </c>
      <c r="B539">
        <v>8013468</v>
      </c>
      <c r="D539" s="11" t="s">
        <v>3080</v>
      </c>
      <c r="E539" s="11" t="s">
        <v>3081</v>
      </c>
    </row>
    <row r="540" spans="1:5">
      <c r="A540" s="11" t="s">
        <v>3082</v>
      </c>
      <c r="B540">
        <v>8013467</v>
      </c>
      <c r="D540" s="11" t="s">
        <v>3083</v>
      </c>
      <c r="E540" s="11" t="s">
        <v>3084</v>
      </c>
    </row>
    <row r="541" spans="1:5">
      <c r="A541" s="11" t="s">
        <v>3085</v>
      </c>
      <c r="B541">
        <v>8002815</v>
      </c>
      <c r="D541" s="11" t="s">
        <v>3086</v>
      </c>
      <c r="E541" s="11" t="s">
        <v>3087</v>
      </c>
    </row>
    <row r="542" spans="1:5">
      <c r="A542" s="11" t="s">
        <v>3088</v>
      </c>
      <c r="B542">
        <v>8010029</v>
      </c>
      <c r="D542" s="11" t="s">
        <v>3089</v>
      </c>
      <c r="E542" s="11" t="s">
        <v>3090</v>
      </c>
    </row>
    <row r="543" spans="1:5">
      <c r="A543" s="11" t="s">
        <v>3091</v>
      </c>
      <c r="B543">
        <v>8011125</v>
      </c>
      <c r="D543" s="11" t="s">
        <v>3092</v>
      </c>
      <c r="E543" s="11" t="s">
        <v>3093</v>
      </c>
    </row>
    <row r="544" spans="1:5">
      <c r="A544" s="11" t="s">
        <v>3094</v>
      </c>
      <c r="B544">
        <v>8000850</v>
      </c>
      <c r="D544" s="11" t="s">
        <v>3095</v>
      </c>
      <c r="E544" s="11" t="s">
        <v>3096</v>
      </c>
    </row>
    <row r="545" spans="1:5">
      <c r="A545" s="11" t="s">
        <v>3097</v>
      </c>
      <c r="B545">
        <v>8000851</v>
      </c>
      <c r="D545" s="11" t="s">
        <v>3098</v>
      </c>
      <c r="E545" s="11" t="s">
        <v>3099</v>
      </c>
    </row>
    <row r="546" spans="1:5">
      <c r="A546" s="11" t="s">
        <v>3100</v>
      </c>
      <c r="B546">
        <v>8011131</v>
      </c>
      <c r="D546" s="11" t="s">
        <v>3101</v>
      </c>
      <c r="E546" s="11" t="s">
        <v>3102</v>
      </c>
    </row>
    <row r="547" spans="1:5">
      <c r="A547" s="11" t="s">
        <v>3103</v>
      </c>
      <c r="B547">
        <v>8000858</v>
      </c>
      <c r="D547" s="11" t="s">
        <v>3104</v>
      </c>
      <c r="E547" s="11" t="s">
        <v>3105</v>
      </c>
    </row>
    <row r="548" spans="1:5">
      <c r="A548" s="11" t="s">
        <v>3106</v>
      </c>
      <c r="B548">
        <v>8000860</v>
      </c>
      <c r="D548" s="11" t="s">
        <v>3107</v>
      </c>
      <c r="E548" s="11" t="s">
        <v>3108</v>
      </c>
    </row>
    <row r="549" spans="1:5">
      <c r="A549" s="11" t="s">
        <v>3109</v>
      </c>
      <c r="B549">
        <v>8011132</v>
      </c>
      <c r="D549" s="11" t="s">
        <v>3110</v>
      </c>
      <c r="E549" s="11" t="s">
        <v>3111</v>
      </c>
    </row>
    <row r="550" spans="1:5">
      <c r="A550" s="11" t="s">
        <v>3112</v>
      </c>
      <c r="B550">
        <v>8011133</v>
      </c>
      <c r="D550" s="11" t="s">
        <v>3113</v>
      </c>
      <c r="E550" s="11" t="s">
        <v>3114</v>
      </c>
    </row>
    <row r="551" spans="1:5">
      <c r="A551" s="11" t="s">
        <v>3115</v>
      </c>
      <c r="B551">
        <v>8000862</v>
      </c>
      <c r="D551" s="11" t="s">
        <v>3116</v>
      </c>
      <c r="E551" s="11" t="s">
        <v>3117</v>
      </c>
    </row>
    <row r="552" spans="1:5">
      <c r="A552" s="11" t="s">
        <v>3118</v>
      </c>
      <c r="B552">
        <v>8000861</v>
      </c>
      <c r="D552" s="11" t="s">
        <v>3119</v>
      </c>
      <c r="E552" s="11" t="s">
        <v>3120</v>
      </c>
    </row>
    <row r="553" spans="1:5">
      <c r="A553" s="11" t="s">
        <v>3121</v>
      </c>
      <c r="B553">
        <v>8000863</v>
      </c>
      <c r="D553" s="11" t="s">
        <v>3122</v>
      </c>
      <c r="E553" s="11" t="s">
        <v>3123</v>
      </c>
    </row>
    <row r="554" spans="1:5">
      <c r="A554" s="11" t="s">
        <v>3124</v>
      </c>
      <c r="B554">
        <v>8000865</v>
      </c>
      <c r="D554" s="11" t="s">
        <v>3125</v>
      </c>
      <c r="E554" s="11" t="s">
        <v>3126</v>
      </c>
    </row>
    <row r="555" spans="1:5">
      <c r="A555" s="11" t="s">
        <v>3127</v>
      </c>
      <c r="B555">
        <v>8000869</v>
      </c>
      <c r="D555" s="11" t="s">
        <v>3128</v>
      </c>
      <c r="E555" s="11" t="s">
        <v>3129</v>
      </c>
    </row>
    <row r="556" spans="1:5">
      <c r="A556" s="11" t="s">
        <v>1528</v>
      </c>
      <c r="B556">
        <v>8000870</v>
      </c>
      <c r="D556" s="11" t="s">
        <v>3130</v>
      </c>
      <c r="E556" s="11" t="s">
        <v>3131</v>
      </c>
    </row>
    <row r="557" spans="1:5">
      <c r="A557" s="11" t="s">
        <v>3132</v>
      </c>
      <c r="B557">
        <v>8076251</v>
      </c>
      <c r="D557" s="11" t="s">
        <v>3133</v>
      </c>
      <c r="E557" s="11" t="s">
        <v>3134</v>
      </c>
    </row>
    <row r="558" spans="1:5">
      <c r="A558" s="11" t="s">
        <v>3135</v>
      </c>
      <c r="B558">
        <v>8017002</v>
      </c>
      <c r="D558" s="11" t="s">
        <v>3136</v>
      </c>
      <c r="E558" s="11" t="s">
        <v>3137</v>
      </c>
    </row>
    <row r="559" spans="1:5">
      <c r="A559" s="11" t="s">
        <v>3138</v>
      </c>
      <c r="B559">
        <v>8000871</v>
      </c>
      <c r="D559" s="11" t="s">
        <v>3139</v>
      </c>
      <c r="E559" s="11" t="s">
        <v>3140</v>
      </c>
    </row>
    <row r="560" spans="1:5">
      <c r="A560" s="11" t="s">
        <v>3141</v>
      </c>
      <c r="B560">
        <v>8013362</v>
      </c>
      <c r="D560" s="11" t="s">
        <v>3142</v>
      </c>
      <c r="E560" s="11" t="s">
        <v>3143</v>
      </c>
    </row>
    <row r="561" spans="1:5">
      <c r="A561" s="11" t="s">
        <v>3144</v>
      </c>
      <c r="B561">
        <v>8000872</v>
      </c>
      <c r="D561" s="11" t="s">
        <v>3145</v>
      </c>
      <c r="E561" s="11" t="s">
        <v>3146</v>
      </c>
    </row>
    <row r="562" spans="1:5">
      <c r="A562" s="11" t="s">
        <v>3147</v>
      </c>
      <c r="B562">
        <v>8000873</v>
      </c>
      <c r="D562" s="11" t="s">
        <v>3148</v>
      </c>
      <c r="E562" s="11" t="s">
        <v>3149</v>
      </c>
    </row>
    <row r="563" spans="1:5">
      <c r="A563" s="11" t="s">
        <v>3150</v>
      </c>
      <c r="B563">
        <v>8011138</v>
      </c>
      <c r="D563" s="11" t="s">
        <v>3151</v>
      </c>
      <c r="E563" s="11" t="s">
        <v>3152</v>
      </c>
    </row>
    <row r="564" spans="1:5">
      <c r="A564" s="11" t="s">
        <v>3153</v>
      </c>
      <c r="B564">
        <v>8006636</v>
      </c>
      <c r="D564" s="11" t="s">
        <v>3154</v>
      </c>
      <c r="E564" s="11" t="s">
        <v>3155</v>
      </c>
    </row>
    <row r="565" spans="1:5">
      <c r="A565" s="11" t="s">
        <v>3156</v>
      </c>
      <c r="B565">
        <v>8011139</v>
      </c>
      <c r="D565" s="11" t="s">
        <v>3157</v>
      </c>
      <c r="E565" s="11" t="s">
        <v>3158</v>
      </c>
    </row>
    <row r="566" spans="1:5">
      <c r="A566" s="11" t="s">
        <v>3159</v>
      </c>
      <c r="B566">
        <v>8000031</v>
      </c>
      <c r="D566" s="11" t="s">
        <v>3160</v>
      </c>
      <c r="E566" s="11" t="s">
        <v>3161</v>
      </c>
    </row>
    <row r="567" spans="1:5">
      <c r="A567" s="11" t="s">
        <v>3162</v>
      </c>
      <c r="B567">
        <v>8000877</v>
      </c>
      <c r="D567" s="11" t="s">
        <v>3163</v>
      </c>
      <c r="E567" s="11" t="s">
        <v>3164</v>
      </c>
    </row>
    <row r="568" spans="1:5">
      <c r="A568" s="11" t="s">
        <v>3165</v>
      </c>
      <c r="B568">
        <v>8011140</v>
      </c>
      <c r="D568" s="11" t="s">
        <v>3166</v>
      </c>
      <c r="E568" s="11" t="s">
        <v>3167</v>
      </c>
    </row>
    <row r="569" spans="1:5">
      <c r="A569" s="11" t="s">
        <v>3168</v>
      </c>
      <c r="B569">
        <v>8000882</v>
      </c>
      <c r="D569" s="11" t="s">
        <v>3169</v>
      </c>
      <c r="E569" s="11" t="s">
        <v>3170</v>
      </c>
    </row>
    <row r="570" spans="1:5">
      <c r="A570" s="11" t="s">
        <v>3171</v>
      </c>
      <c r="B570">
        <v>8011142</v>
      </c>
      <c r="D570" s="11" t="s">
        <v>3172</v>
      </c>
      <c r="E570" s="11" t="s">
        <v>3173</v>
      </c>
    </row>
    <row r="571" spans="1:5">
      <c r="A571" s="11" t="s">
        <v>3174</v>
      </c>
      <c r="B571">
        <v>8011143</v>
      </c>
      <c r="D571" s="11" t="s">
        <v>3175</v>
      </c>
      <c r="E571" s="11" t="s">
        <v>3176</v>
      </c>
    </row>
    <row r="572" spans="1:5">
      <c r="A572" s="11" t="s">
        <v>1387</v>
      </c>
      <c r="B572">
        <v>8000885</v>
      </c>
      <c r="D572" s="11" t="s">
        <v>3177</v>
      </c>
      <c r="E572" s="11" t="s">
        <v>3178</v>
      </c>
    </row>
    <row r="573" spans="1:5">
      <c r="A573" s="11" t="s">
        <v>3179</v>
      </c>
      <c r="B573">
        <v>8000890</v>
      </c>
      <c r="D573" s="11" t="s">
        <v>3180</v>
      </c>
      <c r="E573" s="11" t="s">
        <v>3181</v>
      </c>
    </row>
    <row r="574" spans="1:5">
      <c r="A574" s="11" t="s">
        <v>3182</v>
      </c>
      <c r="B574">
        <v>8011144</v>
      </c>
      <c r="D574" s="11" t="s">
        <v>3183</v>
      </c>
      <c r="E574" s="11" t="s">
        <v>3184</v>
      </c>
    </row>
    <row r="575" spans="1:5">
      <c r="A575" s="11" t="s">
        <v>3185</v>
      </c>
      <c r="B575">
        <v>8010032</v>
      </c>
      <c r="D575" s="11" t="s">
        <v>3186</v>
      </c>
      <c r="E575" s="11" t="s">
        <v>3187</v>
      </c>
    </row>
    <row r="576" spans="1:5">
      <c r="A576" s="11" t="s">
        <v>3188</v>
      </c>
      <c r="B576">
        <v>8081083</v>
      </c>
      <c r="D576" s="11" t="s">
        <v>3189</v>
      </c>
      <c r="E576" s="11" t="s">
        <v>3190</v>
      </c>
    </row>
    <row r="577" spans="1:5">
      <c r="A577" s="11" t="s">
        <v>3191</v>
      </c>
      <c r="B577">
        <v>8010033</v>
      </c>
      <c r="D577" s="11" t="s">
        <v>3192</v>
      </c>
      <c r="E577" s="11" t="s">
        <v>3193</v>
      </c>
    </row>
    <row r="578" spans="1:5">
      <c r="A578" s="11" t="s">
        <v>3194</v>
      </c>
      <c r="B578">
        <v>8000888</v>
      </c>
      <c r="D578" s="11" t="s">
        <v>3195</v>
      </c>
      <c r="E578" s="11" t="s">
        <v>3196</v>
      </c>
    </row>
    <row r="579" spans="1:5">
      <c r="A579" s="11" t="s">
        <v>3197</v>
      </c>
      <c r="B579">
        <v>8000889</v>
      </c>
      <c r="D579" s="11" t="s">
        <v>3198</v>
      </c>
      <c r="E579" s="11" t="s">
        <v>3199</v>
      </c>
    </row>
    <row r="580" spans="1:5">
      <c r="A580" s="11" t="s">
        <v>3200</v>
      </c>
      <c r="B580">
        <v>8080100</v>
      </c>
      <c r="D580" s="11" t="s">
        <v>3201</v>
      </c>
      <c r="E580" s="11" t="s">
        <v>3202</v>
      </c>
    </row>
    <row r="581" spans="1:5">
      <c r="A581" s="11" t="s">
        <v>3203</v>
      </c>
      <c r="B581">
        <v>8007864</v>
      </c>
      <c r="D581" s="11" t="s">
        <v>3204</v>
      </c>
      <c r="E581" s="11" t="s">
        <v>3205</v>
      </c>
    </row>
    <row r="582" spans="1:5">
      <c r="A582" s="11" t="s">
        <v>3206</v>
      </c>
      <c r="B582">
        <v>8070020</v>
      </c>
      <c r="D582" s="11" t="s">
        <v>3207</v>
      </c>
      <c r="E582" s="11" t="s">
        <v>3208</v>
      </c>
    </row>
    <row r="583" spans="1:5">
      <c r="A583" s="11" t="s">
        <v>3209</v>
      </c>
      <c r="B583">
        <v>8007863</v>
      </c>
      <c r="D583" s="11" t="s">
        <v>3210</v>
      </c>
      <c r="E583" s="11" t="s">
        <v>3211</v>
      </c>
    </row>
    <row r="584" spans="1:5">
      <c r="A584" s="11" t="s">
        <v>3212</v>
      </c>
      <c r="B584">
        <v>8000892</v>
      </c>
      <c r="D584" s="11" t="s">
        <v>3213</v>
      </c>
      <c r="E584" s="11" t="s">
        <v>3214</v>
      </c>
    </row>
    <row r="585" spans="1:5">
      <c r="A585" s="11" t="s">
        <v>3215</v>
      </c>
      <c r="B585">
        <v>8000893</v>
      </c>
      <c r="D585" s="11" t="s">
        <v>3216</v>
      </c>
      <c r="E585" s="11" t="s">
        <v>3217</v>
      </c>
    </row>
    <row r="586" spans="1:5">
      <c r="A586" s="11" t="s">
        <v>3218</v>
      </c>
      <c r="B586">
        <v>8000894</v>
      </c>
      <c r="D586" s="11" t="s">
        <v>3219</v>
      </c>
      <c r="E586" s="11" t="s">
        <v>3220</v>
      </c>
    </row>
    <row r="587" spans="1:5">
      <c r="A587" s="11" t="s">
        <v>3221</v>
      </c>
      <c r="B587">
        <v>8000355</v>
      </c>
      <c r="D587" s="11" t="s">
        <v>3222</v>
      </c>
      <c r="E587" s="11" t="s">
        <v>3223</v>
      </c>
    </row>
    <row r="588" spans="1:5">
      <c r="A588" s="11" t="s">
        <v>3224</v>
      </c>
      <c r="B588">
        <v>8000897</v>
      </c>
      <c r="D588" s="11" t="s">
        <v>3225</v>
      </c>
      <c r="E588" s="11" t="s">
        <v>3226</v>
      </c>
    </row>
    <row r="589" spans="1:5">
      <c r="A589" s="11" t="s">
        <v>3227</v>
      </c>
      <c r="B589">
        <v>8000899</v>
      </c>
      <c r="D589" s="11" t="s">
        <v>3228</v>
      </c>
      <c r="E589" s="11" t="s">
        <v>3229</v>
      </c>
    </row>
    <row r="590" spans="1:5">
      <c r="A590" s="11" t="s">
        <v>3230</v>
      </c>
      <c r="B590">
        <v>8011149</v>
      </c>
      <c r="D590" s="11" t="s">
        <v>3231</v>
      </c>
      <c r="E590" s="11" t="s">
        <v>3232</v>
      </c>
    </row>
    <row r="591" spans="1:5">
      <c r="A591" s="11" t="s">
        <v>3233</v>
      </c>
      <c r="B591">
        <v>8000902</v>
      </c>
      <c r="D591" s="11" t="s">
        <v>3234</v>
      </c>
      <c r="E591" s="11" t="s">
        <v>3235</v>
      </c>
    </row>
    <row r="592" spans="1:5">
      <c r="A592" s="11" t="s">
        <v>3236</v>
      </c>
      <c r="B592">
        <v>8011150</v>
      </c>
      <c r="D592" s="11" t="s">
        <v>3237</v>
      </c>
      <c r="E592" s="11" t="s">
        <v>3238</v>
      </c>
    </row>
    <row r="593" spans="1:5">
      <c r="A593" s="11" t="s">
        <v>3239</v>
      </c>
      <c r="B593">
        <v>8000903</v>
      </c>
      <c r="D593" s="11" t="s">
        <v>3240</v>
      </c>
      <c r="E593" s="11" t="s">
        <v>3241</v>
      </c>
    </row>
    <row r="594" spans="1:5">
      <c r="A594" s="11" t="s">
        <v>3242</v>
      </c>
      <c r="B594">
        <v>8000901</v>
      </c>
      <c r="D594" s="11" t="s">
        <v>3243</v>
      </c>
      <c r="E594" s="11" t="s">
        <v>3244</v>
      </c>
    </row>
    <row r="595" spans="1:5">
      <c r="A595" s="11" t="s">
        <v>3245</v>
      </c>
      <c r="B595">
        <v>8000904</v>
      </c>
      <c r="D595" s="11" t="s">
        <v>3246</v>
      </c>
      <c r="E595" s="11" t="s">
        <v>3247</v>
      </c>
    </row>
    <row r="596" spans="1:5">
      <c r="A596" s="11" t="s">
        <v>3248</v>
      </c>
      <c r="B596">
        <v>8000905</v>
      </c>
      <c r="D596" s="11" t="s">
        <v>3249</v>
      </c>
      <c r="E596" s="11" t="s">
        <v>3250</v>
      </c>
    </row>
    <row r="597" spans="1:5">
      <c r="A597" s="11" t="s">
        <v>3251</v>
      </c>
      <c r="B597">
        <v>8011152</v>
      </c>
      <c r="D597" s="11" t="s">
        <v>3252</v>
      </c>
      <c r="E597" s="11" t="s">
        <v>3253</v>
      </c>
    </row>
    <row r="598" spans="1:5">
      <c r="A598" s="11" t="s">
        <v>3254</v>
      </c>
      <c r="B598">
        <v>8011154</v>
      </c>
      <c r="D598" s="11" t="s">
        <v>3255</v>
      </c>
      <c r="E598" s="11" t="s">
        <v>3256</v>
      </c>
    </row>
    <row r="599" spans="1:5">
      <c r="A599" s="11" t="s">
        <v>3257</v>
      </c>
      <c r="B599">
        <v>8000293</v>
      </c>
      <c r="D599" s="11" t="s">
        <v>3258</v>
      </c>
      <c r="E599" s="11" t="s">
        <v>3259</v>
      </c>
    </row>
    <row r="600" spans="1:5">
      <c r="A600" s="11" t="s">
        <v>3260</v>
      </c>
      <c r="B600">
        <v>8011155</v>
      </c>
      <c r="D600" s="11" t="s">
        <v>3261</v>
      </c>
      <c r="E600" s="11" t="s">
        <v>3262</v>
      </c>
    </row>
    <row r="601" spans="1:5">
      <c r="A601" s="11" t="s">
        <v>3263</v>
      </c>
      <c r="B601">
        <v>8089001</v>
      </c>
      <c r="D601" s="11" t="s">
        <v>3264</v>
      </c>
      <c r="E601" s="11" t="s">
        <v>3265</v>
      </c>
    </row>
    <row r="602" spans="1:5">
      <c r="A602" s="11" t="s">
        <v>3266</v>
      </c>
      <c r="B602">
        <v>8089103</v>
      </c>
      <c r="D602" s="11" t="s">
        <v>3267</v>
      </c>
      <c r="E602" s="11" t="s">
        <v>3268</v>
      </c>
    </row>
    <row r="603" spans="1:5">
      <c r="A603" s="11" t="s">
        <v>3269</v>
      </c>
      <c r="B603">
        <v>8089002</v>
      </c>
      <c r="D603" s="11" t="s">
        <v>3270</v>
      </c>
      <c r="E603" s="11" t="s">
        <v>3271</v>
      </c>
    </row>
    <row r="604" spans="1:5">
      <c r="A604" s="11" t="s">
        <v>3272</v>
      </c>
      <c r="B604">
        <v>8089003</v>
      </c>
      <c r="D604" s="11" t="s">
        <v>3273</v>
      </c>
      <c r="E604" s="11" t="s">
        <v>3274</v>
      </c>
    </row>
    <row r="605" spans="1:5">
      <c r="A605" s="11" t="s">
        <v>3275</v>
      </c>
      <c r="B605">
        <v>8089004</v>
      </c>
      <c r="D605" s="11" t="s">
        <v>3276</v>
      </c>
      <c r="E605" s="11" t="s">
        <v>3277</v>
      </c>
    </row>
    <row r="606" spans="1:5">
      <c r="A606" s="11" t="s">
        <v>3278</v>
      </c>
      <c r="B606">
        <v>8089005</v>
      </c>
      <c r="D606" s="11" t="s">
        <v>3279</v>
      </c>
      <c r="E606" s="11" t="s">
        <v>3280</v>
      </c>
    </row>
    <row r="607" spans="1:5">
      <c r="A607" s="11" t="s">
        <v>3281</v>
      </c>
      <c r="B607">
        <v>8089006</v>
      </c>
      <c r="D607" s="11" t="s">
        <v>3282</v>
      </c>
      <c r="E607" s="11" t="s">
        <v>3283</v>
      </c>
    </row>
    <row r="608" spans="1:5">
      <c r="A608" s="11" t="s">
        <v>3284</v>
      </c>
      <c r="B608">
        <v>8089118</v>
      </c>
      <c r="D608" s="11" t="s">
        <v>3285</v>
      </c>
      <c r="E608" s="11" t="s">
        <v>3286</v>
      </c>
    </row>
    <row r="609" spans="1:5">
      <c r="A609" s="11" t="s">
        <v>3287</v>
      </c>
      <c r="B609">
        <v>8089008</v>
      </c>
      <c r="D609" s="11" t="s">
        <v>3288</v>
      </c>
      <c r="E609" s="11" t="s">
        <v>3289</v>
      </c>
    </row>
    <row r="610" spans="1:5">
      <c r="A610" s="11" t="s">
        <v>3290</v>
      </c>
      <c r="B610">
        <v>8089009</v>
      </c>
      <c r="D610" s="11" t="s">
        <v>3291</v>
      </c>
      <c r="E610" s="11" t="s">
        <v>3292</v>
      </c>
    </row>
    <row r="611" spans="1:5">
      <c r="A611" s="11" t="s">
        <v>3293</v>
      </c>
      <c r="B611">
        <v>8089044</v>
      </c>
      <c r="D611" s="11" t="s">
        <v>3294</v>
      </c>
      <c r="E611" s="11" t="s">
        <v>3295</v>
      </c>
    </row>
    <row r="612" spans="1:5">
      <c r="A612" s="11" t="s">
        <v>3296</v>
      </c>
      <c r="B612">
        <v>8089010</v>
      </c>
      <c r="D612" s="11" t="s">
        <v>3297</v>
      </c>
      <c r="E612" s="11" t="s">
        <v>3298</v>
      </c>
    </row>
    <row r="613" spans="1:5">
      <c r="A613" s="11" t="s">
        <v>3299</v>
      </c>
      <c r="B613">
        <v>8089107</v>
      </c>
      <c r="D613" s="11" t="s">
        <v>3300</v>
      </c>
      <c r="E613" s="11" t="s">
        <v>3301</v>
      </c>
    </row>
    <row r="614" spans="1:5">
      <c r="A614" s="11" t="s">
        <v>3302</v>
      </c>
      <c r="B614">
        <v>8089165</v>
      </c>
      <c r="D614" s="11" t="s">
        <v>3303</v>
      </c>
      <c r="E614" s="11" t="s">
        <v>3304</v>
      </c>
    </row>
    <row r="615" spans="1:5">
      <c r="A615" s="11" t="s">
        <v>3305</v>
      </c>
      <c r="B615">
        <v>8089101</v>
      </c>
      <c r="D615" s="11" t="s">
        <v>3306</v>
      </c>
      <c r="E615" s="11" t="s">
        <v>3307</v>
      </c>
    </row>
    <row r="616" spans="1:5">
      <c r="A616" s="11" t="s">
        <v>3308</v>
      </c>
      <c r="B616">
        <v>8089012</v>
      </c>
      <c r="D616" s="11" t="s">
        <v>3309</v>
      </c>
      <c r="E616" s="11" t="s">
        <v>3310</v>
      </c>
    </row>
    <row r="617" spans="1:5">
      <c r="A617" s="11" t="s">
        <v>3311</v>
      </c>
      <c r="B617">
        <v>8089013</v>
      </c>
      <c r="D617" s="11" t="s">
        <v>3312</v>
      </c>
      <c r="E617" s="11" t="s">
        <v>3313</v>
      </c>
    </row>
    <row r="618" spans="1:5">
      <c r="A618" s="11" t="s">
        <v>3314</v>
      </c>
      <c r="B618">
        <v>8011306</v>
      </c>
      <c r="D618" s="11" t="s">
        <v>3315</v>
      </c>
      <c r="E618" s="11" t="s">
        <v>3316</v>
      </c>
    </row>
    <row r="619" spans="1:5">
      <c r="A619" s="11" t="s">
        <v>3317</v>
      </c>
      <c r="B619">
        <v>8089066</v>
      </c>
      <c r="D619" s="11" t="s">
        <v>3318</v>
      </c>
      <c r="E619" s="11" t="s">
        <v>3319</v>
      </c>
    </row>
    <row r="620" spans="1:5">
      <c r="A620" s="11" t="s">
        <v>3320</v>
      </c>
      <c r="B620">
        <v>8089014</v>
      </c>
      <c r="D620" s="11" t="s">
        <v>3321</v>
      </c>
      <c r="E620" s="11" t="s">
        <v>3322</v>
      </c>
    </row>
    <row r="621" spans="1:5">
      <c r="A621" s="11" t="s">
        <v>3323</v>
      </c>
      <c r="B621">
        <v>8011102</v>
      </c>
      <c r="D621" s="11" t="s">
        <v>3324</v>
      </c>
      <c r="E621" s="11" t="s">
        <v>3325</v>
      </c>
    </row>
    <row r="622" spans="1:5">
      <c r="A622" s="11" t="s">
        <v>3326</v>
      </c>
      <c r="B622">
        <v>8089015</v>
      </c>
      <c r="D622" s="11" t="s">
        <v>3324</v>
      </c>
      <c r="E622" s="11" t="s">
        <v>3325</v>
      </c>
    </row>
    <row r="623" spans="1:5">
      <c r="A623" s="11" t="s">
        <v>3327</v>
      </c>
      <c r="B623">
        <v>8089664</v>
      </c>
      <c r="D623" s="11" t="s">
        <v>3328</v>
      </c>
      <c r="E623" s="11" t="s">
        <v>3329</v>
      </c>
    </row>
    <row r="624" spans="1:5">
      <c r="A624" s="11" t="s">
        <v>3330</v>
      </c>
      <c r="B624">
        <v>8089011</v>
      </c>
      <c r="D624" s="11" t="s">
        <v>3331</v>
      </c>
      <c r="E624" s="11" t="s">
        <v>3332</v>
      </c>
    </row>
    <row r="625" spans="1:5">
      <c r="A625" s="11" t="s">
        <v>3333</v>
      </c>
      <c r="B625">
        <v>8089016</v>
      </c>
      <c r="D625" s="11" t="s">
        <v>3334</v>
      </c>
      <c r="E625" s="11" t="s">
        <v>3335</v>
      </c>
    </row>
    <row r="626" spans="1:5">
      <c r="A626" s="11" t="s">
        <v>3336</v>
      </c>
      <c r="B626">
        <v>8089017</v>
      </c>
      <c r="D626" s="11" t="s">
        <v>3337</v>
      </c>
      <c r="E626" s="11" t="s">
        <v>3338</v>
      </c>
    </row>
    <row r="627" spans="1:5">
      <c r="A627" s="11" t="s">
        <v>3339</v>
      </c>
      <c r="B627">
        <v>8011160</v>
      </c>
      <c r="D627" s="11" t="s">
        <v>3340</v>
      </c>
      <c r="E627" s="11" t="s">
        <v>3341</v>
      </c>
    </row>
    <row r="628" spans="1:5">
      <c r="A628" s="11" t="s">
        <v>3339</v>
      </c>
      <c r="B628">
        <v>8098160</v>
      </c>
      <c r="D628" s="11" t="s">
        <v>3340</v>
      </c>
      <c r="E628" s="11" t="s">
        <v>3341</v>
      </c>
    </row>
    <row r="629" spans="1:5">
      <c r="A629" s="11" t="s">
        <v>3342</v>
      </c>
      <c r="B629">
        <v>8089021</v>
      </c>
      <c r="D629" s="11" t="s">
        <v>3340</v>
      </c>
      <c r="E629" s="11" t="s">
        <v>3341</v>
      </c>
    </row>
    <row r="630" spans="1:5">
      <c r="A630" s="11" t="s">
        <v>3343</v>
      </c>
      <c r="B630">
        <v>8071068</v>
      </c>
      <c r="D630" s="11" t="s">
        <v>3344</v>
      </c>
      <c r="E630" s="11" t="s">
        <v>3345</v>
      </c>
    </row>
    <row r="631" spans="1:5">
      <c r="A631" s="11" t="s">
        <v>3346</v>
      </c>
      <c r="B631">
        <v>8089329</v>
      </c>
      <c r="D631" s="11" t="s">
        <v>3347</v>
      </c>
      <c r="E631" s="11" t="s">
        <v>3348</v>
      </c>
    </row>
    <row r="632" spans="1:5">
      <c r="A632" s="11" t="s">
        <v>3349</v>
      </c>
      <c r="B632">
        <v>8089112</v>
      </c>
      <c r="D632" s="11" t="s">
        <v>3350</v>
      </c>
      <c r="E632" s="11" t="s">
        <v>3351</v>
      </c>
    </row>
    <row r="633" spans="1:5">
      <c r="A633" s="11" t="s">
        <v>3352</v>
      </c>
      <c r="B633">
        <v>8089105</v>
      </c>
      <c r="D633" s="11" t="s">
        <v>3353</v>
      </c>
      <c r="E633" s="11" t="s">
        <v>3354</v>
      </c>
    </row>
    <row r="634" spans="1:5">
      <c r="A634" s="11" t="s">
        <v>3355</v>
      </c>
      <c r="B634">
        <v>8089108</v>
      </c>
      <c r="D634" s="11" t="s">
        <v>3356</v>
      </c>
      <c r="E634" s="11" t="s">
        <v>3357</v>
      </c>
    </row>
    <row r="635" spans="1:5">
      <c r="A635" s="11" t="s">
        <v>3358</v>
      </c>
      <c r="B635">
        <v>8089018</v>
      </c>
      <c r="D635" s="11" t="s">
        <v>3359</v>
      </c>
      <c r="E635" s="11" t="s">
        <v>3360</v>
      </c>
    </row>
    <row r="636" spans="1:5">
      <c r="A636" s="11" t="s">
        <v>3361</v>
      </c>
      <c r="B636">
        <v>8089106</v>
      </c>
      <c r="D636" s="11" t="s">
        <v>3362</v>
      </c>
      <c r="E636" s="11" t="s">
        <v>3363</v>
      </c>
    </row>
    <row r="637" spans="1:5">
      <c r="A637" s="11" t="s">
        <v>3364</v>
      </c>
      <c r="B637">
        <v>8089130</v>
      </c>
      <c r="D637" s="11" t="s">
        <v>3365</v>
      </c>
      <c r="E637" s="11" t="s">
        <v>3366</v>
      </c>
    </row>
    <row r="638" spans="1:5">
      <c r="A638" s="11" t="s">
        <v>3367</v>
      </c>
      <c r="B638">
        <v>8089019</v>
      </c>
      <c r="D638" s="11" t="s">
        <v>3368</v>
      </c>
      <c r="E638" s="11" t="s">
        <v>3369</v>
      </c>
    </row>
    <row r="639" spans="1:5">
      <c r="A639" s="11" t="s">
        <v>3370</v>
      </c>
      <c r="B639">
        <v>8089537</v>
      </c>
      <c r="D639" s="11" t="s">
        <v>3371</v>
      </c>
      <c r="E639" s="11" t="s">
        <v>3372</v>
      </c>
    </row>
    <row r="640" spans="1:5">
      <c r="A640" s="11" t="s">
        <v>3373</v>
      </c>
      <c r="B640">
        <v>8011167</v>
      </c>
      <c r="D640" s="11" t="s">
        <v>3374</v>
      </c>
      <c r="E640" s="11" t="s">
        <v>3375</v>
      </c>
    </row>
    <row r="641" spans="1:5">
      <c r="A641" s="11" t="s">
        <v>3376</v>
      </c>
      <c r="B641">
        <v>8089100</v>
      </c>
      <c r="D641" s="11" t="s">
        <v>3377</v>
      </c>
      <c r="E641" s="11" t="s">
        <v>3378</v>
      </c>
    </row>
    <row r="642" spans="1:5">
      <c r="A642" s="11" t="s">
        <v>3379</v>
      </c>
      <c r="B642">
        <v>8089102</v>
      </c>
      <c r="D642" s="11" t="s">
        <v>3380</v>
      </c>
      <c r="E642" s="11" t="s">
        <v>3381</v>
      </c>
    </row>
    <row r="643" spans="1:5">
      <c r="A643" s="11" t="s">
        <v>3382</v>
      </c>
      <c r="B643">
        <v>8089104</v>
      </c>
      <c r="D643" s="11" t="s">
        <v>3383</v>
      </c>
      <c r="E643" s="11" t="s">
        <v>3384</v>
      </c>
    </row>
    <row r="644" spans="1:5">
      <c r="A644" s="11" t="s">
        <v>3385</v>
      </c>
      <c r="B644">
        <v>8089020</v>
      </c>
      <c r="D644" s="11" t="s">
        <v>3386</v>
      </c>
      <c r="E644" s="11" t="s">
        <v>3387</v>
      </c>
    </row>
    <row r="645" spans="1:5">
      <c r="A645" s="11" t="s">
        <v>3388</v>
      </c>
      <c r="B645">
        <v>8073106</v>
      </c>
      <c r="D645" s="11" t="s">
        <v>3389</v>
      </c>
      <c r="E645" s="11" t="s">
        <v>3390</v>
      </c>
    </row>
    <row r="646" spans="1:5">
      <c r="A646" s="11" t="s">
        <v>3391</v>
      </c>
      <c r="B646">
        <v>8089022</v>
      </c>
      <c r="D646" s="11" t="s">
        <v>3392</v>
      </c>
      <c r="E646" s="11" t="s">
        <v>3393</v>
      </c>
    </row>
    <row r="647" spans="1:5">
      <c r="A647" s="11" t="s">
        <v>3394</v>
      </c>
      <c r="B647">
        <v>8089328</v>
      </c>
      <c r="D647" s="11" t="s">
        <v>3395</v>
      </c>
      <c r="E647" s="11" t="s">
        <v>3396</v>
      </c>
    </row>
    <row r="648" spans="1:5">
      <c r="A648" s="11" t="s">
        <v>3397</v>
      </c>
      <c r="B648">
        <v>8089023</v>
      </c>
      <c r="D648" s="11" t="s">
        <v>3398</v>
      </c>
      <c r="E648" s="11" t="s">
        <v>3399</v>
      </c>
    </row>
    <row r="649" spans="1:5">
      <c r="A649" s="11" t="s">
        <v>3400</v>
      </c>
      <c r="B649">
        <v>8089026</v>
      </c>
      <c r="D649" s="11" t="s">
        <v>3401</v>
      </c>
      <c r="E649" s="11" t="s">
        <v>3402</v>
      </c>
    </row>
    <row r="650" spans="1:5">
      <c r="A650" s="11" t="s">
        <v>3403</v>
      </c>
      <c r="B650">
        <v>8089024</v>
      </c>
      <c r="D650" s="11" t="s">
        <v>3404</v>
      </c>
      <c r="E650" s="11" t="s">
        <v>3405</v>
      </c>
    </row>
    <row r="651" spans="1:5">
      <c r="A651" s="11" t="s">
        <v>3406</v>
      </c>
      <c r="B651">
        <v>8089330</v>
      </c>
      <c r="D651" s="11" t="s">
        <v>3407</v>
      </c>
      <c r="E651" s="11" t="s">
        <v>3408</v>
      </c>
    </row>
    <row r="652" spans="1:5">
      <c r="A652" s="11" t="s">
        <v>3409</v>
      </c>
      <c r="B652">
        <v>8071009</v>
      </c>
      <c r="D652" s="11" t="s">
        <v>3410</v>
      </c>
      <c r="E652" s="11" t="s">
        <v>3411</v>
      </c>
    </row>
    <row r="653" spans="1:5">
      <c r="A653" s="11" t="s">
        <v>3412</v>
      </c>
      <c r="B653">
        <v>8089473</v>
      </c>
      <c r="D653" s="11" t="s">
        <v>3413</v>
      </c>
      <c r="E653" s="11" t="s">
        <v>3414</v>
      </c>
    </row>
    <row r="654" spans="1:5">
      <c r="A654" s="11" t="s">
        <v>3415</v>
      </c>
      <c r="B654">
        <v>8010255</v>
      </c>
      <c r="D654" s="11" t="s">
        <v>3416</v>
      </c>
      <c r="E654" s="11" t="s">
        <v>3417</v>
      </c>
    </row>
    <row r="655" spans="1:5">
      <c r="A655" s="11" t="s">
        <v>3418</v>
      </c>
      <c r="B655">
        <v>8089185</v>
      </c>
      <c r="D655" s="11" t="s">
        <v>3419</v>
      </c>
      <c r="E655" s="11" t="s">
        <v>3420</v>
      </c>
    </row>
    <row r="656" spans="1:5">
      <c r="A656" s="11" t="s">
        <v>3421</v>
      </c>
      <c r="B656">
        <v>8011162</v>
      </c>
      <c r="D656" s="11" t="s">
        <v>3422</v>
      </c>
      <c r="E656" s="11" t="s">
        <v>3423</v>
      </c>
    </row>
    <row r="657" spans="1:5">
      <c r="A657" s="11" t="s">
        <v>3424</v>
      </c>
      <c r="B657">
        <v>8089028</v>
      </c>
      <c r="D657" s="11" t="s">
        <v>3425</v>
      </c>
      <c r="E657" s="11" t="s">
        <v>3426</v>
      </c>
    </row>
    <row r="658" spans="1:5">
      <c r="A658" s="11" t="s">
        <v>3427</v>
      </c>
      <c r="B658">
        <v>8089030</v>
      </c>
      <c r="D658" s="11" t="s">
        <v>3428</v>
      </c>
      <c r="E658" s="11" t="s">
        <v>3429</v>
      </c>
    </row>
    <row r="659" spans="1:5">
      <c r="A659" s="11" t="s">
        <v>3430</v>
      </c>
      <c r="B659">
        <v>8089031</v>
      </c>
      <c r="D659" s="11" t="s">
        <v>3431</v>
      </c>
      <c r="E659" s="11" t="s">
        <v>3432</v>
      </c>
    </row>
    <row r="660" spans="1:5">
      <c r="A660" s="11" t="s">
        <v>3433</v>
      </c>
      <c r="B660">
        <v>8011118</v>
      </c>
      <c r="D660" s="11" t="s">
        <v>3434</v>
      </c>
      <c r="E660" s="11" t="s">
        <v>3435</v>
      </c>
    </row>
    <row r="661" spans="1:5">
      <c r="A661" s="11" t="s">
        <v>3436</v>
      </c>
      <c r="B661">
        <v>8089032</v>
      </c>
      <c r="D661" s="11" t="s">
        <v>3437</v>
      </c>
      <c r="E661" s="11" t="s">
        <v>3438</v>
      </c>
    </row>
    <row r="662" spans="1:5">
      <c r="A662" s="11" t="s">
        <v>3439</v>
      </c>
      <c r="B662">
        <v>8089033</v>
      </c>
      <c r="D662" s="11" t="s">
        <v>3440</v>
      </c>
      <c r="E662" s="11" t="s">
        <v>3441</v>
      </c>
    </row>
    <row r="663" spans="1:5">
      <c r="A663" s="11" t="s">
        <v>3442</v>
      </c>
      <c r="B663">
        <v>8089034</v>
      </c>
      <c r="D663" s="11" t="s">
        <v>3443</v>
      </c>
      <c r="E663" s="11" t="s">
        <v>3444</v>
      </c>
    </row>
    <row r="664" spans="1:5">
      <c r="A664" s="11" t="s">
        <v>3445</v>
      </c>
      <c r="B664">
        <v>8089035</v>
      </c>
      <c r="D664" s="11" t="s">
        <v>3446</v>
      </c>
      <c r="E664" s="11" t="s">
        <v>3447</v>
      </c>
    </row>
    <row r="665" spans="1:5">
      <c r="A665" s="11" t="s">
        <v>3448</v>
      </c>
      <c r="B665">
        <v>8089036</v>
      </c>
      <c r="D665" s="11" t="s">
        <v>3449</v>
      </c>
      <c r="E665" s="11" t="s">
        <v>3450</v>
      </c>
    </row>
    <row r="666" spans="1:5">
      <c r="A666" s="11" t="s">
        <v>3451</v>
      </c>
      <c r="B666">
        <v>8089037</v>
      </c>
      <c r="D666" s="11" t="s">
        <v>3452</v>
      </c>
      <c r="E666" s="11" t="s">
        <v>3453</v>
      </c>
    </row>
    <row r="667" spans="1:5">
      <c r="A667" s="11" t="s">
        <v>3454</v>
      </c>
      <c r="B667">
        <v>8089038</v>
      </c>
      <c r="D667" s="11" t="s">
        <v>3455</v>
      </c>
      <c r="E667" s="11" t="s">
        <v>3456</v>
      </c>
    </row>
    <row r="668" spans="1:5">
      <c r="A668" s="11" t="s">
        <v>3457</v>
      </c>
      <c r="B668">
        <v>8089039</v>
      </c>
      <c r="D668" s="11" t="s">
        <v>3458</v>
      </c>
      <c r="E668" s="11" t="s">
        <v>3459</v>
      </c>
    </row>
    <row r="669" spans="1:5">
      <c r="A669" s="11" t="s">
        <v>3460</v>
      </c>
      <c r="B669">
        <v>8089327</v>
      </c>
      <c r="D669" s="11" t="s">
        <v>3461</v>
      </c>
      <c r="E669" s="11" t="s">
        <v>3462</v>
      </c>
    </row>
    <row r="670" spans="1:5">
      <c r="A670" s="11" t="s">
        <v>3463</v>
      </c>
      <c r="B670">
        <v>8089040</v>
      </c>
      <c r="D670" s="11" t="s">
        <v>3464</v>
      </c>
      <c r="E670" s="11" t="s">
        <v>3465</v>
      </c>
    </row>
    <row r="671" spans="1:5">
      <c r="A671" s="11" t="s">
        <v>3466</v>
      </c>
      <c r="B671">
        <v>8089041</v>
      </c>
      <c r="D671" s="11" t="s">
        <v>3467</v>
      </c>
      <c r="E671" s="11" t="s">
        <v>3468</v>
      </c>
    </row>
    <row r="672" spans="1:5">
      <c r="A672" s="11" t="s">
        <v>3469</v>
      </c>
      <c r="B672">
        <v>8089115</v>
      </c>
      <c r="D672" s="11" t="s">
        <v>3470</v>
      </c>
      <c r="E672" s="11" t="s">
        <v>3471</v>
      </c>
    </row>
    <row r="673" spans="1:5">
      <c r="A673" s="11" t="s">
        <v>3472</v>
      </c>
      <c r="B673">
        <v>8011113</v>
      </c>
      <c r="D673" s="11" t="s">
        <v>3473</v>
      </c>
      <c r="E673" s="11" t="s">
        <v>3474</v>
      </c>
    </row>
    <row r="674" spans="1:5">
      <c r="A674" s="11" t="s">
        <v>3475</v>
      </c>
      <c r="B674">
        <v>8089073</v>
      </c>
      <c r="D674" s="11" t="s">
        <v>3476</v>
      </c>
      <c r="E674" s="11" t="s">
        <v>3477</v>
      </c>
    </row>
    <row r="675" spans="1:5">
      <c r="A675" s="11" t="s">
        <v>3478</v>
      </c>
      <c r="B675">
        <v>8089042</v>
      </c>
      <c r="D675" s="11" t="s">
        <v>3479</v>
      </c>
      <c r="E675" s="11" t="s">
        <v>3480</v>
      </c>
    </row>
    <row r="676" spans="1:5">
      <c r="A676" s="11" t="s">
        <v>3481</v>
      </c>
      <c r="B676">
        <v>8089043</v>
      </c>
      <c r="D676" s="11" t="s">
        <v>3482</v>
      </c>
      <c r="E676" s="11" t="s">
        <v>3483</v>
      </c>
    </row>
    <row r="677" spans="1:5">
      <c r="A677" s="11" t="s">
        <v>3484</v>
      </c>
      <c r="B677">
        <v>8089045</v>
      </c>
      <c r="D677" s="11" t="s">
        <v>3485</v>
      </c>
      <c r="E677" s="11" t="s">
        <v>3486</v>
      </c>
    </row>
    <row r="678" spans="1:5">
      <c r="A678" s="11" t="s">
        <v>3487</v>
      </c>
      <c r="B678">
        <v>8089111</v>
      </c>
      <c r="D678" s="11" t="s">
        <v>3488</v>
      </c>
      <c r="E678" s="11" t="s">
        <v>3489</v>
      </c>
    </row>
    <row r="679" spans="1:5">
      <c r="A679" s="11" t="s">
        <v>3490</v>
      </c>
      <c r="B679">
        <v>8089116</v>
      </c>
      <c r="D679" s="11" t="s">
        <v>3491</v>
      </c>
      <c r="E679" s="11" t="s">
        <v>3492</v>
      </c>
    </row>
    <row r="680" spans="1:5">
      <c r="A680" s="11" t="s">
        <v>3493</v>
      </c>
      <c r="B680">
        <v>8089047</v>
      </c>
      <c r="D680" s="11" t="s">
        <v>3494</v>
      </c>
      <c r="E680" s="11" t="s">
        <v>3495</v>
      </c>
    </row>
    <row r="681" spans="1:5">
      <c r="A681" s="11" t="s">
        <v>3496</v>
      </c>
      <c r="B681">
        <v>8089048</v>
      </c>
      <c r="D681" s="11" t="s">
        <v>3497</v>
      </c>
      <c r="E681" s="11" t="s">
        <v>3498</v>
      </c>
    </row>
    <row r="682" spans="1:5">
      <c r="A682" s="11" t="s">
        <v>3499</v>
      </c>
      <c r="B682">
        <v>8089049</v>
      </c>
      <c r="D682" s="11" t="s">
        <v>3500</v>
      </c>
      <c r="E682" s="11" t="s">
        <v>3501</v>
      </c>
    </row>
    <row r="683" spans="1:5">
      <c r="A683" s="11" t="s">
        <v>3502</v>
      </c>
      <c r="B683">
        <v>8089051</v>
      </c>
      <c r="D683" s="11" t="s">
        <v>3503</v>
      </c>
      <c r="E683" s="11" t="s">
        <v>3504</v>
      </c>
    </row>
    <row r="684" spans="1:5">
      <c r="A684" s="11" t="s">
        <v>3505</v>
      </c>
      <c r="B684">
        <v>8089050</v>
      </c>
      <c r="D684" s="11" t="s">
        <v>3506</v>
      </c>
      <c r="E684" s="11" t="s">
        <v>3507</v>
      </c>
    </row>
    <row r="685" spans="1:5">
      <c r="A685" s="11" t="s">
        <v>3508</v>
      </c>
      <c r="B685">
        <v>8010406</v>
      </c>
      <c r="D685" s="11" t="s">
        <v>3509</v>
      </c>
      <c r="E685" s="11" t="s">
        <v>3510</v>
      </c>
    </row>
    <row r="686" spans="1:5">
      <c r="A686" s="11" t="s">
        <v>3511</v>
      </c>
      <c r="B686">
        <v>8089046</v>
      </c>
      <c r="D686" s="11" t="s">
        <v>3512</v>
      </c>
      <c r="E686" s="11" t="s">
        <v>3513</v>
      </c>
    </row>
    <row r="687" spans="1:5">
      <c r="A687" s="11" t="s">
        <v>3514</v>
      </c>
      <c r="B687">
        <v>8089052</v>
      </c>
      <c r="D687" s="11" t="s">
        <v>3515</v>
      </c>
      <c r="E687" s="11" t="s">
        <v>3516</v>
      </c>
    </row>
    <row r="688" spans="1:5">
      <c r="A688" s="11" t="s">
        <v>3517</v>
      </c>
      <c r="B688">
        <v>8089054</v>
      </c>
      <c r="D688" s="11" t="s">
        <v>3518</v>
      </c>
      <c r="E688" s="11" t="s">
        <v>3519</v>
      </c>
    </row>
    <row r="689" spans="1:5">
      <c r="A689" s="11" t="s">
        <v>3520</v>
      </c>
      <c r="B689">
        <v>8089055</v>
      </c>
      <c r="D689" s="11" t="s">
        <v>3521</v>
      </c>
      <c r="E689" s="11" t="s">
        <v>3522</v>
      </c>
    </row>
    <row r="690" spans="1:5">
      <c r="A690" s="11" t="s">
        <v>3523</v>
      </c>
      <c r="B690">
        <v>8089056</v>
      </c>
      <c r="D690" s="11" t="s">
        <v>3524</v>
      </c>
      <c r="E690" s="11" t="s">
        <v>3525</v>
      </c>
    </row>
    <row r="691" spans="1:5">
      <c r="A691" s="11" t="s">
        <v>3526</v>
      </c>
      <c r="B691">
        <v>8089057</v>
      </c>
      <c r="D691" s="11" t="s">
        <v>3527</v>
      </c>
      <c r="E691" s="11" t="s">
        <v>3528</v>
      </c>
    </row>
    <row r="692" spans="1:5">
      <c r="A692" s="11" t="s">
        <v>3529</v>
      </c>
      <c r="B692">
        <v>8010403</v>
      </c>
      <c r="D692" s="11" t="s">
        <v>3530</v>
      </c>
      <c r="E692" s="11" t="s">
        <v>3531</v>
      </c>
    </row>
    <row r="693" spans="1:5">
      <c r="A693" s="11" t="s">
        <v>3532</v>
      </c>
      <c r="B693">
        <v>8089058</v>
      </c>
      <c r="D693" s="11" t="s">
        <v>3533</v>
      </c>
      <c r="E693" s="11" t="s">
        <v>3534</v>
      </c>
    </row>
    <row r="694" spans="1:5">
      <c r="A694" s="11" t="s">
        <v>3535</v>
      </c>
      <c r="B694">
        <v>8089059</v>
      </c>
      <c r="D694" s="11" t="s">
        <v>3536</v>
      </c>
      <c r="E694" s="11" t="s">
        <v>3537</v>
      </c>
    </row>
    <row r="695" spans="1:5">
      <c r="A695" s="11" t="s">
        <v>3538</v>
      </c>
      <c r="B695">
        <v>8089060</v>
      </c>
      <c r="D695" s="11" t="s">
        <v>3539</v>
      </c>
      <c r="E695" s="11" t="s">
        <v>3540</v>
      </c>
    </row>
    <row r="696" spans="1:5">
      <c r="A696" s="11" t="s">
        <v>3541</v>
      </c>
      <c r="B696">
        <v>8089061</v>
      </c>
      <c r="D696" s="11" t="s">
        <v>3542</v>
      </c>
      <c r="E696" s="11" t="s">
        <v>3543</v>
      </c>
    </row>
    <row r="697" spans="1:5">
      <c r="A697" s="11" t="s">
        <v>3544</v>
      </c>
      <c r="B697">
        <v>8089063</v>
      </c>
      <c r="D697" s="11" t="s">
        <v>3545</v>
      </c>
      <c r="E697" s="11" t="s">
        <v>3546</v>
      </c>
    </row>
    <row r="698" spans="1:5">
      <c r="A698" s="11" t="s">
        <v>3547</v>
      </c>
      <c r="B698">
        <v>8089062</v>
      </c>
      <c r="D698" s="11" t="s">
        <v>3548</v>
      </c>
      <c r="E698" s="11" t="s">
        <v>3549</v>
      </c>
    </row>
    <row r="699" spans="1:5">
      <c r="A699" s="11" t="s">
        <v>3550</v>
      </c>
      <c r="B699">
        <v>8089109</v>
      </c>
      <c r="D699" s="11" t="s">
        <v>3551</v>
      </c>
      <c r="E699" s="11" t="s">
        <v>3552</v>
      </c>
    </row>
    <row r="700" spans="1:5">
      <c r="A700" s="11" t="s">
        <v>3553</v>
      </c>
      <c r="B700">
        <v>8089025</v>
      </c>
      <c r="D700" s="11" t="s">
        <v>3554</v>
      </c>
      <c r="E700" s="11" t="s">
        <v>3555</v>
      </c>
    </row>
    <row r="701" spans="1:5">
      <c r="A701" s="11" t="s">
        <v>3556</v>
      </c>
      <c r="B701">
        <v>8089064</v>
      </c>
      <c r="D701" s="11" t="s">
        <v>3557</v>
      </c>
      <c r="E701" s="11" t="s">
        <v>3558</v>
      </c>
    </row>
    <row r="702" spans="1:5">
      <c r="A702" s="11" t="s">
        <v>3559</v>
      </c>
      <c r="B702">
        <v>8089065</v>
      </c>
      <c r="D702" s="11" t="s">
        <v>3560</v>
      </c>
      <c r="E702" s="11" t="s">
        <v>3561</v>
      </c>
    </row>
    <row r="703" spans="1:5">
      <c r="A703" s="11" t="s">
        <v>3562</v>
      </c>
      <c r="B703">
        <v>8011901</v>
      </c>
      <c r="D703" s="11" t="s">
        <v>3563</v>
      </c>
      <c r="E703" s="11" t="s">
        <v>3564</v>
      </c>
    </row>
    <row r="704" spans="1:5">
      <c r="A704" s="11" t="s">
        <v>3565</v>
      </c>
      <c r="B704">
        <v>8089117</v>
      </c>
      <c r="D704" s="11" t="s">
        <v>3566</v>
      </c>
      <c r="E704" s="11" t="s">
        <v>3567</v>
      </c>
    </row>
    <row r="705" spans="1:5">
      <c r="A705" s="11" t="s">
        <v>3568</v>
      </c>
      <c r="B705">
        <v>8089007</v>
      </c>
      <c r="D705" s="11" t="s">
        <v>3569</v>
      </c>
      <c r="E705" s="11" t="s">
        <v>3570</v>
      </c>
    </row>
    <row r="706" spans="1:5">
      <c r="A706" s="11" t="s">
        <v>3571</v>
      </c>
      <c r="B706">
        <v>8010035</v>
      </c>
      <c r="D706" s="11" t="s">
        <v>3572</v>
      </c>
      <c r="E706" s="11" t="s">
        <v>3573</v>
      </c>
    </row>
    <row r="707" spans="1:5">
      <c r="A707" s="11" t="s">
        <v>3574</v>
      </c>
      <c r="B707">
        <v>8089193</v>
      </c>
      <c r="D707" s="11" t="s">
        <v>3575</v>
      </c>
      <c r="E707" s="11" t="s">
        <v>3576</v>
      </c>
    </row>
    <row r="708" spans="1:5">
      <c r="A708" s="11" t="s">
        <v>3577</v>
      </c>
      <c r="B708">
        <v>8011046</v>
      </c>
      <c r="D708" s="11" t="s">
        <v>3578</v>
      </c>
      <c r="E708" s="11" t="s">
        <v>3579</v>
      </c>
    </row>
    <row r="709" spans="1:5">
      <c r="A709" s="11" t="s">
        <v>3580</v>
      </c>
      <c r="B709">
        <v>8089068</v>
      </c>
      <c r="D709" s="11" t="s">
        <v>3581</v>
      </c>
      <c r="E709" s="11" t="s">
        <v>3582</v>
      </c>
    </row>
    <row r="710" spans="1:5">
      <c r="A710" s="11" t="s">
        <v>3583</v>
      </c>
      <c r="B710">
        <v>8089069</v>
      </c>
      <c r="D710" s="11" t="s">
        <v>3584</v>
      </c>
      <c r="E710" s="11" t="s">
        <v>3585</v>
      </c>
    </row>
    <row r="711" spans="1:5">
      <c r="A711" s="11" t="s">
        <v>3586</v>
      </c>
      <c r="B711">
        <v>8089114</v>
      </c>
      <c r="D711" s="11" t="s">
        <v>3587</v>
      </c>
      <c r="E711" s="11" t="s">
        <v>3588</v>
      </c>
    </row>
    <row r="712" spans="1:5">
      <c r="A712" s="11" t="s">
        <v>3589</v>
      </c>
      <c r="B712">
        <v>8010036</v>
      </c>
      <c r="D712" s="11" t="s">
        <v>3590</v>
      </c>
      <c r="E712" s="11" t="s">
        <v>3591</v>
      </c>
    </row>
    <row r="713" spans="1:5">
      <c r="A713" s="11" t="s">
        <v>3592</v>
      </c>
      <c r="B713">
        <v>8089182</v>
      </c>
      <c r="D713" s="11" t="s">
        <v>3593</v>
      </c>
      <c r="E713" s="11" t="s">
        <v>3594</v>
      </c>
    </row>
    <row r="714" spans="1:5">
      <c r="A714" s="11" t="s">
        <v>3595</v>
      </c>
      <c r="B714">
        <v>8089070</v>
      </c>
      <c r="D714" s="11" t="s">
        <v>3596</v>
      </c>
      <c r="E714" s="11" t="s">
        <v>3597</v>
      </c>
    </row>
    <row r="715" spans="1:5">
      <c r="A715" s="11" t="s">
        <v>3598</v>
      </c>
      <c r="B715">
        <v>8011041</v>
      </c>
      <c r="D715" s="11" t="s">
        <v>3599</v>
      </c>
      <c r="E715" s="11" t="s">
        <v>3600</v>
      </c>
    </row>
    <row r="716" spans="1:5">
      <c r="A716" s="11" t="s">
        <v>3601</v>
      </c>
      <c r="B716">
        <v>8089113</v>
      </c>
      <c r="D716" s="11" t="s">
        <v>3602</v>
      </c>
      <c r="E716" s="11" t="s">
        <v>3603</v>
      </c>
    </row>
    <row r="717" spans="1:5">
      <c r="A717" s="11" t="s">
        <v>3604</v>
      </c>
      <c r="B717">
        <v>8089472</v>
      </c>
      <c r="D717" s="11" t="s">
        <v>3605</v>
      </c>
      <c r="E717" s="11" t="s">
        <v>3606</v>
      </c>
    </row>
    <row r="718" spans="1:5">
      <c r="A718" s="11" t="s">
        <v>3607</v>
      </c>
      <c r="B718">
        <v>8089071</v>
      </c>
      <c r="D718" s="11" t="s">
        <v>3608</v>
      </c>
      <c r="E718" s="11" t="s">
        <v>3609</v>
      </c>
    </row>
    <row r="719" spans="1:5">
      <c r="A719" s="11" t="s">
        <v>3610</v>
      </c>
      <c r="B719">
        <v>8011343</v>
      </c>
      <c r="D719" s="11" t="s">
        <v>3611</v>
      </c>
      <c r="E719" s="11" t="s">
        <v>3612</v>
      </c>
    </row>
    <row r="720" spans="1:5">
      <c r="A720" s="11" t="s">
        <v>3613</v>
      </c>
      <c r="B720">
        <v>8089072</v>
      </c>
      <c r="D720" s="11" t="s">
        <v>3614</v>
      </c>
      <c r="E720" s="11" t="s">
        <v>3615</v>
      </c>
    </row>
    <row r="721" spans="1:5">
      <c r="A721" s="11" t="s">
        <v>3616</v>
      </c>
      <c r="B721">
        <v>8089074</v>
      </c>
      <c r="D721" s="11" t="s">
        <v>3617</v>
      </c>
      <c r="E721" s="11" t="s">
        <v>3618</v>
      </c>
    </row>
    <row r="722" spans="1:5">
      <c r="A722" s="11" t="s">
        <v>3619</v>
      </c>
      <c r="B722">
        <v>8089075</v>
      </c>
      <c r="D722" s="11" t="s">
        <v>3620</v>
      </c>
      <c r="E722" s="11" t="s">
        <v>3621</v>
      </c>
    </row>
    <row r="723" spans="1:5">
      <c r="A723" s="11" t="s">
        <v>3622</v>
      </c>
      <c r="B723">
        <v>8089077</v>
      </c>
      <c r="D723" s="11" t="s">
        <v>3623</v>
      </c>
      <c r="E723" s="11" t="s">
        <v>3624</v>
      </c>
    </row>
    <row r="724" spans="1:5">
      <c r="A724" s="11" t="s">
        <v>3625</v>
      </c>
      <c r="B724">
        <v>8089078</v>
      </c>
      <c r="D724" s="11" t="s">
        <v>3626</v>
      </c>
      <c r="E724" s="11" t="s">
        <v>3627</v>
      </c>
    </row>
    <row r="725" spans="1:5">
      <c r="A725" s="11" t="s">
        <v>3628</v>
      </c>
      <c r="B725">
        <v>8089079</v>
      </c>
      <c r="D725" s="11" t="s">
        <v>3629</v>
      </c>
      <c r="E725" s="11" t="s">
        <v>3630</v>
      </c>
    </row>
    <row r="726" spans="1:5">
      <c r="A726" s="11" t="s">
        <v>3631</v>
      </c>
      <c r="B726">
        <v>8089080</v>
      </c>
      <c r="D726" s="11" t="s">
        <v>3632</v>
      </c>
      <c r="E726" s="11" t="s">
        <v>3633</v>
      </c>
    </row>
    <row r="727" spans="1:5">
      <c r="A727" s="11" t="s">
        <v>3634</v>
      </c>
      <c r="B727">
        <v>8089081</v>
      </c>
      <c r="D727" s="11" t="s">
        <v>3635</v>
      </c>
      <c r="E727" s="11" t="s">
        <v>3636</v>
      </c>
    </row>
    <row r="728" spans="1:5">
      <c r="A728" s="11" t="s">
        <v>3637</v>
      </c>
      <c r="B728">
        <v>8089331</v>
      </c>
      <c r="D728" s="11" t="s">
        <v>3638</v>
      </c>
      <c r="E728" s="11" t="s">
        <v>3639</v>
      </c>
    </row>
    <row r="729" spans="1:5">
      <c r="A729" s="11" t="s">
        <v>3640</v>
      </c>
      <c r="B729">
        <v>8089082</v>
      </c>
      <c r="D729" s="11" t="s">
        <v>3641</v>
      </c>
      <c r="E729" s="11" t="s">
        <v>3642</v>
      </c>
    </row>
    <row r="730" spans="1:5">
      <c r="A730" s="11" t="s">
        <v>3643</v>
      </c>
      <c r="B730">
        <v>8089084</v>
      </c>
      <c r="D730" s="11" t="s">
        <v>3644</v>
      </c>
      <c r="E730" s="11" t="s">
        <v>3645</v>
      </c>
    </row>
    <row r="731" spans="1:5">
      <c r="A731" s="11" t="s">
        <v>3646</v>
      </c>
      <c r="B731">
        <v>8089085</v>
      </c>
      <c r="D731" s="11" t="s">
        <v>3647</v>
      </c>
      <c r="E731" s="11" t="s">
        <v>3648</v>
      </c>
    </row>
    <row r="732" spans="1:5">
      <c r="A732" s="11" t="s">
        <v>3649</v>
      </c>
      <c r="B732">
        <v>8089474</v>
      </c>
      <c r="D732" s="11" t="s">
        <v>3650</v>
      </c>
      <c r="E732" s="11" t="s">
        <v>3651</v>
      </c>
    </row>
    <row r="733" spans="1:5">
      <c r="A733" s="11" t="s">
        <v>3652</v>
      </c>
      <c r="B733">
        <v>8010041</v>
      </c>
      <c r="D733" s="11" t="s">
        <v>3653</v>
      </c>
      <c r="E733" s="11" t="s">
        <v>3654</v>
      </c>
    </row>
    <row r="734" spans="1:5">
      <c r="A734" s="11" t="s">
        <v>3655</v>
      </c>
      <c r="B734">
        <v>8089168</v>
      </c>
      <c r="D734" s="11" t="s">
        <v>3656</v>
      </c>
      <c r="E734" s="11" t="s">
        <v>3657</v>
      </c>
    </row>
    <row r="735" spans="1:5">
      <c r="A735" s="11" t="s">
        <v>3658</v>
      </c>
      <c r="B735">
        <v>8089087</v>
      </c>
      <c r="D735" s="11" t="s">
        <v>3659</v>
      </c>
      <c r="E735" s="11" t="s">
        <v>3660</v>
      </c>
    </row>
    <row r="736" spans="1:5">
      <c r="A736" s="11" t="s">
        <v>3661</v>
      </c>
      <c r="B736">
        <v>8089000</v>
      </c>
      <c r="D736" s="11" t="s">
        <v>3662</v>
      </c>
      <c r="E736" s="11" t="s">
        <v>3663</v>
      </c>
    </row>
    <row r="737" spans="1:5">
      <c r="A737" s="11" t="s">
        <v>3664</v>
      </c>
      <c r="B737">
        <v>8010404</v>
      </c>
      <c r="D737" s="11" t="s">
        <v>3665</v>
      </c>
      <c r="E737" s="11" t="s">
        <v>3666</v>
      </c>
    </row>
    <row r="738" spans="1:5">
      <c r="A738" s="11" t="s">
        <v>3667</v>
      </c>
      <c r="B738">
        <v>8089083</v>
      </c>
      <c r="D738" s="11" t="s">
        <v>3668</v>
      </c>
      <c r="E738" s="11" t="s">
        <v>3669</v>
      </c>
    </row>
    <row r="739" spans="1:5">
      <c r="A739" s="11" t="s">
        <v>3670</v>
      </c>
      <c r="B739">
        <v>8089088</v>
      </c>
      <c r="D739" s="11" t="s">
        <v>3671</v>
      </c>
      <c r="E739" s="11" t="s">
        <v>3672</v>
      </c>
    </row>
    <row r="740" spans="1:5">
      <c r="A740" s="11" t="s">
        <v>3673</v>
      </c>
      <c r="B740">
        <v>8013021</v>
      </c>
      <c r="D740" s="11" t="s">
        <v>3674</v>
      </c>
      <c r="E740" s="11" t="s">
        <v>3675</v>
      </c>
    </row>
    <row r="741" spans="1:5">
      <c r="A741" s="11" t="s">
        <v>3676</v>
      </c>
      <c r="B741">
        <v>8089053</v>
      </c>
      <c r="D741" s="11" t="s">
        <v>3677</v>
      </c>
      <c r="E741" s="11" t="s">
        <v>3678</v>
      </c>
    </row>
    <row r="742" spans="1:5">
      <c r="A742" s="11" t="s">
        <v>3679</v>
      </c>
      <c r="B742">
        <v>8089089</v>
      </c>
      <c r="D742" s="11" t="s">
        <v>3680</v>
      </c>
      <c r="E742" s="11" t="s">
        <v>3681</v>
      </c>
    </row>
    <row r="743" spans="1:5">
      <c r="A743" s="11" t="s">
        <v>3682</v>
      </c>
      <c r="B743">
        <v>8089090</v>
      </c>
      <c r="D743" s="11" t="s">
        <v>3683</v>
      </c>
      <c r="E743" s="11" t="s">
        <v>3684</v>
      </c>
    </row>
    <row r="744" spans="1:5">
      <c r="A744" s="11" t="s">
        <v>3685</v>
      </c>
      <c r="B744">
        <v>8089091</v>
      </c>
      <c r="D744" s="11" t="s">
        <v>1539</v>
      </c>
      <c r="E744" s="11" t="s">
        <v>1539</v>
      </c>
    </row>
    <row r="745" spans="1:5">
      <c r="A745" s="11" t="s">
        <v>3686</v>
      </c>
      <c r="B745">
        <v>8089092</v>
      </c>
      <c r="D745" s="11" t="s">
        <v>3687</v>
      </c>
      <c r="E745" s="11" t="s">
        <v>3688</v>
      </c>
    </row>
    <row r="746" spans="1:5">
      <c r="A746" s="11" t="s">
        <v>3689</v>
      </c>
      <c r="B746">
        <v>8010405</v>
      </c>
      <c r="D746" s="11" t="s">
        <v>3690</v>
      </c>
      <c r="E746" s="11" t="s">
        <v>3691</v>
      </c>
    </row>
    <row r="747" spans="1:5">
      <c r="A747" s="11" t="s">
        <v>3692</v>
      </c>
      <c r="B747">
        <v>8089190</v>
      </c>
      <c r="D747" s="11" t="s">
        <v>3693</v>
      </c>
      <c r="E747" s="11" t="s">
        <v>3694</v>
      </c>
    </row>
    <row r="748" spans="1:5">
      <c r="A748" s="11" t="s">
        <v>3695</v>
      </c>
      <c r="B748">
        <v>8089093</v>
      </c>
      <c r="D748" s="11" t="s">
        <v>3696</v>
      </c>
      <c r="E748" s="11" t="s">
        <v>3697</v>
      </c>
    </row>
    <row r="749" spans="1:5">
      <c r="A749" s="11" t="s">
        <v>3698</v>
      </c>
      <c r="B749">
        <v>8089131</v>
      </c>
      <c r="D749" s="11" t="s">
        <v>3699</v>
      </c>
      <c r="E749" s="11" t="s">
        <v>3700</v>
      </c>
    </row>
    <row r="750" spans="1:5">
      <c r="A750" s="11" t="s">
        <v>3701</v>
      </c>
      <c r="B750">
        <v>8089094</v>
      </c>
      <c r="D750" s="11" t="s">
        <v>3702</v>
      </c>
      <c r="E750" s="11" t="s">
        <v>3703</v>
      </c>
    </row>
    <row r="751" spans="1:5">
      <c r="A751" s="11" t="s">
        <v>3704</v>
      </c>
      <c r="B751">
        <v>8089095</v>
      </c>
      <c r="D751" s="11" t="s">
        <v>3705</v>
      </c>
      <c r="E751" s="11" t="s">
        <v>3706</v>
      </c>
    </row>
    <row r="752" spans="1:5">
      <c r="A752" s="11" t="s">
        <v>3707</v>
      </c>
      <c r="B752">
        <v>8089096</v>
      </c>
      <c r="D752" s="11" t="s">
        <v>3708</v>
      </c>
      <c r="E752" s="11" t="s">
        <v>3709</v>
      </c>
    </row>
    <row r="753" spans="1:5">
      <c r="A753" s="11" t="s">
        <v>3710</v>
      </c>
      <c r="B753">
        <v>8089097</v>
      </c>
      <c r="D753" s="11" t="s">
        <v>3711</v>
      </c>
      <c r="E753" s="11" t="s">
        <v>3712</v>
      </c>
    </row>
    <row r="754" spans="1:5">
      <c r="A754" s="11" t="s">
        <v>3713</v>
      </c>
      <c r="B754">
        <v>8089098</v>
      </c>
      <c r="D754" s="11" t="s">
        <v>3714</v>
      </c>
      <c r="E754" s="11" t="s">
        <v>3715</v>
      </c>
    </row>
    <row r="755" spans="1:5">
      <c r="A755" s="11" t="s">
        <v>3716</v>
      </c>
      <c r="B755">
        <v>8000909</v>
      </c>
      <c r="D755" s="11" t="s">
        <v>3717</v>
      </c>
      <c r="E755" s="11" t="s">
        <v>3718</v>
      </c>
    </row>
    <row r="756" spans="1:5">
      <c r="A756" s="11" t="s">
        <v>3719</v>
      </c>
      <c r="B756">
        <v>8089205</v>
      </c>
      <c r="D756" s="11" t="s">
        <v>3720</v>
      </c>
      <c r="E756" s="11" t="s">
        <v>3721</v>
      </c>
    </row>
    <row r="757" spans="1:5">
      <c r="A757" s="11" t="s">
        <v>3722</v>
      </c>
      <c r="B757">
        <v>8000911</v>
      </c>
      <c r="D757" s="11" t="s">
        <v>3723</v>
      </c>
      <c r="E757" s="11" t="s">
        <v>3724</v>
      </c>
    </row>
    <row r="758" spans="1:5">
      <c r="A758" s="11" t="s">
        <v>3725</v>
      </c>
      <c r="B758">
        <v>8013470</v>
      </c>
      <c r="D758" s="11" t="s">
        <v>3726</v>
      </c>
      <c r="E758" s="11" t="s">
        <v>3727</v>
      </c>
    </row>
    <row r="759" spans="1:5">
      <c r="A759" s="11" t="s">
        <v>3728</v>
      </c>
      <c r="B759">
        <v>8079708</v>
      </c>
      <c r="D759" s="11" t="s">
        <v>3729</v>
      </c>
      <c r="E759" s="11" t="s">
        <v>3730</v>
      </c>
    </row>
    <row r="760" spans="1:5">
      <c r="A760" s="11" t="s">
        <v>3731</v>
      </c>
      <c r="B760">
        <v>8089099</v>
      </c>
      <c r="D760" s="11" t="s">
        <v>3732</v>
      </c>
      <c r="E760" s="11" t="s">
        <v>3733</v>
      </c>
    </row>
    <row r="761" spans="1:5">
      <c r="A761" s="11" t="s">
        <v>3734</v>
      </c>
      <c r="B761">
        <v>8010043</v>
      </c>
      <c r="D761" s="11" t="s">
        <v>3735</v>
      </c>
      <c r="E761" s="11" t="s">
        <v>3736</v>
      </c>
    </row>
    <row r="762" spans="1:5">
      <c r="A762" s="11" t="s">
        <v>3737</v>
      </c>
      <c r="B762">
        <v>8011168</v>
      </c>
      <c r="D762" s="11" t="s">
        <v>3738</v>
      </c>
      <c r="E762" s="11" t="s">
        <v>3739</v>
      </c>
    </row>
    <row r="763" spans="1:5">
      <c r="A763" s="11" t="s">
        <v>3740</v>
      </c>
      <c r="B763">
        <v>8011605</v>
      </c>
      <c r="D763" s="11" t="s">
        <v>3741</v>
      </c>
      <c r="E763" s="11" t="s">
        <v>3742</v>
      </c>
    </row>
    <row r="764" spans="1:5">
      <c r="A764" s="11" t="s">
        <v>3743</v>
      </c>
      <c r="B764">
        <v>8011169</v>
      </c>
      <c r="D764" s="11" t="s">
        <v>3744</v>
      </c>
      <c r="E764" s="11" t="s">
        <v>3745</v>
      </c>
    </row>
    <row r="765" spans="1:5">
      <c r="A765" s="11" t="s">
        <v>3746</v>
      </c>
      <c r="B765">
        <v>8011170</v>
      </c>
      <c r="D765" s="11" t="s">
        <v>3747</v>
      </c>
      <c r="E765" s="11" t="s">
        <v>3748</v>
      </c>
    </row>
    <row r="766" spans="1:5">
      <c r="A766" s="11" t="s">
        <v>3749</v>
      </c>
      <c r="B766">
        <v>8000913</v>
      </c>
      <c r="D766" s="11" t="s">
        <v>3750</v>
      </c>
      <c r="E766" s="11" t="s">
        <v>3751</v>
      </c>
    </row>
    <row r="767" spans="1:5">
      <c r="A767" s="11" t="s">
        <v>3752</v>
      </c>
      <c r="B767">
        <v>8000918</v>
      </c>
      <c r="D767" s="11" t="s">
        <v>3753</v>
      </c>
      <c r="E767" s="11" t="s">
        <v>3754</v>
      </c>
    </row>
    <row r="768" spans="1:5">
      <c r="A768" s="11" t="s">
        <v>3755</v>
      </c>
      <c r="B768">
        <v>8011172</v>
      </c>
      <c r="D768" s="11" t="s">
        <v>3756</v>
      </c>
      <c r="E768" s="11" t="s">
        <v>3757</v>
      </c>
    </row>
    <row r="769" spans="1:5">
      <c r="A769" s="11" t="s">
        <v>3758</v>
      </c>
      <c r="B769">
        <v>8000919</v>
      </c>
      <c r="D769" s="11" t="s">
        <v>3759</v>
      </c>
      <c r="E769" s="11" t="s">
        <v>3760</v>
      </c>
    </row>
    <row r="770" spans="1:5">
      <c r="A770" s="11" t="s">
        <v>3761</v>
      </c>
      <c r="B770">
        <v>8010044</v>
      </c>
      <c r="D770" s="11" t="s">
        <v>3762</v>
      </c>
      <c r="E770" s="11" t="s">
        <v>3763</v>
      </c>
    </row>
    <row r="771" spans="1:5">
      <c r="A771" s="11" t="s">
        <v>3764</v>
      </c>
      <c r="B771">
        <v>8017219</v>
      </c>
      <c r="D771" s="11" t="s">
        <v>3765</v>
      </c>
      <c r="E771" s="11" t="s">
        <v>3766</v>
      </c>
    </row>
    <row r="772" spans="1:5">
      <c r="A772" s="11" t="s">
        <v>3767</v>
      </c>
      <c r="B772">
        <v>8010045</v>
      </c>
      <c r="D772" s="11" t="s">
        <v>3768</v>
      </c>
      <c r="E772" s="11" t="s">
        <v>3769</v>
      </c>
    </row>
    <row r="773" spans="1:5">
      <c r="A773" s="11" t="s">
        <v>3770</v>
      </c>
      <c r="B773">
        <v>8000921</v>
      </c>
      <c r="D773" s="11" t="s">
        <v>3771</v>
      </c>
      <c r="E773" s="11" t="s">
        <v>3772</v>
      </c>
    </row>
    <row r="774" spans="1:5">
      <c r="A774" s="11" t="s">
        <v>3773</v>
      </c>
      <c r="B774">
        <v>8071529</v>
      </c>
      <c r="D774" s="11" t="s">
        <v>3774</v>
      </c>
      <c r="E774" s="11" t="s">
        <v>3775</v>
      </c>
    </row>
    <row r="775" spans="1:5">
      <c r="A775" s="11" t="s">
        <v>3776</v>
      </c>
      <c r="B775">
        <v>8000923</v>
      </c>
      <c r="D775" s="11" t="s">
        <v>3777</v>
      </c>
      <c r="E775" s="11" t="s">
        <v>3778</v>
      </c>
    </row>
    <row r="776" spans="1:5">
      <c r="A776" s="11" t="s">
        <v>3779</v>
      </c>
      <c r="B776">
        <v>8000925</v>
      </c>
      <c r="D776" s="11" t="s">
        <v>3780</v>
      </c>
      <c r="E776" s="11" t="s">
        <v>3781</v>
      </c>
    </row>
    <row r="777" spans="1:5">
      <c r="A777" s="11" t="s">
        <v>3782</v>
      </c>
      <c r="B777">
        <v>8000926</v>
      </c>
      <c r="D777" s="11" t="s">
        <v>3783</v>
      </c>
      <c r="E777" s="11" t="s">
        <v>3784</v>
      </c>
    </row>
    <row r="778" spans="1:5">
      <c r="A778" s="11" t="s">
        <v>3785</v>
      </c>
      <c r="B778">
        <v>8011173</v>
      </c>
      <c r="D778" s="11" t="s">
        <v>3786</v>
      </c>
      <c r="E778" s="11" t="s">
        <v>3787</v>
      </c>
    </row>
    <row r="779" spans="1:5">
      <c r="A779" s="11" t="s">
        <v>3788</v>
      </c>
      <c r="B779">
        <v>8000927</v>
      </c>
      <c r="D779" s="11" t="s">
        <v>3789</v>
      </c>
      <c r="E779" s="11" t="s">
        <v>3790</v>
      </c>
    </row>
    <row r="780" spans="1:5">
      <c r="A780" s="11" t="s">
        <v>3791</v>
      </c>
      <c r="B780">
        <v>8000928</v>
      </c>
      <c r="D780" s="11" t="s">
        <v>3792</v>
      </c>
      <c r="E780" s="11" t="s">
        <v>3793</v>
      </c>
    </row>
    <row r="781" spans="1:5">
      <c r="A781" s="11" t="s">
        <v>3794</v>
      </c>
      <c r="B781">
        <v>8000034</v>
      </c>
      <c r="D781" s="11" t="s">
        <v>3795</v>
      </c>
      <c r="E781" s="11" t="s">
        <v>3796</v>
      </c>
    </row>
    <row r="782" spans="1:5">
      <c r="A782" s="11" t="s">
        <v>3797</v>
      </c>
      <c r="B782">
        <v>8010046</v>
      </c>
      <c r="D782" s="11" t="s">
        <v>3798</v>
      </c>
      <c r="E782" s="11" t="s">
        <v>3799</v>
      </c>
    </row>
    <row r="783" spans="1:5">
      <c r="A783" s="11" t="s">
        <v>3800</v>
      </c>
      <c r="B783">
        <v>8013539</v>
      </c>
      <c r="D783" s="11" t="s">
        <v>3801</v>
      </c>
      <c r="E783" s="11" t="s">
        <v>3802</v>
      </c>
    </row>
    <row r="784" spans="1:5">
      <c r="A784" s="11" t="s">
        <v>3803</v>
      </c>
      <c r="B784">
        <v>8000932</v>
      </c>
      <c r="D784" s="11" t="s">
        <v>3804</v>
      </c>
      <c r="E784" s="11" t="s">
        <v>3805</v>
      </c>
    </row>
    <row r="785" spans="1:5">
      <c r="A785" s="11" t="s">
        <v>3806</v>
      </c>
      <c r="B785">
        <v>8011177</v>
      </c>
      <c r="D785" s="11" t="s">
        <v>3807</v>
      </c>
      <c r="E785" s="11" t="s">
        <v>3808</v>
      </c>
    </row>
    <row r="786" spans="1:5">
      <c r="A786" s="11" t="s">
        <v>3809</v>
      </c>
      <c r="B786">
        <v>8011178</v>
      </c>
      <c r="D786" s="11" t="s">
        <v>3810</v>
      </c>
      <c r="E786" s="11" t="s">
        <v>3811</v>
      </c>
    </row>
    <row r="787" spans="1:5">
      <c r="A787" s="11" t="s">
        <v>3812</v>
      </c>
      <c r="B787">
        <v>8000933</v>
      </c>
      <c r="D787" s="11" t="s">
        <v>3813</v>
      </c>
      <c r="E787" s="11" t="s">
        <v>3814</v>
      </c>
    </row>
    <row r="788" spans="1:5">
      <c r="A788" s="11" t="s">
        <v>3815</v>
      </c>
      <c r="B788">
        <v>8000934</v>
      </c>
      <c r="D788" s="11" t="s">
        <v>3816</v>
      </c>
      <c r="E788" s="11" t="s">
        <v>3817</v>
      </c>
    </row>
    <row r="789" spans="1:5">
      <c r="A789" s="11" t="s">
        <v>3818</v>
      </c>
      <c r="B789">
        <v>8011179</v>
      </c>
      <c r="D789" s="11" t="s">
        <v>3819</v>
      </c>
      <c r="E789" s="11" t="s">
        <v>3820</v>
      </c>
    </row>
    <row r="790" spans="1:5">
      <c r="A790" s="11" t="s">
        <v>3821</v>
      </c>
      <c r="B790">
        <v>8087065</v>
      </c>
      <c r="D790" s="11" t="s">
        <v>3822</v>
      </c>
      <c r="E790" s="11" t="s">
        <v>3823</v>
      </c>
    </row>
    <row r="791" spans="1:5">
      <c r="A791" s="11" t="s">
        <v>3824</v>
      </c>
      <c r="B791">
        <v>8000941</v>
      </c>
      <c r="D791" s="11" t="s">
        <v>3825</v>
      </c>
      <c r="E791" s="11" t="s">
        <v>3826</v>
      </c>
    </row>
    <row r="792" spans="1:5">
      <c r="A792" s="11" t="s">
        <v>3827</v>
      </c>
      <c r="B792">
        <v>8011181</v>
      </c>
      <c r="D792" s="11" t="s">
        <v>3828</v>
      </c>
      <c r="E792" s="11" t="s">
        <v>3829</v>
      </c>
    </row>
    <row r="793" spans="1:5">
      <c r="A793" s="11" t="s">
        <v>3830</v>
      </c>
      <c r="B793">
        <v>8000946</v>
      </c>
      <c r="D793" s="11" t="s">
        <v>3831</v>
      </c>
      <c r="E793" s="11" t="s">
        <v>3832</v>
      </c>
    </row>
    <row r="794" spans="1:5">
      <c r="A794" s="11" t="s">
        <v>3833</v>
      </c>
      <c r="B794">
        <v>8000942</v>
      </c>
      <c r="D794" s="11" t="s">
        <v>3834</v>
      </c>
      <c r="E794" s="11" t="s">
        <v>3835</v>
      </c>
    </row>
    <row r="795" spans="1:5">
      <c r="A795" s="11" t="s">
        <v>3836</v>
      </c>
      <c r="B795">
        <v>8000943</v>
      </c>
      <c r="D795" s="11" t="s">
        <v>3837</v>
      </c>
      <c r="E795" s="11" t="s">
        <v>3838</v>
      </c>
    </row>
    <row r="796" spans="1:5">
      <c r="A796" s="11" t="s">
        <v>3839</v>
      </c>
      <c r="B796">
        <v>8000944</v>
      </c>
      <c r="D796" s="11" t="s">
        <v>3840</v>
      </c>
      <c r="E796" s="11" t="s">
        <v>3841</v>
      </c>
    </row>
    <row r="797" spans="1:5">
      <c r="A797" s="11" t="s">
        <v>3842</v>
      </c>
      <c r="B797">
        <v>8000503</v>
      </c>
      <c r="D797" s="11" t="s">
        <v>3843</v>
      </c>
      <c r="E797" s="11" t="s">
        <v>3844</v>
      </c>
    </row>
    <row r="798" spans="1:5">
      <c r="A798" s="11" t="s">
        <v>3845</v>
      </c>
      <c r="B798">
        <v>8072974</v>
      </c>
      <c r="D798" s="11" t="s">
        <v>3846</v>
      </c>
      <c r="E798" s="11" t="s">
        <v>3847</v>
      </c>
    </row>
    <row r="799" spans="1:5">
      <c r="A799" s="11" t="s">
        <v>450</v>
      </c>
      <c r="B799">
        <v>8011183</v>
      </c>
      <c r="D799" s="11" t="s">
        <v>452</v>
      </c>
      <c r="E799" s="11" t="s">
        <v>453</v>
      </c>
    </row>
    <row r="800" spans="1:5">
      <c r="A800" s="11" t="s">
        <v>3848</v>
      </c>
      <c r="B800">
        <v>8000945</v>
      </c>
      <c r="D800" s="11" t="s">
        <v>3849</v>
      </c>
      <c r="E800" s="11" t="s">
        <v>3850</v>
      </c>
    </row>
    <row r="801" spans="1:5">
      <c r="A801" s="11" t="s">
        <v>3851</v>
      </c>
      <c r="B801">
        <v>8077777</v>
      </c>
      <c r="D801" s="11" t="s">
        <v>3852</v>
      </c>
      <c r="E801" s="11" t="s">
        <v>3853</v>
      </c>
    </row>
    <row r="802" spans="1:5">
      <c r="A802" s="11" t="s">
        <v>3854</v>
      </c>
      <c r="B802">
        <v>8000948</v>
      </c>
      <c r="D802" s="11" t="s">
        <v>3855</v>
      </c>
      <c r="E802" s="11" t="s">
        <v>3856</v>
      </c>
    </row>
    <row r="803" spans="1:5">
      <c r="A803" s="11" t="s">
        <v>3857</v>
      </c>
      <c r="B803">
        <v>8000951</v>
      </c>
      <c r="D803" s="11" t="s">
        <v>3858</v>
      </c>
      <c r="E803" s="11" t="s">
        <v>3859</v>
      </c>
    </row>
    <row r="804" spans="1:5">
      <c r="A804" s="11" t="s">
        <v>3860</v>
      </c>
      <c r="B804">
        <v>8000952</v>
      </c>
      <c r="D804" s="11" t="s">
        <v>3861</v>
      </c>
      <c r="E804" s="11" t="s">
        <v>3862</v>
      </c>
    </row>
    <row r="805" spans="1:5">
      <c r="A805" s="11" t="s">
        <v>3863</v>
      </c>
      <c r="B805">
        <v>8000954</v>
      </c>
      <c r="D805" s="11" t="s">
        <v>3864</v>
      </c>
      <c r="E805" s="11" t="s">
        <v>3865</v>
      </c>
    </row>
    <row r="806" spans="1:5">
      <c r="A806" s="11" t="s">
        <v>3866</v>
      </c>
      <c r="B806">
        <v>8010047</v>
      </c>
      <c r="D806" s="11" t="s">
        <v>3867</v>
      </c>
      <c r="E806" s="11" t="s">
        <v>3868</v>
      </c>
    </row>
    <row r="807" spans="1:5">
      <c r="A807" s="11" t="s">
        <v>3869</v>
      </c>
      <c r="B807">
        <v>8000036</v>
      </c>
      <c r="D807" s="11" t="s">
        <v>3870</v>
      </c>
      <c r="E807" s="11" t="s">
        <v>3871</v>
      </c>
    </row>
    <row r="808" spans="1:5">
      <c r="A808" s="11" t="s">
        <v>3872</v>
      </c>
      <c r="B808">
        <v>8000953</v>
      </c>
      <c r="D808" s="11" t="s">
        <v>3873</v>
      </c>
      <c r="E808" s="11" t="s">
        <v>3874</v>
      </c>
    </row>
    <row r="809" spans="1:5">
      <c r="A809" s="11" t="s">
        <v>3875</v>
      </c>
      <c r="B809">
        <v>8071907</v>
      </c>
      <c r="D809" s="11" t="s">
        <v>3876</v>
      </c>
      <c r="E809" s="11" t="s">
        <v>3877</v>
      </c>
    </row>
    <row r="810" spans="1:5">
      <c r="A810" s="11" t="s">
        <v>3878</v>
      </c>
      <c r="B810">
        <v>8000048</v>
      </c>
      <c r="D810" s="11" t="s">
        <v>3879</v>
      </c>
      <c r="E810" s="11" t="s">
        <v>3880</v>
      </c>
    </row>
    <row r="811" spans="1:5">
      <c r="A811" s="11" t="s">
        <v>3881</v>
      </c>
      <c r="B811">
        <v>8000956</v>
      </c>
      <c r="D811" s="11" t="s">
        <v>3882</v>
      </c>
      <c r="E811" s="11" t="s">
        <v>3883</v>
      </c>
    </row>
    <row r="812" spans="1:5">
      <c r="A812" s="11" t="s">
        <v>3884</v>
      </c>
      <c r="B812">
        <v>8005535</v>
      </c>
      <c r="D812" s="11" t="s">
        <v>3885</v>
      </c>
      <c r="E812" s="11" t="s">
        <v>3886</v>
      </c>
    </row>
    <row r="813" spans="1:5">
      <c r="A813" s="11" t="s">
        <v>3887</v>
      </c>
      <c r="B813">
        <v>8006466</v>
      </c>
      <c r="D813" s="11" t="s">
        <v>3888</v>
      </c>
      <c r="E813" s="11" t="s">
        <v>3889</v>
      </c>
    </row>
    <row r="814" spans="1:5">
      <c r="A814" s="11" t="s">
        <v>3890</v>
      </c>
      <c r="B814">
        <v>8011184</v>
      </c>
      <c r="D814" s="11" t="s">
        <v>3891</v>
      </c>
      <c r="E814" s="11" t="s">
        <v>3892</v>
      </c>
    </row>
    <row r="815" spans="1:5">
      <c r="A815" s="11" t="s">
        <v>3893</v>
      </c>
      <c r="B815">
        <v>8000955</v>
      </c>
      <c r="D815" s="11" t="s">
        <v>3894</v>
      </c>
      <c r="E815" s="11" t="s">
        <v>3895</v>
      </c>
    </row>
    <row r="816" spans="1:5">
      <c r="A816" s="11" t="s">
        <v>3896</v>
      </c>
      <c r="B816">
        <v>8011185</v>
      </c>
      <c r="D816" s="11" t="s">
        <v>3897</v>
      </c>
      <c r="E816" s="11" t="s">
        <v>3898</v>
      </c>
    </row>
    <row r="817" spans="1:5">
      <c r="A817" s="11" t="s">
        <v>3899</v>
      </c>
      <c r="B817">
        <v>8000357</v>
      </c>
      <c r="D817" s="11" t="s">
        <v>3900</v>
      </c>
      <c r="E817" s="11" t="s">
        <v>3901</v>
      </c>
    </row>
    <row r="818" spans="1:5">
      <c r="A818" s="11" t="s">
        <v>3902</v>
      </c>
      <c r="B818">
        <v>8000957</v>
      </c>
      <c r="D818" s="11" t="s">
        <v>3903</v>
      </c>
      <c r="E818" s="11" t="s">
        <v>3904</v>
      </c>
    </row>
    <row r="819" spans="1:5">
      <c r="A819" s="11" t="s">
        <v>3905</v>
      </c>
      <c r="B819">
        <v>8000959</v>
      </c>
      <c r="D819" s="11" t="s">
        <v>3906</v>
      </c>
      <c r="E819" s="11" t="s">
        <v>3907</v>
      </c>
    </row>
    <row r="820" spans="1:5">
      <c r="A820" s="11" t="s">
        <v>3908</v>
      </c>
      <c r="B820">
        <v>8007113</v>
      </c>
      <c r="D820" s="11" t="s">
        <v>3909</v>
      </c>
      <c r="E820" s="11" t="s">
        <v>3910</v>
      </c>
    </row>
    <row r="821" spans="1:5">
      <c r="A821" s="11" t="s">
        <v>3911</v>
      </c>
      <c r="B821">
        <v>8011187</v>
      </c>
      <c r="D821" s="11" t="s">
        <v>3912</v>
      </c>
      <c r="E821" s="11" t="s">
        <v>3913</v>
      </c>
    </row>
    <row r="822" spans="1:5">
      <c r="A822" s="11" t="s">
        <v>3914</v>
      </c>
      <c r="B822">
        <v>8011188</v>
      </c>
      <c r="D822" s="11" t="s">
        <v>3915</v>
      </c>
      <c r="E822" s="11" t="s">
        <v>3916</v>
      </c>
    </row>
    <row r="823" spans="1:5">
      <c r="A823" s="11" t="s">
        <v>3917</v>
      </c>
      <c r="B823">
        <v>8000962</v>
      </c>
      <c r="D823" s="11" t="s">
        <v>3918</v>
      </c>
      <c r="E823" s="11" t="s">
        <v>3919</v>
      </c>
    </row>
    <row r="824" spans="1:5">
      <c r="A824" s="11" t="s">
        <v>3920</v>
      </c>
      <c r="B824">
        <v>8000963</v>
      </c>
      <c r="D824" s="11" t="s">
        <v>3921</v>
      </c>
      <c r="E824" s="11" t="s">
        <v>3922</v>
      </c>
    </row>
    <row r="825" spans="1:5">
      <c r="A825" s="11" t="s">
        <v>3923</v>
      </c>
      <c r="B825">
        <v>8000038</v>
      </c>
      <c r="D825" s="11" t="s">
        <v>3924</v>
      </c>
      <c r="E825" s="11" t="s">
        <v>3925</v>
      </c>
    </row>
    <row r="826" spans="1:5">
      <c r="A826" s="11" t="s">
        <v>3926</v>
      </c>
      <c r="B826">
        <v>8000965</v>
      </c>
      <c r="D826" s="11" t="s">
        <v>3927</v>
      </c>
      <c r="E826" s="11" t="s">
        <v>3928</v>
      </c>
    </row>
    <row r="827" spans="1:5">
      <c r="A827" s="11" t="s">
        <v>3929</v>
      </c>
      <c r="B827">
        <v>8000966</v>
      </c>
      <c r="D827" s="11" t="s">
        <v>3930</v>
      </c>
      <c r="E827" s="11" t="s">
        <v>3931</v>
      </c>
    </row>
    <row r="828" spans="1:5">
      <c r="A828" s="11" t="s">
        <v>3932</v>
      </c>
      <c r="B828">
        <v>8000967</v>
      </c>
      <c r="D828" s="11" t="s">
        <v>3933</v>
      </c>
      <c r="E828" s="11" t="s">
        <v>3934</v>
      </c>
    </row>
    <row r="829" spans="1:5">
      <c r="A829" s="11" t="s">
        <v>3935</v>
      </c>
      <c r="B829">
        <v>8000968</v>
      </c>
      <c r="D829" s="11" t="s">
        <v>3936</v>
      </c>
      <c r="E829" s="11" t="s">
        <v>3937</v>
      </c>
    </row>
    <row r="830" spans="1:5">
      <c r="A830" s="11" t="s">
        <v>3938</v>
      </c>
      <c r="B830">
        <v>8000969</v>
      </c>
      <c r="D830" s="11" t="s">
        <v>3939</v>
      </c>
      <c r="E830" s="11" t="s">
        <v>3940</v>
      </c>
    </row>
    <row r="831" spans="1:5">
      <c r="A831" s="11" t="s">
        <v>3941</v>
      </c>
      <c r="B831">
        <v>8000970</v>
      </c>
      <c r="D831" s="11" t="s">
        <v>3942</v>
      </c>
      <c r="E831" s="11" t="s">
        <v>3943</v>
      </c>
    </row>
    <row r="832" spans="1:5">
      <c r="A832" s="11" t="s">
        <v>3944</v>
      </c>
      <c r="B832">
        <v>8000973</v>
      </c>
      <c r="D832" s="11" t="s">
        <v>3945</v>
      </c>
      <c r="E832" s="11" t="s">
        <v>3946</v>
      </c>
    </row>
    <row r="833" spans="1:5">
      <c r="A833" s="11" t="s">
        <v>3947</v>
      </c>
      <c r="B833">
        <v>8011189</v>
      </c>
      <c r="D833" s="11" t="s">
        <v>3948</v>
      </c>
      <c r="E833" s="11" t="s">
        <v>3949</v>
      </c>
    </row>
    <row r="834" spans="1:5">
      <c r="A834" s="11" t="s">
        <v>3950</v>
      </c>
      <c r="B834">
        <v>8011190</v>
      </c>
      <c r="D834" s="11" t="s">
        <v>3951</v>
      </c>
      <c r="E834" s="11" t="s">
        <v>3952</v>
      </c>
    </row>
    <row r="835" spans="1:5">
      <c r="A835" s="11" t="s">
        <v>3953</v>
      </c>
      <c r="B835">
        <v>8000974</v>
      </c>
      <c r="D835" s="11" t="s">
        <v>3954</v>
      </c>
      <c r="E835" s="11" t="s">
        <v>3955</v>
      </c>
    </row>
    <row r="836" spans="1:5">
      <c r="A836" s="11" t="s">
        <v>764</v>
      </c>
      <c r="B836">
        <v>8000039</v>
      </c>
      <c r="D836" s="11" t="s">
        <v>766</v>
      </c>
      <c r="E836" s="11" t="s">
        <v>767</v>
      </c>
    </row>
    <row r="837" spans="1:5">
      <c r="A837" s="11" t="s">
        <v>3956</v>
      </c>
      <c r="B837">
        <v>8075968</v>
      </c>
      <c r="D837" s="11" t="s">
        <v>1539</v>
      </c>
      <c r="E837" s="11" t="s">
        <v>1539</v>
      </c>
    </row>
    <row r="838" spans="1:5">
      <c r="A838" s="11" t="s">
        <v>3957</v>
      </c>
      <c r="B838">
        <v>8000976</v>
      </c>
      <c r="D838" s="11" t="s">
        <v>3958</v>
      </c>
      <c r="E838" s="11" t="s">
        <v>3959</v>
      </c>
    </row>
    <row r="839" spans="1:5">
      <c r="A839" s="11" t="s">
        <v>3960</v>
      </c>
      <c r="B839">
        <v>8000975</v>
      </c>
      <c r="D839" s="11" t="s">
        <v>3961</v>
      </c>
      <c r="E839" s="11" t="s">
        <v>3962</v>
      </c>
    </row>
    <row r="840" spans="1:5">
      <c r="A840" s="11" t="s">
        <v>3963</v>
      </c>
      <c r="B840">
        <v>8000978</v>
      </c>
      <c r="D840" s="11" t="s">
        <v>3964</v>
      </c>
      <c r="E840" s="11" t="s">
        <v>3965</v>
      </c>
    </row>
    <row r="841" spans="1:5">
      <c r="A841" s="11" t="s">
        <v>3966</v>
      </c>
      <c r="B841">
        <v>8011193</v>
      </c>
      <c r="D841" s="11" t="s">
        <v>3967</v>
      </c>
      <c r="E841" s="11" t="s">
        <v>3968</v>
      </c>
    </row>
    <row r="842" spans="1:5">
      <c r="A842" s="11" t="s">
        <v>3969</v>
      </c>
      <c r="B842">
        <v>8070323</v>
      </c>
      <c r="D842" s="11" t="s">
        <v>3970</v>
      </c>
      <c r="E842" s="11" t="s">
        <v>3971</v>
      </c>
    </row>
    <row r="843" spans="1:5">
      <c r="A843" s="11" t="s">
        <v>3972</v>
      </c>
      <c r="B843">
        <v>8070330</v>
      </c>
      <c r="D843" s="11" t="s">
        <v>3973</v>
      </c>
      <c r="E843" s="11" t="s">
        <v>3974</v>
      </c>
    </row>
    <row r="844" spans="1:5">
      <c r="A844" s="11" t="s">
        <v>3975</v>
      </c>
      <c r="B844">
        <v>8079282</v>
      </c>
      <c r="D844" s="11" t="s">
        <v>3976</v>
      </c>
      <c r="E844" s="11" t="s">
        <v>3977</v>
      </c>
    </row>
    <row r="845" spans="1:5">
      <c r="A845" s="11" t="s">
        <v>3978</v>
      </c>
      <c r="B845">
        <v>8007102</v>
      </c>
      <c r="D845" s="11" t="s">
        <v>3979</v>
      </c>
      <c r="E845" s="11" t="s">
        <v>3980</v>
      </c>
    </row>
    <row r="846" spans="1:5">
      <c r="A846" s="11" t="s">
        <v>3981</v>
      </c>
      <c r="B846">
        <v>8070324</v>
      </c>
      <c r="D846" s="11" t="s">
        <v>3982</v>
      </c>
      <c r="E846" s="11" t="s">
        <v>3983</v>
      </c>
    </row>
    <row r="847" spans="1:5">
      <c r="A847" s="11" t="s">
        <v>3984</v>
      </c>
      <c r="B847">
        <v>8000983</v>
      </c>
      <c r="D847" s="11" t="s">
        <v>3985</v>
      </c>
      <c r="E847" s="11" t="s">
        <v>3986</v>
      </c>
    </row>
    <row r="848" spans="1:5">
      <c r="A848" s="11" t="s">
        <v>3987</v>
      </c>
      <c r="B848">
        <v>8000984</v>
      </c>
      <c r="D848" s="11" t="s">
        <v>3988</v>
      </c>
      <c r="E848" s="11" t="s">
        <v>3989</v>
      </c>
    </row>
    <row r="849" spans="1:5">
      <c r="A849" s="11" t="s">
        <v>3990</v>
      </c>
      <c r="B849">
        <v>8000985</v>
      </c>
      <c r="D849" s="11" t="s">
        <v>3991</v>
      </c>
      <c r="E849" s="11" t="s">
        <v>3992</v>
      </c>
    </row>
    <row r="850" spans="1:5">
      <c r="A850" s="11" t="s">
        <v>3993</v>
      </c>
      <c r="B850">
        <v>8000986</v>
      </c>
      <c r="D850" s="11" t="s">
        <v>3994</v>
      </c>
      <c r="E850" s="11" t="s">
        <v>3995</v>
      </c>
    </row>
    <row r="851" spans="1:5">
      <c r="A851" s="11" t="s">
        <v>3996</v>
      </c>
      <c r="B851">
        <v>8080170</v>
      </c>
      <c r="D851" s="11" t="s">
        <v>3997</v>
      </c>
      <c r="E851" s="11" t="s">
        <v>3998</v>
      </c>
    </row>
    <row r="852" spans="1:5">
      <c r="A852" s="11" t="s">
        <v>3999</v>
      </c>
      <c r="B852">
        <v>8071940</v>
      </c>
      <c r="D852" s="11" t="s">
        <v>4000</v>
      </c>
      <c r="E852" s="11" t="s">
        <v>4001</v>
      </c>
    </row>
    <row r="853" spans="1:5">
      <c r="A853" s="11" t="s">
        <v>4002</v>
      </c>
      <c r="B853">
        <v>8017003</v>
      </c>
      <c r="D853" s="11" t="s">
        <v>4003</v>
      </c>
      <c r="E853" s="11" t="s">
        <v>4004</v>
      </c>
    </row>
    <row r="854" spans="1:5">
      <c r="A854" s="11" t="s">
        <v>4005</v>
      </c>
      <c r="B854">
        <v>8070002</v>
      </c>
      <c r="D854" s="11" t="s">
        <v>4006</v>
      </c>
      <c r="E854" s="11" t="s">
        <v>4007</v>
      </c>
    </row>
    <row r="855" spans="1:5">
      <c r="A855" s="11" t="s">
        <v>4008</v>
      </c>
      <c r="B855">
        <v>8080190</v>
      </c>
      <c r="D855" s="11" t="s">
        <v>4009</v>
      </c>
      <c r="E855" s="11" t="s">
        <v>4010</v>
      </c>
    </row>
    <row r="856" spans="1:5">
      <c r="A856" s="11" t="s">
        <v>4011</v>
      </c>
      <c r="B856">
        <v>8010048</v>
      </c>
      <c r="D856" s="11" t="s">
        <v>4012</v>
      </c>
      <c r="E856" s="11" t="s">
        <v>4013</v>
      </c>
    </row>
    <row r="857" spans="1:5">
      <c r="A857" s="11" t="s">
        <v>4014</v>
      </c>
      <c r="B857">
        <v>8000989</v>
      </c>
      <c r="D857" s="11" t="s">
        <v>4015</v>
      </c>
      <c r="E857" s="11" t="s">
        <v>4016</v>
      </c>
    </row>
    <row r="858" spans="1:5">
      <c r="A858" s="11" t="s">
        <v>4017</v>
      </c>
      <c r="B858">
        <v>8011199</v>
      </c>
      <c r="D858" s="11" t="s">
        <v>4018</v>
      </c>
      <c r="E858" s="11" t="s">
        <v>4019</v>
      </c>
    </row>
    <row r="859" spans="1:5">
      <c r="A859" s="11" t="s">
        <v>4020</v>
      </c>
      <c r="B859">
        <v>8010049</v>
      </c>
      <c r="D859" s="11" t="s">
        <v>4021</v>
      </c>
      <c r="E859" s="11" t="s">
        <v>4022</v>
      </c>
    </row>
    <row r="860" spans="1:5">
      <c r="A860" s="11" t="s">
        <v>4023</v>
      </c>
      <c r="B860">
        <v>8000997</v>
      </c>
      <c r="D860" s="11" t="s">
        <v>4024</v>
      </c>
      <c r="E860" s="11" t="s">
        <v>4025</v>
      </c>
    </row>
    <row r="861" spans="1:5">
      <c r="A861" s="11" t="s">
        <v>4026</v>
      </c>
      <c r="B861">
        <v>8000998</v>
      </c>
      <c r="D861" s="11" t="s">
        <v>4027</v>
      </c>
      <c r="E861" s="11" t="s">
        <v>4028</v>
      </c>
    </row>
    <row r="862" spans="1:5">
      <c r="A862" s="11" t="s">
        <v>4029</v>
      </c>
      <c r="B862">
        <v>8000999</v>
      </c>
      <c r="D862" s="11" t="s">
        <v>4030</v>
      </c>
      <c r="E862" s="11" t="s">
        <v>4031</v>
      </c>
    </row>
    <row r="863" spans="1:5">
      <c r="A863" s="11" t="s">
        <v>4032</v>
      </c>
      <c r="B863">
        <v>8070326</v>
      </c>
      <c r="D863" s="11" t="s">
        <v>4033</v>
      </c>
      <c r="E863" s="11" t="s">
        <v>4034</v>
      </c>
    </row>
    <row r="864" spans="1:5">
      <c r="A864" s="11" t="s">
        <v>4035</v>
      </c>
      <c r="B864">
        <v>8001000</v>
      </c>
      <c r="D864" s="11" t="s">
        <v>4036</v>
      </c>
      <c r="E864" s="11" t="s">
        <v>4037</v>
      </c>
    </row>
    <row r="865" spans="1:5">
      <c r="A865" s="11" t="s">
        <v>4038</v>
      </c>
      <c r="B865">
        <v>8001828</v>
      </c>
      <c r="D865" s="11" t="s">
        <v>4039</v>
      </c>
      <c r="E865" s="11" t="s">
        <v>4040</v>
      </c>
    </row>
    <row r="866" spans="1:5">
      <c r="A866" s="11" t="s">
        <v>4041</v>
      </c>
      <c r="B866">
        <v>8001002</v>
      </c>
      <c r="D866" s="11" t="s">
        <v>4042</v>
      </c>
      <c r="E866" s="11" t="s">
        <v>4043</v>
      </c>
    </row>
    <row r="867" spans="1:5">
      <c r="A867" s="11" t="s">
        <v>4044</v>
      </c>
      <c r="B867">
        <v>8010050</v>
      </c>
      <c r="D867" s="11" t="s">
        <v>4045</v>
      </c>
      <c r="E867" s="11" t="s">
        <v>4046</v>
      </c>
    </row>
    <row r="868" spans="1:5">
      <c r="A868" s="11" t="s">
        <v>4047</v>
      </c>
      <c r="B868">
        <v>8001005</v>
      </c>
      <c r="D868" s="11" t="s">
        <v>4048</v>
      </c>
      <c r="E868" s="11" t="s">
        <v>4049</v>
      </c>
    </row>
    <row r="869" spans="1:5">
      <c r="A869" s="11" t="s">
        <v>4050</v>
      </c>
      <c r="B869">
        <v>8001003</v>
      </c>
      <c r="D869" s="11" t="s">
        <v>4051</v>
      </c>
      <c r="E869" s="11" t="s">
        <v>4052</v>
      </c>
    </row>
    <row r="870" spans="1:5">
      <c r="A870" s="11" t="s">
        <v>4053</v>
      </c>
      <c r="B870">
        <v>8001004</v>
      </c>
      <c r="D870" s="11" t="s">
        <v>4054</v>
      </c>
      <c r="E870" s="11" t="s">
        <v>4055</v>
      </c>
    </row>
    <row r="871" spans="1:5">
      <c r="A871" s="11" t="s">
        <v>4056</v>
      </c>
      <c r="B871">
        <v>8007282</v>
      </c>
      <c r="D871" s="11" t="s">
        <v>4057</v>
      </c>
      <c r="E871" s="11" t="s">
        <v>4058</v>
      </c>
    </row>
    <row r="872" spans="1:5">
      <c r="A872" s="11" t="s">
        <v>4059</v>
      </c>
      <c r="B872">
        <v>8010051</v>
      </c>
      <c r="D872" s="11" t="s">
        <v>4060</v>
      </c>
      <c r="E872" s="11" t="s">
        <v>4061</v>
      </c>
    </row>
    <row r="873" spans="1:5">
      <c r="A873" s="11" t="s">
        <v>4062</v>
      </c>
      <c r="B873">
        <v>8001006</v>
      </c>
      <c r="D873" s="11" t="s">
        <v>4063</v>
      </c>
      <c r="E873" s="11" t="s">
        <v>4064</v>
      </c>
    </row>
    <row r="874" spans="1:5">
      <c r="A874" s="11" t="s">
        <v>4065</v>
      </c>
      <c r="B874">
        <v>8013439</v>
      </c>
      <c r="D874" s="11" t="s">
        <v>4066</v>
      </c>
      <c r="E874" s="11" t="s">
        <v>4067</v>
      </c>
    </row>
    <row r="875" spans="1:5">
      <c r="A875" s="11" t="s">
        <v>4068</v>
      </c>
      <c r="B875">
        <v>8089186</v>
      </c>
      <c r="D875" s="11" t="s">
        <v>4069</v>
      </c>
      <c r="E875" s="11" t="s">
        <v>4070</v>
      </c>
    </row>
    <row r="876" spans="1:5">
      <c r="A876" s="11" t="s">
        <v>4071</v>
      </c>
      <c r="B876">
        <v>8045797</v>
      </c>
      <c r="D876" s="11" t="s">
        <v>4072</v>
      </c>
      <c r="E876" s="11" t="s">
        <v>4073</v>
      </c>
    </row>
    <row r="877" spans="1:5">
      <c r="A877" s="11" t="s">
        <v>4074</v>
      </c>
      <c r="B877">
        <v>8010053</v>
      </c>
      <c r="D877" s="11" t="s">
        <v>4075</v>
      </c>
      <c r="E877" s="11" t="s">
        <v>4076</v>
      </c>
    </row>
    <row r="878" spans="1:5">
      <c r="A878" s="11" t="s">
        <v>4077</v>
      </c>
      <c r="B878">
        <v>8071349</v>
      </c>
      <c r="D878" s="11" t="s">
        <v>4078</v>
      </c>
      <c r="E878" s="11" t="s">
        <v>4079</v>
      </c>
    </row>
    <row r="879" spans="1:5">
      <c r="A879" s="11" t="s">
        <v>4080</v>
      </c>
      <c r="B879">
        <v>8010054</v>
      </c>
      <c r="D879" s="11" t="s">
        <v>4081</v>
      </c>
      <c r="E879" s="11" t="s">
        <v>4082</v>
      </c>
    </row>
    <row r="880" spans="1:5">
      <c r="A880" s="11" t="s">
        <v>4083</v>
      </c>
      <c r="B880">
        <v>8001008</v>
      </c>
      <c r="D880" s="11" t="s">
        <v>4084</v>
      </c>
      <c r="E880" s="11" t="s">
        <v>4085</v>
      </c>
    </row>
    <row r="881" spans="1:5">
      <c r="A881" s="11" t="s">
        <v>4086</v>
      </c>
      <c r="B881">
        <v>8001009</v>
      </c>
      <c r="D881" s="11" t="s">
        <v>4087</v>
      </c>
      <c r="E881" s="11" t="s">
        <v>4088</v>
      </c>
    </row>
    <row r="882" spans="1:5">
      <c r="A882" s="11" t="s">
        <v>4089</v>
      </c>
      <c r="B882">
        <v>8011205</v>
      </c>
      <c r="D882" s="11" t="s">
        <v>4090</v>
      </c>
      <c r="E882" s="11" t="s">
        <v>4091</v>
      </c>
    </row>
    <row r="883" spans="1:5">
      <c r="A883" s="11" t="s">
        <v>4092</v>
      </c>
      <c r="B883">
        <v>8011206</v>
      </c>
      <c r="D883" s="11" t="s">
        <v>4093</v>
      </c>
      <c r="E883" s="11" t="s">
        <v>4094</v>
      </c>
    </row>
    <row r="884" spans="1:5">
      <c r="A884" s="11" t="s">
        <v>4095</v>
      </c>
      <c r="B884">
        <v>8001013</v>
      </c>
      <c r="D884" s="11" t="s">
        <v>4096</v>
      </c>
      <c r="E884" s="11" t="s">
        <v>4097</v>
      </c>
    </row>
    <row r="885" spans="1:5">
      <c r="A885" s="11" t="s">
        <v>4098</v>
      </c>
      <c r="B885">
        <v>8001014</v>
      </c>
      <c r="D885" s="11" t="s">
        <v>4099</v>
      </c>
      <c r="E885" s="11" t="s">
        <v>4100</v>
      </c>
    </row>
    <row r="886" spans="1:5">
      <c r="A886" s="11" t="s">
        <v>4101</v>
      </c>
      <c r="B886">
        <v>8001015</v>
      </c>
      <c r="D886" s="11" t="s">
        <v>4102</v>
      </c>
      <c r="E886" s="11" t="s">
        <v>4103</v>
      </c>
    </row>
    <row r="887" spans="1:5">
      <c r="A887" s="11" t="s">
        <v>4104</v>
      </c>
      <c r="B887">
        <v>8011208</v>
      </c>
      <c r="D887" s="11" t="s">
        <v>4105</v>
      </c>
      <c r="E887" s="11" t="s">
        <v>4106</v>
      </c>
    </row>
    <row r="888" spans="1:5">
      <c r="A888" s="11" t="s">
        <v>4107</v>
      </c>
      <c r="B888">
        <v>8070329</v>
      </c>
      <c r="D888" s="11" t="s">
        <v>4108</v>
      </c>
      <c r="E888" s="11" t="s">
        <v>4109</v>
      </c>
    </row>
    <row r="889" spans="1:5">
      <c r="A889" s="11" t="s">
        <v>4110</v>
      </c>
      <c r="B889">
        <v>8001017</v>
      </c>
      <c r="D889" s="11" t="s">
        <v>4111</v>
      </c>
      <c r="E889" s="11" t="s">
        <v>4112</v>
      </c>
    </row>
    <row r="890" spans="1:5">
      <c r="A890" s="11" t="s">
        <v>4113</v>
      </c>
      <c r="B890">
        <v>8001018</v>
      </c>
      <c r="D890" s="11" t="s">
        <v>4114</v>
      </c>
      <c r="E890" s="11" t="s">
        <v>4115</v>
      </c>
    </row>
    <row r="891" spans="1:5">
      <c r="A891" s="11" t="s">
        <v>4116</v>
      </c>
      <c r="B891">
        <v>8010055</v>
      </c>
      <c r="D891" s="11" t="s">
        <v>4117</v>
      </c>
      <c r="E891" s="11" t="s">
        <v>4118</v>
      </c>
    </row>
    <row r="892" spans="1:5">
      <c r="A892" s="11" t="s">
        <v>4119</v>
      </c>
      <c r="B892">
        <v>8007827</v>
      </c>
      <c r="D892" s="11" t="s">
        <v>4120</v>
      </c>
      <c r="E892" s="11" t="s">
        <v>4121</v>
      </c>
    </row>
    <row r="893" spans="1:5">
      <c r="A893" s="11" t="s">
        <v>4122</v>
      </c>
      <c r="B893">
        <v>8001027</v>
      </c>
      <c r="D893" s="11" t="s">
        <v>4123</v>
      </c>
      <c r="E893" s="11" t="s">
        <v>4124</v>
      </c>
    </row>
    <row r="894" spans="1:5">
      <c r="A894" s="11" t="s">
        <v>4125</v>
      </c>
      <c r="B894">
        <v>8001028</v>
      </c>
      <c r="D894" s="11" t="s">
        <v>4126</v>
      </c>
      <c r="E894" s="11" t="s">
        <v>4127</v>
      </c>
    </row>
    <row r="895" spans="1:5">
      <c r="A895" s="11" t="s">
        <v>4128</v>
      </c>
      <c r="B895">
        <v>8011210</v>
      </c>
      <c r="D895" s="11" t="s">
        <v>4129</v>
      </c>
      <c r="E895" s="11" t="s">
        <v>4130</v>
      </c>
    </row>
    <row r="896" spans="1:5">
      <c r="A896" s="11" t="s">
        <v>4131</v>
      </c>
      <c r="B896">
        <v>8011211</v>
      </c>
      <c r="D896" s="11" t="s">
        <v>4132</v>
      </c>
      <c r="E896" s="11" t="s">
        <v>4133</v>
      </c>
    </row>
    <row r="897" spans="1:5">
      <c r="A897" s="11" t="s">
        <v>4134</v>
      </c>
      <c r="B897">
        <v>8011064</v>
      </c>
      <c r="D897" s="11" t="s">
        <v>4135</v>
      </c>
      <c r="E897" s="11" t="s">
        <v>4136</v>
      </c>
    </row>
    <row r="898" spans="1:5">
      <c r="A898" s="11" t="s">
        <v>4137</v>
      </c>
      <c r="B898">
        <v>8001029</v>
      </c>
      <c r="D898" s="11" t="s">
        <v>4138</v>
      </c>
      <c r="E898" s="11" t="s">
        <v>4139</v>
      </c>
    </row>
    <row r="899" spans="1:5">
      <c r="A899" s="11" t="s">
        <v>4140</v>
      </c>
      <c r="B899">
        <v>8006669</v>
      </c>
      <c r="D899" s="11" t="s">
        <v>4141</v>
      </c>
      <c r="E899" s="11" t="s">
        <v>4142</v>
      </c>
    </row>
    <row r="900" spans="1:5">
      <c r="A900" s="11" t="s">
        <v>4143</v>
      </c>
      <c r="B900">
        <v>8011212</v>
      </c>
      <c r="D900" s="11" t="s">
        <v>4144</v>
      </c>
      <c r="E900" s="11" t="s">
        <v>4145</v>
      </c>
    </row>
    <row r="901" spans="1:5">
      <c r="A901" s="11" t="s">
        <v>4146</v>
      </c>
      <c r="B901">
        <v>8010056</v>
      </c>
      <c r="D901" s="11" t="s">
        <v>4147</v>
      </c>
      <c r="E901" s="11" t="s">
        <v>4148</v>
      </c>
    </row>
    <row r="902" spans="1:5">
      <c r="A902" s="11" t="s">
        <v>4149</v>
      </c>
      <c r="B902">
        <v>8011213</v>
      </c>
      <c r="D902" s="11" t="s">
        <v>4150</v>
      </c>
      <c r="E902" s="11" t="s">
        <v>4151</v>
      </c>
    </row>
    <row r="903" spans="1:5">
      <c r="A903" s="11" t="s">
        <v>4152</v>
      </c>
      <c r="B903">
        <v>8011214</v>
      </c>
      <c r="D903" s="11" t="s">
        <v>4153</v>
      </c>
      <c r="E903" s="11" t="s">
        <v>4154</v>
      </c>
    </row>
    <row r="904" spans="1:5">
      <c r="A904" s="11" t="s">
        <v>4155</v>
      </c>
      <c r="B904">
        <v>8001032</v>
      </c>
      <c r="D904" s="11" t="s">
        <v>4156</v>
      </c>
      <c r="E904" s="11" t="s">
        <v>4157</v>
      </c>
    </row>
    <row r="905" spans="1:5">
      <c r="A905" s="11" t="s">
        <v>4158</v>
      </c>
      <c r="B905">
        <v>8001033</v>
      </c>
      <c r="D905" s="11" t="s">
        <v>4159</v>
      </c>
      <c r="E905" s="11" t="s">
        <v>4160</v>
      </c>
    </row>
    <row r="906" spans="1:5">
      <c r="A906" s="11" t="s">
        <v>4161</v>
      </c>
      <c r="B906">
        <v>8005979</v>
      </c>
      <c r="D906" s="11" t="s">
        <v>4162</v>
      </c>
      <c r="E906" s="11" t="s">
        <v>4163</v>
      </c>
    </row>
    <row r="907" spans="1:5">
      <c r="A907" s="11" t="s">
        <v>4164</v>
      </c>
      <c r="B907">
        <v>8011215</v>
      </c>
      <c r="D907" s="11" t="s">
        <v>4165</v>
      </c>
      <c r="E907" s="11" t="s">
        <v>4166</v>
      </c>
    </row>
    <row r="908" spans="1:5">
      <c r="A908" s="11" t="s">
        <v>4167</v>
      </c>
      <c r="B908">
        <v>8001055</v>
      </c>
      <c r="D908" s="11" t="s">
        <v>4168</v>
      </c>
      <c r="E908" s="11" t="s">
        <v>4169</v>
      </c>
    </row>
    <row r="909" spans="1:5">
      <c r="A909" s="11" t="s">
        <v>4170</v>
      </c>
      <c r="B909">
        <v>8085005</v>
      </c>
      <c r="D909" s="11" t="s">
        <v>4171</v>
      </c>
      <c r="E909" s="11" t="s">
        <v>4172</v>
      </c>
    </row>
    <row r="910" spans="1:5">
      <c r="A910" s="11" t="s">
        <v>4173</v>
      </c>
      <c r="B910">
        <v>8085007</v>
      </c>
      <c r="D910" s="11" t="s">
        <v>4174</v>
      </c>
      <c r="E910" s="11" t="s">
        <v>4175</v>
      </c>
    </row>
    <row r="911" spans="1:5">
      <c r="A911" s="11" t="s">
        <v>4176</v>
      </c>
      <c r="B911">
        <v>8085006</v>
      </c>
      <c r="D911" s="11" t="s">
        <v>4177</v>
      </c>
      <c r="E911" s="11" t="s">
        <v>4178</v>
      </c>
    </row>
    <row r="912" spans="1:5">
      <c r="A912" s="11" t="s">
        <v>4179</v>
      </c>
      <c r="B912">
        <v>8085008</v>
      </c>
      <c r="D912" s="11" t="s">
        <v>4180</v>
      </c>
      <c r="E912" s="11" t="s">
        <v>4181</v>
      </c>
    </row>
    <row r="913" spans="1:5">
      <c r="A913" s="11" t="s">
        <v>4182</v>
      </c>
      <c r="B913">
        <v>8001034</v>
      </c>
      <c r="D913" s="11" t="s">
        <v>4183</v>
      </c>
      <c r="E913" s="11" t="s">
        <v>4184</v>
      </c>
    </row>
    <row r="914" spans="1:5">
      <c r="A914" s="11" t="s">
        <v>4185</v>
      </c>
      <c r="B914">
        <v>8011216</v>
      </c>
      <c r="D914" s="11" t="s">
        <v>4186</v>
      </c>
      <c r="E914" s="11" t="s">
        <v>4187</v>
      </c>
    </row>
    <row r="915" spans="1:5">
      <c r="A915" s="11" t="s">
        <v>4188</v>
      </c>
      <c r="B915">
        <v>8000040</v>
      </c>
      <c r="D915" s="11" t="s">
        <v>4189</v>
      </c>
      <c r="E915" s="11" t="s">
        <v>4190</v>
      </c>
    </row>
    <row r="916" spans="1:5">
      <c r="A916" s="11" t="s">
        <v>4191</v>
      </c>
      <c r="B916">
        <v>8000041</v>
      </c>
      <c r="D916" s="11" t="s">
        <v>4192</v>
      </c>
      <c r="E916" s="11" t="s">
        <v>4193</v>
      </c>
    </row>
    <row r="917" spans="1:5">
      <c r="A917" s="11" t="s">
        <v>4194</v>
      </c>
      <c r="B917">
        <v>8070979</v>
      </c>
      <c r="D917" s="11" t="s">
        <v>4195</v>
      </c>
      <c r="E917" s="11" t="s">
        <v>4196</v>
      </c>
    </row>
    <row r="918" spans="1:5">
      <c r="A918" s="11" t="s">
        <v>4197</v>
      </c>
      <c r="B918">
        <v>8006711</v>
      </c>
      <c r="D918" s="11" t="s">
        <v>4198</v>
      </c>
      <c r="E918" s="11" t="s">
        <v>4199</v>
      </c>
    </row>
    <row r="919" spans="1:5">
      <c r="A919" s="11" t="s">
        <v>4200</v>
      </c>
      <c r="B919">
        <v>8001038</v>
      </c>
      <c r="D919" s="11" t="s">
        <v>4201</v>
      </c>
      <c r="E919" s="11" t="s">
        <v>4202</v>
      </c>
    </row>
    <row r="920" spans="1:5">
      <c r="A920" s="11" t="s">
        <v>4203</v>
      </c>
      <c r="B920">
        <v>8001039</v>
      </c>
      <c r="D920" s="11" t="s">
        <v>4204</v>
      </c>
      <c r="E920" s="11" t="s">
        <v>4205</v>
      </c>
    </row>
    <row r="921" spans="1:5">
      <c r="A921" s="11" t="s">
        <v>4206</v>
      </c>
      <c r="B921">
        <v>8006710</v>
      </c>
      <c r="D921" s="11" t="s">
        <v>4207</v>
      </c>
      <c r="E921" s="11" t="s">
        <v>4208</v>
      </c>
    </row>
    <row r="922" spans="1:5">
      <c r="A922" s="11" t="s">
        <v>4209</v>
      </c>
      <c r="B922">
        <v>8000358</v>
      </c>
      <c r="D922" s="11" t="s">
        <v>4210</v>
      </c>
      <c r="E922" s="11" t="s">
        <v>4211</v>
      </c>
    </row>
    <row r="923" spans="1:5">
      <c r="A923" s="11" t="s">
        <v>4212</v>
      </c>
      <c r="B923">
        <v>8004474</v>
      </c>
      <c r="D923" s="11" t="s">
        <v>4213</v>
      </c>
      <c r="E923" s="11" t="s">
        <v>4214</v>
      </c>
    </row>
    <row r="924" spans="1:5">
      <c r="A924" s="11" t="s">
        <v>4215</v>
      </c>
      <c r="B924">
        <v>8001035</v>
      </c>
      <c r="D924" s="11" t="s">
        <v>4216</v>
      </c>
      <c r="E924" s="11" t="s">
        <v>4217</v>
      </c>
    </row>
    <row r="925" spans="1:5">
      <c r="A925" s="11" t="s">
        <v>4218</v>
      </c>
      <c r="B925">
        <v>8001043</v>
      </c>
      <c r="D925" s="11" t="s">
        <v>4219</v>
      </c>
      <c r="E925" s="11" t="s">
        <v>4220</v>
      </c>
    </row>
    <row r="926" spans="1:5">
      <c r="A926" s="11" t="s">
        <v>1127</v>
      </c>
      <c r="B926">
        <v>8070159</v>
      </c>
      <c r="D926" s="11" t="s">
        <v>1129</v>
      </c>
      <c r="E926" s="11" t="s">
        <v>1130</v>
      </c>
    </row>
    <row r="927" spans="1:5">
      <c r="A927" s="11" t="s">
        <v>4221</v>
      </c>
      <c r="B927">
        <v>8070158</v>
      </c>
      <c r="D927" s="11" t="s">
        <v>4222</v>
      </c>
      <c r="E927" s="11" t="s">
        <v>4223</v>
      </c>
    </row>
    <row r="928" spans="1:5">
      <c r="A928" s="11" t="s">
        <v>4224</v>
      </c>
      <c r="B928">
        <v>8001046</v>
      </c>
      <c r="D928" s="11" t="s">
        <v>4225</v>
      </c>
      <c r="E928" s="11" t="s">
        <v>4226</v>
      </c>
    </row>
    <row r="929" spans="1:5">
      <c r="A929" s="11" t="s">
        <v>4227</v>
      </c>
      <c r="B929">
        <v>8001047</v>
      </c>
      <c r="D929" s="11" t="s">
        <v>4228</v>
      </c>
      <c r="E929" s="11" t="s">
        <v>4229</v>
      </c>
    </row>
    <row r="930" spans="1:5">
      <c r="A930" s="11" t="s">
        <v>4230</v>
      </c>
      <c r="B930">
        <v>8001048</v>
      </c>
      <c r="D930" s="11" t="s">
        <v>4231</v>
      </c>
      <c r="E930" s="11" t="s">
        <v>4232</v>
      </c>
    </row>
    <row r="931" spans="1:5">
      <c r="A931" s="11" t="s">
        <v>4233</v>
      </c>
      <c r="B931">
        <v>8001050</v>
      </c>
      <c r="D931" s="11" t="s">
        <v>4234</v>
      </c>
      <c r="E931" s="11" t="s">
        <v>4235</v>
      </c>
    </row>
    <row r="932" spans="1:5">
      <c r="A932" s="11" t="s">
        <v>4236</v>
      </c>
      <c r="B932">
        <v>8000359</v>
      </c>
      <c r="D932" s="11" t="s">
        <v>4237</v>
      </c>
      <c r="E932" s="11" t="s">
        <v>4238</v>
      </c>
    </row>
    <row r="933" spans="1:5">
      <c r="A933" s="11" t="s">
        <v>4239</v>
      </c>
      <c r="B933">
        <v>8001051</v>
      </c>
      <c r="D933" s="11" t="s">
        <v>4240</v>
      </c>
      <c r="E933" s="11" t="s">
        <v>4241</v>
      </c>
    </row>
    <row r="934" spans="1:5">
      <c r="A934" s="11" t="s">
        <v>4242</v>
      </c>
      <c r="B934">
        <v>8011219</v>
      </c>
      <c r="D934" s="11" t="s">
        <v>4243</v>
      </c>
      <c r="E934" s="11" t="s">
        <v>4244</v>
      </c>
    </row>
    <row r="935" spans="1:5">
      <c r="A935" s="11" t="s">
        <v>4245</v>
      </c>
      <c r="B935">
        <v>8070333</v>
      </c>
      <c r="D935" s="11" t="s">
        <v>4246</v>
      </c>
      <c r="E935" s="11" t="s">
        <v>4247</v>
      </c>
    </row>
    <row r="936" spans="1:5">
      <c r="A936" s="11" t="s">
        <v>4248</v>
      </c>
      <c r="B936">
        <v>8001054</v>
      </c>
      <c r="D936" s="11" t="s">
        <v>4249</v>
      </c>
      <c r="E936" s="11" t="s">
        <v>4250</v>
      </c>
    </row>
    <row r="937" spans="1:5">
      <c r="A937" s="11" t="s">
        <v>4251</v>
      </c>
      <c r="B937">
        <v>8001056</v>
      </c>
      <c r="D937" s="11" t="s">
        <v>4252</v>
      </c>
      <c r="E937" s="11" t="s">
        <v>4253</v>
      </c>
    </row>
    <row r="938" spans="1:5">
      <c r="A938" s="11" t="s">
        <v>4254</v>
      </c>
      <c r="B938">
        <v>8001069</v>
      </c>
      <c r="D938" s="11" t="s">
        <v>4255</v>
      </c>
      <c r="E938" s="11" t="s">
        <v>4256</v>
      </c>
    </row>
    <row r="939" spans="1:5">
      <c r="A939" s="11" t="s">
        <v>4257</v>
      </c>
      <c r="B939">
        <v>8011222</v>
      </c>
      <c r="D939" s="11" t="s">
        <v>4258</v>
      </c>
      <c r="E939" s="11" t="s">
        <v>4259</v>
      </c>
    </row>
    <row r="940" spans="1:5">
      <c r="A940" s="11" t="s">
        <v>4260</v>
      </c>
      <c r="B940">
        <v>8013471</v>
      </c>
      <c r="D940" s="11" t="s">
        <v>4261</v>
      </c>
      <c r="E940" s="11" t="s">
        <v>4262</v>
      </c>
    </row>
    <row r="941" spans="1:5">
      <c r="A941" s="11" t="s">
        <v>4263</v>
      </c>
      <c r="B941">
        <v>8001057</v>
      </c>
      <c r="D941" s="11" t="s">
        <v>4264</v>
      </c>
      <c r="E941" s="11" t="s">
        <v>4265</v>
      </c>
    </row>
    <row r="942" spans="1:5">
      <c r="A942" s="11" t="s">
        <v>4266</v>
      </c>
      <c r="B942">
        <v>8001058</v>
      </c>
      <c r="D942" s="11" t="s">
        <v>4267</v>
      </c>
      <c r="E942" s="11" t="s">
        <v>4268</v>
      </c>
    </row>
    <row r="943" spans="1:5">
      <c r="A943" s="11" t="s">
        <v>4269</v>
      </c>
      <c r="B943">
        <v>8001071</v>
      </c>
      <c r="D943" s="11" t="s">
        <v>4270</v>
      </c>
      <c r="E943" s="11" t="s">
        <v>4271</v>
      </c>
    </row>
    <row r="944" spans="1:5">
      <c r="A944" s="11" t="s">
        <v>4272</v>
      </c>
      <c r="B944">
        <v>8001059</v>
      </c>
      <c r="D944" s="11" t="s">
        <v>4273</v>
      </c>
      <c r="E944" s="11" t="s">
        <v>4274</v>
      </c>
    </row>
    <row r="945" spans="1:5">
      <c r="A945" s="11" t="s">
        <v>4275</v>
      </c>
      <c r="B945">
        <v>8001072</v>
      </c>
      <c r="D945" s="11" t="s">
        <v>4276</v>
      </c>
      <c r="E945" s="11" t="s">
        <v>4277</v>
      </c>
    </row>
    <row r="946" spans="1:5">
      <c r="A946" s="11" t="s">
        <v>4278</v>
      </c>
      <c r="B946">
        <v>8011230</v>
      </c>
      <c r="D946" s="11" t="s">
        <v>4279</v>
      </c>
      <c r="E946" s="11" t="s">
        <v>4280</v>
      </c>
    </row>
    <row r="947" spans="1:5">
      <c r="A947" s="11" t="s">
        <v>4281</v>
      </c>
      <c r="B947">
        <v>8007067</v>
      </c>
      <c r="D947" s="11" t="s">
        <v>4282</v>
      </c>
      <c r="E947" s="11" t="s">
        <v>4283</v>
      </c>
    </row>
    <row r="948" spans="1:5">
      <c r="A948" s="11" t="s">
        <v>4284</v>
      </c>
      <c r="B948">
        <v>8070645</v>
      </c>
      <c r="D948" s="11" t="s">
        <v>4285</v>
      </c>
      <c r="E948" s="11" t="s">
        <v>4286</v>
      </c>
    </row>
    <row r="949" spans="1:5">
      <c r="A949" s="11" t="s">
        <v>4287</v>
      </c>
      <c r="B949">
        <v>8011225</v>
      </c>
      <c r="D949" s="11" t="s">
        <v>4288</v>
      </c>
      <c r="E949" s="11" t="s">
        <v>4289</v>
      </c>
    </row>
    <row r="950" spans="1:5">
      <c r="A950" s="11" t="s">
        <v>4290</v>
      </c>
      <c r="B950">
        <v>8001080</v>
      </c>
      <c r="D950" s="11" t="s">
        <v>4291</v>
      </c>
      <c r="E950" s="11" t="s">
        <v>4292</v>
      </c>
    </row>
    <row r="951" spans="1:5">
      <c r="A951" s="11" t="s">
        <v>4293</v>
      </c>
      <c r="B951">
        <v>8001061</v>
      </c>
      <c r="D951" s="11" t="s">
        <v>4294</v>
      </c>
      <c r="E951" s="11" t="s">
        <v>4295</v>
      </c>
    </row>
    <row r="952" spans="1:5">
      <c r="A952" s="11" t="s">
        <v>4296</v>
      </c>
      <c r="B952">
        <v>8004448</v>
      </c>
      <c r="D952" s="11" t="s">
        <v>4297</v>
      </c>
      <c r="E952" s="11" t="s">
        <v>4298</v>
      </c>
    </row>
    <row r="953" spans="1:5">
      <c r="A953" s="11" t="s">
        <v>4299</v>
      </c>
      <c r="B953">
        <v>8000044</v>
      </c>
      <c r="D953" s="11" t="s">
        <v>4300</v>
      </c>
      <c r="E953" s="11" t="s">
        <v>4301</v>
      </c>
    </row>
    <row r="954" spans="1:5">
      <c r="A954" s="11" t="s">
        <v>4302</v>
      </c>
      <c r="B954">
        <v>8001081</v>
      </c>
      <c r="D954" s="11" t="s">
        <v>4303</v>
      </c>
      <c r="E954" s="11" t="s">
        <v>4304</v>
      </c>
    </row>
    <row r="955" spans="1:5">
      <c r="A955" s="11" t="s">
        <v>4305</v>
      </c>
      <c r="B955">
        <v>8001091</v>
      </c>
      <c r="D955" s="11" t="s">
        <v>4306</v>
      </c>
      <c r="E955" s="11" t="s">
        <v>4307</v>
      </c>
    </row>
    <row r="956" spans="1:5">
      <c r="A956" s="11" t="s">
        <v>4308</v>
      </c>
      <c r="B956">
        <v>8001082</v>
      </c>
      <c r="D956" s="11" t="s">
        <v>4309</v>
      </c>
      <c r="E956" s="11" t="s">
        <v>4310</v>
      </c>
    </row>
    <row r="957" spans="1:5">
      <c r="A957" s="11" t="s">
        <v>4311</v>
      </c>
      <c r="B957">
        <v>8001083</v>
      </c>
      <c r="D957" s="11" t="s">
        <v>4312</v>
      </c>
      <c r="E957" s="11" t="s">
        <v>4313</v>
      </c>
    </row>
    <row r="958" spans="1:5">
      <c r="A958" s="11" t="s">
        <v>4314</v>
      </c>
      <c r="B958">
        <v>8001084</v>
      </c>
      <c r="D958" s="11" t="s">
        <v>4315</v>
      </c>
      <c r="E958" s="11" t="s">
        <v>4316</v>
      </c>
    </row>
    <row r="959" spans="1:5">
      <c r="A959" s="11" t="s">
        <v>4317</v>
      </c>
      <c r="B959">
        <v>8001088</v>
      </c>
      <c r="D959" s="11" t="s">
        <v>4318</v>
      </c>
      <c r="E959" s="11" t="s">
        <v>4319</v>
      </c>
    </row>
    <row r="960" spans="1:5">
      <c r="A960" s="11" t="s">
        <v>4320</v>
      </c>
      <c r="B960">
        <v>8007047</v>
      </c>
      <c r="D960" s="11" t="s">
        <v>4321</v>
      </c>
      <c r="E960" s="11" t="s">
        <v>4322</v>
      </c>
    </row>
    <row r="961" spans="1:5">
      <c r="A961" s="11" t="s">
        <v>4323</v>
      </c>
      <c r="B961">
        <v>8001085</v>
      </c>
      <c r="D961" s="11" t="s">
        <v>4324</v>
      </c>
      <c r="E961" s="11" t="s">
        <v>4325</v>
      </c>
    </row>
    <row r="962" spans="1:5">
      <c r="A962" s="11" t="s">
        <v>4326</v>
      </c>
      <c r="B962">
        <v>8001086</v>
      </c>
      <c r="D962" s="11" t="s">
        <v>4327</v>
      </c>
      <c r="E962" s="11" t="s">
        <v>4328</v>
      </c>
    </row>
    <row r="963" spans="1:5">
      <c r="A963" s="11" t="s">
        <v>4329</v>
      </c>
      <c r="B963">
        <v>8001089</v>
      </c>
      <c r="D963" s="11" t="s">
        <v>4330</v>
      </c>
      <c r="E963" s="11" t="s">
        <v>4331</v>
      </c>
    </row>
    <row r="964" spans="1:5">
      <c r="A964" s="11" t="s">
        <v>4332</v>
      </c>
      <c r="B964">
        <v>8007061</v>
      </c>
      <c r="D964" s="11" t="s">
        <v>4333</v>
      </c>
      <c r="E964" s="11" t="s">
        <v>4334</v>
      </c>
    </row>
    <row r="965" spans="1:5">
      <c r="A965" s="11" t="s">
        <v>4335</v>
      </c>
      <c r="B965">
        <v>8001090</v>
      </c>
      <c r="D965" s="11" t="s">
        <v>4336</v>
      </c>
      <c r="E965" s="11" t="s">
        <v>4337</v>
      </c>
    </row>
    <row r="966" spans="1:5">
      <c r="A966" s="11" t="s">
        <v>4338</v>
      </c>
      <c r="B966">
        <v>8000045</v>
      </c>
      <c r="D966" s="11" t="s">
        <v>4339</v>
      </c>
      <c r="E966" s="11" t="s">
        <v>4340</v>
      </c>
    </row>
    <row r="967" spans="1:5">
      <c r="A967" s="11" t="s">
        <v>4341</v>
      </c>
      <c r="B967">
        <v>8075957</v>
      </c>
      <c r="D967" s="11" t="s">
        <v>1539</v>
      </c>
      <c r="E967" s="11" t="s">
        <v>1539</v>
      </c>
    </row>
    <row r="968" spans="1:5">
      <c r="A968" s="11" t="s">
        <v>4342</v>
      </c>
      <c r="B968">
        <v>8000324</v>
      </c>
      <c r="D968" s="11" t="s">
        <v>4343</v>
      </c>
      <c r="E968" s="11" t="s">
        <v>4344</v>
      </c>
    </row>
    <row r="969" spans="1:5">
      <c r="A969" s="11" t="s">
        <v>4345</v>
      </c>
      <c r="B969">
        <v>8000742</v>
      </c>
      <c r="D969" s="11" t="s">
        <v>4346</v>
      </c>
      <c r="E969" s="11" t="s">
        <v>4347</v>
      </c>
    </row>
    <row r="970" spans="1:5">
      <c r="A970" s="11" t="s">
        <v>4348</v>
      </c>
      <c r="B970">
        <v>8001235</v>
      </c>
      <c r="D970" s="11" t="s">
        <v>4349</v>
      </c>
      <c r="E970" s="11" t="s">
        <v>4350</v>
      </c>
    </row>
    <row r="971" spans="1:5">
      <c r="A971" s="11" t="s">
        <v>4351</v>
      </c>
      <c r="B971">
        <v>8002004</v>
      </c>
      <c r="D971" s="11" t="s">
        <v>4352</v>
      </c>
      <c r="E971" s="11" t="s">
        <v>4353</v>
      </c>
    </row>
    <row r="972" spans="1:5">
      <c r="A972" s="11" t="s">
        <v>4354</v>
      </c>
      <c r="B972">
        <v>8002861</v>
      </c>
      <c r="D972" s="11" t="s">
        <v>4355</v>
      </c>
      <c r="E972" s="11" t="s">
        <v>4356</v>
      </c>
    </row>
    <row r="973" spans="1:5">
      <c r="A973" s="11" t="s">
        <v>4357</v>
      </c>
      <c r="B973">
        <v>8001092</v>
      </c>
      <c r="D973" s="11" t="s">
        <v>4358</v>
      </c>
      <c r="E973" s="11" t="s">
        <v>4359</v>
      </c>
    </row>
    <row r="974" spans="1:5">
      <c r="A974" s="11" t="s">
        <v>4360</v>
      </c>
      <c r="B974">
        <v>8075385</v>
      </c>
      <c r="D974" s="11" t="s">
        <v>4361</v>
      </c>
      <c r="E974" s="11" t="s">
        <v>4362</v>
      </c>
    </row>
    <row r="975" spans="1:5">
      <c r="A975" s="11" t="s">
        <v>4363</v>
      </c>
      <c r="B975">
        <v>8001093</v>
      </c>
      <c r="D975" s="11" t="s">
        <v>4364</v>
      </c>
      <c r="E975" s="11" t="s">
        <v>4365</v>
      </c>
    </row>
    <row r="976" spans="1:5">
      <c r="A976" s="11" t="s">
        <v>4366</v>
      </c>
      <c r="B976">
        <v>8001095</v>
      </c>
      <c r="D976" s="11" t="s">
        <v>4367</v>
      </c>
      <c r="E976" s="11" t="s">
        <v>4368</v>
      </c>
    </row>
    <row r="977" spans="1:5">
      <c r="A977" s="11" t="s">
        <v>4369</v>
      </c>
      <c r="B977">
        <v>8080200</v>
      </c>
      <c r="D977" s="11" t="s">
        <v>4370</v>
      </c>
      <c r="E977" s="11" t="s">
        <v>4371</v>
      </c>
    </row>
    <row r="978" spans="1:5">
      <c r="A978" s="11" t="s">
        <v>4372</v>
      </c>
      <c r="B978">
        <v>8001097</v>
      </c>
      <c r="D978" s="11" t="s">
        <v>4373</v>
      </c>
      <c r="E978" s="11" t="s">
        <v>4374</v>
      </c>
    </row>
    <row r="979" spans="1:5">
      <c r="A979" s="11" t="s">
        <v>4375</v>
      </c>
      <c r="B979">
        <v>8001098</v>
      </c>
      <c r="D979" s="11" t="s">
        <v>4376</v>
      </c>
      <c r="E979" s="11" t="s">
        <v>4377</v>
      </c>
    </row>
    <row r="980" spans="1:5">
      <c r="A980" s="11" t="s">
        <v>4378</v>
      </c>
      <c r="B980">
        <v>8000346</v>
      </c>
      <c r="D980" s="11" t="s">
        <v>4379</v>
      </c>
      <c r="E980" s="11" t="s">
        <v>4380</v>
      </c>
    </row>
    <row r="981" spans="1:5">
      <c r="A981" s="11" t="s">
        <v>4381</v>
      </c>
      <c r="B981">
        <v>8011238</v>
      </c>
      <c r="D981" s="11" t="s">
        <v>4382</v>
      </c>
      <c r="E981" s="11" t="s">
        <v>4383</v>
      </c>
    </row>
    <row r="982" spans="1:5">
      <c r="A982" s="11" t="s">
        <v>4384</v>
      </c>
      <c r="B982">
        <v>8079115</v>
      </c>
      <c r="D982" s="11" t="s">
        <v>4385</v>
      </c>
      <c r="E982" s="11" t="s">
        <v>4386</v>
      </c>
    </row>
    <row r="983" spans="1:5">
      <c r="A983" s="11" t="s">
        <v>4387</v>
      </c>
      <c r="B983">
        <v>8007764</v>
      </c>
      <c r="D983" s="11" t="s">
        <v>4388</v>
      </c>
      <c r="E983" s="11" t="s">
        <v>4389</v>
      </c>
    </row>
    <row r="984" spans="1:5">
      <c r="A984" s="11" t="s">
        <v>4390</v>
      </c>
      <c r="B984">
        <v>8011242</v>
      </c>
      <c r="D984" s="11" t="s">
        <v>4391</v>
      </c>
      <c r="E984" s="11" t="s">
        <v>4392</v>
      </c>
    </row>
    <row r="985" spans="1:5">
      <c r="A985" s="11" t="s">
        <v>4393</v>
      </c>
      <c r="B985">
        <v>8011226</v>
      </c>
      <c r="D985" s="11" t="s">
        <v>4394</v>
      </c>
      <c r="E985" s="11" t="s">
        <v>4395</v>
      </c>
    </row>
    <row r="986" spans="1:5">
      <c r="A986" s="11" t="s">
        <v>4396</v>
      </c>
      <c r="B986">
        <v>8070447</v>
      </c>
      <c r="D986" s="11" t="s">
        <v>4397</v>
      </c>
      <c r="E986" s="11" t="s">
        <v>4398</v>
      </c>
    </row>
    <row r="987" spans="1:5">
      <c r="A987" s="11" t="s">
        <v>4399</v>
      </c>
      <c r="B987">
        <v>8011227</v>
      </c>
      <c r="D987" s="11" t="s">
        <v>4400</v>
      </c>
      <c r="E987" s="11" t="s">
        <v>4401</v>
      </c>
    </row>
    <row r="988" spans="1:5">
      <c r="A988" s="11" t="s">
        <v>4402</v>
      </c>
      <c r="B988">
        <v>8001104</v>
      </c>
      <c r="D988" s="11" t="s">
        <v>4403</v>
      </c>
      <c r="E988" s="11" t="s">
        <v>4404</v>
      </c>
    </row>
    <row r="989" spans="1:5">
      <c r="A989" s="11" t="s">
        <v>4405</v>
      </c>
      <c r="B989">
        <v>8010059</v>
      </c>
      <c r="D989" s="11" t="s">
        <v>4406</v>
      </c>
      <c r="E989" s="11" t="s">
        <v>4407</v>
      </c>
    </row>
    <row r="990" spans="1:5">
      <c r="A990" s="11" t="s">
        <v>4408</v>
      </c>
      <c r="B990">
        <v>8001063</v>
      </c>
      <c r="D990" s="11" t="s">
        <v>4409</v>
      </c>
      <c r="E990" s="11" t="s">
        <v>4410</v>
      </c>
    </row>
    <row r="991" spans="1:5">
      <c r="A991" s="11" t="s">
        <v>4411</v>
      </c>
      <c r="B991">
        <v>8011228</v>
      </c>
      <c r="D991" s="11" t="s">
        <v>4412</v>
      </c>
      <c r="E991" s="11" t="s">
        <v>4413</v>
      </c>
    </row>
    <row r="992" spans="1:5">
      <c r="A992" s="11" t="s">
        <v>4414</v>
      </c>
      <c r="B992">
        <v>8001066</v>
      </c>
      <c r="D992" s="11" t="s">
        <v>4415</v>
      </c>
      <c r="E992" s="11" t="s">
        <v>4416</v>
      </c>
    </row>
    <row r="993" spans="1:5">
      <c r="A993" s="11" t="s">
        <v>4417</v>
      </c>
      <c r="B993">
        <v>8000047</v>
      </c>
      <c r="D993" s="11" t="s">
        <v>4418</v>
      </c>
      <c r="E993" s="11" t="s">
        <v>4419</v>
      </c>
    </row>
    <row r="994" spans="1:5">
      <c r="A994" s="11" t="s">
        <v>4420</v>
      </c>
      <c r="B994">
        <v>8001107</v>
      </c>
      <c r="D994" s="11" t="s">
        <v>4421</v>
      </c>
      <c r="E994" s="11" t="s">
        <v>4422</v>
      </c>
    </row>
    <row r="995" spans="1:5">
      <c r="A995" s="11" t="s">
        <v>4423</v>
      </c>
      <c r="B995">
        <v>8001108</v>
      </c>
      <c r="D995" s="11" t="s">
        <v>4424</v>
      </c>
      <c r="E995" s="11" t="s">
        <v>4425</v>
      </c>
    </row>
    <row r="996" spans="1:5">
      <c r="A996" s="11" t="s">
        <v>4426</v>
      </c>
      <c r="B996">
        <v>8007296</v>
      </c>
      <c r="D996" s="11" t="s">
        <v>4427</v>
      </c>
      <c r="E996" s="11" t="s">
        <v>4428</v>
      </c>
    </row>
    <row r="997" spans="1:5">
      <c r="A997" s="11" t="s">
        <v>4429</v>
      </c>
      <c r="B997">
        <v>8007297</v>
      </c>
      <c r="D997" s="11" t="s">
        <v>4430</v>
      </c>
      <c r="E997" s="11" t="s">
        <v>4431</v>
      </c>
    </row>
    <row r="998" spans="1:5">
      <c r="A998" s="11" t="s">
        <v>4432</v>
      </c>
      <c r="B998">
        <v>8001110</v>
      </c>
      <c r="D998" s="11" t="s">
        <v>4433</v>
      </c>
      <c r="E998" s="11" t="s">
        <v>4434</v>
      </c>
    </row>
    <row r="999" spans="1:5">
      <c r="A999" s="11" t="s">
        <v>4435</v>
      </c>
      <c r="B999">
        <v>8001111</v>
      </c>
      <c r="D999" s="11" t="s">
        <v>4436</v>
      </c>
      <c r="E999" s="11" t="s">
        <v>4437</v>
      </c>
    </row>
    <row r="1000" spans="1:5">
      <c r="A1000" s="11" t="s">
        <v>4438</v>
      </c>
      <c r="B1000">
        <v>8001112</v>
      </c>
      <c r="D1000" s="11" t="s">
        <v>4439</v>
      </c>
      <c r="E1000" s="11" t="s">
        <v>4440</v>
      </c>
    </row>
    <row r="1001" spans="1:5">
      <c r="A1001" s="11" t="s">
        <v>4441</v>
      </c>
      <c r="B1001">
        <v>8001113</v>
      </c>
      <c r="D1001" s="11" t="s">
        <v>4442</v>
      </c>
      <c r="E1001" s="11" t="s">
        <v>4443</v>
      </c>
    </row>
    <row r="1002" spans="1:5">
      <c r="A1002" s="11" t="s">
        <v>4444</v>
      </c>
      <c r="B1002">
        <v>8011248</v>
      </c>
      <c r="D1002" s="11" t="s">
        <v>4445</v>
      </c>
      <c r="E1002" s="11" t="s">
        <v>4446</v>
      </c>
    </row>
    <row r="1003" spans="1:5">
      <c r="A1003" s="11" t="s">
        <v>4447</v>
      </c>
      <c r="B1003">
        <v>8001118</v>
      </c>
      <c r="D1003" s="11" t="s">
        <v>4448</v>
      </c>
      <c r="E1003" s="11" t="s">
        <v>4449</v>
      </c>
    </row>
    <row r="1004" spans="1:5">
      <c r="A1004" s="11" t="s">
        <v>4450</v>
      </c>
      <c r="B1004">
        <v>8001120</v>
      </c>
      <c r="D1004" s="11" t="s">
        <v>4451</v>
      </c>
      <c r="E1004" s="11" t="s">
        <v>4452</v>
      </c>
    </row>
    <row r="1005" spans="1:5">
      <c r="A1005" s="11" t="s">
        <v>4453</v>
      </c>
      <c r="B1005">
        <v>8001121</v>
      </c>
      <c r="D1005" s="11" t="s">
        <v>4454</v>
      </c>
      <c r="E1005" s="11" t="s">
        <v>4455</v>
      </c>
    </row>
    <row r="1006" spans="1:5">
      <c r="A1006" s="11" t="s">
        <v>4456</v>
      </c>
      <c r="B1006">
        <v>8001122</v>
      </c>
      <c r="D1006" s="11" t="s">
        <v>4457</v>
      </c>
      <c r="E1006" s="11" t="s">
        <v>4458</v>
      </c>
    </row>
    <row r="1007" spans="1:5">
      <c r="A1007" s="11" t="s">
        <v>4459</v>
      </c>
      <c r="B1007">
        <v>8001123</v>
      </c>
      <c r="D1007" s="11" t="s">
        <v>4460</v>
      </c>
      <c r="E1007" s="11" t="s">
        <v>4461</v>
      </c>
    </row>
    <row r="1008" spans="1:5">
      <c r="A1008" s="11" t="s">
        <v>4462</v>
      </c>
      <c r="B1008">
        <v>8011250</v>
      </c>
      <c r="D1008" s="11" t="s">
        <v>4463</v>
      </c>
      <c r="E1008" s="11" t="s">
        <v>4464</v>
      </c>
    </row>
    <row r="1009" spans="1:5">
      <c r="A1009" s="11" t="s">
        <v>4465</v>
      </c>
      <c r="B1009">
        <v>8011252</v>
      </c>
      <c r="D1009" s="11" t="s">
        <v>4466</v>
      </c>
      <c r="E1009" s="11" t="s">
        <v>4467</v>
      </c>
    </row>
    <row r="1010" spans="1:5">
      <c r="A1010" s="11" t="s">
        <v>4468</v>
      </c>
      <c r="B1010">
        <v>8079627</v>
      </c>
      <c r="D1010" s="11" t="s">
        <v>4469</v>
      </c>
      <c r="E1010" s="11" t="s">
        <v>4470</v>
      </c>
    </row>
    <row r="1011" spans="1:5">
      <c r="A1011" s="11" t="s">
        <v>4471</v>
      </c>
      <c r="B1011">
        <v>8010060</v>
      </c>
      <c r="D1011" s="11" t="s">
        <v>4472</v>
      </c>
      <c r="E1011" s="11" t="s">
        <v>4473</v>
      </c>
    </row>
    <row r="1012" spans="1:5">
      <c r="A1012" s="11" t="s">
        <v>4474</v>
      </c>
      <c r="B1012">
        <v>8011253</v>
      </c>
      <c r="D1012" s="11" t="s">
        <v>4475</v>
      </c>
      <c r="E1012" s="11" t="s">
        <v>4476</v>
      </c>
    </row>
    <row r="1013" spans="1:5">
      <c r="A1013" s="11" t="s">
        <v>4477</v>
      </c>
      <c r="B1013">
        <v>8001126</v>
      </c>
      <c r="D1013" s="11" t="s">
        <v>4478</v>
      </c>
      <c r="E1013" s="11" t="s">
        <v>4479</v>
      </c>
    </row>
    <row r="1014" spans="1:5">
      <c r="A1014" s="11" t="s">
        <v>4480</v>
      </c>
      <c r="B1014">
        <v>8001128</v>
      </c>
      <c r="D1014" s="11" t="s">
        <v>4481</v>
      </c>
      <c r="E1014" s="11" t="s">
        <v>4482</v>
      </c>
    </row>
    <row r="1015" spans="1:5">
      <c r="A1015" s="11" t="s">
        <v>4483</v>
      </c>
      <c r="B1015">
        <v>8001129</v>
      </c>
      <c r="D1015" s="11" t="s">
        <v>4484</v>
      </c>
      <c r="E1015" s="11" t="s">
        <v>4485</v>
      </c>
    </row>
    <row r="1016" spans="1:5">
      <c r="A1016" s="11" t="s">
        <v>4486</v>
      </c>
      <c r="B1016">
        <v>8001130</v>
      </c>
      <c r="D1016" s="11" t="s">
        <v>4487</v>
      </c>
      <c r="E1016" s="11" t="s">
        <v>4488</v>
      </c>
    </row>
    <row r="1017" spans="1:5">
      <c r="A1017" s="11" t="s">
        <v>4489</v>
      </c>
      <c r="B1017">
        <v>8075956</v>
      </c>
      <c r="D1017" s="11" t="s">
        <v>1539</v>
      </c>
      <c r="E1017" s="11" t="s">
        <v>1539</v>
      </c>
    </row>
    <row r="1018" spans="1:5">
      <c r="A1018" s="11" t="s">
        <v>4490</v>
      </c>
      <c r="B1018">
        <v>8001119</v>
      </c>
      <c r="D1018" s="11" t="s">
        <v>4491</v>
      </c>
      <c r="E1018" s="11" t="s">
        <v>4492</v>
      </c>
    </row>
    <row r="1019" spans="1:5">
      <c r="A1019" s="11" t="s">
        <v>4493</v>
      </c>
      <c r="B1019">
        <v>8071266</v>
      </c>
      <c r="D1019" s="11" t="s">
        <v>4494</v>
      </c>
      <c r="E1019" s="11" t="s">
        <v>4495</v>
      </c>
    </row>
    <row r="1020" spans="1:5">
      <c r="A1020" s="11" t="s">
        <v>4496</v>
      </c>
      <c r="B1020">
        <v>8070999</v>
      </c>
      <c r="D1020" s="11" t="s">
        <v>4497</v>
      </c>
      <c r="E1020" s="11" t="s">
        <v>4498</v>
      </c>
    </row>
    <row r="1021" spans="1:5">
      <c r="A1021" s="11" t="s">
        <v>4499</v>
      </c>
      <c r="B1021">
        <v>8011255</v>
      </c>
      <c r="D1021" s="11" t="s">
        <v>4500</v>
      </c>
      <c r="E1021" s="11" t="s">
        <v>4501</v>
      </c>
    </row>
    <row r="1022" spans="1:5">
      <c r="A1022" s="11" t="s">
        <v>4502</v>
      </c>
      <c r="B1022">
        <v>8011256</v>
      </c>
      <c r="D1022" s="11" t="s">
        <v>4503</v>
      </c>
      <c r="E1022" s="11" t="s">
        <v>4504</v>
      </c>
    </row>
    <row r="1023" spans="1:5">
      <c r="A1023" s="11" t="s">
        <v>4505</v>
      </c>
      <c r="B1023">
        <v>8000049</v>
      </c>
      <c r="D1023" s="11" t="s">
        <v>4506</v>
      </c>
      <c r="E1023" s="11" t="s">
        <v>4507</v>
      </c>
    </row>
    <row r="1024" spans="1:5">
      <c r="A1024" s="11" t="s">
        <v>4508</v>
      </c>
      <c r="B1024">
        <v>8071049</v>
      </c>
      <c r="D1024" s="11" t="s">
        <v>4509</v>
      </c>
      <c r="E1024" s="11" t="s">
        <v>4510</v>
      </c>
    </row>
    <row r="1025" spans="1:5">
      <c r="A1025" s="11" t="s">
        <v>4511</v>
      </c>
      <c r="B1025">
        <v>8001134</v>
      </c>
      <c r="D1025" s="11" t="s">
        <v>4512</v>
      </c>
      <c r="E1025" s="11" t="s">
        <v>4513</v>
      </c>
    </row>
    <row r="1026" spans="1:5">
      <c r="A1026" s="11" t="s">
        <v>1100</v>
      </c>
      <c r="B1026">
        <v>8011257</v>
      </c>
      <c r="D1026" s="11" t="s">
        <v>1102</v>
      </c>
      <c r="E1026" s="11" t="s">
        <v>1103</v>
      </c>
    </row>
    <row r="1027" spans="1:5">
      <c r="A1027" s="11" t="s">
        <v>4514</v>
      </c>
      <c r="B1027">
        <v>8001135</v>
      </c>
      <c r="D1027" s="11" t="s">
        <v>4515</v>
      </c>
      <c r="E1027" s="11" t="s">
        <v>4516</v>
      </c>
    </row>
    <row r="1028" spans="1:5">
      <c r="A1028" s="11" t="s">
        <v>4517</v>
      </c>
      <c r="B1028">
        <v>8011258</v>
      </c>
      <c r="D1028" s="11" t="s">
        <v>4518</v>
      </c>
      <c r="E1028" s="11" t="s">
        <v>4519</v>
      </c>
    </row>
    <row r="1029" spans="1:5">
      <c r="A1029" s="11" t="s">
        <v>4520</v>
      </c>
      <c r="B1029">
        <v>8001137</v>
      </c>
      <c r="D1029" s="11" t="s">
        <v>4521</v>
      </c>
      <c r="E1029" s="11" t="s">
        <v>4522</v>
      </c>
    </row>
    <row r="1030" spans="1:5">
      <c r="A1030" s="11" t="s">
        <v>4523</v>
      </c>
      <c r="B1030">
        <v>8001136</v>
      </c>
      <c r="D1030" s="11" t="s">
        <v>4524</v>
      </c>
      <c r="E1030" s="11" t="s">
        <v>4525</v>
      </c>
    </row>
    <row r="1031" spans="1:5">
      <c r="A1031" s="11" t="s">
        <v>4526</v>
      </c>
      <c r="B1031">
        <v>8001139</v>
      </c>
      <c r="D1031" s="11" t="s">
        <v>4527</v>
      </c>
      <c r="E1031" s="11" t="s">
        <v>4528</v>
      </c>
    </row>
    <row r="1032" spans="1:5">
      <c r="A1032" s="11" t="s">
        <v>4529</v>
      </c>
      <c r="B1032">
        <v>8071139</v>
      </c>
      <c r="D1032" s="11" t="s">
        <v>4530</v>
      </c>
      <c r="E1032" s="11" t="s">
        <v>4531</v>
      </c>
    </row>
    <row r="1033" spans="1:5">
      <c r="A1033" s="11" t="s">
        <v>4532</v>
      </c>
      <c r="B1033">
        <v>8079601</v>
      </c>
      <c r="D1033" s="11" t="s">
        <v>4533</v>
      </c>
      <c r="E1033" s="11" t="s">
        <v>4534</v>
      </c>
    </row>
    <row r="1034" spans="1:5">
      <c r="A1034" s="11" t="s">
        <v>4535</v>
      </c>
      <c r="B1034">
        <v>8001140</v>
      </c>
      <c r="D1034" s="11" t="s">
        <v>4536</v>
      </c>
      <c r="E1034" s="11" t="s">
        <v>4537</v>
      </c>
    </row>
    <row r="1035" spans="1:5">
      <c r="A1035" s="11" t="s">
        <v>4538</v>
      </c>
      <c r="B1035">
        <v>8011260</v>
      </c>
      <c r="D1035" s="11" t="s">
        <v>4539</v>
      </c>
      <c r="E1035" s="11" t="s">
        <v>4540</v>
      </c>
    </row>
    <row r="1036" spans="1:5">
      <c r="A1036" s="11" t="s">
        <v>4541</v>
      </c>
      <c r="B1036">
        <v>8071739</v>
      </c>
      <c r="D1036" s="11" t="s">
        <v>4542</v>
      </c>
      <c r="E1036" s="11" t="s">
        <v>4543</v>
      </c>
    </row>
    <row r="1037" spans="1:5">
      <c r="A1037" s="11" t="s">
        <v>4544</v>
      </c>
      <c r="B1037">
        <v>8079063</v>
      </c>
      <c r="D1037" s="11" t="s">
        <v>4545</v>
      </c>
      <c r="E1037" s="11" t="s">
        <v>4546</v>
      </c>
    </row>
    <row r="1038" spans="1:5">
      <c r="A1038" s="11" t="s">
        <v>4547</v>
      </c>
      <c r="B1038">
        <v>8001143</v>
      </c>
      <c r="D1038" s="11" t="s">
        <v>4548</v>
      </c>
      <c r="E1038" s="11" t="s">
        <v>4549</v>
      </c>
    </row>
    <row r="1039" spans="1:5">
      <c r="A1039" s="11" t="s">
        <v>4550</v>
      </c>
      <c r="B1039">
        <v>8011263</v>
      </c>
      <c r="D1039" s="11" t="s">
        <v>4551</v>
      </c>
      <c r="E1039" s="11" t="s">
        <v>4552</v>
      </c>
    </row>
    <row r="1040" spans="1:5">
      <c r="A1040" s="11" t="s">
        <v>4553</v>
      </c>
      <c r="B1040">
        <v>8001147</v>
      </c>
      <c r="D1040" s="11" t="s">
        <v>4554</v>
      </c>
      <c r="E1040" s="11" t="s">
        <v>4555</v>
      </c>
    </row>
    <row r="1041" spans="1:5">
      <c r="A1041" s="11" t="s">
        <v>4556</v>
      </c>
      <c r="B1041">
        <v>8001148</v>
      </c>
      <c r="D1041" s="11" t="s">
        <v>4557</v>
      </c>
      <c r="E1041" s="11" t="s">
        <v>4558</v>
      </c>
    </row>
    <row r="1042" spans="1:5">
      <c r="A1042" s="11" t="s">
        <v>4559</v>
      </c>
      <c r="B1042">
        <v>8011264</v>
      </c>
      <c r="D1042" s="11" t="s">
        <v>4560</v>
      </c>
      <c r="E1042" s="11" t="s">
        <v>4561</v>
      </c>
    </row>
    <row r="1043" spans="1:5">
      <c r="A1043" s="11" t="s">
        <v>4562</v>
      </c>
      <c r="B1043">
        <v>8001149</v>
      </c>
      <c r="D1043" s="11" t="s">
        <v>4563</v>
      </c>
      <c r="E1043" s="11" t="s">
        <v>4564</v>
      </c>
    </row>
    <row r="1044" spans="1:5">
      <c r="A1044" s="11" t="s">
        <v>4565</v>
      </c>
      <c r="B1044">
        <v>8071027</v>
      </c>
      <c r="D1044" s="11" t="s">
        <v>4566</v>
      </c>
      <c r="E1044" s="11" t="s">
        <v>4567</v>
      </c>
    </row>
    <row r="1045" spans="1:5">
      <c r="A1045" s="11" t="s">
        <v>4568</v>
      </c>
      <c r="B1045">
        <v>8070336</v>
      </c>
      <c r="D1045" s="11" t="s">
        <v>4569</v>
      </c>
      <c r="E1045" s="11" t="s">
        <v>4570</v>
      </c>
    </row>
    <row r="1046" spans="1:5">
      <c r="A1046" s="11" t="s">
        <v>4571</v>
      </c>
      <c r="B1046">
        <v>8001153</v>
      </c>
      <c r="D1046" s="11" t="s">
        <v>4572</v>
      </c>
      <c r="E1046" s="11" t="s">
        <v>4573</v>
      </c>
    </row>
    <row r="1047" spans="1:5">
      <c r="A1047" s="11" t="s">
        <v>4574</v>
      </c>
      <c r="B1047">
        <v>8011265</v>
      </c>
      <c r="D1047" s="11" t="s">
        <v>4575</v>
      </c>
      <c r="E1047" s="11" t="s">
        <v>4576</v>
      </c>
    </row>
    <row r="1048" spans="1:5">
      <c r="A1048" s="11" t="s">
        <v>1465</v>
      </c>
      <c r="B1048">
        <v>8000050</v>
      </c>
      <c r="D1048" s="11" t="s">
        <v>4577</v>
      </c>
      <c r="E1048" s="11" t="s">
        <v>4578</v>
      </c>
    </row>
    <row r="1049" spans="1:5">
      <c r="A1049" s="11" t="s">
        <v>4579</v>
      </c>
      <c r="B1049">
        <v>8007896</v>
      </c>
      <c r="D1049" s="11" t="s">
        <v>4580</v>
      </c>
      <c r="E1049" s="11" t="s">
        <v>4581</v>
      </c>
    </row>
    <row r="1050" spans="1:5">
      <c r="A1050" s="11" t="s">
        <v>4582</v>
      </c>
      <c r="B1050">
        <v>8007895</v>
      </c>
      <c r="D1050" s="11" t="s">
        <v>4583</v>
      </c>
      <c r="E1050" s="11" t="s">
        <v>4584</v>
      </c>
    </row>
    <row r="1051" spans="1:5">
      <c r="A1051" s="11" t="s">
        <v>4585</v>
      </c>
      <c r="B1051">
        <v>8001155</v>
      </c>
      <c r="D1051" s="11" t="s">
        <v>4586</v>
      </c>
      <c r="E1051" s="11" t="s">
        <v>4587</v>
      </c>
    </row>
    <row r="1052" spans="1:5">
      <c r="A1052" s="11" t="s">
        <v>4588</v>
      </c>
      <c r="B1052">
        <v>8007897</v>
      </c>
      <c r="D1052" s="11" t="s">
        <v>4589</v>
      </c>
      <c r="E1052" s="11" t="s">
        <v>4590</v>
      </c>
    </row>
    <row r="1053" spans="1:5">
      <c r="A1053" s="11" t="s">
        <v>4591</v>
      </c>
      <c r="B1053">
        <v>8007892</v>
      </c>
      <c r="D1053" s="11" t="s">
        <v>4592</v>
      </c>
      <c r="E1053" s="11" t="s">
        <v>4593</v>
      </c>
    </row>
    <row r="1054" spans="1:5">
      <c r="A1054" s="11" t="s">
        <v>4594</v>
      </c>
      <c r="B1054">
        <v>8007894</v>
      </c>
      <c r="D1054" s="11" t="s">
        <v>4595</v>
      </c>
      <c r="E1054" s="11" t="s">
        <v>4596</v>
      </c>
    </row>
    <row r="1055" spans="1:5">
      <c r="A1055" s="11" t="s">
        <v>4597</v>
      </c>
      <c r="B1055">
        <v>8001156</v>
      </c>
      <c r="D1055" s="11" t="s">
        <v>4598</v>
      </c>
      <c r="E1055" s="11" t="s">
        <v>4599</v>
      </c>
    </row>
    <row r="1056" spans="1:5">
      <c r="A1056" s="11" t="s">
        <v>4600</v>
      </c>
      <c r="B1056">
        <v>8007898</v>
      </c>
      <c r="D1056" s="11" t="s">
        <v>4601</v>
      </c>
      <c r="E1056" s="11" t="s">
        <v>4602</v>
      </c>
    </row>
    <row r="1057" spans="1:5">
      <c r="A1057" s="11" t="s">
        <v>4603</v>
      </c>
      <c r="B1057">
        <v>8001157</v>
      </c>
      <c r="D1057" s="11" t="s">
        <v>4604</v>
      </c>
      <c r="E1057" s="11" t="s">
        <v>4605</v>
      </c>
    </row>
    <row r="1058" spans="1:5">
      <c r="A1058" s="11" t="s">
        <v>4606</v>
      </c>
      <c r="B1058">
        <v>8001159</v>
      </c>
      <c r="D1058" s="11" t="s">
        <v>4607</v>
      </c>
      <c r="E1058" s="11" t="s">
        <v>4608</v>
      </c>
    </row>
    <row r="1059" spans="1:5">
      <c r="A1059" s="11" t="s">
        <v>4609</v>
      </c>
      <c r="B1059">
        <v>8001160</v>
      </c>
      <c r="D1059" s="11" t="s">
        <v>4610</v>
      </c>
      <c r="E1059" s="11" t="s">
        <v>4611</v>
      </c>
    </row>
    <row r="1060" spans="1:5">
      <c r="A1060" s="11" t="s">
        <v>4612</v>
      </c>
      <c r="B1060">
        <v>8001161</v>
      </c>
      <c r="D1060" s="11" t="s">
        <v>4613</v>
      </c>
      <c r="E1060" s="11" t="s">
        <v>4614</v>
      </c>
    </row>
    <row r="1061" spans="1:5">
      <c r="A1061" s="11" t="s">
        <v>4615</v>
      </c>
      <c r="B1061">
        <v>8001162</v>
      </c>
      <c r="D1061" s="11" t="s">
        <v>4616</v>
      </c>
      <c r="E1061" s="11" t="s">
        <v>4617</v>
      </c>
    </row>
    <row r="1062" spans="1:5">
      <c r="A1062" s="11" t="s">
        <v>4618</v>
      </c>
      <c r="B1062">
        <v>8001163</v>
      </c>
      <c r="D1062" s="11" t="s">
        <v>4619</v>
      </c>
      <c r="E1062" s="11" t="s">
        <v>4620</v>
      </c>
    </row>
    <row r="1063" spans="1:5">
      <c r="A1063" s="11" t="s">
        <v>4621</v>
      </c>
      <c r="B1063">
        <v>8001164</v>
      </c>
      <c r="D1063" s="11" t="s">
        <v>4622</v>
      </c>
      <c r="E1063" s="11" t="s">
        <v>4623</v>
      </c>
    </row>
    <row r="1064" spans="1:5">
      <c r="A1064" s="11" t="s">
        <v>4624</v>
      </c>
      <c r="B1064">
        <v>8001165</v>
      </c>
      <c r="D1064" s="11" t="s">
        <v>4625</v>
      </c>
      <c r="E1064" s="11" t="s">
        <v>4626</v>
      </c>
    </row>
    <row r="1065" spans="1:5">
      <c r="A1065" s="11" t="s">
        <v>4627</v>
      </c>
      <c r="B1065">
        <v>8001166</v>
      </c>
      <c r="D1065" s="11" t="s">
        <v>4628</v>
      </c>
      <c r="E1065" s="11" t="s">
        <v>4629</v>
      </c>
    </row>
    <row r="1066" spans="1:5">
      <c r="A1066" s="11" t="s">
        <v>4630</v>
      </c>
      <c r="B1066">
        <v>8001167</v>
      </c>
      <c r="D1066" s="11" t="s">
        <v>4631</v>
      </c>
      <c r="E1066" s="11" t="s">
        <v>4632</v>
      </c>
    </row>
    <row r="1067" spans="1:5">
      <c r="A1067" s="11" t="s">
        <v>4633</v>
      </c>
      <c r="B1067">
        <v>8000051</v>
      </c>
      <c r="D1067" s="11" t="s">
        <v>4634</v>
      </c>
      <c r="E1067" s="11" t="s">
        <v>4635</v>
      </c>
    </row>
    <row r="1068" spans="1:5">
      <c r="A1068" s="11" t="s">
        <v>4636</v>
      </c>
      <c r="B1068">
        <v>8001168</v>
      </c>
      <c r="D1068" s="11" t="s">
        <v>4637</v>
      </c>
      <c r="E1068" s="11" t="s">
        <v>4638</v>
      </c>
    </row>
    <row r="1069" spans="1:5">
      <c r="A1069" s="11" t="s">
        <v>4639</v>
      </c>
      <c r="B1069">
        <v>8001170</v>
      </c>
      <c r="D1069" s="11" t="s">
        <v>4640</v>
      </c>
      <c r="E1069" s="11" t="s">
        <v>4641</v>
      </c>
    </row>
    <row r="1070" spans="1:5">
      <c r="A1070" s="11" t="s">
        <v>4642</v>
      </c>
      <c r="B1070">
        <v>8007800</v>
      </c>
      <c r="D1070" s="11" t="s">
        <v>4643</v>
      </c>
      <c r="E1070" s="11" t="s">
        <v>4644</v>
      </c>
    </row>
    <row r="1071" spans="1:5">
      <c r="A1071" s="11" t="s">
        <v>4645</v>
      </c>
      <c r="B1071">
        <v>8071651</v>
      </c>
      <c r="D1071" s="11" t="s">
        <v>4646</v>
      </c>
      <c r="E1071" s="11" t="s">
        <v>4647</v>
      </c>
    </row>
    <row r="1072" spans="1:5">
      <c r="A1072" s="11" t="s">
        <v>4648</v>
      </c>
      <c r="B1072">
        <v>8007841</v>
      </c>
      <c r="D1072" s="11" t="s">
        <v>4649</v>
      </c>
      <c r="E1072" s="11" t="s">
        <v>4650</v>
      </c>
    </row>
    <row r="1073" spans="1:5">
      <c r="A1073" s="11" t="s">
        <v>4651</v>
      </c>
      <c r="B1073">
        <v>8011267</v>
      </c>
      <c r="D1073" s="11" t="s">
        <v>4652</v>
      </c>
      <c r="E1073" s="11" t="s">
        <v>4653</v>
      </c>
    </row>
    <row r="1074" spans="1:5">
      <c r="A1074" s="11" t="s">
        <v>4654</v>
      </c>
      <c r="B1074">
        <v>8010061</v>
      </c>
      <c r="D1074" s="11" t="s">
        <v>4655</v>
      </c>
      <c r="E1074" s="11" t="s">
        <v>4656</v>
      </c>
    </row>
    <row r="1075" spans="1:5">
      <c r="A1075" s="11" t="s">
        <v>4657</v>
      </c>
      <c r="B1075">
        <v>8000053</v>
      </c>
      <c r="D1075" s="11" t="s">
        <v>4658</v>
      </c>
      <c r="E1075" s="11" t="s">
        <v>4659</v>
      </c>
    </row>
    <row r="1076" spans="1:5">
      <c r="A1076" s="11" t="s">
        <v>4660</v>
      </c>
      <c r="B1076">
        <v>8070093</v>
      </c>
      <c r="D1076" s="11" t="s">
        <v>4661</v>
      </c>
      <c r="E1076" s="11" t="s">
        <v>4662</v>
      </c>
    </row>
    <row r="1077" spans="1:5">
      <c r="A1077" s="11" t="s">
        <v>4663</v>
      </c>
      <c r="B1077">
        <v>8001138</v>
      </c>
      <c r="D1077" s="11" t="s">
        <v>4664</v>
      </c>
      <c r="E1077" s="11" t="s">
        <v>4665</v>
      </c>
    </row>
    <row r="1078" spans="1:5">
      <c r="A1078" s="11" t="s">
        <v>4666</v>
      </c>
      <c r="B1078">
        <v>8001144</v>
      </c>
      <c r="D1078" s="11" t="s">
        <v>4667</v>
      </c>
      <c r="E1078" s="11" t="s">
        <v>4668</v>
      </c>
    </row>
    <row r="1079" spans="1:5">
      <c r="A1079" s="11" t="s">
        <v>4669</v>
      </c>
      <c r="B1079">
        <v>8001152</v>
      </c>
      <c r="D1079" s="11" t="s">
        <v>4670</v>
      </c>
      <c r="E1079" s="11" t="s">
        <v>4671</v>
      </c>
    </row>
    <row r="1080" spans="1:5">
      <c r="A1080" s="11" t="s">
        <v>4672</v>
      </c>
      <c r="B1080">
        <v>8079060</v>
      </c>
      <c r="D1080" s="11" t="s">
        <v>4673</v>
      </c>
      <c r="E1080" s="11" t="s">
        <v>4674</v>
      </c>
    </row>
    <row r="1081" spans="1:5">
      <c r="A1081" s="11" t="s">
        <v>4675</v>
      </c>
      <c r="B1081">
        <v>8001131</v>
      </c>
      <c r="D1081" s="11" t="s">
        <v>4676</v>
      </c>
      <c r="E1081" s="11" t="s">
        <v>4677</v>
      </c>
    </row>
    <row r="1082" spans="1:5">
      <c r="A1082" s="11" t="s">
        <v>4678</v>
      </c>
      <c r="B1082">
        <v>8001176</v>
      </c>
      <c r="D1082" s="11" t="s">
        <v>4679</v>
      </c>
      <c r="E1082" s="11" t="s">
        <v>4680</v>
      </c>
    </row>
    <row r="1083" spans="1:5">
      <c r="A1083" s="11" t="s">
        <v>4681</v>
      </c>
      <c r="B1083">
        <v>8001177</v>
      </c>
      <c r="D1083" s="11" t="s">
        <v>4682</v>
      </c>
      <c r="E1083" s="11" t="s">
        <v>4683</v>
      </c>
    </row>
    <row r="1084" spans="1:5">
      <c r="A1084" s="11" t="s">
        <v>4684</v>
      </c>
      <c r="B1084">
        <v>8001178</v>
      </c>
      <c r="D1084" s="11" t="s">
        <v>4685</v>
      </c>
      <c r="E1084" s="11" t="s">
        <v>4686</v>
      </c>
    </row>
    <row r="1085" spans="1:5">
      <c r="A1085" s="11" t="s">
        <v>4687</v>
      </c>
      <c r="B1085">
        <v>8001180</v>
      </c>
      <c r="D1085" s="11" t="s">
        <v>4688</v>
      </c>
      <c r="E1085" s="11" t="s">
        <v>4689</v>
      </c>
    </row>
    <row r="1086" spans="1:5">
      <c r="A1086" s="11" t="s">
        <v>4690</v>
      </c>
      <c r="B1086">
        <v>8013472</v>
      </c>
      <c r="D1086" s="11" t="s">
        <v>4691</v>
      </c>
      <c r="E1086" s="11" t="s">
        <v>4692</v>
      </c>
    </row>
    <row r="1087" spans="1:5">
      <c r="A1087" s="11" t="s">
        <v>4693</v>
      </c>
      <c r="B1087">
        <v>8011269</v>
      </c>
      <c r="D1087" s="11" t="s">
        <v>4694</v>
      </c>
      <c r="E1087" s="11" t="s">
        <v>4695</v>
      </c>
    </row>
    <row r="1088" spans="1:5">
      <c r="A1088" s="11" t="s">
        <v>4696</v>
      </c>
      <c r="B1088">
        <v>8081084</v>
      </c>
      <c r="D1088" s="11" t="s">
        <v>4697</v>
      </c>
      <c r="E1088" s="11" t="s">
        <v>4698</v>
      </c>
    </row>
    <row r="1089" spans="1:5">
      <c r="A1089" s="11" t="s">
        <v>4699</v>
      </c>
      <c r="B1089">
        <v>8071608</v>
      </c>
      <c r="D1089" s="11" t="s">
        <v>4700</v>
      </c>
      <c r="E1089" s="11" t="s">
        <v>4701</v>
      </c>
    </row>
    <row r="1090" spans="1:5">
      <c r="A1090" s="11" t="s">
        <v>4702</v>
      </c>
      <c r="B1090">
        <v>8003339</v>
      </c>
      <c r="D1090" s="11" t="s">
        <v>4703</v>
      </c>
      <c r="E1090" s="11" t="s">
        <v>4704</v>
      </c>
    </row>
    <row r="1091" spans="1:5">
      <c r="A1091" s="11" t="s">
        <v>4705</v>
      </c>
      <c r="B1091">
        <v>8003336</v>
      </c>
      <c r="D1091" s="11" t="s">
        <v>4706</v>
      </c>
      <c r="E1091" s="11" t="s">
        <v>4707</v>
      </c>
    </row>
    <row r="1092" spans="1:5">
      <c r="A1092" s="11" t="s">
        <v>4708</v>
      </c>
      <c r="B1092">
        <v>8071333</v>
      </c>
      <c r="D1092" s="11" t="s">
        <v>4709</v>
      </c>
      <c r="E1092" s="11" t="s">
        <v>4710</v>
      </c>
    </row>
    <row r="1093" spans="1:5">
      <c r="A1093" s="11" t="s">
        <v>4711</v>
      </c>
      <c r="B1093">
        <v>8001182</v>
      </c>
      <c r="D1093" s="11" t="s">
        <v>4712</v>
      </c>
      <c r="E1093" s="11" t="s">
        <v>4713</v>
      </c>
    </row>
    <row r="1094" spans="1:5">
      <c r="A1094" s="11" t="s">
        <v>4714</v>
      </c>
      <c r="B1094">
        <v>8000054</v>
      </c>
      <c r="D1094" s="11" t="s">
        <v>4715</v>
      </c>
      <c r="E1094" s="11" t="s">
        <v>4716</v>
      </c>
    </row>
    <row r="1095" spans="1:5">
      <c r="A1095" s="11" t="s">
        <v>4717</v>
      </c>
      <c r="B1095">
        <v>8010064</v>
      </c>
      <c r="D1095" s="11" t="s">
        <v>4718</v>
      </c>
      <c r="E1095" s="11" t="s">
        <v>4719</v>
      </c>
    </row>
    <row r="1096" spans="1:5">
      <c r="A1096" s="11" t="s">
        <v>4720</v>
      </c>
      <c r="B1096">
        <v>8070337</v>
      </c>
      <c r="D1096" s="11" t="s">
        <v>4721</v>
      </c>
      <c r="E1096" s="11" t="s">
        <v>4722</v>
      </c>
    </row>
    <row r="1097" spans="1:5">
      <c r="A1097" s="11" t="s">
        <v>4723</v>
      </c>
      <c r="B1097">
        <v>8017004</v>
      </c>
      <c r="D1097" s="11" t="s">
        <v>4724</v>
      </c>
      <c r="E1097" s="11" t="s">
        <v>4725</v>
      </c>
    </row>
    <row r="1098" spans="1:5">
      <c r="A1098" s="11" t="s">
        <v>4726</v>
      </c>
      <c r="B1098">
        <v>8001185</v>
      </c>
      <c r="D1098" s="11" t="s">
        <v>4727</v>
      </c>
      <c r="E1098" s="11" t="s">
        <v>4728</v>
      </c>
    </row>
    <row r="1099" spans="1:5">
      <c r="A1099" s="11" t="s">
        <v>4729</v>
      </c>
      <c r="B1099">
        <v>8011270</v>
      </c>
      <c r="D1099" s="11" t="s">
        <v>4730</v>
      </c>
      <c r="E1099" s="11" t="s">
        <v>4731</v>
      </c>
    </row>
    <row r="1100" spans="1:5">
      <c r="A1100" s="11" t="s">
        <v>4732</v>
      </c>
      <c r="B1100">
        <v>8001186</v>
      </c>
      <c r="D1100" s="11" t="s">
        <v>4733</v>
      </c>
      <c r="E1100" s="11" t="s">
        <v>4734</v>
      </c>
    </row>
    <row r="1101" spans="1:5">
      <c r="A1101" s="11" t="s">
        <v>4735</v>
      </c>
      <c r="B1101">
        <v>8071034</v>
      </c>
      <c r="D1101" s="11" t="s">
        <v>4736</v>
      </c>
      <c r="E1101" s="11" t="s">
        <v>4737</v>
      </c>
    </row>
    <row r="1102" spans="1:5">
      <c r="A1102" s="11" t="s">
        <v>4738</v>
      </c>
      <c r="B1102">
        <v>8070338</v>
      </c>
      <c r="D1102" s="11" t="s">
        <v>4739</v>
      </c>
      <c r="E1102" s="11" t="s">
        <v>4740</v>
      </c>
    </row>
    <row r="1103" spans="1:5">
      <c r="A1103" s="11" t="s">
        <v>4741</v>
      </c>
      <c r="B1103">
        <v>8001190</v>
      </c>
      <c r="D1103" s="11" t="s">
        <v>4742</v>
      </c>
      <c r="E1103" s="11" t="s">
        <v>4743</v>
      </c>
    </row>
    <row r="1104" spans="1:5">
      <c r="A1104" s="11" t="s">
        <v>4744</v>
      </c>
      <c r="B1104">
        <v>8004799</v>
      </c>
      <c r="D1104" s="11" t="s">
        <v>4745</v>
      </c>
      <c r="E1104" s="11" t="s">
        <v>4746</v>
      </c>
    </row>
    <row r="1105" spans="1:5">
      <c r="A1105" s="11" t="s">
        <v>4747</v>
      </c>
      <c r="B1105">
        <v>8070274</v>
      </c>
      <c r="D1105" s="11" t="s">
        <v>4748</v>
      </c>
      <c r="E1105" s="11" t="s">
        <v>4749</v>
      </c>
    </row>
    <row r="1106" spans="1:5">
      <c r="A1106" s="11" t="s">
        <v>4750</v>
      </c>
      <c r="B1106">
        <v>8070275</v>
      </c>
      <c r="D1106" s="11" t="s">
        <v>4751</v>
      </c>
      <c r="E1106" s="11" t="s">
        <v>4752</v>
      </c>
    </row>
    <row r="1107" spans="1:5">
      <c r="A1107" s="11" t="s">
        <v>4753</v>
      </c>
      <c r="B1107">
        <v>8001196</v>
      </c>
      <c r="D1107" s="11" t="s">
        <v>4754</v>
      </c>
      <c r="E1107" s="11" t="s">
        <v>4755</v>
      </c>
    </row>
    <row r="1108" spans="1:5">
      <c r="A1108" s="11" t="s">
        <v>4756</v>
      </c>
      <c r="B1108">
        <v>8001198</v>
      </c>
      <c r="D1108" s="11" t="s">
        <v>4757</v>
      </c>
      <c r="E1108" s="11" t="s">
        <v>4758</v>
      </c>
    </row>
    <row r="1109" spans="1:5">
      <c r="A1109" s="11" t="s">
        <v>4759</v>
      </c>
      <c r="B1109">
        <v>8070340</v>
      </c>
      <c r="D1109" s="11" t="s">
        <v>4760</v>
      </c>
      <c r="E1109" s="11" t="s">
        <v>4761</v>
      </c>
    </row>
    <row r="1110" spans="1:5">
      <c r="A1110" s="11" t="s">
        <v>4762</v>
      </c>
      <c r="B1110">
        <v>8001199</v>
      </c>
      <c r="D1110" s="11" t="s">
        <v>4763</v>
      </c>
      <c r="E1110" s="11" t="s">
        <v>4764</v>
      </c>
    </row>
    <row r="1111" spans="1:5">
      <c r="A1111" s="11" t="s">
        <v>4765</v>
      </c>
      <c r="B1111">
        <v>8001200</v>
      </c>
      <c r="D1111" s="11" t="s">
        <v>4766</v>
      </c>
      <c r="E1111" s="11" t="s">
        <v>4767</v>
      </c>
    </row>
    <row r="1112" spans="1:5">
      <c r="A1112" s="11" t="s">
        <v>4768</v>
      </c>
      <c r="B1112">
        <v>8001201</v>
      </c>
      <c r="D1112" s="11" t="s">
        <v>4769</v>
      </c>
      <c r="E1112" s="11" t="s">
        <v>4770</v>
      </c>
    </row>
    <row r="1113" spans="1:5">
      <c r="A1113" s="11" t="s">
        <v>4771</v>
      </c>
      <c r="B1113">
        <v>8000055</v>
      </c>
      <c r="D1113" s="11" t="s">
        <v>4772</v>
      </c>
      <c r="E1113" s="11" t="s">
        <v>4773</v>
      </c>
    </row>
    <row r="1114" spans="1:5">
      <c r="A1114" s="11" t="s">
        <v>4774</v>
      </c>
      <c r="B1114">
        <v>8001214</v>
      </c>
      <c r="D1114" s="11" t="s">
        <v>4775</v>
      </c>
      <c r="E1114" s="11" t="s">
        <v>4776</v>
      </c>
    </row>
    <row r="1115" spans="1:5">
      <c r="A1115" s="11" t="s">
        <v>4777</v>
      </c>
      <c r="B1115">
        <v>8001197</v>
      </c>
      <c r="D1115" s="11" t="s">
        <v>4778</v>
      </c>
      <c r="E1115" s="11" t="s">
        <v>4779</v>
      </c>
    </row>
    <row r="1116" spans="1:5">
      <c r="A1116" s="11" t="s">
        <v>4780</v>
      </c>
      <c r="B1116">
        <v>8070009</v>
      </c>
      <c r="D1116" s="11" t="s">
        <v>4781</v>
      </c>
      <c r="E1116" s="11" t="s">
        <v>4782</v>
      </c>
    </row>
    <row r="1117" spans="1:5">
      <c r="A1117" s="11" t="s">
        <v>4783</v>
      </c>
      <c r="B1117">
        <v>8085001</v>
      </c>
      <c r="D1117" s="11" t="s">
        <v>4784</v>
      </c>
      <c r="E1117" s="11" t="s">
        <v>4785</v>
      </c>
    </row>
    <row r="1118" spans="1:5">
      <c r="A1118" s="11" t="s">
        <v>4786</v>
      </c>
      <c r="B1118">
        <v>8001212</v>
      </c>
      <c r="D1118" s="11" t="s">
        <v>4787</v>
      </c>
      <c r="E1118" s="11" t="s">
        <v>4788</v>
      </c>
    </row>
    <row r="1119" spans="1:5">
      <c r="A1119" s="11" t="s">
        <v>4789</v>
      </c>
      <c r="B1119">
        <v>8085002</v>
      </c>
      <c r="D1119" s="11" t="s">
        <v>4790</v>
      </c>
      <c r="E1119" s="11" t="s">
        <v>4791</v>
      </c>
    </row>
    <row r="1120" spans="1:5">
      <c r="A1120" s="11" t="s">
        <v>4792</v>
      </c>
      <c r="B1120">
        <v>8070008</v>
      </c>
      <c r="D1120" s="11" t="s">
        <v>4793</v>
      </c>
      <c r="E1120" s="11" t="s">
        <v>4794</v>
      </c>
    </row>
    <row r="1121" spans="1:5">
      <c r="A1121" s="11" t="s">
        <v>4795</v>
      </c>
      <c r="B1121">
        <v>8079080</v>
      </c>
      <c r="D1121" s="11" t="s">
        <v>4796</v>
      </c>
      <c r="E1121" s="11" t="s">
        <v>4797</v>
      </c>
    </row>
    <row r="1122" spans="1:5">
      <c r="A1122" s="11" t="s">
        <v>4798</v>
      </c>
      <c r="B1122">
        <v>8011271</v>
      </c>
      <c r="D1122" s="11" t="s">
        <v>4799</v>
      </c>
      <c r="E1122" s="11" t="s">
        <v>4800</v>
      </c>
    </row>
    <row r="1123" spans="1:5">
      <c r="A1123" s="11" t="s">
        <v>4801</v>
      </c>
      <c r="B1123">
        <v>8001203</v>
      </c>
      <c r="D1123" s="11" t="s">
        <v>4802</v>
      </c>
      <c r="E1123" s="11" t="s">
        <v>4803</v>
      </c>
    </row>
    <row r="1124" spans="1:5">
      <c r="A1124" s="11" t="s">
        <v>4804</v>
      </c>
      <c r="B1124">
        <v>8001205</v>
      </c>
      <c r="D1124" s="11" t="s">
        <v>4805</v>
      </c>
      <c r="E1124" s="11" t="s">
        <v>4806</v>
      </c>
    </row>
    <row r="1125" spans="1:5">
      <c r="A1125" s="11" t="s">
        <v>4807</v>
      </c>
      <c r="B1125">
        <v>8001207</v>
      </c>
      <c r="D1125" s="11" t="s">
        <v>4808</v>
      </c>
      <c r="E1125" s="11" t="s">
        <v>4809</v>
      </c>
    </row>
    <row r="1126" spans="1:5">
      <c r="A1126" s="11" t="s">
        <v>4810</v>
      </c>
      <c r="B1126">
        <v>8079312</v>
      </c>
      <c r="D1126" s="11" t="s">
        <v>4811</v>
      </c>
      <c r="E1126" s="11" t="s">
        <v>4812</v>
      </c>
    </row>
    <row r="1127" spans="1:5">
      <c r="A1127" s="11" t="s">
        <v>4813</v>
      </c>
      <c r="B1127">
        <v>8011273</v>
      </c>
      <c r="D1127" s="11" t="s">
        <v>4814</v>
      </c>
      <c r="E1127" s="11" t="s">
        <v>4815</v>
      </c>
    </row>
    <row r="1128" spans="1:5">
      <c r="A1128" s="11" t="s">
        <v>4816</v>
      </c>
      <c r="B1128">
        <v>8001215</v>
      </c>
      <c r="D1128" s="11" t="s">
        <v>4817</v>
      </c>
      <c r="E1128" s="11" t="s">
        <v>4818</v>
      </c>
    </row>
    <row r="1129" spans="1:5">
      <c r="A1129" s="11" t="s">
        <v>4819</v>
      </c>
      <c r="B1129">
        <v>8003252</v>
      </c>
      <c r="D1129" s="11" t="s">
        <v>4820</v>
      </c>
      <c r="E1129" s="11" t="s">
        <v>4821</v>
      </c>
    </row>
    <row r="1130" spans="1:5">
      <c r="A1130" s="11" t="s">
        <v>4822</v>
      </c>
      <c r="B1130">
        <v>8011277</v>
      </c>
      <c r="D1130" s="11" t="s">
        <v>4823</v>
      </c>
      <c r="E1130" s="11" t="s">
        <v>4824</v>
      </c>
    </row>
    <row r="1131" spans="1:5">
      <c r="A1131" s="11" t="s">
        <v>4825</v>
      </c>
      <c r="B1131">
        <v>8001265</v>
      </c>
      <c r="D1131" s="11" t="s">
        <v>4826</v>
      </c>
      <c r="E1131" s="11" t="s">
        <v>4827</v>
      </c>
    </row>
    <row r="1132" spans="1:5">
      <c r="A1132" s="11" t="s">
        <v>4828</v>
      </c>
      <c r="B1132">
        <v>8070118</v>
      </c>
      <c r="D1132" s="11" t="s">
        <v>4829</v>
      </c>
      <c r="E1132" s="11" t="s">
        <v>4830</v>
      </c>
    </row>
    <row r="1133" spans="1:5">
      <c r="A1133" s="11" t="s">
        <v>4831</v>
      </c>
      <c r="B1133">
        <v>8070949</v>
      </c>
      <c r="D1133" s="11" t="s">
        <v>4832</v>
      </c>
      <c r="E1133" s="11" t="s">
        <v>4833</v>
      </c>
    </row>
    <row r="1134" spans="1:5">
      <c r="A1134" s="11" t="s">
        <v>4834</v>
      </c>
      <c r="B1134">
        <v>8001221</v>
      </c>
      <c r="D1134" s="11" t="s">
        <v>4835</v>
      </c>
      <c r="E1134" s="11" t="s">
        <v>4836</v>
      </c>
    </row>
    <row r="1135" spans="1:5">
      <c r="A1135" s="11" t="s">
        <v>4837</v>
      </c>
      <c r="B1135">
        <v>8071229</v>
      </c>
      <c r="D1135" s="11" t="s">
        <v>1539</v>
      </c>
      <c r="E1135" s="11" t="s">
        <v>1539</v>
      </c>
    </row>
    <row r="1136" spans="1:5">
      <c r="A1136" s="11" t="s">
        <v>4838</v>
      </c>
      <c r="B1136">
        <v>8001223</v>
      </c>
      <c r="D1136" s="11" t="s">
        <v>4839</v>
      </c>
      <c r="E1136" s="11" t="s">
        <v>4840</v>
      </c>
    </row>
    <row r="1137" spans="1:5">
      <c r="A1137" s="11" t="s">
        <v>4841</v>
      </c>
      <c r="B1137">
        <v>8001238</v>
      </c>
      <c r="D1137" s="11" t="s">
        <v>4842</v>
      </c>
      <c r="E1137" s="11" t="s">
        <v>4843</v>
      </c>
    </row>
    <row r="1138" spans="1:5">
      <c r="A1138" s="11" t="s">
        <v>4844</v>
      </c>
      <c r="B1138">
        <v>8001225</v>
      </c>
      <c r="D1138" s="11" t="s">
        <v>4845</v>
      </c>
      <c r="E1138" s="11" t="s">
        <v>4846</v>
      </c>
    </row>
    <row r="1139" spans="1:5">
      <c r="A1139" s="11" t="s">
        <v>4847</v>
      </c>
      <c r="B1139">
        <v>8000058</v>
      </c>
      <c r="D1139" s="11" t="s">
        <v>4848</v>
      </c>
      <c r="E1139" s="11" t="s">
        <v>4849</v>
      </c>
    </row>
    <row r="1140" spans="1:5">
      <c r="A1140" s="11" t="s">
        <v>4850</v>
      </c>
      <c r="B1140">
        <v>8001226</v>
      </c>
      <c r="D1140" s="11" t="s">
        <v>4851</v>
      </c>
      <c r="E1140" s="11" t="s">
        <v>4852</v>
      </c>
    </row>
    <row r="1141" spans="1:5">
      <c r="A1141" s="11" t="s">
        <v>4853</v>
      </c>
      <c r="B1141">
        <v>8001227</v>
      </c>
      <c r="D1141" s="11" t="s">
        <v>4854</v>
      </c>
      <c r="E1141" s="11" t="s">
        <v>4855</v>
      </c>
    </row>
    <row r="1142" spans="1:5">
      <c r="A1142" s="11" t="s">
        <v>4856</v>
      </c>
      <c r="B1142">
        <v>8001228</v>
      </c>
      <c r="D1142" s="11" t="s">
        <v>4857</v>
      </c>
      <c r="E1142" s="11" t="s">
        <v>4858</v>
      </c>
    </row>
    <row r="1143" spans="1:5">
      <c r="A1143" s="11" t="s">
        <v>4859</v>
      </c>
      <c r="B1143">
        <v>8001229</v>
      </c>
      <c r="D1143" s="11" t="s">
        <v>4860</v>
      </c>
      <c r="E1143" s="11" t="s">
        <v>4861</v>
      </c>
    </row>
    <row r="1144" spans="1:5">
      <c r="A1144" s="11" t="s">
        <v>4862</v>
      </c>
      <c r="B1144">
        <v>8001242</v>
      </c>
      <c r="D1144" s="11" t="s">
        <v>4863</v>
      </c>
      <c r="E1144" s="11" t="s">
        <v>4864</v>
      </c>
    </row>
    <row r="1145" spans="1:5">
      <c r="A1145" s="11" t="s">
        <v>4865</v>
      </c>
      <c r="B1145">
        <v>8001231</v>
      </c>
      <c r="D1145" s="11" t="s">
        <v>4866</v>
      </c>
      <c r="E1145" s="11" t="s">
        <v>4867</v>
      </c>
    </row>
    <row r="1146" spans="1:5">
      <c r="A1146" s="11" t="s">
        <v>4865</v>
      </c>
      <c r="B1146">
        <v>8071272</v>
      </c>
      <c r="D1146" s="11" t="s">
        <v>4868</v>
      </c>
      <c r="E1146" s="11" t="s">
        <v>4869</v>
      </c>
    </row>
    <row r="1147" spans="1:5">
      <c r="A1147" s="11" t="s">
        <v>4870</v>
      </c>
      <c r="B1147">
        <v>8011281</v>
      </c>
      <c r="D1147" s="11" t="s">
        <v>4871</v>
      </c>
      <c r="E1147" s="11" t="s">
        <v>4872</v>
      </c>
    </row>
    <row r="1148" spans="1:5">
      <c r="A1148" s="11" t="s">
        <v>4873</v>
      </c>
      <c r="B1148">
        <v>8001244</v>
      </c>
      <c r="D1148" s="11" t="s">
        <v>4874</v>
      </c>
      <c r="E1148" s="11" t="s">
        <v>4875</v>
      </c>
    </row>
    <row r="1149" spans="1:5">
      <c r="A1149" s="11" t="s">
        <v>4876</v>
      </c>
      <c r="B1149">
        <v>8001234</v>
      </c>
      <c r="D1149" s="11" t="s">
        <v>4877</v>
      </c>
      <c r="E1149" s="11" t="s">
        <v>4878</v>
      </c>
    </row>
    <row r="1150" spans="1:5">
      <c r="A1150" s="11" t="s">
        <v>4879</v>
      </c>
      <c r="B1150">
        <v>8000056</v>
      </c>
      <c r="D1150" s="11" t="s">
        <v>4880</v>
      </c>
      <c r="E1150" s="11" t="s">
        <v>4881</v>
      </c>
    </row>
    <row r="1151" spans="1:5">
      <c r="A1151" s="11" t="s">
        <v>4882</v>
      </c>
      <c r="B1151">
        <v>8011282</v>
      </c>
      <c r="D1151" s="11" t="s">
        <v>4883</v>
      </c>
      <c r="E1151" s="11" t="s">
        <v>4884</v>
      </c>
    </row>
    <row r="1152" spans="1:5">
      <c r="A1152" s="11" t="s">
        <v>4885</v>
      </c>
      <c r="B1152">
        <v>8000057</v>
      </c>
      <c r="D1152" s="11" t="s">
        <v>4886</v>
      </c>
      <c r="E1152" s="11" t="s">
        <v>4887</v>
      </c>
    </row>
    <row r="1153" spans="1:5">
      <c r="A1153" s="11" t="s">
        <v>4888</v>
      </c>
      <c r="B1153">
        <v>8001245</v>
      </c>
      <c r="D1153" s="11" t="s">
        <v>4889</v>
      </c>
      <c r="E1153" s="11" t="s">
        <v>4890</v>
      </c>
    </row>
    <row r="1154" spans="1:5">
      <c r="A1154" s="11" t="s">
        <v>4891</v>
      </c>
      <c r="B1154">
        <v>8070239</v>
      </c>
      <c r="D1154" s="11" t="s">
        <v>4892</v>
      </c>
      <c r="E1154" s="11" t="s">
        <v>4893</v>
      </c>
    </row>
    <row r="1155" spans="1:5">
      <c r="A1155" s="11" t="s">
        <v>4894</v>
      </c>
      <c r="B1155">
        <v>8070240</v>
      </c>
      <c r="D1155" s="11" t="s">
        <v>4895</v>
      </c>
      <c r="E1155" s="11" t="s">
        <v>4896</v>
      </c>
    </row>
    <row r="1156" spans="1:5">
      <c r="A1156" s="11" t="s">
        <v>4897</v>
      </c>
      <c r="B1156">
        <v>8070242</v>
      </c>
      <c r="D1156" s="11" t="s">
        <v>4898</v>
      </c>
      <c r="E1156" s="11" t="s">
        <v>4899</v>
      </c>
    </row>
    <row r="1157" spans="1:5">
      <c r="A1157" s="11" t="s">
        <v>4900</v>
      </c>
      <c r="B1157">
        <v>8011284</v>
      </c>
      <c r="D1157" s="11" t="s">
        <v>4901</v>
      </c>
      <c r="E1157" s="11" t="s">
        <v>4902</v>
      </c>
    </row>
    <row r="1158" spans="1:5">
      <c r="A1158" s="11" t="s">
        <v>4903</v>
      </c>
      <c r="B1158">
        <v>8011286</v>
      </c>
      <c r="D1158" s="11" t="s">
        <v>4904</v>
      </c>
      <c r="E1158" s="11" t="s">
        <v>4905</v>
      </c>
    </row>
    <row r="1159" spans="1:5">
      <c r="A1159" s="11" t="s">
        <v>4906</v>
      </c>
      <c r="B1159">
        <v>8011288</v>
      </c>
      <c r="D1159" s="11" t="s">
        <v>4907</v>
      </c>
      <c r="E1159" s="11" t="s">
        <v>4908</v>
      </c>
    </row>
    <row r="1160" spans="1:5">
      <c r="A1160" s="11" t="s">
        <v>4909</v>
      </c>
      <c r="B1160">
        <v>8001237</v>
      </c>
      <c r="D1160" s="11" t="s">
        <v>4910</v>
      </c>
      <c r="E1160" s="11" t="s">
        <v>4911</v>
      </c>
    </row>
    <row r="1161" spans="1:5">
      <c r="A1161" s="11" t="s">
        <v>4912</v>
      </c>
      <c r="B1161">
        <v>8001250</v>
      </c>
      <c r="D1161" s="11" t="s">
        <v>4913</v>
      </c>
      <c r="E1161" s="11" t="s">
        <v>4914</v>
      </c>
    </row>
    <row r="1162" spans="1:5">
      <c r="A1162" s="11" t="s">
        <v>4915</v>
      </c>
      <c r="B1162">
        <v>8001249</v>
      </c>
      <c r="D1162" s="11" t="s">
        <v>4916</v>
      </c>
      <c r="E1162" s="11" t="s">
        <v>4917</v>
      </c>
    </row>
    <row r="1163" spans="1:5">
      <c r="A1163" s="11" t="s">
        <v>4918</v>
      </c>
      <c r="B1163">
        <v>8010067</v>
      </c>
      <c r="D1163" s="11" t="s">
        <v>4919</v>
      </c>
      <c r="E1163" s="11" t="s">
        <v>4920</v>
      </c>
    </row>
    <row r="1164" spans="1:5">
      <c r="A1164" s="11" t="s">
        <v>4921</v>
      </c>
      <c r="B1164">
        <v>8001262</v>
      </c>
      <c r="D1164" s="11" t="s">
        <v>4922</v>
      </c>
      <c r="E1164" s="11" t="s">
        <v>4923</v>
      </c>
    </row>
    <row r="1165" spans="1:5">
      <c r="A1165" s="11" t="s">
        <v>4924</v>
      </c>
      <c r="B1165">
        <v>8001252</v>
      </c>
      <c r="D1165" s="11" t="s">
        <v>4925</v>
      </c>
      <c r="E1165" s="11" t="s">
        <v>4926</v>
      </c>
    </row>
    <row r="1166" spans="1:5">
      <c r="A1166" s="11" t="s">
        <v>4927</v>
      </c>
      <c r="B1166">
        <v>8001264</v>
      </c>
      <c r="D1166" s="11" t="s">
        <v>4928</v>
      </c>
      <c r="E1166" s="11" t="s">
        <v>4929</v>
      </c>
    </row>
    <row r="1167" spans="1:5">
      <c r="A1167" s="11" t="s">
        <v>4930</v>
      </c>
      <c r="B1167">
        <v>8001266</v>
      </c>
      <c r="D1167" s="11" t="s">
        <v>4931</v>
      </c>
      <c r="E1167" s="11" t="s">
        <v>4932</v>
      </c>
    </row>
    <row r="1168" spans="1:5">
      <c r="A1168" s="11" t="s">
        <v>4933</v>
      </c>
      <c r="B1168">
        <v>8001267</v>
      </c>
      <c r="D1168" s="11" t="s">
        <v>4934</v>
      </c>
      <c r="E1168" s="11" t="s">
        <v>4935</v>
      </c>
    </row>
    <row r="1169" spans="1:5">
      <c r="A1169" s="11" t="s">
        <v>4936</v>
      </c>
      <c r="B1169">
        <v>8011290</v>
      </c>
      <c r="D1169" s="11" t="s">
        <v>4937</v>
      </c>
      <c r="E1169" s="11" t="s">
        <v>4938</v>
      </c>
    </row>
    <row r="1170" spans="1:5">
      <c r="A1170" s="11" t="s">
        <v>4939</v>
      </c>
      <c r="B1170">
        <v>8071192</v>
      </c>
      <c r="D1170" s="11" t="s">
        <v>4940</v>
      </c>
      <c r="E1170" s="11" t="s">
        <v>4941</v>
      </c>
    </row>
    <row r="1171" spans="1:5">
      <c r="A1171" s="11" t="s">
        <v>4942</v>
      </c>
      <c r="B1171">
        <v>8000059</v>
      </c>
      <c r="D1171" s="11" t="s">
        <v>4943</v>
      </c>
      <c r="E1171" s="11" t="s">
        <v>4944</v>
      </c>
    </row>
    <row r="1172" spans="1:5">
      <c r="A1172" s="11" t="s">
        <v>4945</v>
      </c>
      <c r="B1172">
        <v>8079087</v>
      </c>
      <c r="D1172" s="11" t="s">
        <v>4946</v>
      </c>
      <c r="E1172" s="11" t="s">
        <v>4947</v>
      </c>
    </row>
    <row r="1173" spans="1:5">
      <c r="A1173" s="11" t="s">
        <v>4948</v>
      </c>
      <c r="B1173">
        <v>8001302</v>
      </c>
      <c r="D1173" s="11" t="s">
        <v>4949</v>
      </c>
      <c r="E1173" s="11" t="s">
        <v>4950</v>
      </c>
    </row>
    <row r="1174" spans="1:5">
      <c r="A1174" s="11" t="s">
        <v>4951</v>
      </c>
      <c r="B1174">
        <v>8001268</v>
      </c>
      <c r="D1174" s="11" t="s">
        <v>4952</v>
      </c>
      <c r="E1174" s="11" t="s">
        <v>4953</v>
      </c>
    </row>
    <row r="1175" spans="1:5">
      <c r="A1175" s="11" t="s">
        <v>4954</v>
      </c>
      <c r="B1175">
        <v>8011293</v>
      </c>
      <c r="D1175" s="11" t="s">
        <v>4955</v>
      </c>
      <c r="E1175" s="11" t="s">
        <v>4956</v>
      </c>
    </row>
    <row r="1176" spans="1:5">
      <c r="A1176" s="11" t="s">
        <v>4957</v>
      </c>
      <c r="B1176">
        <v>8001271</v>
      </c>
      <c r="D1176" s="11" t="s">
        <v>4958</v>
      </c>
      <c r="E1176" s="11" t="s">
        <v>4959</v>
      </c>
    </row>
    <row r="1177" spans="1:5">
      <c r="A1177" s="11" t="s">
        <v>4960</v>
      </c>
      <c r="B1177">
        <v>8001273</v>
      </c>
      <c r="D1177" s="11" t="s">
        <v>4961</v>
      </c>
      <c r="E1177" s="11" t="s">
        <v>4962</v>
      </c>
    </row>
    <row r="1178" spans="1:5">
      <c r="A1178" s="11" t="s">
        <v>4963</v>
      </c>
      <c r="B1178">
        <v>8011294</v>
      </c>
      <c r="D1178" s="11" t="s">
        <v>4964</v>
      </c>
      <c r="E1178" s="11" t="s">
        <v>4965</v>
      </c>
    </row>
    <row r="1179" spans="1:5">
      <c r="A1179" s="11" t="s">
        <v>4966</v>
      </c>
      <c r="B1179">
        <v>8001276</v>
      </c>
      <c r="D1179" s="11" t="s">
        <v>4967</v>
      </c>
      <c r="E1179" s="11" t="s">
        <v>4968</v>
      </c>
    </row>
    <row r="1180" spans="1:5">
      <c r="A1180" s="11" t="s">
        <v>4969</v>
      </c>
      <c r="B1180">
        <v>8001277</v>
      </c>
      <c r="D1180" s="11" t="s">
        <v>1830</v>
      </c>
      <c r="E1180" s="11" t="s">
        <v>4970</v>
      </c>
    </row>
    <row r="1181" spans="1:5">
      <c r="A1181" s="11" t="s">
        <v>4971</v>
      </c>
      <c r="B1181">
        <v>8001278</v>
      </c>
      <c r="D1181" s="11" t="s">
        <v>4972</v>
      </c>
      <c r="E1181" s="11" t="s">
        <v>4973</v>
      </c>
    </row>
    <row r="1182" spans="1:5">
      <c r="A1182" s="11" t="s">
        <v>4974</v>
      </c>
      <c r="B1182">
        <v>8070342</v>
      </c>
      <c r="D1182" s="11" t="s">
        <v>4975</v>
      </c>
      <c r="E1182" s="11" t="s">
        <v>4976</v>
      </c>
    </row>
    <row r="1183" spans="1:5">
      <c r="A1183" s="11" t="s">
        <v>4977</v>
      </c>
      <c r="B1183">
        <v>8001279</v>
      </c>
      <c r="D1183" s="11" t="s">
        <v>4978</v>
      </c>
      <c r="E1183" s="11" t="s">
        <v>4979</v>
      </c>
    </row>
    <row r="1184" spans="1:5">
      <c r="A1184" s="11" t="s">
        <v>4980</v>
      </c>
      <c r="B1184">
        <v>8001256</v>
      </c>
      <c r="D1184" s="11" t="s">
        <v>4981</v>
      </c>
      <c r="E1184" s="11" t="s">
        <v>4982</v>
      </c>
    </row>
    <row r="1185" spans="1:5">
      <c r="A1185" s="11" t="s">
        <v>4983</v>
      </c>
      <c r="B1185">
        <v>711731</v>
      </c>
      <c r="D1185" s="11" t="s">
        <v>4984</v>
      </c>
      <c r="E1185" s="11" t="s">
        <v>4985</v>
      </c>
    </row>
    <row r="1186" spans="1:5">
      <c r="A1186" s="11" t="s">
        <v>4986</v>
      </c>
      <c r="B1186">
        <v>8001283</v>
      </c>
      <c r="D1186" s="11" t="s">
        <v>4987</v>
      </c>
      <c r="E1186" s="11" t="s">
        <v>4988</v>
      </c>
    </row>
    <row r="1187" spans="1:5">
      <c r="A1187" s="11" t="s">
        <v>4989</v>
      </c>
      <c r="B1187">
        <v>8001284</v>
      </c>
      <c r="D1187" s="11" t="s">
        <v>4990</v>
      </c>
      <c r="E1187" s="11" t="s">
        <v>4991</v>
      </c>
    </row>
    <row r="1188" spans="1:5">
      <c r="A1188" s="11" t="s">
        <v>4992</v>
      </c>
      <c r="B1188">
        <v>8001285</v>
      </c>
      <c r="D1188" s="11" t="s">
        <v>4993</v>
      </c>
      <c r="E1188" s="11" t="s">
        <v>4994</v>
      </c>
    </row>
    <row r="1189" spans="1:5">
      <c r="A1189" s="11" t="s">
        <v>4995</v>
      </c>
      <c r="B1189">
        <v>8001287</v>
      </c>
      <c r="D1189" s="11" t="s">
        <v>4996</v>
      </c>
      <c r="E1189" s="11" t="s">
        <v>4997</v>
      </c>
    </row>
    <row r="1190" spans="1:5">
      <c r="A1190" s="11" t="s">
        <v>4998</v>
      </c>
      <c r="B1190">
        <v>8011296</v>
      </c>
      <c r="D1190" s="11" t="s">
        <v>4999</v>
      </c>
      <c r="E1190" s="11" t="s">
        <v>5000</v>
      </c>
    </row>
    <row r="1191" spans="1:5">
      <c r="A1191" s="11" t="s">
        <v>5001</v>
      </c>
      <c r="B1191">
        <v>8001288</v>
      </c>
      <c r="D1191" s="11" t="s">
        <v>5002</v>
      </c>
      <c r="E1191" s="11" t="s">
        <v>5003</v>
      </c>
    </row>
    <row r="1192" spans="1:5">
      <c r="A1192" s="11" t="s">
        <v>5004</v>
      </c>
      <c r="B1192">
        <v>8001289</v>
      </c>
      <c r="D1192" s="11" t="s">
        <v>5005</v>
      </c>
      <c r="E1192" s="11" t="s">
        <v>5006</v>
      </c>
    </row>
    <row r="1193" spans="1:5">
      <c r="A1193" s="11" t="s">
        <v>5007</v>
      </c>
      <c r="B1193">
        <v>8001290</v>
      </c>
      <c r="D1193" s="11" t="s">
        <v>5008</v>
      </c>
      <c r="E1193" s="11" t="s">
        <v>5009</v>
      </c>
    </row>
    <row r="1194" spans="1:5">
      <c r="A1194" s="11" t="s">
        <v>5010</v>
      </c>
      <c r="B1194">
        <v>8001293</v>
      </c>
      <c r="D1194" s="11" t="s">
        <v>5011</v>
      </c>
      <c r="E1194" s="11" t="s">
        <v>5012</v>
      </c>
    </row>
    <row r="1195" spans="1:5">
      <c r="A1195" s="11" t="s">
        <v>5013</v>
      </c>
      <c r="B1195">
        <v>8011297</v>
      </c>
      <c r="D1195" s="11" t="s">
        <v>5014</v>
      </c>
      <c r="E1195" s="11" t="s">
        <v>5015</v>
      </c>
    </row>
    <row r="1196" spans="1:5">
      <c r="A1196" s="11" t="s">
        <v>5016</v>
      </c>
      <c r="B1196">
        <v>8001296</v>
      </c>
      <c r="D1196" s="11" t="s">
        <v>5017</v>
      </c>
      <c r="E1196" s="11" t="s">
        <v>5018</v>
      </c>
    </row>
    <row r="1197" spans="1:5">
      <c r="A1197" s="11" t="s">
        <v>5019</v>
      </c>
      <c r="B1197">
        <v>8001297</v>
      </c>
      <c r="D1197" s="11" t="s">
        <v>5020</v>
      </c>
      <c r="E1197" s="11" t="s">
        <v>5021</v>
      </c>
    </row>
    <row r="1198" spans="1:5">
      <c r="A1198" s="11" t="s">
        <v>5022</v>
      </c>
      <c r="B1198">
        <v>8000061</v>
      </c>
      <c r="D1198" s="11" t="s">
        <v>5023</v>
      </c>
      <c r="E1198" s="11" t="s">
        <v>5024</v>
      </c>
    </row>
    <row r="1199" spans="1:5">
      <c r="A1199" s="11" t="s">
        <v>5025</v>
      </c>
      <c r="B1199">
        <v>8001281</v>
      </c>
      <c r="D1199" s="11" t="s">
        <v>5026</v>
      </c>
      <c r="E1199" s="11" t="s">
        <v>5027</v>
      </c>
    </row>
    <row r="1200" spans="1:5">
      <c r="A1200" s="11" t="s">
        <v>5028</v>
      </c>
      <c r="B1200">
        <v>8001301</v>
      </c>
      <c r="D1200" s="11" t="s">
        <v>5029</v>
      </c>
      <c r="E1200" s="11" t="s">
        <v>5030</v>
      </c>
    </row>
    <row r="1201" spans="1:5">
      <c r="A1201" s="11" t="s">
        <v>5031</v>
      </c>
      <c r="B1201">
        <v>8011298</v>
      </c>
      <c r="D1201" s="11" t="s">
        <v>5032</v>
      </c>
      <c r="E1201" s="11" t="s">
        <v>5033</v>
      </c>
    </row>
    <row r="1202" spans="1:5">
      <c r="A1202" s="11" t="s">
        <v>5034</v>
      </c>
      <c r="B1202">
        <v>8011299</v>
      </c>
      <c r="D1202" s="11" t="s">
        <v>5035</v>
      </c>
      <c r="E1202" s="11" t="s">
        <v>5036</v>
      </c>
    </row>
    <row r="1203" spans="1:5">
      <c r="A1203" s="11" t="s">
        <v>5037</v>
      </c>
      <c r="B1203">
        <v>8011303</v>
      </c>
      <c r="D1203" s="11" t="s">
        <v>5038</v>
      </c>
      <c r="E1203" s="11" t="s">
        <v>5039</v>
      </c>
    </row>
    <row r="1204" spans="1:5">
      <c r="A1204" s="11" t="s">
        <v>5040</v>
      </c>
      <c r="B1204">
        <v>8007289</v>
      </c>
      <c r="D1204" s="11" t="s">
        <v>5041</v>
      </c>
      <c r="E1204" s="11" t="s">
        <v>5042</v>
      </c>
    </row>
    <row r="1205" spans="1:5">
      <c r="A1205" s="11" t="s">
        <v>5043</v>
      </c>
      <c r="B1205">
        <v>8007226</v>
      </c>
      <c r="D1205" s="11" t="s">
        <v>5044</v>
      </c>
      <c r="E1205" s="11" t="s">
        <v>5045</v>
      </c>
    </row>
    <row r="1206" spans="1:5">
      <c r="A1206" s="11" t="s">
        <v>5046</v>
      </c>
      <c r="B1206">
        <v>8070022</v>
      </c>
      <c r="D1206" s="11" t="s">
        <v>5047</v>
      </c>
      <c r="E1206" s="11" t="s">
        <v>5048</v>
      </c>
    </row>
    <row r="1207" spans="1:5">
      <c r="A1207" s="11" t="s">
        <v>5049</v>
      </c>
      <c r="B1207">
        <v>8000360</v>
      </c>
      <c r="D1207" s="11" t="s">
        <v>5050</v>
      </c>
      <c r="E1207" s="11" t="s">
        <v>5051</v>
      </c>
    </row>
    <row r="1208" spans="1:5">
      <c r="A1208" s="11" t="s">
        <v>5049</v>
      </c>
      <c r="B1208">
        <v>8098360</v>
      </c>
      <c r="D1208" s="11" t="s">
        <v>5052</v>
      </c>
      <c r="E1208" s="11" t="s">
        <v>5053</v>
      </c>
    </row>
    <row r="1209" spans="1:5">
      <c r="A1209" s="11" t="s">
        <v>5054</v>
      </c>
      <c r="B1209">
        <v>8011301</v>
      </c>
      <c r="D1209" s="11" t="s">
        <v>5055</v>
      </c>
      <c r="E1209" s="11" t="s">
        <v>5056</v>
      </c>
    </row>
    <row r="1210" spans="1:5">
      <c r="A1210" s="11" t="s">
        <v>5057</v>
      </c>
      <c r="B1210">
        <v>8011302</v>
      </c>
      <c r="D1210" s="11" t="s">
        <v>5058</v>
      </c>
      <c r="E1210" s="11" t="s">
        <v>5059</v>
      </c>
    </row>
    <row r="1211" spans="1:5">
      <c r="A1211" s="11" t="s">
        <v>5060</v>
      </c>
      <c r="B1211">
        <v>8007000</v>
      </c>
      <c r="D1211" s="11" t="s">
        <v>5061</v>
      </c>
      <c r="E1211" s="11" t="s">
        <v>5062</v>
      </c>
    </row>
    <row r="1212" spans="1:5">
      <c r="A1212" s="11" t="s">
        <v>5063</v>
      </c>
      <c r="B1212">
        <v>8001258</v>
      </c>
      <c r="D1212" s="11" t="s">
        <v>5064</v>
      </c>
      <c r="E1212" s="11" t="s">
        <v>5065</v>
      </c>
    </row>
    <row r="1213" spans="1:5">
      <c r="A1213" s="11" t="s">
        <v>5066</v>
      </c>
      <c r="B1213">
        <v>8079118</v>
      </c>
      <c r="D1213" s="11" t="s">
        <v>5067</v>
      </c>
      <c r="E1213" s="11" t="s">
        <v>5068</v>
      </c>
    </row>
    <row r="1214" spans="1:5">
      <c r="A1214" s="11" t="s">
        <v>5069</v>
      </c>
      <c r="B1214">
        <v>8079011</v>
      </c>
      <c r="D1214" s="11" t="s">
        <v>5070</v>
      </c>
      <c r="E1214" s="11" t="s">
        <v>5071</v>
      </c>
    </row>
    <row r="1215" spans="1:5">
      <c r="A1215" s="11" t="s">
        <v>5072</v>
      </c>
      <c r="B1215">
        <v>8001259</v>
      </c>
      <c r="D1215" s="11" t="s">
        <v>5073</v>
      </c>
      <c r="E1215" s="11" t="s">
        <v>5074</v>
      </c>
    </row>
    <row r="1216" spans="1:5">
      <c r="A1216" s="11" t="s">
        <v>5075</v>
      </c>
      <c r="B1216">
        <v>8071259</v>
      </c>
      <c r="D1216" s="11" t="s">
        <v>1539</v>
      </c>
      <c r="E1216" s="11" t="s">
        <v>1539</v>
      </c>
    </row>
    <row r="1217" spans="1:5">
      <c r="A1217" s="11" t="s">
        <v>280</v>
      </c>
      <c r="B1217">
        <v>8001310</v>
      </c>
      <c r="D1217" s="11" t="s">
        <v>282</v>
      </c>
      <c r="E1217" s="11" t="s">
        <v>283</v>
      </c>
    </row>
    <row r="1218" spans="1:5">
      <c r="A1218" s="11" t="s">
        <v>5076</v>
      </c>
      <c r="B1218">
        <v>8001261</v>
      </c>
      <c r="D1218" s="11" t="s">
        <v>5077</v>
      </c>
      <c r="E1218" s="11" t="s">
        <v>5078</v>
      </c>
    </row>
    <row r="1219" spans="1:5">
      <c r="A1219" s="11" t="s">
        <v>5079</v>
      </c>
      <c r="B1219">
        <v>8011304</v>
      </c>
      <c r="D1219" s="11" t="s">
        <v>5080</v>
      </c>
      <c r="E1219" s="11" t="s">
        <v>5081</v>
      </c>
    </row>
    <row r="1220" spans="1:5">
      <c r="A1220" s="11" t="s">
        <v>5082</v>
      </c>
      <c r="B1220">
        <v>8079197</v>
      </c>
      <c r="D1220" s="11" t="s">
        <v>5083</v>
      </c>
      <c r="E1220" s="11" t="s">
        <v>5084</v>
      </c>
    </row>
    <row r="1221" spans="1:5">
      <c r="A1221" s="11" t="s">
        <v>5085</v>
      </c>
      <c r="B1221">
        <v>8001312</v>
      </c>
      <c r="D1221" s="11" t="s">
        <v>5086</v>
      </c>
      <c r="E1221" s="11" t="s">
        <v>5087</v>
      </c>
    </row>
    <row r="1222" spans="1:5">
      <c r="A1222" s="11" t="s">
        <v>5088</v>
      </c>
      <c r="B1222">
        <v>8010066</v>
      </c>
      <c r="D1222" s="11" t="s">
        <v>5089</v>
      </c>
      <c r="E1222" s="11" t="s">
        <v>5090</v>
      </c>
    </row>
    <row r="1223" spans="1:5">
      <c r="A1223" s="11" t="s">
        <v>5091</v>
      </c>
      <c r="B1223">
        <v>8001315</v>
      </c>
      <c r="D1223" s="11" t="s">
        <v>5092</v>
      </c>
      <c r="E1223" s="11" t="s">
        <v>5093</v>
      </c>
    </row>
    <row r="1224" spans="1:5">
      <c r="A1224" s="11" t="s">
        <v>5094</v>
      </c>
      <c r="B1224">
        <v>8001316</v>
      </c>
      <c r="D1224" s="11" t="s">
        <v>5095</v>
      </c>
      <c r="E1224" s="11" t="s">
        <v>5096</v>
      </c>
    </row>
    <row r="1225" spans="1:5">
      <c r="A1225" s="11" t="s">
        <v>5097</v>
      </c>
      <c r="B1225">
        <v>8001317</v>
      </c>
      <c r="D1225" s="11" t="s">
        <v>5098</v>
      </c>
      <c r="E1225" s="11" t="s">
        <v>5099</v>
      </c>
    </row>
    <row r="1226" spans="1:5">
      <c r="A1226" s="11" t="s">
        <v>5100</v>
      </c>
      <c r="B1226">
        <v>8011305</v>
      </c>
      <c r="D1226" s="11" t="s">
        <v>5101</v>
      </c>
      <c r="E1226" s="11" t="s">
        <v>5102</v>
      </c>
    </row>
    <row r="1227" spans="1:5">
      <c r="A1227" s="11" t="s">
        <v>5103</v>
      </c>
      <c r="B1227">
        <v>8010069</v>
      </c>
      <c r="D1227" s="11" t="s">
        <v>5104</v>
      </c>
      <c r="E1227" s="11" t="s">
        <v>5105</v>
      </c>
    </row>
    <row r="1228" spans="1:5">
      <c r="A1228" s="11" t="s">
        <v>5106</v>
      </c>
      <c r="B1228">
        <v>8010070</v>
      </c>
      <c r="D1228" s="11" t="s">
        <v>5107</v>
      </c>
      <c r="E1228" s="11" t="s">
        <v>5108</v>
      </c>
    </row>
    <row r="1229" spans="1:5">
      <c r="A1229" s="11" t="s">
        <v>5109</v>
      </c>
      <c r="B1229">
        <v>8011323</v>
      </c>
      <c r="D1229" s="11" t="s">
        <v>5110</v>
      </c>
      <c r="E1229" s="11" t="s">
        <v>5111</v>
      </c>
    </row>
    <row r="1230" spans="1:5">
      <c r="A1230" s="11" t="s">
        <v>5112</v>
      </c>
      <c r="B1230">
        <v>8010071</v>
      </c>
      <c r="D1230" s="11" t="s">
        <v>5113</v>
      </c>
      <c r="E1230" s="11" t="s">
        <v>5114</v>
      </c>
    </row>
    <row r="1231" spans="1:5">
      <c r="A1231" s="11" t="s">
        <v>5115</v>
      </c>
      <c r="B1231">
        <v>8001318</v>
      </c>
      <c r="D1231" s="11" t="s">
        <v>5116</v>
      </c>
      <c r="E1231" s="11" t="s">
        <v>5117</v>
      </c>
    </row>
    <row r="1232" spans="1:5">
      <c r="A1232" s="11" t="s">
        <v>5118</v>
      </c>
      <c r="B1232">
        <v>8001319</v>
      </c>
      <c r="D1232" s="11" t="s">
        <v>5119</v>
      </c>
      <c r="E1232" s="11" t="s">
        <v>5120</v>
      </c>
    </row>
    <row r="1233" spans="1:5">
      <c r="A1233" s="11" t="s">
        <v>5121</v>
      </c>
      <c r="B1233">
        <v>8001320</v>
      </c>
      <c r="D1233" s="11" t="s">
        <v>5122</v>
      </c>
      <c r="E1233" s="11" t="s">
        <v>5123</v>
      </c>
    </row>
    <row r="1234" spans="1:5">
      <c r="A1234" s="11" t="s">
        <v>5124</v>
      </c>
      <c r="B1234">
        <v>8070280</v>
      </c>
      <c r="D1234" s="11" t="s">
        <v>5125</v>
      </c>
      <c r="E1234" s="11" t="s">
        <v>5126</v>
      </c>
    </row>
    <row r="1235" spans="1:5">
      <c r="A1235" s="11" t="s">
        <v>5127</v>
      </c>
      <c r="B1235">
        <v>8000063</v>
      </c>
      <c r="D1235" s="11" t="s">
        <v>5128</v>
      </c>
      <c r="E1235" s="11" t="s">
        <v>5129</v>
      </c>
    </row>
    <row r="1236" spans="1:5">
      <c r="A1236" s="11" t="s">
        <v>5130</v>
      </c>
      <c r="B1236">
        <v>8013474</v>
      </c>
      <c r="D1236" s="11" t="s">
        <v>5131</v>
      </c>
      <c r="E1236" s="11" t="s">
        <v>5132</v>
      </c>
    </row>
    <row r="1237" spans="1:5">
      <c r="A1237" s="11" t="s">
        <v>5133</v>
      </c>
      <c r="B1237">
        <v>8011307</v>
      </c>
      <c r="D1237" s="11" t="s">
        <v>5134</v>
      </c>
      <c r="E1237" s="11" t="s">
        <v>5135</v>
      </c>
    </row>
    <row r="1238" spans="1:5">
      <c r="A1238" s="11" t="s">
        <v>5136</v>
      </c>
      <c r="B1238">
        <v>8001323</v>
      </c>
      <c r="D1238" s="11" t="s">
        <v>5137</v>
      </c>
      <c r="E1238" s="11" t="s">
        <v>5138</v>
      </c>
    </row>
    <row r="1239" spans="1:5">
      <c r="A1239" s="11" t="s">
        <v>5139</v>
      </c>
      <c r="B1239">
        <v>8081754</v>
      </c>
      <c r="D1239" s="11" t="s">
        <v>5140</v>
      </c>
      <c r="E1239" s="11" t="s">
        <v>5141</v>
      </c>
    </row>
    <row r="1240" spans="1:5">
      <c r="A1240" s="11" t="s">
        <v>5142</v>
      </c>
      <c r="B1240">
        <v>8012957</v>
      </c>
      <c r="D1240" s="11" t="s">
        <v>5143</v>
      </c>
      <c r="E1240" s="11" t="s">
        <v>5144</v>
      </c>
    </row>
    <row r="1241" spans="1:5">
      <c r="A1241" s="11" t="s">
        <v>5145</v>
      </c>
      <c r="B1241">
        <v>8011308</v>
      </c>
      <c r="D1241" s="11" t="s">
        <v>5146</v>
      </c>
      <c r="E1241" s="11" t="s">
        <v>5147</v>
      </c>
    </row>
    <row r="1242" spans="1:5">
      <c r="A1242" s="11" t="s">
        <v>5148</v>
      </c>
      <c r="B1242">
        <v>8011311</v>
      </c>
      <c r="D1242" s="11" t="s">
        <v>5149</v>
      </c>
      <c r="E1242" s="11" t="s">
        <v>5150</v>
      </c>
    </row>
    <row r="1243" spans="1:5">
      <c r="A1243" s="11" t="s">
        <v>5151</v>
      </c>
      <c r="B1243">
        <v>8001327</v>
      </c>
      <c r="D1243" s="11" t="s">
        <v>5152</v>
      </c>
      <c r="E1243" s="11" t="s">
        <v>5153</v>
      </c>
    </row>
    <row r="1244" spans="1:5">
      <c r="A1244" s="11" t="s">
        <v>5154</v>
      </c>
      <c r="B1244">
        <v>8001328</v>
      </c>
      <c r="D1244" s="11" t="s">
        <v>5155</v>
      </c>
      <c r="E1244" s="11" t="s">
        <v>5156</v>
      </c>
    </row>
    <row r="1245" spans="1:5">
      <c r="A1245" s="11" t="s">
        <v>5157</v>
      </c>
      <c r="B1245">
        <v>8001329</v>
      </c>
      <c r="D1245" s="11" t="s">
        <v>5158</v>
      </c>
      <c r="E1245" s="11" t="s">
        <v>5159</v>
      </c>
    </row>
    <row r="1246" spans="1:5">
      <c r="A1246" s="11" t="s">
        <v>5160</v>
      </c>
      <c r="B1246">
        <v>8000064</v>
      </c>
      <c r="D1246" s="11" t="s">
        <v>5161</v>
      </c>
      <c r="E1246" s="11" t="s">
        <v>5162</v>
      </c>
    </row>
    <row r="1247" spans="1:5">
      <c r="A1247" s="11" t="s">
        <v>5163</v>
      </c>
      <c r="B1247">
        <v>8001330</v>
      </c>
      <c r="D1247" s="11" t="s">
        <v>5164</v>
      </c>
      <c r="E1247" s="11" t="s">
        <v>5165</v>
      </c>
    </row>
    <row r="1248" spans="1:5">
      <c r="A1248" s="11" t="s">
        <v>5166</v>
      </c>
      <c r="B1248">
        <v>8001331</v>
      </c>
      <c r="D1248" s="11" t="s">
        <v>5167</v>
      </c>
      <c r="E1248" s="11" t="s">
        <v>5168</v>
      </c>
    </row>
    <row r="1249" spans="1:5">
      <c r="A1249" s="11" t="s">
        <v>5169</v>
      </c>
      <c r="B1249">
        <v>8005353</v>
      </c>
      <c r="D1249" s="11" t="s">
        <v>1539</v>
      </c>
      <c r="E1249" s="11" t="s">
        <v>1539</v>
      </c>
    </row>
    <row r="1250" spans="1:5">
      <c r="A1250" s="11" t="s">
        <v>5170</v>
      </c>
      <c r="B1250">
        <v>8017400</v>
      </c>
      <c r="D1250" s="11" t="s">
        <v>5171</v>
      </c>
      <c r="E1250" s="11" t="s">
        <v>5172</v>
      </c>
    </row>
    <row r="1251" spans="1:5">
      <c r="A1251" s="11" t="s">
        <v>5173</v>
      </c>
      <c r="B1251">
        <v>8017475</v>
      </c>
      <c r="D1251" s="11" t="s">
        <v>5174</v>
      </c>
      <c r="E1251" s="11" t="s">
        <v>5175</v>
      </c>
    </row>
    <row r="1252" spans="1:5">
      <c r="A1252" s="11" t="s">
        <v>5176</v>
      </c>
      <c r="B1252">
        <v>8017476</v>
      </c>
      <c r="D1252" s="11" t="s">
        <v>1539</v>
      </c>
      <c r="E1252" s="11" t="s">
        <v>1539</v>
      </c>
    </row>
    <row r="1253" spans="1:5">
      <c r="A1253" s="11" t="s">
        <v>5177</v>
      </c>
      <c r="B1253">
        <v>8017402</v>
      </c>
      <c r="D1253" s="11" t="s">
        <v>5178</v>
      </c>
      <c r="E1253" s="11" t="s">
        <v>5179</v>
      </c>
    </row>
    <row r="1254" spans="1:5">
      <c r="A1254" s="11" t="s">
        <v>5180</v>
      </c>
      <c r="B1254">
        <v>8011975</v>
      </c>
      <c r="D1254" s="11" t="s">
        <v>5181</v>
      </c>
      <c r="E1254" s="11" t="s">
        <v>5182</v>
      </c>
    </row>
    <row r="1255" spans="1:5">
      <c r="A1255" s="11" t="s">
        <v>5183</v>
      </c>
      <c r="B1255">
        <v>8017403</v>
      </c>
      <c r="D1255" s="11" t="s">
        <v>5184</v>
      </c>
      <c r="E1255" s="11" t="s">
        <v>5185</v>
      </c>
    </row>
    <row r="1256" spans="1:5">
      <c r="A1256" s="11" t="s">
        <v>5186</v>
      </c>
      <c r="B1256">
        <v>8010184</v>
      </c>
      <c r="D1256" s="11" t="s">
        <v>5187</v>
      </c>
      <c r="E1256" s="11" t="s">
        <v>5188</v>
      </c>
    </row>
    <row r="1257" spans="1:5">
      <c r="A1257" s="11" t="s">
        <v>5189</v>
      </c>
      <c r="B1257">
        <v>8011970</v>
      </c>
      <c r="D1257" s="11" t="s">
        <v>5190</v>
      </c>
      <c r="E1257" s="11" t="s">
        <v>5191</v>
      </c>
    </row>
    <row r="1258" spans="1:5">
      <c r="A1258" s="11" t="s">
        <v>5192</v>
      </c>
      <c r="B1258">
        <v>8017050</v>
      </c>
      <c r="D1258" s="11" t="s">
        <v>5193</v>
      </c>
      <c r="E1258" s="11" t="s">
        <v>5194</v>
      </c>
    </row>
    <row r="1259" spans="1:5">
      <c r="A1259" s="11" t="s">
        <v>5195</v>
      </c>
      <c r="B1259">
        <v>8011971</v>
      </c>
      <c r="D1259" s="11" t="s">
        <v>5196</v>
      </c>
      <c r="E1259" s="11" t="s">
        <v>5197</v>
      </c>
    </row>
    <row r="1260" spans="1:5">
      <c r="A1260" s="11" t="s">
        <v>5198</v>
      </c>
      <c r="B1260">
        <v>8017407</v>
      </c>
      <c r="D1260" s="11" t="s">
        <v>5199</v>
      </c>
      <c r="E1260" s="11" t="s">
        <v>5200</v>
      </c>
    </row>
    <row r="1261" spans="1:5">
      <c r="A1261" s="11" t="s">
        <v>5201</v>
      </c>
      <c r="B1261">
        <v>8017401</v>
      </c>
      <c r="D1261" s="11" t="s">
        <v>5202</v>
      </c>
      <c r="E1261" s="11" t="s">
        <v>5203</v>
      </c>
    </row>
    <row r="1262" spans="1:5">
      <c r="A1262" s="11" t="s">
        <v>5204</v>
      </c>
      <c r="B1262">
        <v>8017480</v>
      </c>
      <c r="D1262" s="11" t="s">
        <v>5205</v>
      </c>
      <c r="E1262" s="11" t="s">
        <v>5206</v>
      </c>
    </row>
    <row r="1263" spans="1:5">
      <c r="A1263" s="11" t="s">
        <v>5207</v>
      </c>
      <c r="B1263">
        <v>8017409</v>
      </c>
      <c r="D1263" s="11" t="s">
        <v>5208</v>
      </c>
      <c r="E1263" s="11" t="s">
        <v>5209</v>
      </c>
    </row>
    <row r="1264" spans="1:5">
      <c r="A1264" s="11" t="s">
        <v>5210</v>
      </c>
      <c r="B1264">
        <v>8017410</v>
      </c>
      <c r="D1264" s="11" t="s">
        <v>1539</v>
      </c>
      <c r="E1264" s="11" t="s">
        <v>1539</v>
      </c>
    </row>
    <row r="1265" spans="1:5">
      <c r="A1265" s="11" t="s">
        <v>5211</v>
      </c>
      <c r="B1265">
        <v>8017411</v>
      </c>
      <c r="D1265" s="11" t="s">
        <v>5212</v>
      </c>
      <c r="E1265" s="11" t="s">
        <v>5213</v>
      </c>
    </row>
    <row r="1266" spans="1:5">
      <c r="A1266" s="11" t="s">
        <v>5214</v>
      </c>
      <c r="B1266">
        <v>8017412</v>
      </c>
      <c r="D1266" s="11" t="s">
        <v>1539</v>
      </c>
      <c r="E1266" s="11" t="s">
        <v>1539</v>
      </c>
    </row>
    <row r="1267" spans="1:5">
      <c r="A1267" s="11" t="s">
        <v>5215</v>
      </c>
      <c r="B1267">
        <v>8017413</v>
      </c>
      <c r="D1267" s="11" t="s">
        <v>5216</v>
      </c>
      <c r="E1267" s="11" t="s">
        <v>5217</v>
      </c>
    </row>
    <row r="1268" spans="1:5">
      <c r="A1268" s="11" t="s">
        <v>5218</v>
      </c>
      <c r="B1268">
        <v>8017414</v>
      </c>
      <c r="D1268" s="11" t="s">
        <v>5219</v>
      </c>
      <c r="E1268" s="11" t="s">
        <v>5220</v>
      </c>
    </row>
    <row r="1269" spans="1:5">
      <c r="A1269" s="11" t="s">
        <v>5221</v>
      </c>
      <c r="B1269">
        <v>8017478</v>
      </c>
      <c r="D1269" s="11" t="s">
        <v>5222</v>
      </c>
      <c r="E1269" s="11" t="s">
        <v>5223</v>
      </c>
    </row>
    <row r="1270" spans="1:5">
      <c r="A1270" s="11" t="s">
        <v>5224</v>
      </c>
      <c r="B1270">
        <v>8071816</v>
      </c>
      <c r="D1270" s="11" t="s">
        <v>1539</v>
      </c>
      <c r="E1270" s="11" t="s">
        <v>1539</v>
      </c>
    </row>
    <row r="1271" spans="1:5">
      <c r="A1271" s="11" t="s">
        <v>5225</v>
      </c>
      <c r="B1271">
        <v>8010185</v>
      </c>
      <c r="D1271" s="11" t="s">
        <v>5226</v>
      </c>
      <c r="E1271" s="11" t="s">
        <v>5227</v>
      </c>
    </row>
    <row r="1272" spans="1:5">
      <c r="A1272" s="11" t="s">
        <v>5228</v>
      </c>
      <c r="B1272">
        <v>8017481</v>
      </c>
      <c r="D1272" s="11" t="s">
        <v>5229</v>
      </c>
      <c r="E1272" s="11" t="s">
        <v>5230</v>
      </c>
    </row>
    <row r="1273" spans="1:5">
      <c r="A1273" s="11" t="s">
        <v>5231</v>
      </c>
      <c r="B1273">
        <v>8017416</v>
      </c>
      <c r="D1273" s="11" t="s">
        <v>1539</v>
      </c>
      <c r="E1273" s="11" t="s">
        <v>1539</v>
      </c>
    </row>
    <row r="1274" spans="1:5">
      <c r="A1274" s="11" t="s">
        <v>5232</v>
      </c>
      <c r="B1274">
        <v>8017417</v>
      </c>
      <c r="D1274" s="11" t="s">
        <v>5233</v>
      </c>
      <c r="E1274" s="11" t="s">
        <v>5234</v>
      </c>
    </row>
    <row r="1275" spans="1:5">
      <c r="A1275" s="11" t="s">
        <v>5235</v>
      </c>
      <c r="B1275">
        <v>8017479</v>
      </c>
      <c r="D1275" s="11" t="s">
        <v>5236</v>
      </c>
      <c r="E1275" s="11" t="s">
        <v>5237</v>
      </c>
    </row>
    <row r="1276" spans="1:5">
      <c r="A1276" s="11" t="s">
        <v>5238</v>
      </c>
      <c r="B1276">
        <v>8017418</v>
      </c>
      <c r="D1276" s="11" t="s">
        <v>5239</v>
      </c>
      <c r="E1276" s="11" t="s">
        <v>5240</v>
      </c>
    </row>
    <row r="1277" spans="1:5">
      <c r="A1277" s="11" t="s">
        <v>5241</v>
      </c>
      <c r="B1277">
        <v>8017419</v>
      </c>
      <c r="D1277" s="11" t="s">
        <v>1539</v>
      </c>
      <c r="E1277" s="11" t="s">
        <v>1539</v>
      </c>
    </row>
    <row r="1278" spans="1:5">
      <c r="A1278" s="11" t="s">
        <v>5242</v>
      </c>
      <c r="B1278">
        <v>8017420</v>
      </c>
      <c r="D1278" s="11" t="s">
        <v>5243</v>
      </c>
      <c r="E1278" s="11" t="s">
        <v>5244</v>
      </c>
    </row>
    <row r="1279" spans="1:5">
      <c r="A1279" s="11" t="s">
        <v>5245</v>
      </c>
      <c r="B1279">
        <v>8011974</v>
      </c>
      <c r="D1279" s="11" t="s">
        <v>5246</v>
      </c>
      <c r="E1279" s="11" t="s">
        <v>5247</v>
      </c>
    </row>
    <row r="1280" spans="1:5">
      <c r="A1280" s="11" t="s">
        <v>5248</v>
      </c>
      <c r="B1280">
        <v>8071827</v>
      </c>
      <c r="D1280" s="11" t="s">
        <v>5249</v>
      </c>
      <c r="E1280" s="11" t="s">
        <v>5250</v>
      </c>
    </row>
    <row r="1281" spans="1:5">
      <c r="A1281" s="11" t="s">
        <v>5251</v>
      </c>
      <c r="B1281">
        <v>8011977</v>
      </c>
      <c r="D1281" s="11" t="s">
        <v>5252</v>
      </c>
      <c r="E1281" s="11" t="s">
        <v>5253</v>
      </c>
    </row>
    <row r="1282" spans="1:5">
      <c r="A1282" s="11" t="s">
        <v>5254</v>
      </c>
      <c r="B1282">
        <v>8013450</v>
      </c>
      <c r="D1282" s="11" t="s">
        <v>5255</v>
      </c>
      <c r="E1282" s="11" t="s">
        <v>5256</v>
      </c>
    </row>
    <row r="1283" spans="1:5">
      <c r="A1283" s="11" t="s">
        <v>5257</v>
      </c>
      <c r="B1283">
        <v>8071662</v>
      </c>
      <c r="D1283" s="11" t="s">
        <v>5258</v>
      </c>
      <c r="E1283" s="11" t="s">
        <v>5259</v>
      </c>
    </row>
    <row r="1284" spans="1:5">
      <c r="A1284" s="11" t="s">
        <v>5260</v>
      </c>
      <c r="B1284">
        <v>8011978</v>
      </c>
      <c r="D1284" s="11" t="s">
        <v>5261</v>
      </c>
      <c r="E1284" s="11" t="s">
        <v>5262</v>
      </c>
    </row>
    <row r="1285" spans="1:5">
      <c r="A1285" s="11" t="s">
        <v>5263</v>
      </c>
      <c r="B1285">
        <v>8011979</v>
      </c>
      <c r="D1285" s="11" t="s">
        <v>5264</v>
      </c>
      <c r="E1285" s="11" t="s">
        <v>5265</v>
      </c>
    </row>
    <row r="1286" spans="1:5">
      <c r="A1286" s="11" t="s">
        <v>5266</v>
      </c>
      <c r="B1286">
        <v>8011980</v>
      </c>
      <c r="D1286" s="11" t="s">
        <v>5267</v>
      </c>
      <c r="E1286" s="11" t="s">
        <v>5268</v>
      </c>
    </row>
    <row r="1287" spans="1:5">
      <c r="A1287" s="11" t="s">
        <v>5269</v>
      </c>
      <c r="B1287">
        <v>8011314</v>
      </c>
      <c r="D1287" s="11" t="s">
        <v>5270</v>
      </c>
      <c r="E1287" s="11" t="s">
        <v>5271</v>
      </c>
    </row>
    <row r="1288" spans="1:5">
      <c r="A1288" s="11" t="s">
        <v>5272</v>
      </c>
      <c r="B1288">
        <v>8079715</v>
      </c>
      <c r="D1288" s="11" t="s">
        <v>5273</v>
      </c>
      <c r="E1288" s="11" t="s">
        <v>5274</v>
      </c>
    </row>
    <row r="1289" spans="1:5">
      <c r="A1289" s="11" t="s">
        <v>5275</v>
      </c>
      <c r="B1289">
        <v>8001335</v>
      </c>
      <c r="D1289" s="11" t="s">
        <v>5276</v>
      </c>
      <c r="E1289" s="11" t="s">
        <v>5277</v>
      </c>
    </row>
    <row r="1290" spans="1:5">
      <c r="A1290" s="11" t="s">
        <v>5278</v>
      </c>
      <c r="B1290">
        <v>8011315</v>
      </c>
      <c r="D1290" s="11" t="s">
        <v>5279</v>
      </c>
      <c r="E1290" s="11" t="s">
        <v>5280</v>
      </c>
    </row>
    <row r="1291" spans="1:5">
      <c r="A1291" s="11" t="s">
        <v>5281</v>
      </c>
      <c r="B1291">
        <v>8001337</v>
      </c>
      <c r="D1291" s="11" t="s">
        <v>5282</v>
      </c>
      <c r="E1291" s="11" t="s">
        <v>5283</v>
      </c>
    </row>
    <row r="1292" spans="1:5">
      <c r="A1292" s="11" t="s">
        <v>256</v>
      </c>
      <c r="B1292">
        <v>8001338</v>
      </c>
      <c r="D1292" s="11" t="s">
        <v>258</v>
      </c>
      <c r="E1292" s="11" t="s">
        <v>259</v>
      </c>
    </row>
    <row r="1293" spans="1:5">
      <c r="A1293" s="11" t="s">
        <v>5284</v>
      </c>
      <c r="B1293">
        <v>8001334</v>
      </c>
      <c r="D1293" s="11" t="s">
        <v>5285</v>
      </c>
      <c r="E1293" s="11" t="s">
        <v>5286</v>
      </c>
    </row>
    <row r="1294" spans="1:5">
      <c r="A1294" s="11" t="s">
        <v>5287</v>
      </c>
      <c r="B1294">
        <v>8001333</v>
      </c>
      <c r="D1294" s="11" t="s">
        <v>5288</v>
      </c>
      <c r="E1294" s="11" t="s">
        <v>5289</v>
      </c>
    </row>
    <row r="1295" spans="1:5">
      <c r="A1295" s="11" t="s">
        <v>5290</v>
      </c>
      <c r="B1295">
        <v>8001339</v>
      </c>
      <c r="D1295" s="11" t="s">
        <v>5291</v>
      </c>
      <c r="E1295" s="11" t="s">
        <v>5292</v>
      </c>
    </row>
    <row r="1296" spans="1:5">
      <c r="A1296" s="11" t="s">
        <v>5293</v>
      </c>
      <c r="B1296">
        <v>8001340</v>
      </c>
      <c r="D1296" s="11" t="s">
        <v>5294</v>
      </c>
      <c r="E1296" s="11" t="s">
        <v>5295</v>
      </c>
    </row>
    <row r="1297" spans="1:5">
      <c r="A1297" s="11" t="s">
        <v>5296</v>
      </c>
      <c r="B1297">
        <v>8001343</v>
      </c>
      <c r="D1297" s="11" t="s">
        <v>5297</v>
      </c>
      <c r="E1297" s="11" t="s">
        <v>5298</v>
      </c>
    </row>
    <row r="1298" spans="1:5">
      <c r="A1298" s="11" t="s">
        <v>5299</v>
      </c>
      <c r="B1298">
        <v>8000066</v>
      </c>
      <c r="D1298" s="11" t="s">
        <v>5300</v>
      </c>
      <c r="E1298" s="11" t="s">
        <v>5301</v>
      </c>
    </row>
    <row r="1299" spans="1:5">
      <c r="A1299" s="11" t="s">
        <v>5302</v>
      </c>
      <c r="B1299">
        <v>8000065</v>
      </c>
      <c r="D1299" s="11" t="s">
        <v>5303</v>
      </c>
      <c r="E1299" s="11" t="s">
        <v>5304</v>
      </c>
    </row>
    <row r="1300" spans="1:5">
      <c r="A1300" s="11" t="s">
        <v>5305</v>
      </c>
      <c r="B1300">
        <v>8005028</v>
      </c>
      <c r="D1300" s="11" t="s">
        <v>5306</v>
      </c>
      <c r="E1300" s="11" t="s">
        <v>5307</v>
      </c>
    </row>
    <row r="1301" spans="1:5">
      <c r="A1301" s="11" t="s">
        <v>5308</v>
      </c>
      <c r="B1301">
        <v>8001341</v>
      </c>
      <c r="D1301" s="11" t="s">
        <v>5309</v>
      </c>
      <c r="E1301" s="11" t="s">
        <v>5310</v>
      </c>
    </row>
    <row r="1302" spans="1:5">
      <c r="A1302" s="11" t="s">
        <v>5311</v>
      </c>
      <c r="B1302">
        <v>8001342</v>
      </c>
      <c r="D1302" s="11" t="s">
        <v>5312</v>
      </c>
      <c r="E1302" s="11" t="s">
        <v>5313</v>
      </c>
    </row>
    <row r="1303" spans="1:5">
      <c r="A1303" s="11" t="s">
        <v>5314</v>
      </c>
      <c r="B1303">
        <v>8011319</v>
      </c>
      <c r="D1303" s="11" t="s">
        <v>5315</v>
      </c>
      <c r="E1303" s="11" t="s">
        <v>5316</v>
      </c>
    </row>
    <row r="1304" spans="1:5">
      <c r="A1304" s="11" t="s">
        <v>5317</v>
      </c>
      <c r="B1304">
        <v>8011320</v>
      </c>
      <c r="D1304" s="11" t="s">
        <v>5318</v>
      </c>
      <c r="E1304" s="11" t="s">
        <v>5319</v>
      </c>
    </row>
    <row r="1305" spans="1:5">
      <c r="A1305" s="11" t="s">
        <v>5320</v>
      </c>
      <c r="B1305">
        <v>8070941</v>
      </c>
      <c r="D1305" s="11" t="s">
        <v>5321</v>
      </c>
      <c r="E1305" s="11" t="s">
        <v>5322</v>
      </c>
    </row>
    <row r="1306" spans="1:5">
      <c r="A1306" s="11" t="s">
        <v>5323</v>
      </c>
      <c r="B1306">
        <v>8011322</v>
      </c>
      <c r="D1306" s="11" t="s">
        <v>5324</v>
      </c>
      <c r="E1306" s="11" t="s">
        <v>5325</v>
      </c>
    </row>
    <row r="1307" spans="1:5">
      <c r="A1307" s="11" t="s">
        <v>5326</v>
      </c>
      <c r="B1307">
        <v>8010072</v>
      </c>
      <c r="D1307" s="11" t="s">
        <v>5327</v>
      </c>
      <c r="E1307" s="11" t="s">
        <v>5328</v>
      </c>
    </row>
    <row r="1308" spans="1:5">
      <c r="A1308" s="11" t="s">
        <v>5329</v>
      </c>
      <c r="B1308">
        <v>8010073</v>
      </c>
      <c r="D1308" s="11" t="s">
        <v>5330</v>
      </c>
      <c r="E1308" s="11" t="s">
        <v>5331</v>
      </c>
    </row>
    <row r="1309" spans="1:5">
      <c r="A1309" s="11" t="s">
        <v>5332</v>
      </c>
      <c r="B1309">
        <v>8012341</v>
      </c>
      <c r="D1309" s="11" t="s">
        <v>5333</v>
      </c>
      <c r="E1309" s="11" t="s">
        <v>5334</v>
      </c>
    </row>
    <row r="1310" spans="1:5">
      <c r="A1310" s="11" t="s">
        <v>5335</v>
      </c>
      <c r="B1310">
        <v>8079716</v>
      </c>
      <c r="D1310" s="11" t="s">
        <v>5336</v>
      </c>
      <c r="E1310" s="11" t="s">
        <v>5337</v>
      </c>
    </row>
    <row r="1311" spans="1:5">
      <c r="A1311" s="11" t="s">
        <v>5338</v>
      </c>
      <c r="B1311">
        <v>8011318</v>
      </c>
      <c r="D1311" s="11" t="s">
        <v>5339</v>
      </c>
      <c r="E1311" s="11" t="s">
        <v>5340</v>
      </c>
    </row>
    <row r="1312" spans="1:5">
      <c r="A1312" s="11" t="s">
        <v>5341</v>
      </c>
      <c r="B1312">
        <v>8081688</v>
      </c>
      <c r="D1312" s="11" t="s">
        <v>5342</v>
      </c>
      <c r="E1312" s="11" t="s">
        <v>5343</v>
      </c>
    </row>
    <row r="1313" spans="1:5">
      <c r="A1313" s="11" t="s">
        <v>5344</v>
      </c>
      <c r="B1313">
        <v>8000067</v>
      </c>
      <c r="D1313" s="11" t="s">
        <v>5345</v>
      </c>
      <c r="E1313" s="11" t="s">
        <v>5346</v>
      </c>
    </row>
    <row r="1314" spans="1:5">
      <c r="A1314" s="11" t="s">
        <v>426</v>
      </c>
      <c r="B1314">
        <v>8010074</v>
      </c>
      <c r="D1314" s="11" t="s">
        <v>428</v>
      </c>
      <c r="E1314" s="11" t="s">
        <v>429</v>
      </c>
    </row>
    <row r="1315" spans="1:5">
      <c r="A1315" s="11" t="s">
        <v>5347</v>
      </c>
      <c r="B1315">
        <v>8001347</v>
      </c>
      <c r="D1315" s="11" t="s">
        <v>5348</v>
      </c>
      <c r="E1315" s="11" t="s">
        <v>5349</v>
      </c>
    </row>
    <row r="1316" spans="1:5">
      <c r="A1316" s="11" t="s">
        <v>5350</v>
      </c>
      <c r="B1316">
        <v>8001348</v>
      </c>
      <c r="D1316" s="11" t="s">
        <v>5351</v>
      </c>
      <c r="E1316" s="11" t="s">
        <v>5352</v>
      </c>
    </row>
    <row r="1317" spans="1:5">
      <c r="A1317" s="11" t="s">
        <v>5353</v>
      </c>
      <c r="B1317">
        <v>8011325</v>
      </c>
      <c r="D1317" s="11" t="s">
        <v>5354</v>
      </c>
      <c r="E1317" s="11" t="s">
        <v>5355</v>
      </c>
    </row>
    <row r="1318" spans="1:5">
      <c r="A1318" s="11" t="s">
        <v>5356</v>
      </c>
      <c r="B1318">
        <v>8011326</v>
      </c>
      <c r="D1318" s="11" t="s">
        <v>5357</v>
      </c>
      <c r="E1318" s="11" t="s">
        <v>5358</v>
      </c>
    </row>
    <row r="1319" spans="1:5">
      <c r="A1319" s="11" t="s">
        <v>5359</v>
      </c>
      <c r="B1319">
        <v>8071105</v>
      </c>
      <c r="D1319" s="11" t="s">
        <v>5360</v>
      </c>
      <c r="E1319" s="11" t="s">
        <v>5361</v>
      </c>
    </row>
    <row r="1320" spans="1:5">
      <c r="A1320" s="11" t="s">
        <v>5362</v>
      </c>
      <c r="B1320">
        <v>8010196</v>
      </c>
      <c r="D1320" s="11" t="s">
        <v>5363</v>
      </c>
      <c r="E1320" s="11" t="s">
        <v>5364</v>
      </c>
    </row>
    <row r="1321" spans="1:5">
      <c r="A1321" s="11" t="s">
        <v>5365</v>
      </c>
      <c r="B1321">
        <v>8011312</v>
      </c>
      <c r="D1321" s="11" t="s">
        <v>5366</v>
      </c>
      <c r="E1321" s="11" t="s">
        <v>5367</v>
      </c>
    </row>
    <row r="1322" spans="1:5">
      <c r="A1322" s="11" t="s">
        <v>5368</v>
      </c>
      <c r="B1322">
        <v>8011331</v>
      </c>
      <c r="D1322" s="11" t="s">
        <v>5369</v>
      </c>
      <c r="E1322" s="11" t="s">
        <v>5370</v>
      </c>
    </row>
    <row r="1323" spans="1:5">
      <c r="A1323" s="11" t="s">
        <v>5371</v>
      </c>
      <c r="B1323">
        <v>8011332</v>
      </c>
      <c r="D1323" s="11" t="s">
        <v>5372</v>
      </c>
      <c r="E1323" s="11" t="s">
        <v>5373</v>
      </c>
    </row>
    <row r="1324" spans="1:5">
      <c r="A1324" s="11" t="s">
        <v>5374</v>
      </c>
      <c r="B1324">
        <v>8001352</v>
      </c>
      <c r="D1324" s="11" t="s">
        <v>5375</v>
      </c>
      <c r="E1324" s="11" t="s">
        <v>5376</v>
      </c>
    </row>
    <row r="1325" spans="1:5">
      <c r="A1325" s="11" t="s">
        <v>5377</v>
      </c>
      <c r="B1325">
        <v>8071353</v>
      </c>
      <c r="D1325" s="11" t="s">
        <v>5378</v>
      </c>
      <c r="E1325" s="11" t="s">
        <v>5379</v>
      </c>
    </row>
    <row r="1326" spans="1:5">
      <c r="A1326" s="11" t="s">
        <v>5380</v>
      </c>
      <c r="B1326">
        <v>8071352</v>
      </c>
      <c r="D1326" s="11" t="s">
        <v>5381</v>
      </c>
      <c r="E1326" s="11" t="s">
        <v>5382</v>
      </c>
    </row>
    <row r="1327" spans="1:5">
      <c r="A1327" s="11" t="s">
        <v>5383</v>
      </c>
      <c r="B1327">
        <v>8007077</v>
      </c>
      <c r="D1327" s="11" t="s">
        <v>5384</v>
      </c>
      <c r="E1327" s="11" t="s">
        <v>5385</v>
      </c>
    </row>
    <row r="1328" spans="1:5">
      <c r="A1328" s="11" t="s">
        <v>5386</v>
      </c>
      <c r="B1328">
        <v>8011334</v>
      </c>
      <c r="D1328" s="11" t="s">
        <v>5387</v>
      </c>
      <c r="E1328" s="11" t="s">
        <v>5388</v>
      </c>
    </row>
    <row r="1329" spans="1:5">
      <c r="A1329" s="11" t="s">
        <v>5389</v>
      </c>
      <c r="B1329">
        <v>8001354</v>
      </c>
      <c r="D1329" s="11" t="s">
        <v>5390</v>
      </c>
      <c r="E1329" s="11" t="s">
        <v>5391</v>
      </c>
    </row>
    <row r="1330" spans="1:5">
      <c r="A1330" s="11" t="s">
        <v>5392</v>
      </c>
      <c r="B1330">
        <v>8001355</v>
      </c>
      <c r="D1330" s="11" t="s">
        <v>5393</v>
      </c>
      <c r="E1330" s="11" t="s">
        <v>5394</v>
      </c>
    </row>
    <row r="1331" spans="1:5">
      <c r="A1331" s="11" t="s">
        <v>5395</v>
      </c>
      <c r="B1331">
        <v>8011335</v>
      </c>
      <c r="D1331" s="11" t="s">
        <v>5396</v>
      </c>
      <c r="E1331" s="11" t="s">
        <v>5397</v>
      </c>
    </row>
    <row r="1332" spans="1:5">
      <c r="A1332" s="11" t="s">
        <v>5398</v>
      </c>
      <c r="B1332">
        <v>8011336</v>
      </c>
      <c r="D1332" s="11" t="s">
        <v>5399</v>
      </c>
      <c r="E1332" s="11" t="s">
        <v>5400</v>
      </c>
    </row>
    <row r="1333" spans="1:5">
      <c r="A1333" s="11" t="s">
        <v>5401</v>
      </c>
      <c r="B1333">
        <v>8077770</v>
      </c>
      <c r="D1333" s="11" t="s">
        <v>5402</v>
      </c>
      <c r="E1333" s="11" t="s">
        <v>5403</v>
      </c>
    </row>
    <row r="1334" spans="1:5">
      <c r="A1334" s="11" t="s">
        <v>5404</v>
      </c>
      <c r="B1334">
        <v>8007769</v>
      </c>
      <c r="D1334" s="11" t="s">
        <v>5405</v>
      </c>
      <c r="E1334" s="11" t="s">
        <v>5406</v>
      </c>
    </row>
    <row r="1335" spans="1:5">
      <c r="A1335" s="11" t="s">
        <v>5407</v>
      </c>
      <c r="B1335">
        <v>8001357</v>
      </c>
      <c r="D1335" s="11" t="s">
        <v>5408</v>
      </c>
      <c r="E1335" s="11" t="s">
        <v>5409</v>
      </c>
    </row>
    <row r="1336" spans="1:5">
      <c r="A1336" s="11" t="s">
        <v>5410</v>
      </c>
      <c r="B1336">
        <v>8001358</v>
      </c>
      <c r="D1336" s="11" t="s">
        <v>5411</v>
      </c>
      <c r="E1336" s="11" t="s">
        <v>5412</v>
      </c>
    </row>
    <row r="1337" spans="1:5">
      <c r="A1337" s="11" t="s">
        <v>5413</v>
      </c>
      <c r="B1337">
        <v>8001359</v>
      </c>
      <c r="D1337" s="11" t="s">
        <v>5414</v>
      </c>
      <c r="E1337" s="11" t="s">
        <v>5415</v>
      </c>
    </row>
    <row r="1338" spans="1:5">
      <c r="A1338" s="11" t="s">
        <v>5416</v>
      </c>
      <c r="B1338">
        <v>8011339</v>
      </c>
      <c r="D1338" s="11" t="s">
        <v>5417</v>
      </c>
      <c r="E1338" s="11" t="s">
        <v>5418</v>
      </c>
    </row>
    <row r="1339" spans="1:5">
      <c r="A1339" s="11" t="s">
        <v>5419</v>
      </c>
      <c r="B1339">
        <v>8001360</v>
      </c>
      <c r="D1339" s="11" t="s">
        <v>5420</v>
      </c>
      <c r="E1339" s="11" t="s">
        <v>5421</v>
      </c>
    </row>
    <row r="1340" spans="1:5">
      <c r="A1340" s="11" t="s">
        <v>5422</v>
      </c>
      <c r="B1340">
        <v>8001362</v>
      </c>
      <c r="D1340" s="11" t="s">
        <v>5423</v>
      </c>
      <c r="E1340" s="11" t="s">
        <v>5424</v>
      </c>
    </row>
    <row r="1341" spans="1:5">
      <c r="A1341" s="11" t="s">
        <v>5425</v>
      </c>
      <c r="B1341">
        <v>8011340</v>
      </c>
      <c r="D1341" s="11" t="s">
        <v>5426</v>
      </c>
      <c r="E1341" s="11" t="s">
        <v>5427</v>
      </c>
    </row>
    <row r="1342" spans="1:5">
      <c r="A1342" s="11" t="s">
        <v>5428</v>
      </c>
      <c r="B1342">
        <v>8079085</v>
      </c>
      <c r="D1342" s="11" t="s">
        <v>5429</v>
      </c>
      <c r="E1342" s="11" t="s">
        <v>5430</v>
      </c>
    </row>
    <row r="1343" spans="1:5">
      <c r="A1343" s="11" t="s">
        <v>5431</v>
      </c>
      <c r="B1343">
        <v>8079081</v>
      </c>
      <c r="D1343" s="11" t="s">
        <v>5432</v>
      </c>
      <c r="E1343" s="11" t="s">
        <v>5433</v>
      </c>
    </row>
    <row r="1344" spans="1:5">
      <c r="A1344" s="11" t="s">
        <v>5434</v>
      </c>
      <c r="B1344">
        <v>8001365</v>
      </c>
      <c r="D1344" s="11" t="s">
        <v>5435</v>
      </c>
      <c r="E1344" s="11" t="s">
        <v>5436</v>
      </c>
    </row>
    <row r="1345" spans="1:5">
      <c r="A1345" s="11" t="s">
        <v>5437</v>
      </c>
      <c r="B1345">
        <v>8001366</v>
      </c>
      <c r="D1345" s="11" t="s">
        <v>5438</v>
      </c>
      <c r="E1345" s="11" t="s">
        <v>5439</v>
      </c>
    </row>
    <row r="1346" spans="1:5">
      <c r="A1346" s="11" t="s">
        <v>5440</v>
      </c>
      <c r="B1346">
        <v>8080260</v>
      </c>
      <c r="D1346" s="11" t="s">
        <v>5441</v>
      </c>
      <c r="E1346" s="11" t="s">
        <v>5442</v>
      </c>
    </row>
    <row r="1347" spans="1:5">
      <c r="A1347" s="11" t="s">
        <v>5443</v>
      </c>
      <c r="B1347">
        <v>8011342</v>
      </c>
      <c r="D1347" s="11" t="s">
        <v>5444</v>
      </c>
      <c r="E1347" s="11" t="s">
        <v>5445</v>
      </c>
    </row>
    <row r="1348" spans="1:5">
      <c r="A1348" s="11" t="s">
        <v>5446</v>
      </c>
      <c r="B1348">
        <v>8001372</v>
      </c>
      <c r="D1348" s="11" t="s">
        <v>5447</v>
      </c>
      <c r="E1348" s="11" t="s">
        <v>5448</v>
      </c>
    </row>
    <row r="1349" spans="1:5">
      <c r="A1349" s="11" t="s">
        <v>5449</v>
      </c>
      <c r="B1349">
        <v>8011344</v>
      </c>
      <c r="D1349" s="11" t="s">
        <v>5450</v>
      </c>
      <c r="E1349" s="11" t="s">
        <v>5451</v>
      </c>
    </row>
    <row r="1350" spans="1:5">
      <c r="A1350" s="11" t="s">
        <v>5452</v>
      </c>
      <c r="B1350">
        <v>8070962</v>
      </c>
      <c r="D1350" s="11" t="s">
        <v>5453</v>
      </c>
      <c r="E1350" s="11" t="s">
        <v>5454</v>
      </c>
    </row>
    <row r="1351" spans="1:5">
      <c r="A1351" s="11" t="s">
        <v>5455</v>
      </c>
      <c r="B1351">
        <v>8001373</v>
      </c>
      <c r="D1351" s="11" t="s">
        <v>5456</v>
      </c>
      <c r="E1351" s="11" t="s">
        <v>5457</v>
      </c>
    </row>
    <row r="1352" spans="1:5">
      <c r="A1352" s="11" t="s">
        <v>5458</v>
      </c>
      <c r="B1352">
        <v>8011346</v>
      </c>
      <c r="D1352" s="11" t="s">
        <v>5459</v>
      </c>
      <c r="E1352" s="11" t="s">
        <v>5460</v>
      </c>
    </row>
    <row r="1353" spans="1:5">
      <c r="A1353" s="11" t="s">
        <v>5461</v>
      </c>
      <c r="B1353">
        <v>8000068</v>
      </c>
      <c r="D1353" s="11" t="s">
        <v>5462</v>
      </c>
      <c r="E1353" s="11" t="s">
        <v>5463</v>
      </c>
    </row>
    <row r="1354" spans="1:5">
      <c r="A1354" s="11" t="s">
        <v>5464</v>
      </c>
      <c r="B1354">
        <v>8001375</v>
      </c>
      <c r="D1354" s="11" t="s">
        <v>5465</v>
      </c>
      <c r="E1354" s="11" t="s">
        <v>5466</v>
      </c>
    </row>
    <row r="1355" spans="1:5">
      <c r="A1355" s="11" t="s">
        <v>5467</v>
      </c>
      <c r="B1355">
        <v>8001376</v>
      </c>
      <c r="D1355" s="11" t="s">
        <v>5468</v>
      </c>
      <c r="E1355" s="11" t="s">
        <v>5469</v>
      </c>
    </row>
    <row r="1356" spans="1:5">
      <c r="A1356" s="11" t="s">
        <v>5470</v>
      </c>
      <c r="B1356">
        <v>8001377</v>
      </c>
      <c r="D1356" s="11" t="s">
        <v>5471</v>
      </c>
      <c r="E1356" s="11" t="s">
        <v>5472</v>
      </c>
    </row>
    <row r="1357" spans="1:5">
      <c r="A1357" s="11" t="s">
        <v>5473</v>
      </c>
      <c r="B1357">
        <v>8001386</v>
      </c>
      <c r="D1357" s="11" t="s">
        <v>5474</v>
      </c>
      <c r="E1357" s="11" t="s">
        <v>5475</v>
      </c>
    </row>
    <row r="1358" spans="1:5">
      <c r="A1358" s="11" t="s">
        <v>5476</v>
      </c>
      <c r="B1358">
        <v>8001378</v>
      </c>
      <c r="D1358" s="11" t="s">
        <v>5477</v>
      </c>
      <c r="E1358" s="11" t="s">
        <v>5478</v>
      </c>
    </row>
    <row r="1359" spans="1:5">
      <c r="A1359" s="11" t="s">
        <v>5479</v>
      </c>
      <c r="B1359">
        <v>8001379</v>
      </c>
      <c r="D1359" s="11" t="s">
        <v>5480</v>
      </c>
      <c r="E1359" s="11" t="s">
        <v>5481</v>
      </c>
    </row>
    <row r="1360" spans="1:5">
      <c r="A1360" s="11" t="s">
        <v>5482</v>
      </c>
      <c r="B1360">
        <v>8001380</v>
      </c>
      <c r="D1360" s="11" t="s">
        <v>5483</v>
      </c>
      <c r="E1360" s="11" t="s">
        <v>5484</v>
      </c>
    </row>
    <row r="1361" spans="1:5">
      <c r="A1361" s="11" t="s">
        <v>5485</v>
      </c>
      <c r="B1361">
        <v>8006528</v>
      </c>
      <c r="D1361" s="11" t="s">
        <v>5486</v>
      </c>
      <c r="E1361" s="11" t="s">
        <v>5487</v>
      </c>
    </row>
    <row r="1362" spans="1:5">
      <c r="A1362" s="11" t="s">
        <v>5488</v>
      </c>
      <c r="B1362">
        <v>8001382</v>
      </c>
      <c r="D1362" s="11" t="s">
        <v>5489</v>
      </c>
      <c r="E1362" s="11" t="s">
        <v>5490</v>
      </c>
    </row>
    <row r="1363" spans="1:5">
      <c r="A1363" s="11" t="s">
        <v>5491</v>
      </c>
      <c r="B1363">
        <v>8071735</v>
      </c>
      <c r="D1363" s="11" t="s">
        <v>5492</v>
      </c>
      <c r="E1363" s="11" t="s">
        <v>5493</v>
      </c>
    </row>
    <row r="1364" spans="1:5">
      <c r="A1364" s="11" t="s">
        <v>5494</v>
      </c>
      <c r="B1364">
        <v>8001384</v>
      </c>
      <c r="D1364" s="11" t="s">
        <v>5495</v>
      </c>
      <c r="E1364" s="11" t="s">
        <v>5496</v>
      </c>
    </row>
    <row r="1365" spans="1:5">
      <c r="A1365" s="11" t="s">
        <v>5497</v>
      </c>
      <c r="B1365">
        <v>8001387</v>
      </c>
      <c r="D1365" s="11" t="s">
        <v>5498</v>
      </c>
      <c r="E1365" s="11" t="s">
        <v>5499</v>
      </c>
    </row>
    <row r="1366" spans="1:5">
      <c r="A1366" s="11" t="s">
        <v>5500</v>
      </c>
      <c r="B1366">
        <v>8001388</v>
      </c>
      <c r="D1366" s="11" t="s">
        <v>5501</v>
      </c>
      <c r="E1366" s="11" t="s">
        <v>5502</v>
      </c>
    </row>
    <row r="1367" spans="1:5">
      <c r="A1367" s="11" t="s">
        <v>5503</v>
      </c>
      <c r="B1367">
        <v>8001389</v>
      </c>
      <c r="D1367" s="11" t="s">
        <v>5504</v>
      </c>
      <c r="E1367" s="11" t="s">
        <v>5505</v>
      </c>
    </row>
    <row r="1368" spans="1:5">
      <c r="A1368" s="11" t="s">
        <v>5506</v>
      </c>
      <c r="B1368">
        <v>8001390</v>
      </c>
      <c r="D1368" s="11" t="s">
        <v>5507</v>
      </c>
      <c r="E1368" s="11" t="s">
        <v>5508</v>
      </c>
    </row>
    <row r="1369" spans="1:5">
      <c r="A1369" s="11" t="s">
        <v>5509</v>
      </c>
      <c r="B1369">
        <v>8001392</v>
      </c>
      <c r="D1369" s="11" t="s">
        <v>5510</v>
      </c>
      <c r="E1369" s="11" t="s">
        <v>5511</v>
      </c>
    </row>
    <row r="1370" spans="1:5">
      <c r="A1370" s="11" t="s">
        <v>5512</v>
      </c>
      <c r="B1370">
        <v>8001393</v>
      </c>
      <c r="D1370" s="11" t="s">
        <v>5513</v>
      </c>
      <c r="E1370" s="11" t="s">
        <v>5514</v>
      </c>
    </row>
    <row r="1371" spans="1:5">
      <c r="A1371" s="11" t="s">
        <v>5515</v>
      </c>
      <c r="B1371">
        <v>8001394</v>
      </c>
      <c r="D1371" s="11" t="s">
        <v>5516</v>
      </c>
      <c r="E1371" s="11" t="s">
        <v>5517</v>
      </c>
    </row>
    <row r="1372" spans="1:5">
      <c r="A1372" s="11" t="s">
        <v>5518</v>
      </c>
      <c r="B1372">
        <v>8079022</v>
      </c>
      <c r="D1372" s="11" t="s">
        <v>5519</v>
      </c>
      <c r="E1372" s="11" t="s">
        <v>5520</v>
      </c>
    </row>
    <row r="1373" spans="1:5">
      <c r="A1373" s="11" t="s">
        <v>5521</v>
      </c>
      <c r="B1373">
        <v>8001397</v>
      </c>
      <c r="D1373" s="11" t="s">
        <v>5522</v>
      </c>
      <c r="E1373" s="11" t="s">
        <v>5523</v>
      </c>
    </row>
    <row r="1374" spans="1:5">
      <c r="A1374" s="11" t="s">
        <v>5524</v>
      </c>
      <c r="B1374">
        <v>8001399</v>
      </c>
      <c r="D1374" s="11" t="s">
        <v>5525</v>
      </c>
      <c r="E1374" s="11" t="s">
        <v>5526</v>
      </c>
    </row>
    <row r="1375" spans="1:5">
      <c r="A1375" s="11" t="s">
        <v>5527</v>
      </c>
      <c r="B1375">
        <v>8001400</v>
      </c>
      <c r="D1375" s="11" t="s">
        <v>5528</v>
      </c>
      <c r="E1375" s="11" t="s">
        <v>5529</v>
      </c>
    </row>
    <row r="1376" spans="1:5">
      <c r="A1376" s="11" t="s">
        <v>5530</v>
      </c>
      <c r="B1376">
        <v>8001404</v>
      </c>
      <c r="D1376" s="11" t="s">
        <v>5531</v>
      </c>
      <c r="E1376" s="11" t="s">
        <v>5532</v>
      </c>
    </row>
    <row r="1377" spans="1:5">
      <c r="A1377" s="11" t="s">
        <v>5533</v>
      </c>
      <c r="B1377">
        <v>8001405</v>
      </c>
      <c r="D1377" s="11" t="s">
        <v>5534</v>
      </c>
      <c r="E1377" s="11" t="s">
        <v>5535</v>
      </c>
    </row>
    <row r="1378" spans="1:5">
      <c r="A1378" s="11" t="s">
        <v>5536</v>
      </c>
      <c r="B1378">
        <v>8080280</v>
      </c>
      <c r="D1378" s="11" t="s">
        <v>5537</v>
      </c>
      <c r="E1378" s="11" t="s">
        <v>5538</v>
      </c>
    </row>
    <row r="1379" spans="1:5">
      <c r="A1379" s="11" t="s">
        <v>5539</v>
      </c>
      <c r="B1379">
        <v>8010076</v>
      </c>
      <c r="D1379" s="11" t="s">
        <v>5540</v>
      </c>
      <c r="E1379" s="11" t="s">
        <v>5541</v>
      </c>
    </row>
    <row r="1380" spans="1:5">
      <c r="A1380" s="11" t="s">
        <v>5542</v>
      </c>
      <c r="B1380">
        <v>8001406</v>
      </c>
      <c r="D1380" s="11" t="s">
        <v>5543</v>
      </c>
      <c r="E1380" s="11" t="s">
        <v>5544</v>
      </c>
    </row>
    <row r="1381" spans="1:5">
      <c r="A1381" s="11" t="s">
        <v>5545</v>
      </c>
      <c r="B1381">
        <v>8001407</v>
      </c>
      <c r="D1381" s="11" t="s">
        <v>5546</v>
      </c>
      <c r="E1381" s="11" t="s">
        <v>5547</v>
      </c>
    </row>
    <row r="1382" spans="1:5">
      <c r="A1382" s="11" t="s">
        <v>5548</v>
      </c>
      <c r="B1382">
        <v>8000070</v>
      </c>
      <c r="D1382" s="11" t="s">
        <v>5549</v>
      </c>
      <c r="E1382" s="11" t="s">
        <v>5550</v>
      </c>
    </row>
    <row r="1383" spans="1:5">
      <c r="A1383" s="11" t="s">
        <v>5551</v>
      </c>
      <c r="B1383">
        <v>8070426</v>
      </c>
      <c r="D1383" s="11" t="s">
        <v>5552</v>
      </c>
      <c r="E1383" s="11" t="s">
        <v>5553</v>
      </c>
    </row>
    <row r="1384" spans="1:5">
      <c r="A1384" s="11" t="s">
        <v>5554</v>
      </c>
      <c r="B1384">
        <v>8070350</v>
      </c>
      <c r="D1384" s="11" t="s">
        <v>5555</v>
      </c>
      <c r="E1384" s="11" t="s">
        <v>5556</v>
      </c>
    </row>
    <row r="1385" spans="1:5">
      <c r="A1385" s="11" t="s">
        <v>5557</v>
      </c>
      <c r="B1385">
        <v>8070302</v>
      </c>
      <c r="D1385" s="11" t="s">
        <v>5558</v>
      </c>
      <c r="E1385" s="11" t="s">
        <v>5559</v>
      </c>
    </row>
    <row r="1386" spans="1:5">
      <c r="A1386" s="11" t="s">
        <v>5560</v>
      </c>
      <c r="B1386">
        <v>8011354</v>
      </c>
      <c r="D1386" s="11" t="s">
        <v>5561</v>
      </c>
      <c r="E1386" s="11" t="s">
        <v>5562</v>
      </c>
    </row>
    <row r="1387" spans="1:5">
      <c r="A1387" s="11" t="s">
        <v>5563</v>
      </c>
      <c r="B1387">
        <v>8011355</v>
      </c>
      <c r="D1387" s="11" t="s">
        <v>5564</v>
      </c>
      <c r="E1387" s="11" t="s">
        <v>5565</v>
      </c>
    </row>
    <row r="1388" spans="1:5">
      <c r="A1388" s="11" t="s">
        <v>5566</v>
      </c>
      <c r="B1388">
        <v>8011356</v>
      </c>
      <c r="D1388" s="11" t="s">
        <v>5567</v>
      </c>
      <c r="E1388" s="11" t="s">
        <v>5568</v>
      </c>
    </row>
    <row r="1389" spans="1:5">
      <c r="A1389" s="11" t="s">
        <v>5569</v>
      </c>
      <c r="B1389">
        <v>8001414</v>
      </c>
      <c r="D1389" s="11" t="s">
        <v>5570</v>
      </c>
      <c r="E1389" s="11" t="s">
        <v>5571</v>
      </c>
    </row>
    <row r="1390" spans="1:5">
      <c r="A1390" s="11" t="s">
        <v>5572</v>
      </c>
      <c r="B1390">
        <v>8081006</v>
      </c>
      <c r="D1390" s="11" t="s">
        <v>5573</v>
      </c>
      <c r="E1390" s="11" t="s">
        <v>5574</v>
      </c>
    </row>
    <row r="1391" spans="1:5">
      <c r="A1391" s="11" t="s">
        <v>5575</v>
      </c>
      <c r="B1391">
        <v>8001415</v>
      </c>
      <c r="D1391" s="11" t="s">
        <v>5576</v>
      </c>
      <c r="E1391" s="11" t="s">
        <v>5577</v>
      </c>
    </row>
    <row r="1392" spans="1:5">
      <c r="A1392" s="11" t="s">
        <v>5578</v>
      </c>
      <c r="B1392">
        <v>8001417</v>
      </c>
      <c r="D1392" s="11" t="s">
        <v>5579</v>
      </c>
      <c r="E1392" s="11" t="s">
        <v>5580</v>
      </c>
    </row>
    <row r="1393" spans="1:5">
      <c r="A1393" s="11" t="s">
        <v>5581</v>
      </c>
      <c r="B1393">
        <v>8001418</v>
      </c>
      <c r="D1393" s="11" t="s">
        <v>5582</v>
      </c>
      <c r="E1393" s="11" t="s">
        <v>5583</v>
      </c>
    </row>
    <row r="1394" spans="1:5">
      <c r="A1394" s="11" t="s">
        <v>5584</v>
      </c>
      <c r="B1394">
        <v>8000071</v>
      </c>
      <c r="D1394" s="11" t="s">
        <v>5585</v>
      </c>
      <c r="E1394" s="11" t="s">
        <v>5586</v>
      </c>
    </row>
    <row r="1395" spans="1:5">
      <c r="A1395" s="11" t="s">
        <v>5587</v>
      </c>
      <c r="B1395">
        <v>8011362</v>
      </c>
      <c r="D1395" s="11" t="s">
        <v>5588</v>
      </c>
      <c r="E1395" s="11" t="s">
        <v>5589</v>
      </c>
    </row>
    <row r="1396" spans="1:5">
      <c r="A1396" s="11" t="s">
        <v>1028</v>
      </c>
      <c r="B1396">
        <v>8010077</v>
      </c>
      <c r="D1396" s="11" t="s">
        <v>1030</v>
      </c>
      <c r="E1396" s="11" t="s">
        <v>1031</v>
      </c>
    </row>
    <row r="1397" spans="1:5">
      <c r="A1397" s="11" t="s">
        <v>5590</v>
      </c>
      <c r="B1397">
        <v>8071761</v>
      </c>
      <c r="D1397" s="11" t="s">
        <v>1539</v>
      </c>
      <c r="E1397" s="11" t="s">
        <v>1539</v>
      </c>
    </row>
    <row r="1398" spans="1:5">
      <c r="A1398" s="11" t="s">
        <v>5591</v>
      </c>
      <c r="B1398">
        <v>8011361</v>
      </c>
      <c r="D1398" s="11" t="s">
        <v>5592</v>
      </c>
      <c r="E1398" s="11" t="s">
        <v>5593</v>
      </c>
    </row>
    <row r="1399" spans="1:5">
      <c r="A1399" s="11" t="s">
        <v>5594</v>
      </c>
      <c r="B1399">
        <v>8011363</v>
      </c>
      <c r="D1399" s="11" t="s">
        <v>5595</v>
      </c>
      <c r="E1399" s="11" t="s">
        <v>5596</v>
      </c>
    </row>
    <row r="1400" spans="1:5">
      <c r="A1400" s="11" t="s">
        <v>5597</v>
      </c>
      <c r="B1400">
        <v>8011364</v>
      </c>
      <c r="D1400" s="11" t="s">
        <v>5598</v>
      </c>
      <c r="E1400" s="11" t="s">
        <v>5599</v>
      </c>
    </row>
    <row r="1401" spans="1:5">
      <c r="A1401" s="11" t="s">
        <v>5600</v>
      </c>
      <c r="B1401">
        <v>8070259</v>
      </c>
      <c r="D1401" s="11" t="s">
        <v>5601</v>
      </c>
      <c r="E1401" s="11" t="s">
        <v>5602</v>
      </c>
    </row>
    <row r="1402" spans="1:5">
      <c r="A1402" s="11" t="s">
        <v>5603</v>
      </c>
      <c r="B1402">
        <v>8001420</v>
      </c>
      <c r="D1402" s="11" t="s">
        <v>5604</v>
      </c>
      <c r="E1402" s="11" t="s">
        <v>5605</v>
      </c>
    </row>
    <row r="1403" spans="1:5">
      <c r="A1403" s="11" t="s">
        <v>5606</v>
      </c>
      <c r="B1403">
        <v>8001421</v>
      </c>
      <c r="D1403" s="11" t="s">
        <v>5607</v>
      </c>
      <c r="E1403" s="11" t="s">
        <v>5608</v>
      </c>
    </row>
    <row r="1404" spans="1:5">
      <c r="A1404" s="11" t="s">
        <v>5609</v>
      </c>
      <c r="B1404">
        <v>8085015</v>
      </c>
      <c r="D1404" s="11" t="s">
        <v>5610</v>
      </c>
      <c r="E1404" s="11" t="s">
        <v>5611</v>
      </c>
    </row>
    <row r="1405" spans="1:5">
      <c r="A1405" s="11" t="s">
        <v>5612</v>
      </c>
      <c r="B1405">
        <v>8001424</v>
      </c>
      <c r="D1405" s="11" t="s">
        <v>5613</v>
      </c>
      <c r="E1405" s="11" t="s">
        <v>5614</v>
      </c>
    </row>
    <row r="1406" spans="1:5">
      <c r="A1406" s="11" t="s">
        <v>5615</v>
      </c>
      <c r="B1406">
        <v>8001426</v>
      </c>
      <c r="D1406" s="11" t="s">
        <v>5616</v>
      </c>
      <c r="E1406" s="11" t="s">
        <v>5617</v>
      </c>
    </row>
    <row r="1407" spans="1:5">
      <c r="A1407" s="11" t="s">
        <v>5618</v>
      </c>
      <c r="B1407">
        <v>8001422</v>
      </c>
      <c r="D1407" s="11" t="s">
        <v>5619</v>
      </c>
      <c r="E1407" s="11" t="s">
        <v>5620</v>
      </c>
    </row>
    <row r="1408" spans="1:5">
      <c r="A1408" s="11" t="s">
        <v>5621</v>
      </c>
      <c r="B1408">
        <v>8001427</v>
      </c>
      <c r="D1408" s="11" t="s">
        <v>5622</v>
      </c>
      <c r="E1408" s="11" t="s">
        <v>5623</v>
      </c>
    </row>
    <row r="1409" spans="1:5">
      <c r="A1409" s="11" t="s">
        <v>5624</v>
      </c>
      <c r="B1409">
        <v>8001428</v>
      </c>
      <c r="D1409" s="11" t="s">
        <v>5625</v>
      </c>
      <c r="E1409" s="11" t="s">
        <v>5626</v>
      </c>
    </row>
    <row r="1410" spans="1:5">
      <c r="A1410" s="11" t="s">
        <v>5627</v>
      </c>
      <c r="B1410">
        <v>8070679</v>
      </c>
      <c r="D1410" s="11" t="s">
        <v>5628</v>
      </c>
      <c r="E1410" s="11" t="s">
        <v>5629</v>
      </c>
    </row>
    <row r="1411" spans="1:5">
      <c r="A1411" s="11" t="s">
        <v>5630</v>
      </c>
      <c r="B1411">
        <v>8001429</v>
      </c>
      <c r="D1411" s="11" t="s">
        <v>5631</v>
      </c>
      <c r="E1411" s="11" t="s">
        <v>5632</v>
      </c>
    </row>
    <row r="1412" spans="1:5">
      <c r="A1412" s="11" t="s">
        <v>5633</v>
      </c>
      <c r="B1412">
        <v>8071799</v>
      </c>
      <c r="D1412" s="11" t="s">
        <v>5634</v>
      </c>
      <c r="E1412" s="11" t="s">
        <v>5635</v>
      </c>
    </row>
    <row r="1413" spans="1:5">
      <c r="A1413" s="11" t="s">
        <v>5636</v>
      </c>
      <c r="B1413">
        <v>8010078</v>
      </c>
      <c r="D1413" s="11" t="s">
        <v>5637</v>
      </c>
      <c r="E1413" s="11" t="s">
        <v>5638</v>
      </c>
    </row>
    <row r="1414" spans="1:5">
      <c r="A1414" s="11" t="s">
        <v>5639</v>
      </c>
      <c r="B1414">
        <v>8001430</v>
      </c>
      <c r="D1414" s="11" t="s">
        <v>5640</v>
      </c>
      <c r="E1414" s="11" t="s">
        <v>5641</v>
      </c>
    </row>
    <row r="1415" spans="1:5">
      <c r="A1415" s="11" t="s">
        <v>5642</v>
      </c>
      <c r="B1415">
        <v>8071374</v>
      </c>
      <c r="D1415" s="11" t="s">
        <v>5643</v>
      </c>
      <c r="E1415" s="11" t="s">
        <v>5644</v>
      </c>
    </row>
    <row r="1416" spans="1:5">
      <c r="A1416" s="11" t="s">
        <v>5645</v>
      </c>
      <c r="B1416">
        <v>8001432</v>
      </c>
      <c r="D1416" s="11" t="s">
        <v>5646</v>
      </c>
      <c r="E1416" s="11" t="s">
        <v>5647</v>
      </c>
    </row>
    <row r="1417" spans="1:5">
      <c r="A1417" s="11" t="s">
        <v>5648</v>
      </c>
      <c r="B1417">
        <v>8011371</v>
      </c>
      <c r="D1417" s="11" t="s">
        <v>5649</v>
      </c>
      <c r="E1417" s="11" t="s">
        <v>5650</v>
      </c>
    </row>
    <row r="1418" spans="1:5">
      <c r="A1418" s="11" t="s">
        <v>5651</v>
      </c>
      <c r="B1418">
        <v>8071114</v>
      </c>
      <c r="D1418" s="11" t="s">
        <v>5652</v>
      </c>
      <c r="E1418" s="11" t="s">
        <v>5653</v>
      </c>
    </row>
    <row r="1419" spans="1:5">
      <c r="A1419" s="11" t="s">
        <v>5654</v>
      </c>
      <c r="B1419">
        <v>8001435</v>
      </c>
      <c r="D1419" s="11" t="s">
        <v>5655</v>
      </c>
      <c r="E1419" s="11" t="s">
        <v>5656</v>
      </c>
    </row>
    <row r="1420" spans="1:5">
      <c r="A1420" s="11" t="s">
        <v>5657</v>
      </c>
      <c r="B1420">
        <v>8000362</v>
      </c>
      <c r="D1420" s="11" t="s">
        <v>5658</v>
      </c>
      <c r="E1420" s="11" t="s">
        <v>5659</v>
      </c>
    </row>
    <row r="1421" spans="1:5">
      <c r="A1421" s="11" t="s">
        <v>5660</v>
      </c>
      <c r="B1421">
        <v>8070012</v>
      </c>
      <c r="D1421" s="11" t="s">
        <v>5661</v>
      </c>
      <c r="E1421" s="11" t="s">
        <v>5662</v>
      </c>
    </row>
    <row r="1422" spans="1:5">
      <c r="A1422" s="11" t="s">
        <v>5663</v>
      </c>
      <c r="B1422">
        <v>8001439</v>
      </c>
      <c r="D1422" s="11" t="s">
        <v>5664</v>
      </c>
      <c r="E1422" s="11" t="s">
        <v>5665</v>
      </c>
    </row>
    <row r="1423" spans="1:5">
      <c r="A1423" s="11" t="s">
        <v>5666</v>
      </c>
      <c r="B1423">
        <v>8001448</v>
      </c>
      <c r="D1423" s="11" t="s">
        <v>5667</v>
      </c>
      <c r="E1423" s="11" t="s">
        <v>5668</v>
      </c>
    </row>
    <row r="1424" spans="1:5">
      <c r="A1424" s="11" t="s">
        <v>5669</v>
      </c>
      <c r="B1424">
        <v>8001443</v>
      </c>
      <c r="D1424" s="11" t="s">
        <v>5670</v>
      </c>
      <c r="E1424" s="11" t="s">
        <v>5671</v>
      </c>
    </row>
    <row r="1425" spans="1:5">
      <c r="A1425" s="11" t="s">
        <v>5672</v>
      </c>
      <c r="B1425">
        <v>8011376</v>
      </c>
      <c r="D1425" s="11" t="s">
        <v>5673</v>
      </c>
      <c r="E1425" s="11" t="s">
        <v>5674</v>
      </c>
    </row>
    <row r="1426" spans="1:5">
      <c r="A1426" s="11" t="s">
        <v>5675</v>
      </c>
      <c r="B1426">
        <v>8001447</v>
      </c>
      <c r="D1426" s="11" t="s">
        <v>5676</v>
      </c>
      <c r="E1426" s="11" t="s">
        <v>5677</v>
      </c>
    </row>
    <row r="1427" spans="1:5">
      <c r="A1427" s="11" t="s">
        <v>5678</v>
      </c>
      <c r="B1427">
        <v>8001450</v>
      </c>
      <c r="D1427" s="11" t="s">
        <v>5679</v>
      </c>
      <c r="E1427" s="11" t="s">
        <v>5680</v>
      </c>
    </row>
    <row r="1428" spans="1:5">
      <c r="A1428" s="11" t="s">
        <v>5681</v>
      </c>
      <c r="B1428">
        <v>8001454</v>
      </c>
      <c r="D1428" s="11" t="s">
        <v>5682</v>
      </c>
      <c r="E1428" s="11" t="s">
        <v>5683</v>
      </c>
    </row>
    <row r="1429" spans="1:5">
      <c r="A1429" s="11" t="s">
        <v>5684</v>
      </c>
      <c r="B1429">
        <v>8007335</v>
      </c>
      <c r="D1429" s="11" t="s">
        <v>5685</v>
      </c>
      <c r="E1429" s="11" t="s">
        <v>5686</v>
      </c>
    </row>
    <row r="1430" spans="1:5">
      <c r="A1430" s="11" t="s">
        <v>5687</v>
      </c>
      <c r="B1430">
        <v>8001456</v>
      </c>
      <c r="D1430" s="11" t="s">
        <v>5688</v>
      </c>
      <c r="E1430" s="11" t="s">
        <v>5689</v>
      </c>
    </row>
    <row r="1431" spans="1:5">
      <c r="A1431" s="11" t="s">
        <v>1292</v>
      </c>
      <c r="B1431">
        <v>8001455</v>
      </c>
      <c r="D1431" s="11" t="s">
        <v>5690</v>
      </c>
      <c r="E1431" s="11" t="s">
        <v>5691</v>
      </c>
    </row>
    <row r="1432" spans="1:5">
      <c r="A1432" s="11" t="s">
        <v>5692</v>
      </c>
      <c r="B1432">
        <v>8001459</v>
      </c>
      <c r="D1432" s="11" t="s">
        <v>5693</v>
      </c>
      <c r="E1432" s="11" t="s">
        <v>5694</v>
      </c>
    </row>
    <row r="1433" spans="1:5">
      <c r="A1433" s="11" t="s">
        <v>5695</v>
      </c>
      <c r="B1433">
        <v>8011378</v>
      </c>
      <c r="D1433" s="11" t="s">
        <v>5696</v>
      </c>
      <c r="E1433" s="11" t="s">
        <v>5697</v>
      </c>
    </row>
    <row r="1434" spans="1:5">
      <c r="A1434" s="11" t="s">
        <v>5698</v>
      </c>
      <c r="B1434">
        <v>8001457</v>
      </c>
      <c r="D1434" s="11" t="s">
        <v>5699</v>
      </c>
      <c r="E1434" s="11" t="s">
        <v>5700</v>
      </c>
    </row>
    <row r="1435" spans="1:5">
      <c r="A1435" s="11" t="s">
        <v>5701</v>
      </c>
      <c r="B1435">
        <v>8001458</v>
      </c>
      <c r="D1435" s="11" t="s">
        <v>5702</v>
      </c>
      <c r="E1435" s="11" t="s">
        <v>5703</v>
      </c>
    </row>
    <row r="1436" spans="1:5">
      <c r="A1436" s="11" t="s">
        <v>5704</v>
      </c>
      <c r="B1436">
        <v>8001460</v>
      </c>
      <c r="D1436" s="11" t="s">
        <v>5705</v>
      </c>
      <c r="E1436" s="11" t="s">
        <v>5706</v>
      </c>
    </row>
    <row r="1437" spans="1:5">
      <c r="A1437" s="11" t="s">
        <v>5707</v>
      </c>
      <c r="B1437">
        <v>8000074</v>
      </c>
      <c r="D1437" s="11" t="s">
        <v>5708</v>
      </c>
      <c r="E1437" s="11" t="s">
        <v>5709</v>
      </c>
    </row>
    <row r="1438" spans="1:5">
      <c r="A1438" s="11" t="s">
        <v>5710</v>
      </c>
      <c r="B1438">
        <v>8001463</v>
      </c>
      <c r="D1438" s="11" t="s">
        <v>5711</v>
      </c>
      <c r="E1438" s="11" t="s">
        <v>5712</v>
      </c>
    </row>
    <row r="1439" spans="1:5">
      <c r="A1439" s="11" t="s">
        <v>5713</v>
      </c>
      <c r="B1439">
        <v>8000075</v>
      </c>
      <c r="D1439" s="11" t="s">
        <v>5714</v>
      </c>
      <c r="E1439" s="11" t="s">
        <v>5715</v>
      </c>
    </row>
    <row r="1440" spans="1:5">
      <c r="A1440" s="11" t="s">
        <v>5716</v>
      </c>
      <c r="B1440">
        <v>8079008</v>
      </c>
      <c r="D1440" s="11" t="s">
        <v>5717</v>
      </c>
      <c r="E1440" s="11" t="s">
        <v>5718</v>
      </c>
    </row>
    <row r="1441" spans="1:5">
      <c r="A1441" s="11" t="s">
        <v>5719</v>
      </c>
      <c r="B1441">
        <v>8001466</v>
      </c>
      <c r="D1441" s="11" t="s">
        <v>5720</v>
      </c>
      <c r="E1441" s="11" t="s">
        <v>5721</v>
      </c>
    </row>
    <row r="1442" spans="1:5">
      <c r="A1442" s="11" t="s">
        <v>5722</v>
      </c>
      <c r="B1442">
        <v>8070352</v>
      </c>
      <c r="D1442" s="11" t="s">
        <v>5723</v>
      </c>
      <c r="E1442" s="11" t="s">
        <v>5724</v>
      </c>
    </row>
    <row r="1443" spans="1:5">
      <c r="A1443" s="11" t="s">
        <v>5725</v>
      </c>
      <c r="B1443">
        <v>8001468</v>
      </c>
      <c r="D1443" s="11" t="s">
        <v>5726</v>
      </c>
      <c r="E1443" s="11" t="s">
        <v>5727</v>
      </c>
    </row>
    <row r="1444" spans="1:5">
      <c r="A1444" s="11" t="s">
        <v>5728</v>
      </c>
      <c r="B1444">
        <v>8001469</v>
      </c>
      <c r="D1444" s="11" t="s">
        <v>5729</v>
      </c>
      <c r="E1444" s="11" t="s">
        <v>5730</v>
      </c>
    </row>
    <row r="1445" spans="1:5">
      <c r="A1445" s="11" t="s">
        <v>5731</v>
      </c>
      <c r="B1445">
        <v>8011382</v>
      </c>
      <c r="D1445" s="11" t="s">
        <v>5732</v>
      </c>
      <c r="E1445" s="11" t="s">
        <v>5733</v>
      </c>
    </row>
    <row r="1446" spans="1:5">
      <c r="A1446" s="11" t="s">
        <v>5734</v>
      </c>
      <c r="B1446">
        <v>8001470</v>
      </c>
      <c r="D1446" s="11" t="s">
        <v>5735</v>
      </c>
      <c r="E1446" s="11" t="s">
        <v>5736</v>
      </c>
    </row>
    <row r="1447" spans="1:5">
      <c r="A1447" s="11" t="s">
        <v>5737</v>
      </c>
      <c r="B1447">
        <v>8001471</v>
      </c>
      <c r="D1447" s="11" t="s">
        <v>5738</v>
      </c>
      <c r="E1447" s="11" t="s">
        <v>5739</v>
      </c>
    </row>
    <row r="1448" spans="1:5">
      <c r="A1448" s="11" t="s">
        <v>5740</v>
      </c>
      <c r="B1448">
        <v>8001472</v>
      </c>
      <c r="D1448" s="11" t="s">
        <v>5741</v>
      </c>
      <c r="E1448" s="11" t="s">
        <v>5742</v>
      </c>
    </row>
    <row r="1449" spans="1:5">
      <c r="A1449" s="11" t="s">
        <v>5743</v>
      </c>
      <c r="B1449">
        <v>8011383</v>
      </c>
      <c r="D1449" s="11" t="s">
        <v>5744</v>
      </c>
      <c r="E1449" s="11" t="s">
        <v>5745</v>
      </c>
    </row>
    <row r="1450" spans="1:5">
      <c r="A1450" s="11" t="s">
        <v>5746</v>
      </c>
      <c r="B1450">
        <v>8011385</v>
      </c>
      <c r="D1450" s="11" t="s">
        <v>5747</v>
      </c>
      <c r="E1450" s="11" t="s">
        <v>5748</v>
      </c>
    </row>
    <row r="1451" spans="1:5">
      <c r="A1451" s="11" t="s">
        <v>5749</v>
      </c>
      <c r="B1451">
        <v>8011386</v>
      </c>
      <c r="D1451" s="11" t="s">
        <v>5750</v>
      </c>
      <c r="E1451" s="11" t="s">
        <v>5751</v>
      </c>
    </row>
    <row r="1452" spans="1:5">
      <c r="A1452" s="11" t="s">
        <v>5752</v>
      </c>
      <c r="B1452">
        <v>8001474</v>
      </c>
      <c r="D1452" s="11" t="s">
        <v>5753</v>
      </c>
      <c r="E1452" s="11" t="s">
        <v>5754</v>
      </c>
    </row>
    <row r="1453" spans="1:5">
      <c r="A1453" s="11" t="s">
        <v>5755</v>
      </c>
      <c r="B1453">
        <v>8001476</v>
      </c>
      <c r="D1453" s="11" t="s">
        <v>5756</v>
      </c>
      <c r="E1453" s="11" t="s">
        <v>5757</v>
      </c>
    </row>
    <row r="1454" spans="1:5">
      <c r="A1454" s="11" t="s">
        <v>5758</v>
      </c>
      <c r="B1454">
        <v>8010080</v>
      </c>
      <c r="D1454" s="11" t="s">
        <v>5759</v>
      </c>
      <c r="E1454" s="11" t="s">
        <v>5760</v>
      </c>
    </row>
    <row r="1455" spans="1:5">
      <c r="A1455" s="11" t="s">
        <v>5761</v>
      </c>
      <c r="B1455">
        <v>8011390</v>
      </c>
      <c r="D1455" s="11" t="s">
        <v>5762</v>
      </c>
      <c r="E1455" s="11" t="s">
        <v>5763</v>
      </c>
    </row>
    <row r="1456" spans="1:5">
      <c r="A1456" s="11" t="s">
        <v>5764</v>
      </c>
      <c r="B1456">
        <v>8070296</v>
      </c>
      <c r="D1456" s="11" t="s">
        <v>5765</v>
      </c>
      <c r="E1456" s="11" t="s">
        <v>5766</v>
      </c>
    </row>
    <row r="1457" spans="1:5">
      <c r="A1457" s="11" t="s">
        <v>5767</v>
      </c>
      <c r="B1457">
        <v>8010079</v>
      </c>
      <c r="D1457" s="11" t="s">
        <v>5768</v>
      </c>
      <c r="E1457" s="11" t="s">
        <v>5769</v>
      </c>
    </row>
    <row r="1458" spans="1:5">
      <c r="A1458" s="11" t="s">
        <v>5770</v>
      </c>
      <c r="B1458">
        <v>8011387</v>
      </c>
      <c r="D1458" s="11" t="s">
        <v>5771</v>
      </c>
      <c r="E1458" s="11" t="s">
        <v>5772</v>
      </c>
    </row>
    <row r="1459" spans="1:5">
      <c r="A1459" s="11" t="s">
        <v>5773</v>
      </c>
      <c r="B1459">
        <v>8011388</v>
      </c>
      <c r="D1459" s="11" t="s">
        <v>5774</v>
      </c>
      <c r="E1459" s="11" t="s">
        <v>5775</v>
      </c>
    </row>
    <row r="1460" spans="1:5">
      <c r="A1460" s="11" t="s">
        <v>5776</v>
      </c>
      <c r="B1460">
        <v>8007148</v>
      </c>
      <c r="D1460" s="11" t="s">
        <v>5777</v>
      </c>
      <c r="E1460" s="11" t="s">
        <v>5778</v>
      </c>
    </row>
    <row r="1461" spans="1:5">
      <c r="A1461" s="11" t="s">
        <v>5779</v>
      </c>
      <c r="B1461">
        <v>8001491</v>
      </c>
      <c r="D1461" s="11" t="s">
        <v>5780</v>
      </c>
      <c r="E1461" s="11" t="s">
        <v>5781</v>
      </c>
    </row>
    <row r="1462" spans="1:5">
      <c r="A1462" s="11" t="s">
        <v>5782</v>
      </c>
      <c r="B1462">
        <v>8001480</v>
      </c>
      <c r="D1462" s="11" t="s">
        <v>5783</v>
      </c>
      <c r="E1462" s="11" t="s">
        <v>5784</v>
      </c>
    </row>
    <row r="1463" spans="1:5">
      <c r="A1463" s="11" t="s">
        <v>5785</v>
      </c>
      <c r="B1463">
        <v>8001481</v>
      </c>
      <c r="D1463" s="11" t="s">
        <v>5786</v>
      </c>
      <c r="E1463" s="11" t="s">
        <v>5787</v>
      </c>
    </row>
    <row r="1464" spans="1:5">
      <c r="A1464" s="11" t="s">
        <v>5788</v>
      </c>
      <c r="B1464">
        <v>8011398</v>
      </c>
      <c r="D1464" s="11" t="s">
        <v>5789</v>
      </c>
      <c r="E1464" s="11" t="s">
        <v>5790</v>
      </c>
    </row>
    <row r="1465" spans="1:5">
      <c r="A1465" s="11" t="s">
        <v>5791</v>
      </c>
      <c r="B1465">
        <v>8001492</v>
      </c>
      <c r="D1465" s="11" t="s">
        <v>5792</v>
      </c>
      <c r="E1465" s="11" t="s">
        <v>5793</v>
      </c>
    </row>
    <row r="1466" spans="1:5">
      <c r="A1466" s="11" t="s">
        <v>5794</v>
      </c>
      <c r="B1466">
        <v>8001493</v>
      </c>
      <c r="D1466" s="11" t="s">
        <v>5795</v>
      </c>
      <c r="E1466" s="11" t="s">
        <v>5796</v>
      </c>
    </row>
    <row r="1467" spans="1:5">
      <c r="A1467" s="11" t="s">
        <v>5797</v>
      </c>
      <c r="B1467">
        <v>8001495</v>
      </c>
      <c r="D1467" s="11" t="s">
        <v>5798</v>
      </c>
      <c r="E1467" s="11" t="s">
        <v>5799</v>
      </c>
    </row>
    <row r="1468" spans="1:5">
      <c r="A1468" s="11" t="s">
        <v>5800</v>
      </c>
      <c r="B1468">
        <v>8010081</v>
      </c>
      <c r="D1468" s="11" t="s">
        <v>5801</v>
      </c>
      <c r="E1468" s="11" t="s">
        <v>5802</v>
      </c>
    </row>
    <row r="1469" spans="1:5">
      <c r="A1469" s="11" t="s">
        <v>5803</v>
      </c>
      <c r="B1469">
        <v>8000365</v>
      </c>
      <c r="D1469" s="11" t="s">
        <v>5804</v>
      </c>
      <c r="E1469" s="11" t="s">
        <v>5805</v>
      </c>
    </row>
    <row r="1470" spans="1:5">
      <c r="A1470" s="11" t="s">
        <v>5806</v>
      </c>
      <c r="B1470">
        <v>8011402</v>
      </c>
      <c r="D1470" s="11" t="s">
        <v>5807</v>
      </c>
      <c r="E1470" s="11" t="s">
        <v>5808</v>
      </c>
    </row>
    <row r="1471" spans="1:5">
      <c r="A1471" s="11" t="s">
        <v>5809</v>
      </c>
      <c r="B1471">
        <v>8011403</v>
      </c>
      <c r="D1471" s="11" t="s">
        <v>5810</v>
      </c>
      <c r="E1471" s="11" t="s">
        <v>5811</v>
      </c>
    </row>
    <row r="1472" spans="1:5">
      <c r="A1472" s="11" t="s">
        <v>1392</v>
      </c>
      <c r="B1472">
        <v>8000077</v>
      </c>
      <c r="D1472" s="11" t="s">
        <v>5812</v>
      </c>
      <c r="E1472" s="11" t="s">
        <v>5813</v>
      </c>
    </row>
    <row r="1473" spans="1:5">
      <c r="A1473" s="11" t="s">
        <v>5814</v>
      </c>
      <c r="B1473">
        <v>8001479</v>
      </c>
      <c r="D1473" s="11" t="s">
        <v>5815</v>
      </c>
      <c r="E1473" s="11" t="s">
        <v>5816</v>
      </c>
    </row>
    <row r="1474" spans="1:5">
      <c r="A1474" s="11" t="s">
        <v>5817</v>
      </c>
      <c r="B1474">
        <v>8001482</v>
      </c>
      <c r="D1474" s="11" t="s">
        <v>5818</v>
      </c>
      <c r="E1474" s="11" t="s">
        <v>5819</v>
      </c>
    </row>
    <row r="1475" spans="1:5">
      <c r="A1475" s="11" t="s">
        <v>5820</v>
      </c>
      <c r="B1475">
        <v>8001483</v>
      </c>
      <c r="D1475" s="11" t="s">
        <v>5821</v>
      </c>
      <c r="E1475" s="11" t="s">
        <v>5822</v>
      </c>
    </row>
    <row r="1476" spans="1:5">
      <c r="A1476" s="11" t="s">
        <v>5823</v>
      </c>
      <c r="B1476">
        <v>8001485</v>
      </c>
      <c r="D1476" s="11" t="s">
        <v>5824</v>
      </c>
      <c r="E1476" s="11" t="s">
        <v>5825</v>
      </c>
    </row>
    <row r="1477" spans="1:5">
      <c r="A1477" s="11" t="s">
        <v>92</v>
      </c>
      <c r="B1477">
        <v>8000078</v>
      </c>
      <c r="D1477" s="11" t="s">
        <v>5826</v>
      </c>
      <c r="E1477" s="11" t="s">
        <v>5827</v>
      </c>
    </row>
    <row r="1478" spans="1:5">
      <c r="A1478" s="11" t="s">
        <v>5828</v>
      </c>
      <c r="B1478">
        <v>8012321</v>
      </c>
      <c r="D1478" s="11" t="s">
        <v>5829</v>
      </c>
      <c r="E1478" s="11" t="s">
        <v>5830</v>
      </c>
    </row>
    <row r="1479" spans="1:5">
      <c r="A1479" s="11" t="s">
        <v>5831</v>
      </c>
      <c r="B1479">
        <v>8071525</v>
      </c>
      <c r="D1479" s="11" t="s">
        <v>5832</v>
      </c>
      <c r="E1479" s="11" t="s">
        <v>5833</v>
      </c>
    </row>
    <row r="1480" spans="1:5">
      <c r="A1480" s="11" t="s">
        <v>5834</v>
      </c>
      <c r="B1480">
        <v>8011405</v>
      </c>
      <c r="D1480" s="11" t="s">
        <v>5835</v>
      </c>
      <c r="E1480" s="11" t="s">
        <v>5836</v>
      </c>
    </row>
    <row r="1481" spans="1:5">
      <c r="A1481" s="11" t="s">
        <v>5837</v>
      </c>
      <c r="B1481">
        <v>8001499</v>
      </c>
      <c r="D1481" s="11" t="s">
        <v>5838</v>
      </c>
      <c r="E1481" s="11" t="s">
        <v>5839</v>
      </c>
    </row>
    <row r="1482" spans="1:5">
      <c r="A1482" s="11" t="s">
        <v>5840</v>
      </c>
      <c r="B1482">
        <v>8001484</v>
      </c>
      <c r="D1482" s="11" t="s">
        <v>5841</v>
      </c>
      <c r="E1482" s="11" t="s">
        <v>5842</v>
      </c>
    </row>
    <row r="1483" spans="1:5">
      <c r="A1483" s="11" t="s">
        <v>5843</v>
      </c>
      <c r="B1483">
        <v>8001502</v>
      </c>
      <c r="D1483" s="11" t="s">
        <v>5844</v>
      </c>
      <c r="E1483" s="11" t="s">
        <v>5845</v>
      </c>
    </row>
    <row r="1484" spans="1:5">
      <c r="A1484" s="11" t="s">
        <v>5846</v>
      </c>
      <c r="B1484">
        <v>8001503</v>
      </c>
      <c r="D1484" s="11" t="s">
        <v>5847</v>
      </c>
      <c r="E1484" s="11" t="s">
        <v>5848</v>
      </c>
    </row>
    <row r="1485" spans="1:5">
      <c r="A1485" s="11" t="s">
        <v>5849</v>
      </c>
      <c r="B1485">
        <v>8001504</v>
      </c>
      <c r="D1485" s="11" t="s">
        <v>5850</v>
      </c>
      <c r="E1485" s="11" t="s">
        <v>5851</v>
      </c>
    </row>
    <row r="1486" spans="1:5">
      <c r="A1486" s="11" t="s">
        <v>5852</v>
      </c>
      <c r="B1486">
        <v>8001506</v>
      </c>
      <c r="D1486" s="11" t="s">
        <v>5853</v>
      </c>
      <c r="E1486" s="11" t="s">
        <v>5854</v>
      </c>
    </row>
    <row r="1487" spans="1:5">
      <c r="A1487" s="11" t="s">
        <v>5855</v>
      </c>
      <c r="B1487">
        <v>8001507</v>
      </c>
      <c r="D1487" s="11" t="s">
        <v>5856</v>
      </c>
      <c r="E1487" s="11" t="s">
        <v>5857</v>
      </c>
    </row>
    <row r="1488" spans="1:5">
      <c r="A1488" s="11" t="s">
        <v>5858</v>
      </c>
      <c r="B1488">
        <v>8011406</v>
      </c>
      <c r="D1488" s="11" t="s">
        <v>5859</v>
      </c>
      <c r="E1488" s="11" t="s">
        <v>5860</v>
      </c>
    </row>
    <row r="1489" spans="1:5">
      <c r="A1489" s="11" t="s">
        <v>5861</v>
      </c>
      <c r="B1489">
        <v>8001512</v>
      </c>
      <c r="D1489" s="11" t="s">
        <v>5862</v>
      </c>
      <c r="E1489" s="11" t="s">
        <v>5863</v>
      </c>
    </row>
    <row r="1490" spans="1:5">
      <c r="A1490" s="11" t="s">
        <v>5864</v>
      </c>
      <c r="B1490">
        <v>8001510</v>
      </c>
      <c r="D1490" s="11" t="s">
        <v>5865</v>
      </c>
      <c r="E1490" s="11" t="s">
        <v>5866</v>
      </c>
    </row>
    <row r="1491" spans="1:5">
      <c r="A1491" s="11" t="s">
        <v>5867</v>
      </c>
      <c r="B1491">
        <v>8001486</v>
      </c>
      <c r="D1491" s="11" t="s">
        <v>5868</v>
      </c>
      <c r="E1491" s="11" t="s">
        <v>5869</v>
      </c>
    </row>
    <row r="1492" spans="1:5">
      <c r="A1492" s="11" t="s">
        <v>5870</v>
      </c>
      <c r="B1492">
        <v>8011397</v>
      </c>
      <c r="D1492" s="11" t="s">
        <v>5871</v>
      </c>
      <c r="E1492" s="11" t="s">
        <v>5872</v>
      </c>
    </row>
    <row r="1493" spans="1:5">
      <c r="A1493" s="11" t="s">
        <v>5873</v>
      </c>
      <c r="B1493">
        <v>8006709</v>
      </c>
      <c r="D1493" s="11" t="s">
        <v>5874</v>
      </c>
      <c r="E1493" s="11" t="s">
        <v>5875</v>
      </c>
    </row>
    <row r="1494" spans="1:5">
      <c r="A1494" s="11" t="s">
        <v>5876</v>
      </c>
      <c r="B1494">
        <v>8001514</v>
      </c>
      <c r="D1494" s="11" t="s">
        <v>5877</v>
      </c>
      <c r="E1494" s="11" t="s">
        <v>5878</v>
      </c>
    </row>
    <row r="1495" spans="1:5">
      <c r="A1495" s="11" t="s">
        <v>5879</v>
      </c>
      <c r="B1495">
        <v>8000080</v>
      </c>
      <c r="D1495" s="11" t="s">
        <v>5880</v>
      </c>
      <c r="E1495" s="11" t="s">
        <v>5881</v>
      </c>
    </row>
    <row r="1496" spans="1:5">
      <c r="A1496" s="11" t="s">
        <v>5882</v>
      </c>
      <c r="B1496">
        <v>8001517</v>
      </c>
      <c r="D1496" s="11" t="s">
        <v>5883</v>
      </c>
      <c r="E1496" s="11" t="s">
        <v>5884</v>
      </c>
    </row>
    <row r="1497" spans="1:5">
      <c r="A1497" s="11" t="s">
        <v>5885</v>
      </c>
      <c r="B1497">
        <v>8001518</v>
      </c>
      <c r="D1497" s="11" t="s">
        <v>5886</v>
      </c>
      <c r="E1497" s="11" t="s">
        <v>5887</v>
      </c>
    </row>
    <row r="1498" spans="1:5">
      <c r="A1498" s="11" t="s">
        <v>5888</v>
      </c>
      <c r="B1498">
        <v>8001522</v>
      </c>
      <c r="D1498" s="11" t="s">
        <v>5889</v>
      </c>
      <c r="E1498" s="11" t="s">
        <v>5890</v>
      </c>
    </row>
    <row r="1499" spans="1:5">
      <c r="A1499" s="11" t="s">
        <v>5891</v>
      </c>
      <c r="B1499">
        <v>8001520</v>
      </c>
      <c r="D1499" s="11" t="s">
        <v>5892</v>
      </c>
      <c r="E1499" s="11" t="s">
        <v>5893</v>
      </c>
    </row>
    <row r="1500" spans="1:5">
      <c r="A1500" s="11" t="s">
        <v>5894</v>
      </c>
      <c r="B1500">
        <v>8001521</v>
      </c>
      <c r="D1500" s="11" t="s">
        <v>5895</v>
      </c>
      <c r="E1500" s="11" t="s">
        <v>5896</v>
      </c>
    </row>
    <row r="1501" spans="1:5">
      <c r="A1501" s="11" t="s">
        <v>5897</v>
      </c>
      <c r="B1501">
        <v>8004419</v>
      </c>
      <c r="D1501" s="11" t="s">
        <v>5898</v>
      </c>
      <c r="E1501" s="11" t="s">
        <v>5899</v>
      </c>
    </row>
    <row r="1502" spans="1:5">
      <c r="A1502" s="11" t="s">
        <v>5900</v>
      </c>
      <c r="B1502">
        <v>8003946</v>
      </c>
      <c r="D1502" s="11" t="s">
        <v>5901</v>
      </c>
      <c r="E1502" s="11" t="s">
        <v>5902</v>
      </c>
    </row>
    <row r="1503" spans="1:5">
      <c r="A1503" s="11" t="s">
        <v>5903</v>
      </c>
      <c r="B1503">
        <v>8001523</v>
      </c>
      <c r="D1503" s="11" t="s">
        <v>5904</v>
      </c>
      <c r="E1503" s="11" t="s">
        <v>5905</v>
      </c>
    </row>
    <row r="1504" spans="1:5">
      <c r="A1504" s="11" t="s">
        <v>5906</v>
      </c>
      <c r="B1504">
        <v>8001524</v>
      </c>
      <c r="D1504" s="11" t="s">
        <v>5907</v>
      </c>
      <c r="E1504" s="11" t="s">
        <v>5908</v>
      </c>
    </row>
    <row r="1505" spans="1:5">
      <c r="A1505" s="11" t="s">
        <v>5909</v>
      </c>
      <c r="B1505">
        <v>8001526</v>
      </c>
      <c r="D1505" s="11" t="s">
        <v>5910</v>
      </c>
      <c r="E1505" s="11" t="s">
        <v>5911</v>
      </c>
    </row>
    <row r="1506" spans="1:5">
      <c r="A1506" s="11" t="s">
        <v>5912</v>
      </c>
      <c r="B1506">
        <v>8001527</v>
      </c>
      <c r="D1506" s="11" t="s">
        <v>5913</v>
      </c>
      <c r="E1506" s="11" t="s">
        <v>5914</v>
      </c>
    </row>
    <row r="1507" spans="1:5">
      <c r="A1507" s="11" t="s">
        <v>5915</v>
      </c>
      <c r="B1507">
        <v>8001528</v>
      </c>
      <c r="D1507" s="11" t="s">
        <v>5916</v>
      </c>
      <c r="E1507" s="11" t="s">
        <v>5917</v>
      </c>
    </row>
    <row r="1508" spans="1:5">
      <c r="A1508" s="11" t="s">
        <v>5918</v>
      </c>
      <c r="B1508">
        <v>8001529</v>
      </c>
      <c r="D1508" s="11" t="s">
        <v>5919</v>
      </c>
      <c r="E1508" s="11" t="s">
        <v>5920</v>
      </c>
    </row>
    <row r="1509" spans="1:5">
      <c r="A1509" s="11" t="s">
        <v>5921</v>
      </c>
      <c r="B1509">
        <v>8001530</v>
      </c>
      <c r="D1509" s="11" t="s">
        <v>5922</v>
      </c>
      <c r="E1509" s="11" t="s">
        <v>5923</v>
      </c>
    </row>
    <row r="1510" spans="1:5">
      <c r="A1510" s="11" t="s">
        <v>5924</v>
      </c>
      <c r="B1510">
        <v>8000081</v>
      </c>
      <c r="D1510" s="11" t="s">
        <v>5925</v>
      </c>
      <c r="E1510" s="11" t="s">
        <v>5926</v>
      </c>
    </row>
    <row r="1511" spans="1:5">
      <c r="A1511" s="11" t="s">
        <v>5927</v>
      </c>
      <c r="B1511">
        <v>8004230</v>
      </c>
      <c r="D1511" s="11" t="s">
        <v>5928</v>
      </c>
      <c r="E1511" s="11" t="s">
        <v>5929</v>
      </c>
    </row>
    <row r="1512" spans="1:5">
      <c r="A1512" s="11" t="s">
        <v>5930</v>
      </c>
      <c r="B1512">
        <v>8001540</v>
      </c>
      <c r="D1512" s="11" t="s">
        <v>5931</v>
      </c>
      <c r="E1512" s="11" t="s">
        <v>5932</v>
      </c>
    </row>
    <row r="1513" spans="1:5">
      <c r="A1513" s="11" t="s">
        <v>5933</v>
      </c>
      <c r="B1513">
        <v>8000961</v>
      </c>
      <c r="D1513" s="11" t="s">
        <v>5934</v>
      </c>
      <c r="E1513" s="11" t="s">
        <v>5935</v>
      </c>
    </row>
    <row r="1514" spans="1:5">
      <c r="A1514" s="11" t="s">
        <v>5936</v>
      </c>
      <c r="B1514">
        <v>8001505</v>
      </c>
      <c r="D1514" s="11" t="s">
        <v>5937</v>
      </c>
      <c r="E1514" s="11" t="s">
        <v>5938</v>
      </c>
    </row>
    <row r="1515" spans="1:5">
      <c r="A1515" s="11" t="s">
        <v>5939</v>
      </c>
      <c r="B1515">
        <v>8001532</v>
      </c>
      <c r="D1515" s="11" t="s">
        <v>5940</v>
      </c>
      <c r="E1515" s="11" t="s">
        <v>5941</v>
      </c>
    </row>
    <row r="1516" spans="1:5">
      <c r="A1516" s="11" t="s">
        <v>5942</v>
      </c>
      <c r="B1516">
        <v>8001533</v>
      </c>
      <c r="D1516" s="11" t="s">
        <v>5943</v>
      </c>
      <c r="E1516" s="11" t="s">
        <v>5944</v>
      </c>
    </row>
    <row r="1517" spans="1:5">
      <c r="A1517" s="11" t="s">
        <v>5945</v>
      </c>
      <c r="B1517">
        <v>8001534</v>
      </c>
      <c r="D1517" s="11" t="s">
        <v>5946</v>
      </c>
      <c r="E1517" s="11" t="s">
        <v>5947</v>
      </c>
    </row>
    <row r="1518" spans="1:5">
      <c r="A1518" s="11" t="s">
        <v>5948</v>
      </c>
      <c r="B1518">
        <v>8004269</v>
      </c>
      <c r="D1518" s="11" t="s">
        <v>5949</v>
      </c>
      <c r="E1518" s="11" t="s">
        <v>5950</v>
      </c>
    </row>
    <row r="1519" spans="1:5">
      <c r="A1519" s="11" t="s">
        <v>5951</v>
      </c>
      <c r="B1519">
        <v>8001535</v>
      </c>
      <c r="D1519" s="11" t="s">
        <v>5952</v>
      </c>
      <c r="E1519" s="11" t="s">
        <v>5953</v>
      </c>
    </row>
    <row r="1520" spans="1:5">
      <c r="A1520" s="11" t="s">
        <v>5954</v>
      </c>
      <c r="B1520">
        <v>8003916</v>
      </c>
      <c r="D1520" s="11" t="s">
        <v>5955</v>
      </c>
      <c r="E1520" s="11" t="s">
        <v>5956</v>
      </c>
    </row>
    <row r="1521" spans="1:5">
      <c r="A1521" s="11" t="s">
        <v>5957</v>
      </c>
      <c r="B1521">
        <v>8001536</v>
      </c>
      <c r="D1521" s="11" t="s">
        <v>5958</v>
      </c>
      <c r="E1521" s="11" t="s">
        <v>5959</v>
      </c>
    </row>
    <row r="1522" spans="1:5">
      <c r="A1522" s="11" t="s">
        <v>5960</v>
      </c>
      <c r="B1522">
        <v>8001537</v>
      </c>
      <c r="D1522" s="11" t="s">
        <v>5961</v>
      </c>
      <c r="E1522" s="11" t="s">
        <v>5962</v>
      </c>
    </row>
    <row r="1523" spans="1:5">
      <c r="A1523" s="11" t="s">
        <v>5963</v>
      </c>
      <c r="B1523">
        <v>8001538</v>
      </c>
      <c r="D1523" s="11" t="s">
        <v>5964</v>
      </c>
      <c r="E1523" s="11" t="s">
        <v>5965</v>
      </c>
    </row>
    <row r="1524" spans="1:5">
      <c r="A1524" s="11" t="s">
        <v>5966</v>
      </c>
      <c r="B1524">
        <v>8001516</v>
      </c>
      <c r="D1524" s="11" t="s">
        <v>5967</v>
      </c>
      <c r="E1524" s="11" t="s">
        <v>5968</v>
      </c>
    </row>
    <row r="1525" spans="1:5">
      <c r="A1525" s="11" t="s">
        <v>5969</v>
      </c>
      <c r="B1525">
        <v>8001539</v>
      </c>
      <c r="D1525" s="11" t="s">
        <v>5970</v>
      </c>
      <c r="E1525" s="11" t="s">
        <v>5971</v>
      </c>
    </row>
    <row r="1526" spans="1:5">
      <c r="A1526" s="11" t="s">
        <v>5972</v>
      </c>
      <c r="B1526">
        <v>8001541</v>
      </c>
      <c r="D1526" s="11" t="s">
        <v>5973</v>
      </c>
      <c r="E1526" s="11" t="s">
        <v>5974</v>
      </c>
    </row>
    <row r="1527" spans="1:5">
      <c r="A1527" s="11" t="s">
        <v>5975</v>
      </c>
      <c r="B1527">
        <v>8001542</v>
      </c>
      <c r="D1527" s="11" t="s">
        <v>5976</v>
      </c>
      <c r="E1527" s="11" t="s">
        <v>5977</v>
      </c>
    </row>
    <row r="1528" spans="1:5">
      <c r="A1528" s="11" t="s">
        <v>5978</v>
      </c>
      <c r="B1528">
        <v>8001543</v>
      </c>
      <c r="D1528" s="11" t="s">
        <v>5979</v>
      </c>
      <c r="E1528" s="11" t="s">
        <v>5980</v>
      </c>
    </row>
    <row r="1529" spans="1:5">
      <c r="A1529" s="11" t="s">
        <v>5981</v>
      </c>
      <c r="B1529">
        <v>8001519</v>
      </c>
      <c r="D1529" s="11" t="s">
        <v>5982</v>
      </c>
      <c r="E1529" s="11" t="s">
        <v>5983</v>
      </c>
    </row>
    <row r="1530" spans="1:5">
      <c r="A1530" s="11" t="s">
        <v>5984</v>
      </c>
      <c r="B1530">
        <v>8004288</v>
      </c>
      <c r="D1530" s="11" t="s">
        <v>5985</v>
      </c>
      <c r="E1530" s="11" t="s">
        <v>5986</v>
      </c>
    </row>
    <row r="1531" spans="1:5">
      <c r="A1531" s="11" t="s">
        <v>5987</v>
      </c>
      <c r="B1531">
        <v>8001544</v>
      </c>
      <c r="D1531" s="11" t="s">
        <v>5988</v>
      </c>
      <c r="E1531" s="11" t="s">
        <v>5989</v>
      </c>
    </row>
    <row r="1532" spans="1:5">
      <c r="A1532" s="11" t="s">
        <v>5990</v>
      </c>
      <c r="B1532">
        <v>8001515</v>
      </c>
      <c r="D1532" s="11" t="s">
        <v>5991</v>
      </c>
      <c r="E1532" s="11" t="s">
        <v>5992</v>
      </c>
    </row>
    <row r="1533" spans="1:5">
      <c r="A1533" s="11" t="s">
        <v>5993</v>
      </c>
      <c r="B1533">
        <v>8001545</v>
      </c>
      <c r="D1533" s="11" t="s">
        <v>5994</v>
      </c>
      <c r="E1533" s="11" t="s">
        <v>5995</v>
      </c>
    </row>
    <row r="1534" spans="1:5">
      <c r="A1534" s="11" t="s">
        <v>5996</v>
      </c>
      <c r="B1534">
        <v>8001549</v>
      </c>
      <c r="D1534" s="11" t="s">
        <v>5997</v>
      </c>
      <c r="E1534" s="11" t="s">
        <v>5998</v>
      </c>
    </row>
    <row r="1535" spans="1:5">
      <c r="A1535" s="11" t="s">
        <v>5999</v>
      </c>
      <c r="B1535">
        <v>8001525</v>
      </c>
      <c r="D1535" s="11" t="s">
        <v>6000</v>
      </c>
      <c r="E1535" s="11" t="s">
        <v>6001</v>
      </c>
    </row>
    <row r="1536" spans="1:5">
      <c r="A1536" s="11" t="s">
        <v>6002</v>
      </c>
      <c r="B1536">
        <v>8001546</v>
      </c>
      <c r="D1536" s="11" t="s">
        <v>6003</v>
      </c>
      <c r="E1536" s="11" t="s">
        <v>6004</v>
      </c>
    </row>
    <row r="1537" spans="1:5">
      <c r="A1537" s="11" t="s">
        <v>6005</v>
      </c>
      <c r="B1537">
        <v>8003936</v>
      </c>
      <c r="D1537" s="11" t="s">
        <v>6006</v>
      </c>
      <c r="E1537" s="11" t="s">
        <v>6007</v>
      </c>
    </row>
    <row r="1538" spans="1:5">
      <c r="A1538" s="11" t="s">
        <v>6008</v>
      </c>
      <c r="B1538">
        <v>8001531</v>
      </c>
      <c r="D1538" s="11" t="s">
        <v>6009</v>
      </c>
      <c r="E1538" s="11" t="s">
        <v>6010</v>
      </c>
    </row>
    <row r="1539" spans="1:5">
      <c r="A1539" s="11" t="s">
        <v>6011</v>
      </c>
      <c r="B1539">
        <v>8001547</v>
      </c>
      <c r="D1539" s="11" t="s">
        <v>6012</v>
      </c>
      <c r="E1539" s="11" t="s">
        <v>6013</v>
      </c>
    </row>
    <row r="1540" spans="1:5">
      <c r="A1540" s="11" t="s">
        <v>6014</v>
      </c>
      <c r="B1540">
        <v>8001489</v>
      </c>
      <c r="D1540" s="11" t="s">
        <v>6015</v>
      </c>
      <c r="E1540" s="11" t="s">
        <v>6016</v>
      </c>
    </row>
    <row r="1541" spans="1:5">
      <c r="A1541" s="11" t="s">
        <v>6017</v>
      </c>
      <c r="B1541">
        <v>8011408</v>
      </c>
      <c r="D1541" s="11" t="s">
        <v>6018</v>
      </c>
      <c r="E1541" s="11" t="s">
        <v>6019</v>
      </c>
    </row>
    <row r="1542" spans="1:5">
      <c r="A1542" s="11" t="s">
        <v>6020</v>
      </c>
      <c r="B1542">
        <v>8001548</v>
      </c>
      <c r="D1542" s="11" t="s">
        <v>6021</v>
      </c>
      <c r="E1542" s="11" t="s">
        <v>6022</v>
      </c>
    </row>
    <row r="1543" spans="1:5">
      <c r="A1543" s="11" t="s">
        <v>6023</v>
      </c>
      <c r="B1543">
        <v>8029358</v>
      </c>
      <c r="D1543" s="11" t="s">
        <v>6024</v>
      </c>
      <c r="E1543" s="11" t="s">
        <v>6025</v>
      </c>
    </row>
    <row r="1544" spans="1:5">
      <c r="A1544" s="11" t="s">
        <v>6026</v>
      </c>
      <c r="B1544">
        <v>8079051</v>
      </c>
      <c r="D1544" s="11" t="s">
        <v>6027</v>
      </c>
      <c r="E1544" s="11" t="s">
        <v>6028</v>
      </c>
    </row>
    <row r="1545" spans="1:5">
      <c r="A1545" s="11" t="s">
        <v>6029</v>
      </c>
      <c r="B1545">
        <v>8011409</v>
      </c>
      <c r="D1545" s="11" t="s">
        <v>6030</v>
      </c>
      <c r="E1545" s="11" t="s">
        <v>6031</v>
      </c>
    </row>
    <row r="1546" spans="1:5">
      <c r="A1546" s="11" t="s">
        <v>6032</v>
      </c>
      <c r="B1546">
        <v>8017005</v>
      </c>
      <c r="D1546" s="11" t="s">
        <v>6033</v>
      </c>
      <c r="E1546" s="11" t="s">
        <v>6034</v>
      </c>
    </row>
    <row r="1547" spans="1:5">
      <c r="A1547" s="11" t="s">
        <v>6035</v>
      </c>
      <c r="B1547">
        <v>8070216</v>
      </c>
      <c r="D1547" s="11" t="s">
        <v>6036</v>
      </c>
      <c r="E1547" s="11" t="s">
        <v>6037</v>
      </c>
    </row>
    <row r="1548" spans="1:5">
      <c r="A1548" s="11" t="s">
        <v>6038</v>
      </c>
      <c r="B1548">
        <v>8081532</v>
      </c>
      <c r="D1548" s="11" t="s">
        <v>6039</v>
      </c>
      <c r="E1548" s="11" t="s">
        <v>6040</v>
      </c>
    </row>
    <row r="1549" spans="1:5">
      <c r="A1549" s="11" t="s">
        <v>6041</v>
      </c>
      <c r="B1549">
        <v>8011414</v>
      </c>
      <c r="D1549" s="11" t="s">
        <v>6042</v>
      </c>
      <c r="E1549" s="11" t="s">
        <v>6043</v>
      </c>
    </row>
    <row r="1550" spans="1:5">
      <c r="A1550" s="11" t="s">
        <v>6044</v>
      </c>
      <c r="B1550">
        <v>8017006</v>
      </c>
      <c r="D1550" s="11" t="s">
        <v>6045</v>
      </c>
      <c r="E1550" s="11" t="s">
        <v>6046</v>
      </c>
    </row>
    <row r="1551" spans="1:5">
      <c r="A1551" s="11" t="s">
        <v>6047</v>
      </c>
      <c r="B1551">
        <v>8001236</v>
      </c>
      <c r="D1551" s="11" t="s">
        <v>6048</v>
      </c>
      <c r="E1551" s="11" t="s">
        <v>6049</v>
      </c>
    </row>
    <row r="1552" spans="1:5">
      <c r="A1552" s="11" t="s">
        <v>6050</v>
      </c>
      <c r="B1552">
        <v>8001554</v>
      </c>
      <c r="D1552" s="11" t="s">
        <v>6051</v>
      </c>
      <c r="E1552" s="11" t="s">
        <v>6052</v>
      </c>
    </row>
    <row r="1553" spans="1:5">
      <c r="A1553" s="11" t="s">
        <v>6053</v>
      </c>
      <c r="B1553">
        <v>8002315</v>
      </c>
      <c r="D1553" s="11" t="s">
        <v>6054</v>
      </c>
      <c r="E1553" s="11" t="s">
        <v>6055</v>
      </c>
    </row>
    <row r="1554" spans="1:5">
      <c r="A1554" s="11" t="s">
        <v>6056</v>
      </c>
      <c r="B1554">
        <v>8004653</v>
      </c>
      <c r="D1554" s="11" t="s">
        <v>6057</v>
      </c>
      <c r="E1554" s="11" t="s">
        <v>6058</v>
      </c>
    </row>
    <row r="1555" spans="1:5">
      <c r="A1555" s="11" t="s">
        <v>6059</v>
      </c>
      <c r="B1555">
        <v>8005636</v>
      </c>
      <c r="D1555" s="11" t="s">
        <v>6060</v>
      </c>
      <c r="E1555" s="11" t="s">
        <v>6061</v>
      </c>
    </row>
    <row r="1556" spans="1:5">
      <c r="A1556" s="11" t="s">
        <v>6062</v>
      </c>
      <c r="B1556">
        <v>8079151</v>
      </c>
      <c r="D1556" s="11" t="s">
        <v>6063</v>
      </c>
      <c r="E1556" s="11" t="s">
        <v>6064</v>
      </c>
    </row>
    <row r="1557" spans="1:5">
      <c r="A1557" s="11" t="s">
        <v>6065</v>
      </c>
      <c r="B1557">
        <v>8004538</v>
      </c>
      <c r="D1557" s="11" t="s">
        <v>6066</v>
      </c>
      <c r="E1557" s="11" t="s">
        <v>6067</v>
      </c>
    </row>
    <row r="1558" spans="1:5">
      <c r="A1558" s="11" t="s">
        <v>6068</v>
      </c>
      <c r="B1558">
        <v>8011415</v>
      </c>
      <c r="D1558" s="11" t="s">
        <v>6069</v>
      </c>
      <c r="E1558" s="11" t="s">
        <v>6070</v>
      </c>
    </row>
    <row r="1559" spans="1:5">
      <c r="A1559" s="11" t="s">
        <v>6071</v>
      </c>
      <c r="B1559">
        <v>8001558</v>
      </c>
      <c r="D1559" s="11" t="s">
        <v>6072</v>
      </c>
      <c r="E1559" s="11" t="s">
        <v>6073</v>
      </c>
    </row>
    <row r="1560" spans="1:5">
      <c r="A1560" s="11" t="s">
        <v>6074</v>
      </c>
      <c r="B1560">
        <v>8011416</v>
      </c>
      <c r="D1560" s="11" t="s">
        <v>6075</v>
      </c>
      <c r="E1560" s="11" t="s">
        <v>6076</v>
      </c>
    </row>
    <row r="1561" spans="1:5">
      <c r="A1561" s="11" t="s">
        <v>6077</v>
      </c>
      <c r="B1561">
        <v>8011399</v>
      </c>
      <c r="D1561" s="11" t="s">
        <v>6078</v>
      </c>
      <c r="E1561" s="11" t="s">
        <v>6079</v>
      </c>
    </row>
    <row r="1562" spans="1:5">
      <c r="A1562" s="11" t="s">
        <v>6080</v>
      </c>
      <c r="B1562">
        <v>8011431</v>
      </c>
      <c r="D1562" s="11" t="s">
        <v>6081</v>
      </c>
      <c r="E1562" s="11" t="s">
        <v>6082</v>
      </c>
    </row>
    <row r="1563" spans="1:5">
      <c r="A1563" s="11" t="s">
        <v>6083</v>
      </c>
      <c r="B1563">
        <v>8011417</v>
      </c>
      <c r="D1563" s="11" t="s">
        <v>6084</v>
      </c>
      <c r="E1563" s="11" t="s">
        <v>6085</v>
      </c>
    </row>
    <row r="1564" spans="1:5">
      <c r="A1564" s="11" t="s">
        <v>906</v>
      </c>
      <c r="B1564">
        <v>8010085</v>
      </c>
      <c r="D1564" s="11" t="s">
        <v>908</v>
      </c>
      <c r="E1564" s="11" t="s">
        <v>909</v>
      </c>
    </row>
    <row r="1565" spans="1:5">
      <c r="A1565" s="11" t="s">
        <v>6086</v>
      </c>
      <c r="B1565">
        <v>8013449</v>
      </c>
      <c r="D1565" s="11" t="s">
        <v>6087</v>
      </c>
      <c r="E1565" s="11" t="s">
        <v>6088</v>
      </c>
    </row>
    <row r="1566" spans="1:5">
      <c r="A1566" s="11" t="s">
        <v>6089</v>
      </c>
      <c r="B1566">
        <v>8011418</v>
      </c>
      <c r="D1566" s="11" t="s">
        <v>6090</v>
      </c>
      <c r="E1566" s="11" t="s">
        <v>6091</v>
      </c>
    </row>
    <row r="1567" spans="1:5">
      <c r="A1567" s="11" t="s">
        <v>6092</v>
      </c>
      <c r="B1567">
        <v>8013444</v>
      </c>
      <c r="D1567" s="11" t="s">
        <v>6093</v>
      </c>
      <c r="E1567" s="11" t="s">
        <v>6094</v>
      </c>
    </row>
    <row r="1568" spans="1:5">
      <c r="A1568" s="11" t="s">
        <v>6095</v>
      </c>
      <c r="B1568">
        <v>8011419</v>
      </c>
      <c r="D1568" s="11" t="s">
        <v>6096</v>
      </c>
      <c r="E1568" s="11" t="s">
        <v>6097</v>
      </c>
    </row>
    <row r="1569" spans="1:5">
      <c r="A1569" s="11" t="s">
        <v>6098</v>
      </c>
      <c r="B1569">
        <v>8011420</v>
      </c>
      <c r="D1569" s="11" t="s">
        <v>6099</v>
      </c>
      <c r="E1569" s="11" t="s">
        <v>6100</v>
      </c>
    </row>
    <row r="1570" spans="1:5">
      <c r="A1570" s="11" t="s">
        <v>6101</v>
      </c>
      <c r="B1570">
        <v>8013475</v>
      </c>
      <c r="D1570" s="11" t="s">
        <v>6102</v>
      </c>
      <c r="E1570" s="11" t="s">
        <v>6103</v>
      </c>
    </row>
    <row r="1571" spans="1:5">
      <c r="A1571" s="11" t="s">
        <v>6104</v>
      </c>
      <c r="B1571">
        <v>8011421</v>
      </c>
      <c r="D1571" s="11" t="s">
        <v>6105</v>
      </c>
      <c r="E1571" s="11" t="s">
        <v>6106</v>
      </c>
    </row>
    <row r="1572" spans="1:5">
      <c r="A1572" s="11" t="s">
        <v>6107</v>
      </c>
      <c r="B1572">
        <v>8010088</v>
      </c>
      <c r="D1572" s="11" t="s">
        <v>6108</v>
      </c>
      <c r="E1572" s="11" t="s">
        <v>6109</v>
      </c>
    </row>
    <row r="1573" spans="1:5">
      <c r="A1573" s="11" t="s">
        <v>6110</v>
      </c>
      <c r="B1573">
        <v>8010089</v>
      </c>
      <c r="D1573" s="11" t="s">
        <v>6111</v>
      </c>
      <c r="E1573" s="11" t="s">
        <v>6112</v>
      </c>
    </row>
    <row r="1574" spans="1:5">
      <c r="A1574" s="11" t="s">
        <v>6113</v>
      </c>
      <c r="B1574">
        <v>8011422</v>
      </c>
      <c r="D1574" s="11" t="s">
        <v>6114</v>
      </c>
      <c r="E1574" s="11" t="s">
        <v>6115</v>
      </c>
    </row>
    <row r="1575" spans="1:5">
      <c r="A1575" s="11" t="s">
        <v>6116</v>
      </c>
      <c r="B1575">
        <v>8011423</v>
      </c>
      <c r="D1575" s="11" t="s">
        <v>6117</v>
      </c>
      <c r="E1575" s="11" t="s">
        <v>6118</v>
      </c>
    </row>
    <row r="1576" spans="1:5">
      <c r="A1576" s="11" t="s">
        <v>6119</v>
      </c>
      <c r="B1576">
        <v>8013476</v>
      </c>
      <c r="D1576" s="11" t="s">
        <v>6120</v>
      </c>
      <c r="E1576" s="11" t="s">
        <v>6121</v>
      </c>
    </row>
    <row r="1577" spans="1:5">
      <c r="A1577" s="11" t="s">
        <v>6122</v>
      </c>
      <c r="B1577">
        <v>8071995</v>
      </c>
      <c r="D1577" s="11" t="s">
        <v>6123</v>
      </c>
      <c r="E1577" s="11" t="s">
        <v>6124</v>
      </c>
    </row>
    <row r="1578" spans="1:5">
      <c r="A1578" s="11" t="s">
        <v>6125</v>
      </c>
      <c r="B1578">
        <v>8011424</v>
      </c>
      <c r="D1578" s="11" t="s">
        <v>6126</v>
      </c>
      <c r="E1578" s="11" t="s">
        <v>6127</v>
      </c>
    </row>
    <row r="1579" spans="1:5">
      <c r="A1579" s="11" t="s">
        <v>6128</v>
      </c>
      <c r="B1579">
        <v>8011425</v>
      </c>
      <c r="D1579" s="11" t="s">
        <v>6129</v>
      </c>
      <c r="E1579" s="11" t="s">
        <v>6130</v>
      </c>
    </row>
    <row r="1580" spans="1:5">
      <c r="A1580" s="11" t="s">
        <v>6131</v>
      </c>
      <c r="B1580">
        <v>8071087</v>
      </c>
      <c r="D1580" s="11" t="s">
        <v>6132</v>
      </c>
      <c r="E1580" s="11" t="s">
        <v>6133</v>
      </c>
    </row>
    <row r="1581" spans="1:5">
      <c r="A1581" s="11" t="s">
        <v>6134</v>
      </c>
      <c r="B1581">
        <v>8011426</v>
      </c>
      <c r="D1581" s="11" t="s">
        <v>6135</v>
      </c>
      <c r="E1581" s="11" t="s">
        <v>6136</v>
      </c>
    </row>
    <row r="1582" spans="1:5">
      <c r="A1582" s="11" t="s">
        <v>6137</v>
      </c>
      <c r="B1582">
        <v>8011427</v>
      </c>
      <c r="D1582" s="11" t="s">
        <v>6138</v>
      </c>
      <c r="E1582" s="11" t="s">
        <v>6139</v>
      </c>
    </row>
    <row r="1583" spans="1:5">
      <c r="A1583" s="11" t="s">
        <v>6140</v>
      </c>
      <c r="B1583">
        <v>8011428</v>
      </c>
      <c r="D1583" s="11" t="s">
        <v>6141</v>
      </c>
      <c r="E1583" s="11" t="s">
        <v>6142</v>
      </c>
    </row>
    <row r="1584" spans="1:5">
      <c r="A1584" s="11" t="s">
        <v>6143</v>
      </c>
      <c r="B1584">
        <v>8013446</v>
      </c>
      <c r="D1584" s="11" t="s">
        <v>6144</v>
      </c>
      <c r="E1584" s="11" t="s">
        <v>6145</v>
      </c>
    </row>
    <row r="1585" spans="1:5">
      <c r="A1585" s="11" t="s">
        <v>6146</v>
      </c>
      <c r="B1585">
        <v>8079435</v>
      </c>
      <c r="D1585" s="11" t="s">
        <v>6147</v>
      </c>
      <c r="E1585" s="11" t="s">
        <v>6148</v>
      </c>
    </row>
    <row r="1586" spans="1:5">
      <c r="A1586" s="11" t="s">
        <v>6149</v>
      </c>
      <c r="B1586">
        <v>8001561</v>
      </c>
      <c r="D1586" s="11" t="s">
        <v>6150</v>
      </c>
      <c r="E1586" s="11" t="s">
        <v>6151</v>
      </c>
    </row>
    <row r="1587" spans="1:5">
      <c r="A1587" s="11" t="s">
        <v>6152</v>
      </c>
      <c r="B1587">
        <v>8011433</v>
      </c>
      <c r="D1587" s="11" t="s">
        <v>6153</v>
      </c>
      <c r="E1587" s="11" t="s">
        <v>6154</v>
      </c>
    </row>
    <row r="1588" spans="1:5">
      <c r="A1588" s="11" t="s">
        <v>6155</v>
      </c>
      <c r="B1588">
        <v>8011438</v>
      </c>
      <c r="D1588" s="11" t="s">
        <v>6156</v>
      </c>
      <c r="E1588" s="11" t="s">
        <v>6157</v>
      </c>
    </row>
    <row r="1589" spans="1:5">
      <c r="A1589" s="11" t="s">
        <v>6158</v>
      </c>
      <c r="B1589">
        <v>8079719</v>
      </c>
      <c r="D1589" s="11" t="s">
        <v>6159</v>
      </c>
      <c r="E1589" s="11" t="s">
        <v>6160</v>
      </c>
    </row>
    <row r="1590" spans="1:5">
      <c r="A1590" s="11" t="s">
        <v>6161</v>
      </c>
      <c r="B1590">
        <v>8001566</v>
      </c>
      <c r="D1590" s="11" t="s">
        <v>6162</v>
      </c>
      <c r="E1590" s="11" t="s">
        <v>6163</v>
      </c>
    </row>
    <row r="1591" spans="1:5">
      <c r="A1591" s="11" t="s">
        <v>6164</v>
      </c>
      <c r="B1591">
        <v>8001570</v>
      </c>
      <c r="D1591" s="11" t="s">
        <v>6165</v>
      </c>
      <c r="E1591" s="11" t="s">
        <v>6166</v>
      </c>
    </row>
    <row r="1592" spans="1:5">
      <c r="A1592" s="11" t="s">
        <v>6167</v>
      </c>
      <c r="B1592">
        <v>8005272</v>
      </c>
      <c r="D1592" s="11" t="s">
        <v>1539</v>
      </c>
      <c r="E1592" s="11" t="s">
        <v>1539</v>
      </c>
    </row>
    <row r="1593" spans="1:5">
      <c r="A1593" s="11" t="s">
        <v>6168</v>
      </c>
      <c r="B1593">
        <v>8000086</v>
      </c>
      <c r="D1593" s="11" t="s">
        <v>6169</v>
      </c>
      <c r="E1593" s="11" t="s">
        <v>6170</v>
      </c>
    </row>
    <row r="1594" spans="1:5">
      <c r="A1594" s="11" t="s">
        <v>6171</v>
      </c>
      <c r="B1594">
        <v>8001600</v>
      </c>
      <c r="D1594" s="11" t="s">
        <v>6172</v>
      </c>
      <c r="E1594" s="11" t="s">
        <v>6173</v>
      </c>
    </row>
    <row r="1595" spans="1:5">
      <c r="A1595" s="11" t="s">
        <v>6174</v>
      </c>
      <c r="B1595">
        <v>8001602</v>
      </c>
      <c r="D1595" s="11" t="s">
        <v>6175</v>
      </c>
      <c r="E1595" s="11" t="s">
        <v>6176</v>
      </c>
    </row>
    <row r="1596" spans="1:5">
      <c r="A1596" s="11" t="s">
        <v>6177</v>
      </c>
      <c r="B1596">
        <v>8001605</v>
      </c>
      <c r="D1596" s="11" t="s">
        <v>6178</v>
      </c>
      <c r="E1596" s="11" t="s">
        <v>6179</v>
      </c>
    </row>
    <row r="1597" spans="1:5">
      <c r="A1597" s="11" t="s">
        <v>678</v>
      </c>
      <c r="B1597">
        <v>8001607</v>
      </c>
      <c r="D1597" s="11" t="s">
        <v>680</v>
      </c>
      <c r="E1597" s="11" t="s">
        <v>681</v>
      </c>
    </row>
    <row r="1598" spans="1:5">
      <c r="A1598" s="11" t="s">
        <v>6180</v>
      </c>
      <c r="B1598">
        <v>8000367</v>
      </c>
      <c r="D1598" s="11" t="s">
        <v>6181</v>
      </c>
      <c r="E1598" s="11" t="s">
        <v>6182</v>
      </c>
    </row>
    <row r="1599" spans="1:5">
      <c r="A1599" s="11" t="s">
        <v>6183</v>
      </c>
      <c r="B1599">
        <v>8001608</v>
      </c>
      <c r="D1599" s="11" t="s">
        <v>6184</v>
      </c>
      <c r="E1599" s="11" t="s">
        <v>6185</v>
      </c>
    </row>
    <row r="1600" spans="1:5">
      <c r="A1600" s="11" t="s">
        <v>6186</v>
      </c>
      <c r="B1600">
        <v>8001609</v>
      </c>
      <c r="D1600" s="11" t="s">
        <v>6187</v>
      </c>
      <c r="E1600" s="11" t="s">
        <v>6188</v>
      </c>
    </row>
    <row r="1601" spans="1:5">
      <c r="A1601" s="11" t="s">
        <v>6189</v>
      </c>
      <c r="B1601">
        <v>8001611</v>
      </c>
      <c r="D1601" s="11" t="s">
        <v>6190</v>
      </c>
      <c r="E1601" s="11" t="s">
        <v>6191</v>
      </c>
    </row>
    <row r="1602" spans="1:5">
      <c r="A1602" s="11" t="s">
        <v>6192</v>
      </c>
      <c r="B1602">
        <v>8001596</v>
      </c>
      <c r="D1602" s="11" t="s">
        <v>6193</v>
      </c>
      <c r="E1602" s="11" t="s">
        <v>6194</v>
      </c>
    </row>
    <row r="1603" spans="1:5">
      <c r="A1603" s="11" t="s">
        <v>6195</v>
      </c>
      <c r="B1603">
        <v>8001612</v>
      </c>
      <c r="D1603" s="11" t="s">
        <v>1539</v>
      </c>
      <c r="E1603" s="11" t="s">
        <v>1539</v>
      </c>
    </row>
    <row r="1604" spans="1:5">
      <c r="A1604" s="11" t="s">
        <v>6196</v>
      </c>
      <c r="B1604">
        <v>8001571</v>
      </c>
      <c r="D1604" s="11" t="s">
        <v>6197</v>
      </c>
      <c r="E1604" s="11" t="s">
        <v>6198</v>
      </c>
    </row>
    <row r="1605" spans="1:5">
      <c r="A1605" s="11" t="s">
        <v>6199</v>
      </c>
      <c r="B1605">
        <v>8000083</v>
      </c>
      <c r="D1605" s="11" t="s">
        <v>6200</v>
      </c>
      <c r="E1605" s="11" t="s">
        <v>6201</v>
      </c>
    </row>
    <row r="1606" spans="1:5">
      <c r="A1606" s="11" t="s">
        <v>6202</v>
      </c>
      <c r="B1606">
        <v>8070358</v>
      </c>
      <c r="D1606" s="11" t="s">
        <v>6203</v>
      </c>
      <c r="E1606" s="11" t="s">
        <v>6204</v>
      </c>
    </row>
    <row r="1607" spans="1:5">
      <c r="A1607" s="11" t="s">
        <v>6205</v>
      </c>
      <c r="B1607">
        <v>8001614</v>
      </c>
      <c r="D1607" s="11" t="s">
        <v>6206</v>
      </c>
      <c r="E1607" s="11" t="s">
        <v>6207</v>
      </c>
    </row>
    <row r="1608" spans="1:5">
      <c r="A1608" s="11" t="s">
        <v>6208</v>
      </c>
      <c r="B1608">
        <v>8000084</v>
      </c>
      <c r="D1608" s="11" t="s">
        <v>6209</v>
      </c>
      <c r="E1608" s="11" t="s">
        <v>6210</v>
      </c>
    </row>
    <row r="1609" spans="1:5">
      <c r="A1609" s="11" t="s">
        <v>6211</v>
      </c>
      <c r="B1609">
        <v>8007818</v>
      </c>
      <c r="D1609" s="11" t="s">
        <v>6212</v>
      </c>
      <c r="E1609" s="11" t="s">
        <v>6213</v>
      </c>
    </row>
    <row r="1610" spans="1:5">
      <c r="A1610" s="11" t="s">
        <v>6214</v>
      </c>
      <c r="B1610">
        <v>8007836</v>
      </c>
      <c r="D1610" s="11" t="s">
        <v>6215</v>
      </c>
      <c r="E1610" s="11" t="s">
        <v>6216</v>
      </c>
    </row>
    <row r="1611" spans="1:5">
      <c r="A1611" s="11" t="s">
        <v>6217</v>
      </c>
      <c r="B1611">
        <v>8007832</v>
      </c>
      <c r="D1611" s="11" t="s">
        <v>6218</v>
      </c>
      <c r="E1611" s="11" t="s">
        <v>6219</v>
      </c>
    </row>
    <row r="1612" spans="1:5">
      <c r="A1612" s="11" t="s">
        <v>6220</v>
      </c>
      <c r="B1612">
        <v>8007833</v>
      </c>
      <c r="D1612" s="11" t="s">
        <v>6221</v>
      </c>
      <c r="E1612" s="11" t="s">
        <v>6222</v>
      </c>
    </row>
    <row r="1613" spans="1:5">
      <c r="A1613" s="11" t="s">
        <v>6223</v>
      </c>
      <c r="B1613">
        <v>8007819</v>
      </c>
      <c r="D1613" s="11" t="s">
        <v>6224</v>
      </c>
      <c r="E1613" s="11" t="s">
        <v>6225</v>
      </c>
    </row>
    <row r="1614" spans="1:5">
      <c r="A1614" s="11" t="s">
        <v>6226</v>
      </c>
      <c r="B1614">
        <v>8001616</v>
      </c>
      <c r="D1614" s="11" t="s">
        <v>6227</v>
      </c>
      <c r="E1614" s="11" t="s">
        <v>6228</v>
      </c>
    </row>
    <row r="1615" spans="1:5">
      <c r="A1615" s="11" t="s">
        <v>6229</v>
      </c>
      <c r="B1615">
        <v>8070170</v>
      </c>
      <c r="D1615" s="11" t="s">
        <v>6230</v>
      </c>
      <c r="E1615" s="11" t="s">
        <v>6231</v>
      </c>
    </row>
    <row r="1616" spans="1:5">
      <c r="A1616" s="11" t="s">
        <v>6232</v>
      </c>
      <c r="B1616">
        <v>8001576</v>
      </c>
      <c r="D1616" s="11" t="s">
        <v>6233</v>
      </c>
      <c r="E1616" s="11" t="s">
        <v>6234</v>
      </c>
    </row>
    <row r="1617" spans="1:5">
      <c r="A1617" s="11" t="s">
        <v>6235</v>
      </c>
      <c r="B1617">
        <v>8071102</v>
      </c>
      <c r="D1617" s="11" t="s">
        <v>6236</v>
      </c>
      <c r="E1617" s="11" t="s">
        <v>6237</v>
      </c>
    </row>
    <row r="1618" spans="1:5">
      <c r="A1618" s="11" t="s">
        <v>6238</v>
      </c>
      <c r="B1618">
        <v>8001578</v>
      </c>
      <c r="D1618" s="11" t="s">
        <v>6239</v>
      </c>
      <c r="E1618" s="11" t="s">
        <v>6240</v>
      </c>
    </row>
    <row r="1619" spans="1:5">
      <c r="A1619" s="11" t="s">
        <v>6241</v>
      </c>
      <c r="B1619">
        <v>8010091</v>
      </c>
      <c r="D1619" s="11" t="s">
        <v>6242</v>
      </c>
      <c r="E1619" s="11" t="s">
        <v>6243</v>
      </c>
    </row>
    <row r="1620" spans="1:5">
      <c r="A1620" s="11" t="s">
        <v>6244</v>
      </c>
      <c r="B1620">
        <v>8011440</v>
      </c>
      <c r="D1620" s="11" t="s">
        <v>6245</v>
      </c>
      <c r="E1620" s="11" t="s">
        <v>6246</v>
      </c>
    </row>
    <row r="1621" spans="1:5">
      <c r="A1621" s="11" t="s">
        <v>6247</v>
      </c>
      <c r="B1621">
        <v>8000082</v>
      </c>
      <c r="D1621" s="11" t="s">
        <v>6248</v>
      </c>
      <c r="E1621" s="11" t="s">
        <v>6249</v>
      </c>
    </row>
    <row r="1622" spans="1:5">
      <c r="A1622" s="11" t="s">
        <v>6250</v>
      </c>
      <c r="B1622">
        <v>8001580</v>
      </c>
      <c r="D1622" s="11" t="s">
        <v>6251</v>
      </c>
      <c r="E1622" s="11" t="s">
        <v>6252</v>
      </c>
    </row>
    <row r="1623" spans="1:5">
      <c r="A1623" s="11" t="s">
        <v>6253</v>
      </c>
      <c r="B1623">
        <v>8001579</v>
      </c>
      <c r="D1623" s="11" t="s">
        <v>6254</v>
      </c>
      <c r="E1623" s="11" t="s">
        <v>6255</v>
      </c>
    </row>
    <row r="1624" spans="1:5">
      <c r="A1624" s="11" t="s">
        <v>6256</v>
      </c>
      <c r="B1624">
        <v>8000085</v>
      </c>
      <c r="D1624" s="11" t="s">
        <v>6257</v>
      </c>
      <c r="E1624" s="11" t="s">
        <v>6258</v>
      </c>
    </row>
    <row r="1625" spans="1:5">
      <c r="A1625" s="11" t="s">
        <v>6259</v>
      </c>
      <c r="B1625">
        <v>8001603</v>
      </c>
      <c r="D1625" s="11" t="s">
        <v>6260</v>
      </c>
      <c r="E1625" s="11" t="s">
        <v>6261</v>
      </c>
    </row>
    <row r="1626" spans="1:5">
      <c r="A1626" s="11" t="s">
        <v>6262</v>
      </c>
      <c r="B1626">
        <v>8001581</v>
      </c>
      <c r="D1626" s="11" t="s">
        <v>6263</v>
      </c>
      <c r="E1626" s="11" t="s">
        <v>6264</v>
      </c>
    </row>
    <row r="1627" spans="1:5">
      <c r="A1627" s="11" t="s">
        <v>6265</v>
      </c>
      <c r="B1627">
        <v>8001582</v>
      </c>
      <c r="D1627" s="11" t="s">
        <v>6266</v>
      </c>
      <c r="E1627" s="11" t="s">
        <v>6267</v>
      </c>
    </row>
    <row r="1628" spans="1:5">
      <c r="A1628" s="11" t="s">
        <v>6268</v>
      </c>
      <c r="B1628">
        <v>8001584</v>
      </c>
      <c r="D1628" s="11" t="s">
        <v>6269</v>
      </c>
      <c r="E1628" s="11" t="s">
        <v>6270</v>
      </c>
    </row>
    <row r="1629" spans="1:5">
      <c r="A1629" s="11" t="s">
        <v>6271</v>
      </c>
      <c r="B1629">
        <v>8001585</v>
      </c>
      <c r="D1629" s="11" t="s">
        <v>6272</v>
      </c>
      <c r="E1629" s="11" t="s">
        <v>6273</v>
      </c>
    </row>
    <row r="1630" spans="1:5">
      <c r="A1630" s="11" t="s">
        <v>6274</v>
      </c>
      <c r="B1630">
        <v>8001586</v>
      </c>
      <c r="D1630" s="11" t="s">
        <v>6275</v>
      </c>
      <c r="E1630" s="11" t="s">
        <v>6276</v>
      </c>
    </row>
    <row r="1631" spans="1:5">
      <c r="A1631" s="11" t="s">
        <v>6277</v>
      </c>
      <c r="B1631">
        <v>8001587</v>
      </c>
      <c r="D1631" s="11" t="s">
        <v>6278</v>
      </c>
      <c r="E1631" s="11" t="s">
        <v>6279</v>
      </c>
    </row>
    <row r="1632" spans="1:5">
      <c r="A1632" s="11" t="s">
        <v>6280</v>
      </c>
      <c r="B1632">
        <v>8001308</v>
      </c>
      <c r="D1632" s="11" t="s">
        <v>6281</v>
      </c>
      <c r="E1632" s="11" t="s">
        <v>6282</v>
      </c>
    </row>
    <row r="1633" spans="1:5">
      <c r="A1633" s="11" t="s">
        <v>6283</v>
      </c>
      <c r="B1633">
        <v>8001588</v>
      </c>
      <c r="D1633" s="11" t="s">
        <v>6284</v>
      </c>
      <c r="E1633" s="11" t="s">
        <v>6285</v>
      </c>
    </row>
    <row r="1634" spans="1:5">
      <c r="A1634" s="11" t="s">
        <v>6286</v>
      </c>
      <c r="B1634">
        <v>8001598</v>
      </c>
      <c r="D1634" s="11" t="s">
        <v>6287</v>
      </c>
      <c r="E1634" s="11" t="s">
        <v>6288</v>
      </c>
    </row>
    <row r="1635" spans="1:5">
      <c r="A1635" s="11" t="s">
        <v>6289</v>
      </c>
      <c r="B1635">
        <v>8001589</v>
      </c>
      <c r="D1635" s="11" t="s">
        <v>6290</v>
      </c>
      <c r="E1635" s="11" t="s">
        <v>6291</v>
      </c>
    </row>
    <row r="1636" spans="1:5">
      <c r="A1636" s="11" t="s">
        <v>6292</v>
      </c>
      <c r="B1636">
        <v>8001590</v>
      </c>
      <c r="D1636" s="11" t="s">
        <v>6293</v>
      </c>
      <c r="E1636" s="11" t="s">
        <v>6294</v>
      </c>
    </row>
    <row r="1637" spans="1:5">
      <c r="A1637" s="11" t="s">
        <v>6295</v>
      </c>
      <c r="B1637">
        <v>8001597</v>
      </c>
      <c r="D1637" s="11" t="s">
        <v>6296</v>
      </c>
      <c r="E1637" s="11" t="s">
        <v>6297</v>
      </c>
    </row>
    <row r="1638" spans="1:5">
      <c r="A1638" s="11" t="s">
        <v>6298</v>
      </c>
      <c r="B1638">
        <v>8004920</v>
      </c>
      <c r="D1638" s="11" t="s">
        <v>6299</v>
      </c>
      <c r="E1638" s="11" t="s">
        <v>6300</v>
      </c>
    </row>
    <row r="1639" spans="1:5">
      <c r="A1639" s="11" t="s">
        <v>6301</v>
      </c>
      <c r="B1639">
        <v>8001591</v>
      </c>
      <c r="D1639" s="11" t="s">
        <v>6302</v>
      </c>
      <c r="E1639" s="11" t="s">
        <v>6303</v>
      </c>
    </row>
    <row r="1640" spans="1:5">
      <c r="A1640" s="11" t="s">
        <v>6304</v>
      </c>
      <c r="B1640">
        <v>8001592</v>
      </c>
      <c r="D1640" s="11" t="s">
        <v>6305</v>
      </c>
      <c r="E1640" s="11" t="s">
        <v>6306</v>
      </c>
    </row>
    <row r="1641" spans="1:5">
      <c r="A1641" s="11" t="s">
        <v>6307</v>
      </c>
      <c r="B1641">
        <v>8001593</v>
      </c>
      <c r="D1641" s="11" t="s">
        <v>6308</v>
      </c>
      <c r="E1641" s="11" t="s">
        <v>6309</v>
      </c>
    </row>
    <row r="1642" spans="1:5">
      <c r="A1642" s="11" t="s">
        <v>6310</v>
      </c>
      <c r="B1642">
        <v>8001594</v>
      </c>
      <c r="D1642" s="11" t="s">
        <v>6311</v>
      </c>
      <c r="E1642" s="11" t="s">
        <v>6312</v>
      </c>
    </row>
    <row r="1643" spans="1:5">
      <c r="A1643" s="11" t="s">
        <v>6313</v>
      </c>
      <c r="B1643">
        <v>8001595</v>
      </c>
      <c r="D1643" s="11" t="s">
        <v>6314</v>
      </c>
      <c r="E1643" s="11" t="s">
        <v>6315</v>
      </c>
    </row>
    <row r="1644" spans="1:5">
      <c r="A1644" s="11" t="s">
        <v>6316</v>
      </c>
      <c r="B1644">
        <v>8001583</v>
      </c>
      <c r="D1644" s="11" t="s">
        <v>6317</v>
      </c>
      <c r="E1644" s="11" t="s">
        <v>6318</v>
      </c>
    </row>
    <row r="1645" spans="1:5">
      <c r="A1645" s="11" t="s">
        <v>6319</v>
      </c>
      <c r="B1645">
        <v>8001617</v>
      </c>
      <c r="D1645" s="11" t="s">
        <v>6320</v>
      </c>
      <c r="E1645" s="11" t="s">
        <v>6321</v>
      </c>
    </row>
    <row r="1646" spans="1:5">
      <c r="A1646" s="11" t="s">
        <v>6322</v>
      </c>
      <c r="B1646">
        <v>8001618</v>
      </c>
      <c r="D1646" s="11" t="s">
        <v>6323</v>
      </c>
      <c r="E1646" s="11" t="s">
        <v>6324</v>
      </c>
    </row>
    <row r="1647" spans="1:5">
      <c r="A1647" s="11" t="s">
        <v>6325</v>
      </c>
      <c r="B1647">
        <v>8011442</v>
      </c>
      <c r="D1647" s="11" t="s">
        <v>6326</v>
      </c>
      <c r="E1647" s="11" t="s">
        <v>6327</v>
      </c>
    </row>
    <row r="1648" spans="1:5">
      <c r="A1648" s="11" t="s">
        <v>6328</v>
      </c>
      <c r="B1648">
        <v>8085024</v>
      </c>
      <c r="D1648" s="11" t="s">
        <v>6329</v>
      </c>
      <c r="E1648" s="11" t="s">
        <v>6330</v>
      </c>
    </row>
    <row r="1649" spans="1:5">
      <c r="A1649" s="11" t="s">
        <v>6331</v>
      </c>
      <c r="B1649">
        <v>8001619</v>
      </c>
      <c r="D1649" s="11" t="s">
        <v>6332</v>
      </c>
      <c r="E1649" s="11" t="s">
        <v>6333</v>
      </c>
    </row>
    <row r="1650" spans="1:5">
      <c r="A1650" s="11" t="s">
        <v>6334</v>
      </c>
      <c r="B1650">
        <v>8001620</v>
      </c>
      <c r="D1650" s="11" t="s">
        <v>6335</v>
      </c>
      <c r="E1650" s="11" t="s">
        <v>6336</v>
      </c>
    </row>
    <row r="1651" spans="1:5">
      <c r="A1651" s="11" t="s">
        <v>6337</v>
      </c>
      <c r="B1651">
        <v>8001621</v>
      </c>
      <c r="D1651" s="11" t="s">
        <v>6338</v>
      </c>
      <c r="E1651" s="11" t="s">
        <v>6339</v>
      </c>
    </row>
    <row r="1652" spans="1:5">
      <c r="A1652" s="11" t="s">
        <v>6340</v>
      </c>
      <c r="B1652">
        <v>8001622</v>
      </c>
      <c r="D1652" s="11" t="s">
        <v>6341</v>
      </c>
      <c r="E1652" s="11" t="s">
        <v>6342</v>
      </c>
    </row>
    <row r="1653" spans="1:5">
      <c r="A1653" s="11" t="s">
        <v>6343</v>
      </c>
      <c r="B1653">
        <v>8001623</v>
      </c>
      <c r="D1653" s="11" t="s">
        <v>6344</v>
      </c>
      <c r="E1653" s="11" t="s">
        <v>6345</v>
      </c>
    </row>
    <row r="1654" spans="1:5">
      <c r="A1654" s="11" t="s">
        <v>6346</v>
      </c>
      <c r="B1654">
        <v>8000369</v>
      </c>
      <c r="D1654" s="11" t="s">
        <v>6347</v>
      </c>
      <c r="E1654" s="11" t="s">
        <v>6348</v>
      </c>
    </row>
    <row r="1655" spans="1:5">
      <c r="A1655" s="11" t="s">
        <v>6349</v>
      </c>
      <c r="B1655">
        <v>8001627</v>
      </c>
      <c r="D1655" s="11" t="s">
        <v>6350</v>
      </c>
      <c r="E1655" s="11" t="s">
        <v>6351</v>
      </c>
    </row>
    <row r="1656" spans="1:5">
      <c r="A1656" s="11" t="s">
        <v>6352</v>
      </c>
      <c r="B1656">
        <v>8001628</v>
      </c>
      <c r="D1656" s="11" t="s">
        <v>6353</v>
      </c>
      <c r="E1656" s="11" t="s">
        <v>6354</v>
      </c>
    </row>
    <row r="1657" spans="1:5">
      <c r="A1657" s="11" t="s">
        <v>6355</v>
      </c>
      <c r="B1657">
        <v>8001629</v>
      </c>
      <c r="D1657" s="11" t="s">
        <v>6356</v>
      </c>
      <c r="E1657" s="11" t="s">
        <v>6357</v>
      </c>
    </row>
    <row r="1658" spans="1:5">
      <c r="A1658" s="11" t="s">
        <v>6358</v>
      </c>
      <c r="B1658">
        <v>8070996</v>
      </c>
      <c r="D1658" s="11" t="s">
        <v>6359</v>
      </c>
      <c r="E1658" s="11" t="s">
        <v>6360</v>
      </c>
    </row>
    <row r="1659" spans="1:5">
      <c r="A1659" s="11" t="s">
        <v>6361</v>
      </c>
      <c r="B1659">
        <v>8001632</v>
      </c>
      <c r="D1659" s="11" t="s">
        <v>6362</v>
      </c>
      <c r="E1659" s="11" t="s">
        <v>6363</v>
      </c>
    </row>
    <row r="1660" spans="1:5">
      <c r="A1660" s="11" t="s">
        <v>6364</v>
      </c>
      <c r="B1660">
        <v>8010092</v>
      </c>
      <c r="D1660" s="11" t="s">
        <v>6365</v>
      </c>
      <c r="E1660" s="11" t="s">
        <v>6366</v>
      </c>
    </row>
    <row r="1661" spans="1:5">
      <c r="A1661" s="11" t="s">
        <v>6367</v>
      </c>
      <c r="B1661">
        <v>8001634</v>
      </c>
      <c r="D1661" s="11" t="s">
        <v>6368</v>
      </c>
      <c r="E1661" s="11" t="s">
        <v>6369</v>
      </c>
    </row>
    <row r="1662" spans="1:5">
      <c r="A1662" s="11" t="s">
        <v>6370</v>
      </c>
      <c r="B1662">
        <v>8011446</v>
      </c>
      <c r="D1662" s="11" t="s">
        <v>6371</v>
      </c>
      <c r="E1662" s="11" t="s">
        <v>6372</v>
      </c>
    </row>
    <row r="1663" spans="1:5">
      <c r="A1663" s="11" t="s">
        <v>6373</v>
      </c>
      <c r="B1663">
        <v>8071753</v>
      </c>
      <c r="D1663" s="11" t="s">
        <v>6374</v>
      </c>
      <c r="E1663" s="11" t="s">
        <v>6375</v>
      </c>
    </row>
    <row r="1664" spans="1:5">
      <c r="A1664" s="11" t="s">
        <v>6376</v>
      </c>
      <c r="B1664">
        <v>8001636</v>
      </c>
      <c r="D1664" s="11" t="s">
        <v>6377</v>
      </c>
      <c r="E1664" s="11" t="s">
        <v>6378</v>
      </c>
    </row>
    <row r="1665" spans="1:5">
      <c r="A1665" s="11" t="s">
        <v>6379</v>
      </c>
      <c r="B1665">
        <v>8010093</v>
      </c>
      <c r="D1665" s="11" t="s">
        <v>6380</v>
      </c>
      <c r="E1665" s="11" t="s">
        <v>6381</v>
      </c>
    </row>
    <row r="1666" spans="1:5">
      <c r="A1666" s="11" t="s">
        <v>6382</v>
      </c>
      <c r="B1666">
        <v>8071488</v>
      </c>
      <c r="D1666" s="11" t="s">
        <v>6383</v>
      </c>
      <c r="E1666" s="11" t="s">
        <v>6384</v>
      </c>
    </row>
    <row r="1667" spans="1:5">
      <c r="A1667" s="11" t="s">
        <v>6385</v>
      </c>
      <c r="B1667">
        <v>8001638</v>
      </c>
      <c r="D1667" s="11" t="s">
        <v>6386</v>
      </c>
      <c r="E1667" s="11" t="s">
        <v>6387</v>
      </c>
    </row>
    <row r="1668" spans="1:5">
      <c r="A1668" s="11" t="s">
        <v>6388</v>
      </c>
      <c r="B1668">
        <v>8001640</v>
      </c>
      <c r="D1668" s="11" t="s">
        <v>6389</v>
      </c>
      <c r="E1668" s="11" t="s">
        <v>6390</v>
      </c>
    </row>
    <row r="1669" spans="1:5">
      <c r="A1669" s="11" t="s">
        <v>6391</v>
      </c>
      <c r="B1669">
        <v>8071029</v>
      </c>
      <c r="D1669" s="11" t="s">
        <v>6392</v>
      </c>
      <c r="E1669" s="11" t="s">
        <v>6393</v>
      </c>
    </row>
    <row r="1670" spans="1:5">
      <c r="A1670" s="11" t="s">
        <v>6394</v>
      </c>
      <c r="B1670">
        <v>8089239</v>
      </c>
      <c r="D1670" s="11" t="s">
        <v>6395</v>
      </c>
      <c r="E1670" s="11" t="s">
        <v>6396</v>
      </c>
    </row>
    <row r="1671" spans="1:5">
      <c r="A1671" s="11" t="s">
        <v>6397</v>
      </c>
      <c r="B1671">
        <v>8001643</v>
      </c>
      <c r="D1671" s="11" t="s">
        <v>6398</v>
      </c>
      <c r="E1671" s="11" t="s">
        <v>6399</v>
      </c>
    </row>
    <row r="1672" spans="1:5">
      <c r="A1672" s="11" t="s">
        <v>6400</v>
      </c>
      <c r="B1672">
        <v>8001645</v>
      </c>
      <c r="D1672" s="11" t="s">
        <v>6401</v>
      </c>
      <c r="E1672" s="11" t="s">
        <v>6402</v>
      </c>
    </row>
    <row r="1673" spans="1:5">
      <c r="A1673" s="11" t="s">
        <v>6403</v>
      </c>
      <c r="B1673">
        <v>8001646</v>
      </c>
      <c r="D1673" s="11" t="s">
        <v>6404</v>
      </c>
      <c r="E1673" s="11" t="s">
        <v>6405</v>
      </c>
    </row>
    <row r="1674" spans="1:5">
      <c r="A1674" s="11" t="s">
        <v>6406</v>
      </c>
      <c r="B1674">
        <v>8001647</v>
      </c>
      <c r="D1674" s="11" t="s">
        <v>6407</v>
      </c>
      <c r="E1674" s="11" t="s">
        <v>6408</v>
      </c>
    </row>
    <row r="1675" spans="1:5">
      <c r="A1675" s="11" t="s">
        <v>6409</v>
      </c>
      <c r="B1675">
        <v>8001650</v>
      </c>
      <c r="D1675" s="11" t="s">
        <v>6410</v>
      </c>
      <c r="E1675" s="11" t="s">
        <v>6411</v>
      </c>
    </row>
    <row r="1676" spans="1:5">
      <c r="A1676" s="11" t="s">
        <v>6412</v>
      </c>
      <c r="B1676">
        <v>8001648</v>
      </c>
      <c r="D1676" s="11" t="s">
        <v>6413</v>
      </c>
      <c r="E1676" s="11" t="s">
        <v>6414</v>
      </c>
    </row>
    <row r="1677" spans="1:5">
      <c r="A1677" s="11" t="s">
        <v>6415</v>
      </c>
      <c r="B1677">
        <v>8011449</v>
      </c>
      <c r="D1677" s="11" t="s">
        <v>6416</v>
      </c>
      <c r="E1677" s="11" t="s">
        <v>6417</v>
      </c>
    </row>
    <row r="1678" spans="1:5">
      <c r="A1678" s="11" t="s">
        <v>6418</v>
      </c>
      <c r="B1678">
        <v>8011450</v>
      </c>
      <c r="D1678" s="11" t="s">
        <v>6419</v>
      </c>
      <c r="E1678" s="11" t="s">
        <v>6420</v>
      </c>
    </row>
    <row r="1679" spans="1:5">
      <c r="A1679" s="11" t="s">
        <v>6421</v>
      </c>
      <c r="B1679">
        <v>8001651</v>
      </c>
      <c r="D1679" s="11" t="s">
        <v>6422</v>
      </c>
      <c r="E1679" s="11" t="s">
        <v>6423</v>
      </c>
    </row>
    <row r="1680" spans="1:5">
      <c r="A1680" s="11" t="s">
        <v>6424</v>
      </c>
      <c r="B1680">
        <v>8070780</v>
      </c>
      <c r="D1680" s="11" t="s">
        <v>6425</v>
      </c>
      <c r="E1680" s="11" t="s">
        <v>6426</v>
      </c>
    </row>
    <row r="1681" spans="1:5">
      <c r="A1681" s="11" t="s">
        <v>6427</v>
      </c>
      <c r="B1681">
        <v>8001654</v>
      </c>
      <c r="D1681" s="11" t="s">
        <v>6428</v>
      </c>
      <c r="E1681" s="11" t="s">
        <v>6429</v>
      </c>
    </row>
    <row r="1682" spans="1:5">
      <c r="A1682" s="11" t="s">
        <v>6430</v>
      </c>
      <c r="B1682">
        <v>8001655</v>
      </c>
      <c r="D1682" s="11" t="s">
        <v>6431</v>
      </c>
      <c r="E1682" s="11" t="s">
        <v>6432</v>
      </c>
    </row>
    <row r="1683" spans="1:5">
      <c r="A1683" s="11" t="s">
        <v>6433</v>
      </c>
      <c r="B1683">
        <v>8001659</v>
      </c>
      <c r="D1683" s="11" t="s">
        <v>6434</v>
      </c>
      <c r="E1683" s="11" t="s">
        <v>6435</v>
      </c>
    </row>
    <row r="1684" spans="1:5">
      <c r="A1684" s="11" t="s">
        <v>6436</v>
      </c>
      <c r="B1684">
        <v>8001660</v>
      </c>
      <c r="D1684" s="11" t="s">
        <v>6437</v>
      </c>
      <c r="E1684" s="11" t="s">
        <v>6438</v>
      </c>
    </row>
    <row r="1685" spans="1:5">
      <c r="A1685" s="11" t="s">
        <v>6439</v>
      </c>
      <c r="B1685">
        <v>8001663</v>
      </c>
      <c r="D1685" s="11" t="s">
        <v>6440</v>
      </c>
      <c r="E1685" s="11" t="s">
        <v>6441</v>
      </c>
    </row>
    <row r="1686" spans="1:5">
      <c r="A1686" s="11" t="s">
        <v>6442</v>
      </c>
      <c r="B1686">
        <v>8002374</v>
      </c>
      <c r="D1686" s="11" t="s">
        <v>6443</v>
      </c>
      <c r="E1686" s="11" t="s">
        <v>6444</v>
      </c>
    </row>
    <row r="1687" spans="1:5">
      <c r="A1687" s="11" t="s">
        <v>6445</v>
      </c>
      <c r="B1687">
        <v>8001665</v>
      </c>
      <c r="D1687" s="11" t="s">
        <v>6446</v>
      </c>
      <c r="E1687" s="11" t="s">
        <v>6447</v>
      </c>
    </row>
    <row r="1688" spans="1:5">
      <c r="A1688" s="11" t="s">
        <v>6448</v>
      </c>
      <c r="B1688">
        <v>8001666</v>
      </c>
      <c r="D1688" s="11" t="s">
        <v>6449</v>
      </c>
      <c r="E1688" s="11" t="s">
        <v>6450</v>
      </c>
    </row>
    <row r="1689" spans="1:5">
      <c r="A1689" s="11" t="s">
        <v>6451</v>
      </c>
      <c r="B1689">
        <v>8001668</v>
      </c>
      <c r="D1689" s="11" t="s">
        <v>6452</v>
      </c>
      <c r="E1689" s="11" t="s">
        <v>6453</v>
      </c>
    </row>
    <row r="1690" spans="1:5">
      <c r="A1690" s="11" t="s">
        <v>6454</v>
      </c>
      <c r="B1690">
        <v>8011451</v>
      </c>
      <c r="D1690" s="11" t="s">
        <v>6455</v>
      </c>
      <c r="E1690" s="11" t="s">
        <v>6456</v>
      </c>
    </row>
    <row r="1691" spans="1:5">
      <c r="A1691" s="11" t="s">
        <v>6457</v>
      </c>
      <c r="B1691">
        <v>8001669</v>
      </c>
      <c r="D1691" s="11" t="s">
        <v>6458</v>
      </c>
      <c r="E1691" s="11" t="s">
        <v>6459</v>
      </c>
    </row>
    <row r="1692" spans="1:5">
      <c r="A1692" s="11" t="s">
        <v>6460</v>
      </c>
      <c r="B1692">
        <v>8011453</v>
      </c>
      <c r="D1692" s="11" t="s">
        <v>6461</v>
      </c>
      <c r="E1692" s="11" t="s">
        <v>6462</v>
      </c>
    </row>
    <row r="1693" spans="1:5">
      <c r="A1693" s="11" t="s">
        <v>6463</v>
      </c>
      <c r="B1693">
        <v>8001670</v>
      </c>
      <c r="D1693" s="11" t="s">
        <v>6464</v>
      </c>
      <c r="E1693" s="11" t="s">
        <v>6465</v>
      </c>
    </row>
    <row r="1694" spans="1:5">
      <c r="A1694" s="11" t="s">
        <v>6466</v>
      </c>
      <c r="B1694">
        <v>8001671</v>
      </c>
      <c r="D1694" s="11" t="s">
        <v>6467</v>
      </c>
      <c r="E1694" s="11" t="s">
        <v>6468</v>
      </c>
    </row>
    <row r="1695" spans="1:5">
      <c r="A1695" s="11" t="s">
        <v>6469</v>
      </c>
      <c r="B1695">
        <v>8001672</v>
      </c>
      <c r="D1695" s="11" t="s">
        <v>6470</v>
      </c>
      <c r="E1695" s="11" t="s">
        <v>6471</v>
      </c>
    </row>
    <row r="1696" spans="1:5">
      <c r="A1696" s="11" t="s">
        <v>6472</v>
      </c>
      <c r="B1696">
        <v>8001674</v>
      </c>
      <c r="D1696" s="11" t="s">
        <v>6473</v>
      </c>
      <c r="E1696" s="11" t="s">
        <v>6474</v>
      </c>
    </row>
    <row r="1697" spans="1:5">
      <c r="A1697" s="11" t="s">
        <v>6475</v>
      </c>
      <c r="B1697">
        <v>8001675</v>
      </c>
      <c r="D1697" s="11" t="s">
        <v>6476</v>
      </c>
      <c r="E1697" s="11" t="s">
        <v>6477</v>
      </c>
    </row>
    <row r="1698" spans="1:5">
      <c r="A1698" s="11" t="s">
        <v>6478</v>
      </c>
      <c r="B1698">
        <v>8001677</v>
      </c>
      <c r="D1698" s="11" t="s">
        <v>6479</v>
      </c>
      <c r="E1698" s="11" t="s">
        <v>6480</v>
      </c>
    </row>
    <row r="1699" spans="1:5">
      <c r="A1699" s="11" t="s">
        <v>6481</v>
      </c>
      <c r="B1699">
        <v>8001676</v>
      </c>
      <c r="D1699" s="11" t="s">
        <v>6482</v>
      </c>
      <c r="E1699" s="11" t="s">
        <v>6483</v>
      </c>
    </row>
    <row r="1700" spans="1:5">
      <c r="A1700" s="11" t="s">
        <v>6484</v>
      </c>
      <c r="B1700">
        <v>8007173</v>
      </c>
      <c r="D1700" s="11" t="s">
        <v>6485</v>
      </c>
      <c r="E1700" s="11" t="s">
        <v>6486</v>
      </c>
    </row>
    <row r="1701" spans="1:5">
      <c r="A1701" s="11" t="s">
        <v>6487</v>
      </c>
      <c r="B1701">
        <v>8011455</v>
      </c>
      <c r="D1701" s="11" t="s">
        <v>6488</v>
      </c>
      <c r="E1701" s="11" t="s">
        <v>6489</v>
      </c>
    </row>
    <row r="1702" spans="1:5">
      <c r="A1702" s="11" t="s">
        <v>6490</v>
      </c>
      <c r="B1702">
        <v>8011456</v>
      </c>
      <c r="D1702" s="11" t="s">
        <v>6491</v>
      </c>
      <c r="E1702" s="11" t="s">
        <v>6492</v>
      </c>
    </row>
    <row r="1703" spans="1:5">
      <c r="A1703" s="11" t="s">
        <v>6493</v>
      </c>
      <c r="B1703">
        <v>8070866</v>
      </c>
      <c r="D1703" s="11" t="s">
        <v>6494</v>
      </c>
      <c r="E1703" s="11" t="s">
        <v>6495</v>
      </c>
    </row>
    <row r="1704" spans="1:5">
      <c r="A1704" s="11" t="s">
        <v>6496</v>
      </c>
      <c r="B1704">
        <v>8001678</v>
      </c>
      <c r="D1704" s="11" t="s">
        <v>6497</v>
      </c>
      <c r="E1704" s="11" t="s">
        <v>6498</v>
      </c>
    </row>
    <row r="1705" spans="1:5">
      <c r="A1705" s="11" t="s">
        <v>6499</v>
      </c>
      <c r="B1705">
        <v>8001679</v>
      </c>
      <c r="D1705" s="11" t="s">
        <v>6500</v>
      </c>
      <c r="E1705" s="11" t="s">
        <v>6501</v>
      </c>
    </row>
    <row r="1706" spans="1:5">
      <c r="A1706" s="11" t="s">
        <v>6502</v>
      </c>
      <c r="B1706">
        <v>8001680</v>
      </c>
      <c r="D1706" s="11" t="s">
        <v>6503</v>
      </c>
      <c r="E1706" s="11" t="s">
        <v>6504</v>
      </c>
    </row>
    <row r="1707" spans="1:5">
      <c r="A1707" s="11" t="s">
        <v>6505</v>
      </c>
      <c r="B1707">
        <v>8001682</v>
      </c>
      <c r="D1707" s="11" t="s">
        <v>6506</v>
      </c>
      <c r="E1707" s="11" t="s">
        <v>6507</v>
      </c>
    </row>
    <row r="1708" spans="1:5">
      <c r="A1708" s="11" t="s">
        <v>6508</v>
      </c>
      <c r="B1708">
        <v>8001683</v>
      </c>
      <c r="D1708" s="11" t="s">
        <v>6509</v>
      </c>
      <c r="E1708" s="11" t="s">
        <v>6510</v>
      </c>
    </row>
    <row r="1709" spans="1:5">
      <c r="A1709" s="11" t="s">
        <v>6511</v>
      </c>
      <c r="B1709">
        <v>8001684</v>
      </c>
      <c r="D1709" s="11" t="s">
        <v>6512</v>
      </c>
      <c r="E1709" s="11" t="s">
        <v>6513</v>
      </c>
    </row>
    <row r="1710" spans="1:5">
      <c r="A1710" s="11" t="s">
        <v>6514</v>
      </c>
      <c r="B1710">
        <v>8001686</v>
      </c>
      <c r="D1710" s="11" t="s">
        <v>6515</v>
      </c>
      <c r="E1710" s="11" t="s">
        <v>6516</v>
      </c>
    </row>
    <row r="1711" spans="1:5">
      <c r="A1711" s="11" t="s">
        <v>6517</v>
      </c>
      <c r="B1711">
        <v>8001687</v>
      </c>
      <c r="D1711" s="11" t="s">
        <v>6518</v>
      </c>
      <c r="E1711" s="11" t="s">
        <v>6519</v>
      </c>
    </row>
    <row r="1712" spans="1:5">
      <c r="A1712" s="11" t="s">
        <v>6520</v>
      </c>
      <c r="B1712">
        <v>8001689</v>
      </c>
      <c r="D1712" s="11" t="s">
        <v>6521</v>
      </c>
      <c r="E1712" s="11" t="s">
        <v>6522</v>
      </c>
    </row>
    <row r="1713" spans="1:5">
      <c r="A1713" s="11" t="s">
        <v>6523</v>
      </c>
      <c r="B1713">
        <v>8001690</v>
      </c>
      <c r="D1713" s="11" t="s">
        <v>6524</v>
      </c>
      <c r="E1713" s="11" t="s">
        <v>6525</v>
      </c>
    </row>
    <row r="1714" spans="1:5">
      <c r="A1714" s="11" t="s">
        <v>6526</v>
      </c>
      <c r="B1714">
        <v>8000370</v>
      </c>
      <c r="D1714" s="11" t="s">
        <v>6527</v>
      </c>
      <c r="E1714" s="11" t="s">
        <v>6528</v>
      </c>
    </row>
    <row r="1715" spans="1:5">
      <c r="A1715" s="11" t="s">
        <v>6529</v>
      </c>
      <c r="B1715">
        <v>8001688</v>
      </c>
      <c r="D1715" s="11" t="s">
        <v>6530</v>
      </c>
      <c r="E1715" s="11" t="s">
        <v>6531</v>
      </c>
    </row>
    <row r="1716" spans="1:5">
      <c r="A1716" s="11" t="s">
        <v>6532</v>
      </c>
      <c r="B1716">
        <v>8001691</v>
      </c>
      <c r="D1716" s="11" t="s">
        <v>6533</v>
      </c>
      <c r="E1716" s="11" t="s">
        <v>6534</v>
      </c>
    </row>
    <row r="1717" spans="1:5">
      <c r="A1717" s="11" t="s">
        <v>6535</v>
      </c>
      <c r="B1717">
        <v>8071250</v>
      </c>
      <c r="D1717" s="11" t="s">
        <v>6536</v>
      </c>
      <c r="E1717" s="11" t="s">
        <v>6537</v>
      </c>
    </row>
    <row r="1718" spans="1:5">
      <c r="A1718" s="11" t="s">
        <v>6538</v>
      </c>
      <c r="B1718">
        <v>8001692</v>
      </c>
      <c r="D1718" s="11" t="s">
        <v>6539</v>
      </c>
      <c r="E1718" s="11" t="s">
        <v>6540</v>
      </c>
    </row>
    <row r="1719" spans="1:5">
      <c r="A1719" s="11" t="s">
        <v>6541</v>
      </c>
      <c r="B1719">
        <v>8001694</v>
      </c>
      <c r="D1719" s="11" t="s">
        <v>6542</v>
      </c>
      <c r="E1719" s="11" t="s">
        <v>6543</v>
      </c>
    </row>
    <row r="1720" spans="1:5">
      <c r="A1720" s="11" t="s">
        <v>6544</v>
      </c>
      <c r="B1720">
        <v>8001693</v>
      </c>
      <c r="D1720" s="11" t="s">
        <v>6545</v>
      </c>
      <c r="E1720" s="11" t="s">
        <v>6546</v>
      </c>
    </row>
    <row r="1721" spans="1:5">
      <c r="A1721" s="11" t="s">
        <v>6547</v>
      </c>
      <c r="B1721">
        <v>8010094</v>
      </c>
      <c r="D1721" s="11" t="s">
        <v>6548</v>
      </c>
      <c r="E1721" s="11" t="s">
        <v>6549</v>
      </c>
    </row>
    <row r="1722" spans="1:5">
      <c r="A1722" s="11" t="s">
        <v>6550</v>
      </c>
      <c r="B1722">
        <v>8011458</v>
      </c>
      <c r="D1722" s="11" t="s">
        <v>6551</v>
      </c>
      <c r="E1722" s="11" t="s">
        <v>6552</v>
      </c>
    </row>
    <row r="1723" spans="1:5">
      <c r="A1723" s="11" t="s">
        <v>6553</v>
      </c>
      <c r="B1723">
        <v>8001700</v>
      </c>
      <c r="D1723" s="11" t="s">
        <v>6554</v>
      </c>
      <c r="E1723" s="11" t="s">
        <v>6555</v>
      </c>
    </row>
    <row r="1724" spans="1:5">
      <c r="A1724" s="11" t="s">
        <v>6556</v>
      </c>
      <c r="B1724">
        <v>8001702</v>
      </c>
      <c r="D1724" s="11" t="s">
        <v>6557</v>
      </c>
      <c r="E1724" s="11" t="s">
        <v>6558</v>
      </c>
    </row>
    <row r="1725" spans="1:5">
      <c r="A1725" s="11" t="s">
        <v>6559</v>
      </c>
      <c r="B1725">
        <v>8000090</v>
      </c>
      <c r="D1725" s="11" t="s">
        <v>6560</v>
      </c>
      <c r="E1725" s="11" t="s">
        <v>6561</v>
      </c>
    </row>
    <row r="1726" spans="1:5">
      <c r="A1726" s="11" t="s">
        <v>6562</v>
      </c>
      <c r="B1726">
        <v>8001704</v>
      </c>
      <c r="D1726" s="11" t="s">
        <v>6563</v>
      </c>
      <c r="E1726" s="11" t="s">
        <v>6564</v>
      </c>
    </row>
    <row r="1727" spans="1:5">
      <c r="A1727" s="11" t="s">
        <v>6565</v>
      </c>
      <c r="B1727">
        <v>8001706</v>
      </c>
      <c r="D1727" s="11" t="s">
        <v>6566</v>
      </c>
      <c r="E1727" s="11" t="s">
        <v>6567</v>
      </c>
    </row>
    <row r="1728" spans="1:5">
      <c r="A1728" s="11" t="s">
        <v>6568</v>
      </c>
      <c r="B1728">
        <v>8001707</v>
      </c>
      <c r="D1728" s="11" t="s">
        <v>6569</v>
      </c>
      <c r="E1728" s="11" t="s">
        <v>6570</v>
      </c>
    </row>
    <row r="1729" spans="1:5">
      <c r="A1729" s="11" t="s">
        <v>6571</v>
      </c>
      <c r="B1729">
        <v>8001708</v>
      </c>
      <c r="D1729" s="11" t="s">
        <v>6572</v>
      </c>
      <c r="E1729" s="11" t="s">
        <v>6573</v>
      </c>
    </row>
    <row r="1730" spans="1:5">
      <c r="A1730" s="11" t="s">
        <v>812</v>
      </c>
      <c r="B1730">
        <v>8001709</v>
      </c>
      <c r="D1730" s="11" t="s">
        <v>814</v>
      </c>
      <c r="E1730" s="11" t="s">
        <v>815</v>
      </c>
    </row>
    <row r="1731" spans="1:5">
      <c r="A1731" s="11" t="s">
        <v>6574</v>
      </c>
      <c r="B1731">
        <v>8011460</v>
      </c>
      <c r="D1731" s="11" t="s">
        <v>6575</v>
      </c>
      <c r="E1731" s="11" t="s">
        <v>6576</v>
      </c>
    </row>
    <row r="1732" spans="1:5">
      <c r="A1732" s="11" t="s">
        <v>6577</v>
      </c>
      <c r="B1732">
        <v>8071243</v>
      </c>
      <c r="D1732" s="11" t="s">
        <v>6578</v>
      </c>
      <c r="E1732" s="11" t="s">
        <v>6579</v>
      </c>
    </row>
    <row r="1733" spans="1:5">
      <c r="A1733" s="11" t="s">
        <v>6580</v>
      </c>
      <c r="B1733">
        <v>8007295</v>
      </c>
      <c r="D1733" s="11" t="s">
        <v>6581</v>
      </c>
      <c r="E1733" s="11" t="s">
        <v>6582</v>
      </c>
    </row>
    <row r="1734" spans="1:5">
      <c r="A1734" s="11" t="s">
        <v>6583</v>
      </c>
      <c r="B1734">
        <v>8080340</v>
      </c>
      <c r="D1734" s="11" t="s">
        <v>6584</v>
      </c>
      <c r="E1734" s="11" t="s">
        <v>6585</v>
      </c>
    </row>
    <row r="1735" spans="1:5">
      <c r="A1735" s="11" t="s">
        <v>6586</v>
      </c>
      <c r="B1735">
        <v>8011462</v>
      </c>
      <c r="D1735" s="11" t="s">
        <v>6587</v>
      </c>
      <c r="E1735" s="11" t="s">
        <v>6588</v>
      </c>
    </row>
    <row r="1736" spans="1:5">
      <c r="A1736" s="11" t="s">
        <v>6589</v>
      </c>
      <c r="B1736">
        <v>8010095</v>
      </c>
      <c r="D1736" s="11" t="s">
        <v>6590</v>
      </c>
      <c r="E1736" s="11" t="s">
        <v>6591</v>
      </c>
    </row>
    <row r="1737" spans="1:5">
      <c r="A1737" s="11" t="s">
        <v>6592</v>
      </c>
      <c r="B1737">
        <v>8010161</v>
      </c>
      <c r="D1737" s="11" t="s">
        <v>6593</v>
      </c>
      <c r="E1737" s="11" t="s">
        <v>6594</v>
      </c>
    </row>
    <row r="1738" spans="1:5">
      <c r="A1738" s="11" t="s">
        <v>6595</v>
      </c>
      <c r="B1738">
        <v>8001712</v>
      </c>
      <c r="D1738" s="11" t="s">
        <v>6596</v>
      </c>
      <c r="E1738" s="11" t="s">
        <v>6597</v>
      </c>
    </row>
    <row r="1739" spans="1:5">
      <c r="A1739" s="11" t="s">
        <v>6598</v>
      </c>
      <c r="B1739">
        <v>8010096</v>
      </c>
      <c r="D1739" s="11" t="s">
        <v>6599</v>
      </c>
      <c r="E1739" s="11" t="s">
        <v>6600</v>
      </c>
    </row>
    <row r="1740" spans="1:5">
      <c r="A1740" s="11" t="s">
        <v>6601</v>
      </c>
      <c r="B1740">
        <v>8001713</v>
      </c>
      <c r="D1740" s="11" t="s">
        <v>6602</v>
      </c>
      <c r="E1740" s="11" t="s">
        <v>6603</v>
      </c>
    </row>
    <row r="1741" spans="1:5">
      <c r="A1741" s="11" t="s">
        <v>6604</v>
      </c>
      <c r="B1741">
        <v>8001715</v>
      </c>
      <c r="D1741" s="11" t="s">
        <v>6605</v>
      </c>
      <c r="E1741" s="11" t="s">
        <v>6606</v>
      </c>
    </row>
    <row r="1742" spans="1:5">
      <c r="A1742" s="11" t="s">
        <v>6607</v>
      </c>
      <c r="B1742">
        <v>8001719</v>
      </c>
      <c r="D1742" s="11" t="s">
        <v>6608</v>
      </c>
      <c r="E1742" s="11" t="s">
        <v>6609</v>
      </c>
    </row>
    <row r="1743" spans="1:5">
      <c r="A1743" s="11" t="s">
        <v>844</v>
      </c>
      <c r="B1743">
        <v>8001717</v>
      </c>
      <c r="D1743" s="11" t="s">
        <v>846</v>
      </c>
      <c r="E1743" s="11" t="s">
        <v>847</v>
      </c>
    </row>
    <row r="1744" spans="1:5">
      <c r="A1744" s="11" t="s">
        <v>6610</v>
      </c>
      <c r="B1744">
        <v>8001723</v>
      </c>
      <c r="D1744" s="11" t="s">
        <v>6611</v>
      </c>
      <c r="E1744" s="11" t="s">
        <v>6612</v>
      </c>
    </row>
    <row r="1745" spans="1:5">
      <c r="A1745" s="11" t="s">
        <v>496</v>
      </c>
      <c r="B1745">
        <v>8005264</v>
      </c>
      <c r="D1745" s="11" t="s">
        <v>498</v>
      </c>
      <c r="E1745" s="11" t="s">
        <v>499</v>
      </c>
    </row>
    <row r="1746" spans="1:5">
      <c r="A1746" s="11" t="s">
        <v>6613</v>
      </c>
      <c r="B1746">
        <v>8001718</v>
      </c>
      <c r="D1746" s="11" t="s">
        <v>6614</v>
      </c>
      <c r="E1746" s="11" t="s">
        <v>6615</v>
      </c>
    </row>
    <row r="1747" spans="1:5">
      <c r="A1747" s="11" t="s">
        <v>6616</v>
      </c>
      <c r="B1747">
        <v>8000371</v>
      </c>
      <c r="D1747" s="11" t="s">
        <v>6617</v>
      </c>
      <c r="E1747" s="11" t="s">
        <v>6618</v>
      </c>
    </row>
    <row r="1748" spans="1:5">
      <c r="A1748" s="11" t="s">
        <v>6619</v>
      </c>
      <c r="B1748">
        <v>8011466</v>
      </c>
      <c r="D1748" s="11" t="s">
        <v>6620</v>
      </c>
      <c r="E1748" s="11" t="s">
        <v>6621</v>
      </c>
    </row>
    <row r="1749" spans="1:5">
      <c r="A1749" s="11" t="s">
        <v>6622</v>
      </c>
      <c r="B1749">
        <v>8071828</v>
      </c>
      <c r="D1749" s="11" t="s">
        <v>6623</v>
      </c>
      <c r="E1749" s="11" t="s">
        <v>6624</v>
      </c>
    </row>
    <row r="1750" spans="1:5">
      <c r="A1750" s="11" t="s">
        <v>6625</v>
      </c>
      <c r="B1750">
        <v>8071781</v>
      </c>
      <c r="D1750" s="11" t="s">
        <v>6626</v>
      </c>
      <c r="E1750" s="11" t="s">
        <v>6627</v>
      </c>
    </row>
    <row r="1751" spans="1:5">
      <c r="A1751" s="11" t="s">
        <v>6628</v>
      </c>
      <c r="B1751">
        <v>8011464</v>
      </c>
      <c r="D1751" s="11" t="s">
        <v>6629</v>
      </c>
      <c r="E1751" s="11" t="s">
        <v>6630</v>
      </c>
    </row>
    <row r="1752" spans="1:5">
      <c r="A1752" s="11" t="s">
        <v>6631</v>
      </c>
      <c r="B1752">
        <v>8001720</v>
      </c>
      <c r="D1752" s="11" t="s">
        <v>6632</v>
      </c>
      <c r="E1752" s="11" t="s">
        <v>6633</v>
      </c>
    </row>
    <row r="1753" spans="1:5">
      <c r="A1753" s="11" t="s">
        <v>6634</v>
      </c>
      <c r="B1753">
        <v>8001724</v>
      </c>
      <c r="D1753" s="11" t="s">
        <v>6635</v>
      </c>
      <c r="E1753" s="11" t="s">
        <v>6636</v>
      </c>
    </row>
    <row r="1754" spans="1:5">
      <c r="A1754" s="11" t="s">
        <v>6637</v>
      </c>
      <c r="B1754">
        <v>8010097</v>
      </c>
      <c r="D1754" s="11" t="s">
        <v>6638</v>
      </c>
      <c r="E1754" s="11" t="s">
        <v>6639</v>
      </c>
    </row>
    <row r="1755" spans="1:5">
      <c r="A1755" s="11" t="s">
        <v>6640</v>
      </c>
      <c r="B1755">
        <v>8010105</v>
      </c>
      <c r="D1755" s="11" t="s">
        <v>6641</v>
      </c>
      <c r="E1755" s="11" t="s">
        <v>6642</v>
      </c>
    </row>
    <row r="1756" spans="1:5">
      <c r="A1756" s="11" t="s">
        <v>6643</v>
      </c>
      <c r="B1756">
        <v>8011468</v>
      </c>
      <c r="D1756" s="11" t="s">
        <v>6644</v>
      </c>
      <c r="E1756" s="11" t="s">
        <v>6645</v>
      </c>
    </row>
    <row r="1757" spans="1:5">
      <c r="A1757" s="11" t="s">
        <v>6646</v>
      </c>
      <c r="B1757">
        <v>8071127</v>
      </c>
      <c r="D1757" s="11" t="s">
        <v>6647</v>
      </c>
      <c r="E1757" s="11" t="s">
        <v>6648</v>
      </c>
    </row>
    <row r="1758" spans="1:5">
      <c r="A1758" s="11" t="s">
        <v>6649</v>
      </c>
      <c r="B1758">
        <v>8001725</v>
      </c>
      <c r="D1758" s="11" t="s">
        <v>6650</v>
      </c>
      <c r="E1758" s="11" t="s">
        <v>6651</v>
      </c>
    </row>
    <row r="1759" spans="1:5">
      <c r="A1759" s="11" t="s">
        <v>6652</v>
      </c>
      <c r="B1759">
        <v>8001728</v>
      </c>
      <c r="D1759" s="11" t="s">
        <v>6653</v>
      </c>
      <c r="E1759" s="11" t="s">
        <v>6654</v>
      </c>
    </row>
    <row r="1760" spans="1:5">
      <c r="A1760" s="11" t="s">
        <v>6655</v>
      </c>
      <c r="B1760">
        <v>8070856</v>
      </c>
      <c r="D1760" s="11" t="s">
        <v>6656</v>
      </c>
      <c r="E1760" s="11" t="s">
        <v>6657</v>
      </c>
    </row>
    <row r="1761" spans="1:5">
      <c r="A1761" s="11" t="s">
        <v>6658</v>
      </c>
      <c r="B1761">
        <v>8011471</v>
      </c>
      <c r="D1761" s="11" t="s">
        <v>6659</v>
      </c>
      <c r="E1761" s="11" t="s">
        <v>6660</v>
      </c>
    </row>
    <row r="1762" spans="1:5">
      <c r="A1762" s="11" t="s">
        <v>6661</v>
      </c>
      <c r="B1762">
        <v>8001729</v>
      </c>
      <c r="D1762" s="11" t="s">
        <v>6662</v>
      </c>
      <c r="E1762" s="11" t="s">
        <v>6663</v>
      </c>
    </row>
    <row r="1763" spans="1:5">
      <c r="A1763" s="11" t="s">
        <v>6664</v>
      </c>
      <c r="B1763">
        <v>8011472</v>
      </c>
      <c r="D1763" s="11" t="s">
        <v>6665</v>
      </c>
      <c r="E1763" s="11" t="s">
        <v>6666</v>
      </c>
    </row>
    <row r="1764" spans="1:5">
      <c r="A1764" s="11" t="s">
        <v>6667</v>
      </c>
      <c r="B1764">
        <v>8017007</v>
      </c>
      <c r="D1764" s="11" t="s">
        <v>6668</v>
      </c>
      <c r="E1764" s="11" t="s">
        <v>6669</v>
      </c>
    </row>
    <row r="1765" spans="1:5">
      <c r="A1765" s="11" t="s">
        <v>6670</v>
      </c>
      <c r="B1765">
        <v>8001731</v>
      </c>
      <c r="D1765" s="11" t="s">
        <v>6671</v>
      </c>
      <c r="E1765" s="11" t="s">
        <v>6672</v>
      </c>
    </row>
    <row r="1766" spans="1:5">
      <c r="A1766" s="11" t="s">
        <v>6673</v>
      </c>
      <c r="B1766">
        <v>8001732</v>
      </c>
      <c r="D1766" s="11" t="s">
        <v>6674</v>
      </c>
      <c r="E1766" s="11" t="s">
        <v>6675</v>
      </c>
    </row>
    <row r="1767" spans="1:5">
      <c r="A1767" s="11" t="s">
        <v>6676</v>
      </c>
      <c r="B1767">
        <v>8001734</v>
      </c>
      <c r="D1767" s="11" t="s">
        <v>6677</v>
      </c>
      <c r="E1767" s="11" t="s">
        <v>6678</v>
      </c>
    </row>
    <row r="1768" spans="1:5">
      <c r="A1768" s="11" t="s">
        <v>6679</v>
      </c>
      <c r="B1768">
        <v>8001736</v>
      </c>
      <c r="D1768" s="11" t="s">
        <v>6680</v>
      </c>
      <c r="E1768" s="11" t="s">
        <v>6681</v>
      </c>
    </row>
    <row r="1769" spans="1:5">
      <c r="A1769" s="11" t="s">
        <v>6682</v>
      </c>
      <c r="B1769">
        <v>8017008</v>
      </c>
      <c r="D1769" s="11" t="s">
        <v>6683</v>
      </c>
      <c r="E1769" s="11" t="s">
        <v>6684</v>
      </c>
    </row>
    <row r="1770" spans="1:5">
      <c r="A1770" s="11" t="s">
        <v>6685</v>
      </c>
      <c r="B1770">
        <v>8001742</v>
      </c>
      <c r="D1770" s="11" t="s">
        <v>6686</v>
      </c>
      <c r="E1770" s="11" t="s">
        <v>6687</v>
      </c>
    </row>
    <row r="1771" spans="1:5">
      <c r="A1771" s="11" t="s">
        <v>6688</v>
      </c>
      <c r="B1771">
        <v>8011476</v>
      </c>
      <c r="D1771" s="11" t="s">
        <v>6689</v>
      </c>
      <c r="E1771" s="11" t="s">
        <v>6690</v>
      </c>
    </row>
    <row r="1772" spans="1:5">
      <c r="A1772" s="11" t="s">
        <v>6691</v>
      </c>
      <c r="B1772">
        <v>8011477</v>
      </c>
      <c r="D1772" s="11" t="s">
        <v>6692</v>
      </c>
      <c r="E1772" s="11" t="s">
        <v>6693</v>
      </c>
    </row>
    <row r="1773" spans="1:5">
      <c r="A1773" s="11" t="s">
        <v>6694</v>
      </c>
      <c r="B1773">
        <v>8070984</v>
      </c>
      <c r="D1773" s="11" t="s">
        <v>6695</v>
      </c>
      <c r="E1773" s="11" t="s">
        <v>6696</v>
      </c>
    </row>
    <row r="1774" spans="1:5">
      <c r="A1774" s="11" t="s">
        <v>6697</v>
      </c>
      <c r="B1774">
        <v>8001746</v>
      </c>
      <c r="D1774" s="11" t="s">
        <v>6698</v>
      </c>
      <c r="E1774" s="11" t="s">
        <v>6699</v>
      </c>
    </row>
    <row r="1775" spans="1:5">
      <c r="A1775" s="11" t="s">
        <v>6700</v>
      </c>
      <c r="B1775">
        <v>8007050</v>
      </c>
      <c r="D1775" s="11" t="s">
        <v>6701</v>
      </c>
      <c r="E1775" s="11" t="s">
        <v>6702</v>
      </c>
    </row>
    <row r="1776" spans="1:5">
      <c r="A1776" s="11" t="s">
        <v>6703</v>
      </c>
      <c r="B1776">
        <v>8001747</v>
      </c>
      <c r="D1776" s="11" t="s">
        <v>6704</v>
      </c>
      <c r="E1776" s="11" t="s">
        <v>6705</v>
      </c>
    </row>
    <row r="1777" spans="1:5">
      <c r="A1777" s="11" t="s">
        <v>6706</v>
      </c>
      <c r="B1777">
        <v>8001749</v>
      </c>
      <c r="D1777" s="11" t="s">
        <v>6707</v>
      </c>
      <c r="E1777" s="11" t="s">
        <v>6708</v>
      </c>
    </row>
    <row r="1778" spans="1:5">
      <c r="A1778" s="11" t="s">
        <v>6709</v>
      </c>
      <c r="B1778">
        <v>8011480</v>
      </c>
      <c r="D1778" s="11" t="s">
        <v>6710</v>
      </c>
      <c r="E1778" s="11" t="s">
        <v>6711</v>
      </c>
    </row>
    <row r="1779" spans="1:5">
      <c r="A1779" s="11" t="s">
        <v>6712</v>
      </c>
      <c r="B1779">
        <v>8001751</v>
      </c>
      <c r="D1779" s="11" t="s">
        <v>6713</v>
      </c>
      <c r="E1779" s="11" t="s">
        <v>6714</v>
      </c>
    </row>
    <row r="1780" spans="1:5">
      <c r="A1780" s="11" t="s">
        <v>6715</v>
      </c>
      <c r="B1780">
        <v>8001752</v>
      </c>
      <c r="D1780" s="11" t="s">
        <v>6716</v>
      </c>
      <c r="E1780" s="11" t="s">
        <v>6717</v>
      </c>
    </row>
    <row r="1781" spans="1:5">
      <c r="A1781" s="11" t="s">
        <v>6718</v>
      </c>
      <c r="B1781">
        <v>8011481</v>
      </c>
      <c r="D1781" s="11" t="s">
        <v>6719</v>
      </c>
      <c r="E1781" s="11" t="s">
        <v>6720</v>
      </c>
    </row>
    <row r="1782" spans="1:5">
      <c r="A1782" s="11" t="s">
        <v>6721</v>
      </c>
      <c r="B1782">
        <v>8079721</v>
      </c>
      <c r="D1782" s="11" t="s">
        <v>6722</v>
      </c>
      <c r="E1782" s="11" t="s">
        <v>6723</v>
      </c>
    </row>
    <row r="1783" spans="1:5">
      <c r="A1783" s="11" t="s">
        <v>6724</v>
      </c>
      <c r="B1783">
        <v>8000092</v>
      </c>
      <c r="D1783" s="11" t="s">
        <v>6725</v>
      </c>
      <c r="E1783" s="11" t="s">
        <v>6726</v>
      </c>
    </row>
    <row r="1784" spans="1:5">
      <c r="A1784" s="11" t="s">
        <v>6727</v>
      </c>
      <c r="B1784">
        <v>8001754</v>
      </c>
      <c r="D1784" s="11" t="s">
        <v>6728</v>
      </c>
      <c r="E1784" s="11" t="s">
        <v>6729</v>
      </c>
    </row>
    <row r="1785" spans="1:5">
      <c r="A1785" s="11" t="s">
        <v>6730</v>
      </c>
      <c r="B1785">
        <v>8001760</v>
      </c>
      <c r="D1785" s="11" t="s">
        <v>6731</v>
      </c>
      <c r="E1785" s="11" t="s">
        <v>6732</v>
      </c>
    </row>
    <row r="1786" spans="1:5">
      <c r="A1786" s="11" t="s">
        <v>6733</v>
      </c>
      <c r="B1786">
        <v>8011482</v>
      </c>
      <c r="D1786" s="11" t="s">
        <v>6734</v>
      </c>
      <c r="E1786" s="11" t="s">
        <v>6735</v>
      </c>
    </row>
    <row r="1787" spans="1:5">
      <c r="A1787" s="11" t="s">
        <v>6736</v>
      </c>
      <c r="B1787">
        <v>8011484</v>
      </c>
      <c r="D1787" s="11" t="s">
        <v>6737</v>
      </c>
      <c r="E1787" s="11" t="s">
        <v>6738</v>
      </c>
    </row>
    <row r="1788" spans="1:5">
      <c r="A1788" s="11" t="s">
        <v>6739</v>
      </c>
      <c r="B1788">
        <v>8080370</v>
      </c>
      <c r="D1788" s="11" t="s">
        <v>6740</v>
      </c>
      <c r="E1788" s="11" t="s">
        <v>6741</v>
      </c>
    </row>
    <row r="1789" spans="1:5">
      <c r="A1789" s="11" t="s">
        <v>6742</v>
      </c>
      <c r="B1789">
        <v>8011486</v>
      </c>
      <c r="D1789" s="11" t="s">
        <v>6743</v>
      </c>
      <c r="E1789" s="11" t="s">
        <v>6744</v>
      </c>
    </row>
    <row r="1790" spans="1:5">
      <c r="A1790" s="11" t="s">
        <v>6745</v>
      </c>
      <c r="B1790">
        <v>8011487</v>
      </c>
      <c r="D1790" s="11" t="s">
        <v>6746</v>
      </c>
      <c r="E1790" s="11" t="s">
        <v>6747</v>
      </c>
    </row>
    <row r="1791" spans="1:5">
      <c r="A1791" s="11" t="s">
        <v>6748</v>
      </c>
      <c r="B1791">
        <v>8070942</v>
      </c>
      <c r="D1791" s="11" t="s">
        <v>6749</v>
      </c>
      <c r="E1791" s="11" t="s">
        <v>6750</v>
      </c>
    </row>
    <row r="1792" spans="1:5">
      <c r="A1792" s="11" t="s">
        <v>6751</v>
      </c>
      <c r="B1792">
        <v>8011488</v>
      </c>
      <c r="D1792" s="11" t="s">
        <v>6752</v>
      </c>
      <c r="E1792" s="11" t="s">
        <v>6753</v>
      </c>
    </row>
    <row r="1793" spans="1:5">
      <c r="A1793" s="11" t="s">
        <v>6754</v>
      </c>
      <c r="B1793">
        <v>8010099</v>
      </c>
      <c r="D1793" s="11" t="s">
        <v>6755</v>
      </c>
      <c r="E1793" s="11" t="s">
        <v>6756</v>
      </c>
    </row>
    <row r="1794" spans="1:5">
      <c r="A1794" s="11" t="s">
        <v>6757</v>
      </c>
      <c r="B1794">
        <v>8010100</v>
      </c>
      <c r="D1794" s="11" t="s">
        <v>6758</v>
      </c>
      <c r="E1794" s="11" t="s">
        <v>6759</v>
      </c>
    </row>
    <row r="1795" spans="1:5">
      <c r="A1795" s="11" t="s">
        <v>6760</v>
      </c>
      <c r="B1795">
        <v>8001762</v>
      </c>
      <c r="D1795" s="11" t="s">
        <v>6761</v>
      </c>
      <c r="E1795" s="11" t="s">
        <v>6762</v>
      </c>
    </row>
    <row r="1796" spans="1:5">
      <c r="A1796" s="11" t="s">
        <v>6763</v>
      </c>
      <c r="B1796">
        <v>8001763</v>
      </c>
      <c r="D1796" s="11" t="s">
        <v>6764</v>
      </c>
      <c r="E1796" s="11" t="s">
        <v>6765</v>
      </c>
    </row>
    <row r="1797" spans="1:5">
      <c r="A1797" s="11" t="s">
        <v>6766</v>
      </c>
      <c r="B1797">
        <v>8075970</v>
      </c>
      <c r="D1797" s="11" t="s">
        <v>1539</v>
      </c>
      <c r="E1797" s="11" t="s">
        <v>1539</v>
      </c>
    </row>
    <row r="1798" spans="1:5">
      <c r="A1798" s="11" t="s">
        <v>6767</v>
      </c>
      <c r="B1798">
        <v>8011489</v>
      </c>
      <c r="D1798" s="11" t="s">
        <v>6768</v>
      </c>
      <c r="E1798" s="11" t="s">
        <v>6769</v>
      </c>
    </row>
    <row r="1799" spans="1:5">
      <c r="A1799" s="11" t="s">
        <v>6770</v>
      </c>
      <c r="B1799">
        <v>8001764</v>
      </c>
      <c r="D1799" s="11" t="s">
        <v>6771</v>
      </c>
      <c r="E1799" s="11" t="s">
        <v>6772</v>
      </c>
    </row>
    <row r="1800" spans="1:5">
      <c r="A1800" s="11" t="s">
        <v>6773</v>
      </c>
      <c r="B1800">
        <v>8071536</v>
      </c>
      <c r="D1800" s="11" t="s">
        <v>6774</v>
      </c>
      <c r="E1800" s="11" t="s">
        <v>6775</v>
      </c>
    </row>
    <row r="1801" spans="1:5">
      <c r="A1801" s="11" t="s">
        <v>6776</v>
      </c>
      <c r="B1801">
        <v>8001765</v>
      </c>
      <c r="D1801" s="11" t="s">
        <v>6777</v>
      </c>
      <c r="E1801" s="11" t="s">
        <v>6778</v>
      </c>
    </row>
    <row r="1802" spans="1:5">
      <c r="A1802" s="11" t="s">
        <v>6779</v>
      </c>
      <c r="B1802">
        <v>8001766</v>
      </c>
      <c r="D1802" s="11" t="s">
        <v>6780</v>
      </c>
      <c r="E1802" s="11" t="s">
        <v>6781</v>
      </c>
    </row>
    <row r="1803" spans="1:5">
      <c r="A1803" s="11" t="s">
        <v>6782</v>
      </c>
      <c r="B1803">
        <v>8000093</v>
      </c>
      <c r="D1803" s="11" t="s">
        <v>6783</v>
      </c>
      <c r="E1803" s="11" t="s">
        <v>6784</v>
      </c>
    </row>
    <row r="1804" spans="1:5">
      <c r="A1804" s="11" t="s">
        <v>6785</v>
      </c>
      <c r="B1804">
        <v>8001767</v>
      </c>
      <c r="D1804" s="11" t="s">
        <v>6786</v>
      </c>
      <c r="E1804" s="11" t="s">
        <v>6787</v>
      </c>
    </row>
    <row r="1805" spans="1:5">
      <c r="A1805" s="11" t="s">
        <v>6788</v>
      </c>
      <c r="B1805">
        <v>8001768</v>
      </c>
      <c r="D1805" s="11" t="s">
        <v>6789</v>
      </c>
      <c r="E1805" s="11" t="s">
        <v>6790</v>
      </c>
    </row>
    <row r="1806" spans="1:5">
      <c r="A1806" s="11" t="s">
        <v>6791</v>
      </c>
      <c r="B1806">
        <v>8001770</v>
      </c>
      <c r="D1806" s="11" t="s">
        <v>6792</v>
      </c>
      <c r="E1806" s="11" t="s">
        <v>6793</v>
      </c>
    </row>
    <row r="1807" spans="1:5">
      <c r="A1807" s="11" t="s">
        <v>6794</v>
      </c>
      <c r="B1807">
        <v>8001771</v>
      </c>
      <c r="D1807" s="11" t="s">
        <v>6795</v>
      </c>
      <c r="E1807" s="11" t="s">
        <v>6796</v>
      </c>
    </row>
    <row r="1808" spans="1:5">
      <c r="A1808" s="11" t="s">
        <v>6797</v>
      </c>
      <c r="B1808">
        <v>8001773</v>
      </c>
      <c r="D1808" s="11" t="s">
        <v>6798</v>
      </c>
      <c r="E1808" s="11" t="s">
        <v>6799</v>
      </c>
    </row>
    <row r="1809" spans="1:5">
      <c r="A1809" s="11" t="s">
        <v>6800</v>
      </c>
      <c r="B1809">
        <v>8001774</v>
      </c>
      <c r="D1809" s="11" t="s">
        <v>1539</v>
      </c>
      <c r="E1809" s="11" t="s">
        <v>1539</v>
      </c>
    </row>
    <row r="1810" spans="1:5">
      <c r="A1810" s="11" t="s">
        <v>6801</v>
      </c>
      <c r="B1810">
        <v>8001776</v>
      </c>
      <c r="D1810" s="11" t="s">
        <v>6802</v>
      </c>
      <c r="E1810" s="11" t="s">
        <v>6803</v>
      </c>
    </row>
    <row r="1811" spans="1:5">
      <c r="A1811" s="11" t="s">
        <v>6804</v>
      </c>
      <c r="B1811">
        <v>8001775</v>
      </c>
      <c r="D1811" s="11" t="s">
        <v>6805</v>
      </c>
      <c r="E1811" s="11" t="s">
        <v>6806</v>
      </c>
    </row>
    <row r="1812" spans="1:5">
      <c r="A1812" s="11" t="s">
        <v>6807</v>
      </c>
      <c r="B1812">
        <v>8001777</v>
      </c>
      <c r="D1812" s="11" t="s">
        <v>6808</v>
      </c>
      <c r="E1812" s="11" t="s">
        <v>6809</v>
      </c>
    </row>
    <row r="1813" spans="1:5">
      <c r="A1813" s="11" t="s">
        <v>6810</v>
      </c>
      <c r="B1813">
        <v>8001781</v>
      </c>
      <c r="D1813" s="11" t="s">
        <v>6811</v>
      </c>
      <c r="E1813" s="11" t="s">
        <v>6812</v>
      </c>
    </row>
    <row r="1814" spans="1:5">
      <c r="A1814" s="11" t="s">
        <v>6813</v>
      </c>
      <c r="B1814">
        <v>8001780</v>
      </c>
      <c r="D1814" s="11" t="s">
        <v>6814</v>
      </c>
      <c r="E1814" s="11" t="s">
        <v>6815</v>
      </c>
    </row>
    <row r="1815" spans="1:5">
      <c r="A1815" s="11" t="s">
        <v>6816</v>
      </c>
      <c r="B1815">
        <v>8001782</v>
      </c>
      <c r="D1815" s="11" t="s">
        <v>6817</v>
      </c>
      <c r="E1815" s="11" t="s">
        <v>6818</v>
      </c>
    </row>
    <row r="1816" spans="1:5">
      <c r="A1816" s="11" t="s">
        <v>6819</v>
      </c>
      <c r="B1816">
        <v>8001783</v>
      </c>
      <c r="D1816" s="11" t="s">
        <v>6820</v>
      </c>
      <c r="E1816" s="11" t="s">
        <v>6821</v>
      </c>
    </row>
    <row r="1817" spans="1:5">
      <c r="A1817" s="11" t="s">
        <v>6822</v>
      </c>
      <c r="B1817">
        <v>8001785</v>
      </c>
      <c r="D1817" s="11" t="s">
        <v>6823</v>
      </c>
      <c r="E1817" s="11" t="s">
        <v>6824</v>
      </c>
    </row>
    <row r="1818" spans="1:5">
      <c r="A1818" s="11" t="s">
        <v>6825</v>
      </c>
      <c r="B1818">
        <v>8007285</v>
      </c>
      <c r="D1818" s="11" t="s">
        <v>6826</v>
      </c>
      <c r="E1818" s="11" t="s">
        <v>6827</v>
      </c>
    </row>
    <row r="1819" spans="1:5">
      <c r="A1819" s="11" t="s">
        <v>6828</v>
      </c>
      <c r="B1819">
        <v>8029356</v>
      </c>
      <c r="D1819" s="11" t="s">
        <v>6829</v>
      </c>
      <c r="E1819" s="11" t="s">
        <v>6830</v>
      </c>
    </row>
    <row r="1820" spans="1:5">
      <c r="A1820" s="11" t="s">
        <v>6831</v>
      </c>
      <c r="B1820">
        <v>8070368</v>
      </c>
      <c r="D1820" s="11" t="s">
        <v>6832</v>
      </c>
      <c r="E1820" s="11" t="s">
        <v>6833</v>
      </c>
    </row>
    <row r="1821" spans="1:5">
      <c r="A1821" s="11" t="s">
        <v>6834</v>
      </c>
      <c r="B1821">
        <v>8071882</v>
      </c>
      <c r="D1821" s="11" t="s">
        <v>6835</v>
      </c>
      <c r="E1821" s="11" t="s">
        <v>6836</v>
      </c>
    </row>
    <row r="1822" spans="1:5">
      <c r="A1822" s="11" t="s">
        <v>6837</v>
      </c>
      <c r="B1822">
        <v>8001789</v>
      </c>
      <c r="D1822" s="11" t="s">
        <v>6838</v>
      </c>
      <c r="E1822" s="11" t="s">
        <v>6839</v>
      </c>
    </row>
    <row r="1823" spans="1:5">
      <c r="A1823" s="11" t="s">
        <v>6840</v>
      </c>
      <c r="B1823">
        <v>8001790</v>
      </c>
      <c r="D1823" s="11" t="s">
        <v>6841</v>
      </c>
      <c r="E1823" s="11" t="s">
        <v>6842</v>
      </c>
    </row>
    <row r="1824" spans="1:5">
      <c r="A1824" s="11" t="s">
        <v>6843</v>
      </c>
      <c r="B1824">
        <v>8000094</v>
      </c>
      <c r="D1824" s="11" t="s">
        <v>6844</v>
      </c>
      <c r="E1824" s="11" t="s">
        <v>6845</v>
      </c>
    </row>
    <row r="1825" spans="1:5">
      <c r="A1825" s="11" t="s">
        <v>6846</v>
      </c>
      <c r="B1825">
        <v>8001792</v>
      </c>
      <c r="D1825" s="11" t="s">
        <v>6847</v>
      </c>
      <c r="E1825" s="11" t="s">
        <v>6848</v>
      </c>
    </row>
    <row r="1826" spans="1:5">
      <c r="A1826" s="11" t="s">
        <v>6849</v>
      </c>
      <c r="B1826">
        <v>8070456</v>
      </c>
      <c r="D1826" s="11" t="s">
        <v>6850</v>
      </c>
      <c r="E1826" s="11" t="s">
        <v>6851</v>
      </c>
    </row>
    <row r="1827" spans="1:5">
      <c r="A1827" s="11" t="s">
        <v>6852</v>
      </c>
      <c r="B1827">
        <v>8003335</v>
      </c>
      <c r="D1827" s="11" t="s">
        <v>6853</v>
      </c>
      <c r="E1827" s="11" t="s">
        <v>6854</v>
      </c>
    </row>
    <row r="1828" spans="1:5">
      <c r="A1828" s="11" t="s">
        <v>6855</v>
      </c>
      <c r="B1828">
        <v>8001794</v>
      </c>
      <c r="D1828" s="11" t="s">
        <v>6856</v>
      </c>
      <c r="E1828" s="11" t="s">
        <v>6857</v>
      </c>
    </row>
    <row r="1829" spans="1:5">
      <c r="A1829" s="11" t="s">
        <v>6858</v>
      </c>
      <c r="B1829">
        <v>8000372</v>
      </c>
      <c r="D1829" s="11" t="s">
        <v>6859</v>
      </c>
      <c r="E1829" s="11" t="s">
        <v>6860</v>
      </c>
    </row>
    <row r="1830" spans="1:5">
      <c r="A1830" s="11" t="s">
        <v>6861</v>
      </c>
      <c r="B1830">
        <v>8001795</v>
      </c>
      <c r="D1830" s="11" t="s">
        <v>6862</v>
      </c>
      <c r="E1830" s="11" t="s">
        <v>6863</v>
      </c>
    </row>
    <row r="1831" spans="1:5">
      <c r="A1831" s="11" t="s">
        <v>6864</v>
      </c>
      <c r="B1831">
        <v>8001799</v>
      </c>
      <c r="D1831" s="11" t="s">
        <v>6865</v>
      </c>
      <c r="E1831" s="11" t="s">
        <v>6866</v>
      </c>
    </row>
    <row r="1832" spans="1:5">
      <c r="A1832" s="11" t="s">
        <v>6867</v>
      </c>
      <c r="B1832">
        <v>8001801</v>
      </c>
      <c r="D1832" s="11" t="s">
        <v>6868</v>
      </c>
      <c r="E1832" s="11" t="s">
        <v>6869</v>
      </c>
    </row>
    <row r="1833" spans="1:5">
      <c r="A1833" s="11" t="s">
        <v>6870</v>
      </c>
      <c r="B1833">
        <v>8001802</v>
      </c>
      <c r="D1833" s="11" t="s">
        <v>6871</v>
      </c>
      <c r="E1833" s="11" t="s">
        <v>6872</v>
      </c>
    </row>
    <row r="1834" spans="1:5">
      <c r="A1834" s="11" t="s">
        <v>6873</v>
      </c>
      <c r="B1834">
        <v>8001803</v>
      </c>
      <c r="D1834" s="11" t="s">
        <v>6874</v>
      </c>
      <c r="E1834" s="11" t="s">
        <v>6875</v>
      </c>
    </row>
    <row r="1835" spans="1:5">
      <c r="A1835" s="11" t="s">
        <v>6876</v>
      </c>
      <c r="B1835">
        <v>8001806</v>
      </c>
      <c r="D1835" s="11" t="s">
        <v>6877</v>
      </c>
      <c r="E1835" s="11" t="s">
        <v>6878</v>
      </c>
    </row>
    <row r="1836" spans="1:5">
      <c r="A1836" s="11" t="s">
        <v>6879</v>
      </c>
      <c r="B1836">
        <v>8001808</v>
      </c>
      <c r="D1836" s="11" t="s">
        <v>6880</v>
      </c>
      <c r="E1836" s="11" t="s">
        <v>6881</v>
      </c>
    </row>
    <row r="1837" spans="1:5">
      <c r="A1837" s="11" t="s">
        <v>6882</v>
      </c>
      <c r="B1837">
        <v>8070369</v>
      </c>
      <c r="D1837" s="11" t="s">
        <v>6883</v>
      </c>
      <c r="E1837" s="11" t="s">
        <v>6884</v>
      </c>
    </row>
    <row r="1838" spans="1:5">
      <c r="A1838" s="11" t="s">
        <v>6885</v>
      </c>
      <c r="B1838">
        <v>8001812</v>
      </c>
      <c r="D1838" s="11" t="s">
        <v>6886</v>
      </c>
      <c r="E1838" s="11" t="s">
        <v>6887</v>
      </c>
    </row>
    <row r="1839" spans="1:5">
      <c r="A1839" s="11" t="s">
        <v>6888</v>
      </c>
      <c r="B1839">
        <v>8001813</v>
      </c>
      <c r="D1839" s="11" t="s">
        <v>6889</v>
      </c>
      <c r="E1839" s="11" t="s">
        <v>6890</v>
      </c>
    </row>
    <row r="1840" spans="1:5">
      <c r="A1840" s="11" t="s">
        <v>6891</v>
      </c>
      <c r="B1840">
        <v>8001814</v>
      </c>
      <c r="D1840" s="11" t="s">
        <v>6892</v>
      </c>
      <c r="E1840" s="11" t="s">
        <v>6893</v>
      </c>
    </row>
    <row r="1841" spans="1:5">
      <c r="A1841" s="11" t="s">
        <v>6894</v>
      </c>
      <c r="B1841">
        <v>8000373</v>
      </c>
      <c r="D1841" s="11" t="s">
        <v>6895</v>
      </c>
      <c r="E1841" s="11" t="s">
        <v>6896</v>
      </c>
    </row>
    <row r="1842" spans="1:5">
      <c r="A1842" s="11" t="s">
        <v>6897</v>
      </c>
      <c r="B1842">
        <v>8079077</v>
      </c>
      <c r="D1842" s="11" t="s">
        <v>6898</v>
      </c>
      <c r="E1842" s="11" t="s">
        <v>6899</v>
      </c>
    </row>
    <row r="1843" spans="1:5">
      <c r="A1843" s="11" t="s">
        <v>6900</v>
      </c>
      <c r="B1843">
        <v>8001815</v>
      </c>
      <c r="D1843" s="11" t="s">
        <v>6901</v>
      </c>
      <c r="E1843" s="11" t="s">
        <v>6902</v>
      </c>
    </row>
    <row r="1844" spans="1:5">
      <c r="A1844" s="11" t="s">
        <v>6903</v>
      </c>
      <c r="B1844">
        <v>8001816</v>
      </c>
      <c r="D1844" s="11" t="s">
        <v>6904</v>
      </c>
      <c r="E1844" s="11" t="s">
        <v>6905</v>
      </c>
    </row>
    <row r="1845" spans="1:5">
      <c r="A1845" s="11" t="s">
        <v>6906</v>
      </c>
      <c r="B1845">
        <v>8001817</v>
      </c>
      <c r="D1845" s="11" t="s">
        <v>6907</v>
      </c>
      <c r="E1845" s="11" t="s">
        <v>6908</v>
      </c>
    </row>
    <row r="1846" spans="1:5">
      <c r="A1846" s="11" t="s">
        <v>6909</v>
      </c>
      <c r="B1846">
        <v>8001811</v>
      </c>
      <c r="D1846" s="11" t="s">
        <v>6910</v>
      </c>
      <c r="E1846" s="11" t="s">
        <v>6911</v>
      </c>
    </row>
    <row r="1847" spans="1:5">
      <c r="A1847" s="11" t="s">
        <v>6912</v>
      </c>
      <c r="B1847">
        <v>8001818</v>
      </c>
      <c r="D1847" s="11" t="s">
        <v>6913</v>
      </c>
      <c r="E1847" s="11" t="s">
        <v>6914</v>
      </c>
    </row>
    <row r="1848" spans="1:5">
      <c r="A1848" s="11" t="s">
        <v>6915</v>
      </c>
      <c r="B1848">
        <v>8001820</v>
      </c>
      <c r="D1848" s="11" t="s">
        <v>6916</v>
      </c>
      <c r="E1848" s="11" t="s">
        <v>6917</v>
      </c>
    </row>
    <row r="1849" spans="1:5">
      <c r="A1849" s="11" t="s">
        <v>6918</v>
      </c>
      <c r="B1849">
        <v>8070370</v>
      </c>
      <c r="D1849" s="11" t="s">
        <v>6919</v>
      </c>
      <c r="E1849" s="11" t="s">
        <v>6920</v>
      </c>
    </row>
    <row r="1850" spans="1:5">
      <c r="A1850" s="11" t="s">
        <v>6921</v>
      </c>
      <c r="B1850">
        <v>8070643</v>
      </c>
      <c r="D1850" s="11" t="s">
        <v>6922</v>
      </c>
      <c r="E1850" s="11" t="s">
        <v>6923</v>
      </c>
    </row>
    <row r="1851" spans="1:5">
      <c r="A1851" s="11" t="s">
        <v>6924</v>
      </c>
      <c r="B1851">
        <v>8011496</v>
      </c>
      <c r="D1851" s="11" t="s">
        <v>6925</v>
      </c>
      <c r="E1851" s="11" t="s">
        <v>6926</v>
      </c>
    </row>
    <row r="1852" spans="1:5">
      <c r="A1852" s="11" t="s">
        <v>6927</v>
      </c>
      <c r="B1852">
        <v>8001825</v>
      </c>
      <c r="D1852" s="11" t="s">
        <v>6928</v>
      </c>
      <c r="E1852" s="11" t="s">
        <v>6929</v>
      </c>
    </row>
    <row r="1853" spans="1:5">
      <c r="A1853" s="11" t="s">
        <v>6930</v>
      </c>
      <c r="B1853">
        <v>8001827</v>
      </c>
      <c r="D1853" s="11" t="s">
        <v>6931</v>
      </c>
      <c r="E1853" s="11" t="s">
        <v>6932</v>
      </c>
    </row>
    <row r="1854" spans="1:5">
      <c r="A1854" s="11" t="s">
        <v>6933</v>
      </c>
      <c r="B1854">
        <v>8080061</v>
      </c>
      <c r="D1854" s="11" t="s">
        <v>6934</v>
      </c>
      <c r="E1854" s="11" t="s">
        <v>6935</v>
      </c>
    </row>
    <row r="1855" spans="1:5">
      <c r="A1855" s="11" t="s">
        <v>928</v>
      </c>
      <c r="B1855">
        <v>8011497</v>
      </c>
      <c r="D1855" s="11" t="s">
        <v>930</v>
      </c>
      <c r="E1855" s="11" t="s">
        <v>931</v>
      </c>
    </row>
    <row r="1856" spans="1:5">
      <c r="A1856" s="11" t="s">
        <v>6936</v>
      </c>
      <c r="B1856">
        <v>8001829</v>
      </c>
      <c r="D1856" s="11" t="s">
        <v>6937</v>
      </c>
      <c r="E1856" s="11" t="s">
        <v>6938</v>
      </c>
    </row>
    <row r="1857" spans="1:5">
      <c r="A1857" s="11" t="s">
        <v>6939</v>
      </c>
      <c r="B1857">
        <v>8003671</v>
      </c>
      <c r="D1857" s="11" t="s">
        <v>6940</v>
      </c>
      <c r="E1857" s="11" t="s">
        <v>6941</v>
      </c>
    </row>
    <row r="1858" spans="1:5">
      <c r="A1858" s="11" t="s">
        <v>6942</v>
      </c>
      <c r="B1858">
        <v>8010101</v>
      </c>
      <c r="D1858" s="11" t="s">
        <v>6943</v>
      </c>
      <c r="E1858" s="11" t="s">
        <v>6944</v>
      </c>
    </row>
    <row r="1859" spans="1:5">
      <c r="A1859" s="11" t="s">
        <v>6945</v>
      </c>
      <c r="B1859">
        <v>8071357</v>
      </c>
      <c r="D1859" s="11" t="s">
        <v>1539</v>
      </c>
      <c r="E1859" s="11" t="s">
        <v>1539</v>
      </c>
    </row>
    <row r="1860" spans="1:5">
      <c r="A1860" s="11" t="s">
        <v>6946</v>
      </c>
      <c r="B1860">
        <v>8010102</v>
      </c>
      <c r="D1860" s="11" t="s">
        <v>6947</v>
      </c>
      <c r="E1860" s="11" t="s">
        <v>6948</v>
      </c>
    </row>
    <row r="1861" spans="1:5">
      <c r="A1861" s="11" t="s">
        <v>6949</v>
      </c>
      <c r="B1861">
        <v>8011500</v>
      </c>
      <c r="D1861" s="11" t="s">
        <v>6950</v>
      </c>
      <c r="E1861" s="11" t="s">
        <v>6951</v>
      </c>
    </row>
    <row r="1862" spans="1:5">
      <c r="A1862" s="11" t="s">
        <v>6952</v>
      </c>
      <c r="B1862">
        <v>8071035</v>
      </c>
      <c r="D1862" s="11" t="s">
        <v>6953</v>
      </c>
      <c r="E1862" s="11" t="s">
        <v>6954</v>
      </c>
    </row>
    <row r="1863" spans="1:5">
      <c r="A1863" s="11" t="s">
        <v>6955</v>
      </c>
      <c r="B1863">
        <v>8011502</v>
      </c>
      <c r="D1863" s="11" t="s">
        <v>6956</v>
      </c>
      <c r="E1863" s="11" t="s">
        <v>6957</v>
      </c>
    </row>
    <row r="1864" spans="1:5">
      <c r="A1864" s="11" t="s">
        <v>6958</v>
      </c>
      <c r="B1864">
        <v>8011503</v>
      </c>
      <c r="D1864" s="11" t="s">
        <v>6959</v>
      </c>
      <c r="E1864" s="11" t="s">
        <v>6960</v>
      </c>
    </row>
    <row r="1865" spans="1:5">
      <c r="A1865" s="11" t="s">
        <v>6961</v>
      </c>
      <c r="B1865">
        <v>8001833</v>
      </c>
      <c r="D1865" s="11" t="s">
        <v>6962</v>
      </c>
      <c r="E1865" s="11" t="s">
        <v>6963</v>
      </c>
    </row>
    <row r="1866" spans="1:5">
      <c r="A1866" s="11" t="s">
        <v>6964</v>
      </c>
      <c r="B1866">
        <v>8001835</v>
      </c>
      <c r="D1866" s="11" t="s">
        <v>6965</v>
      </c>
      <c r="E1866" s="11" t="s">
        <v>6966</v>
      </c>
    </row>
    <row r="1867" spans="1:5">
      <c r="A1867" s="11" t="s">
        <v>6967</v>
      </c>
      <c r="B1867">
        <v>8001838</v>
      </c>
      <c r="D1867" s="11" t="s">
        <v>6968</v>
      </c>
      <c r="E1867" s="11" t="s">
        <v>6969</v>
      </c>
    </row>
    <row r="1868" spans="1:5">
      <c r="A1868" s="11" t="s">
        <v>6970</v>
      </c>
      <c r="B1868">
        <v>8001839</v>
      </c>
      <c r="D1868" s="11" t="s">
        <v>6971</v>
      </c>
      <c r="E1868" s="11" t="s">
        <v>6972</v>
      </c>
    </row>
    <row r="1869" spans="1:5">
      <c r="A1869" s="11" t="s">
        <v>6973</v>
      </c>
      <c r="B1869">
        <v>8001840</v>
      </c>
      <c r="D1869" s="11" t="s">
        <v>6974</v>
      </c>
      <c r="E1869" s="11" t="s">
        <v>6975</v>
      </c>
    </row>
    <row r="1870" spans="1:5">
      <c r="A1870" s="11" t="s">
        <v>6976</v>
      </c>
      <c r="B1870">
        <v>8013477</v>
      </c>
      <c r="D1870" s="11" t="s">
        <v>6977</v>
      </c>
      <c r="E1870" s="11" t="s">
        <v>6978</v>
      </c>
    </row>
    <row r="1871" spans="1:5">
      <c r="A1871" s="11" t="s">
        <v>6979</v>
      </c>
      <c r="B1871">
        <v>8089181</v>
      </c>
      <c r="D1871" s="11" t="s">
        <v>6980</v>
      </c>
      <c r="E1871" s="11" t="s">
        <v>6981</v>
      </c>
    </row>
    <row r="1872" spans="1:5">
      <c r="A1872" s="11" t="s">
        <v>6982</v>
      </c>
      <c r="B1872">
        <v>8001841</v>
      </c>
      <c r="D1872" s="11" t="s">
        <v>6983</v>
      </c>
      <c r="E1872" s="11" t="s">
        <v>6984</v>
      </c>
    </row>
    <row r="1873" spans="1:5">
      <c r="A1873" s="11" t="s">
        <v>6985</v>
      </c>
      <c r="B1873">
        <v>8001842</v>
      </c>
      <c r="D1873" s="11" t="s">
        <v>6986</v>
      </c>
      <c r="E1873" s="11" t="s">
        <v>6987</v>
      </c>
    </row>
    <row r="1874" spans="1:5">
      <c r="A1874" s="11" t="s">
        <v>6988</v>
      </c>
      <c r="B1874">
        <v>8071231</v>
      </c>
      <c r="D1874" s="11" t="s">
        <v>6989</v>
      </c>
      <c r="E1874" s="11" t="s">
        <v>6990</v>
      </c>
    </row>
    <row r="1875" spans="1:5">
      <c r="A1875" s="11" t="s">
        <v>6991</v>
      </c>
      <c r="B1875">
        <v>8011505</v>
      </c>
      <c r="D1875" s="11" t="s">
        <v>6992</v>
      </c>
      <c r="E1875" s="11" t="s">
        <v>6993</v>
      </c>
    </row>
    <row r="1876" spans="1:5">
      <c r="A1876" s="11" t="s">
        <v>6994</v>
      </c>
      <c r="B1876">
        <v>8011506</v>
      </c>
      <c r="D1876" s="11" t="s">
        <v>6995</v>
      </c>
      <c r="E1876" s="11" t="s">
        <v>6996</v>
      </c>
    </row>
    <row r="1877" spans="1:5">
      <c r="A1877" s="11" t="s">
        <v>6997</v>
      </c>
      <c r="B1877">
        <v>8001844</v>
      </c>
      <c r="D1877" s="11" t="s">
        <v>6998</v>
      </c>
      <c r="E1877" s="11" t="s">
        <v>6999</v>
      </c>
    </row>
    <row r="1878" spans="1:5">
      <c r="A1878" s="11" t="s">
        <v>7000</v>
      </c>
      <c r="B1878">
        <v>8001846</v>
      </c>
      <c r="D1878" s="11" t="s">
        <v>7001</v>
      </c>
      <c r="E1878" s="11" t="s">
        <v>7002</v>
      </c>
    </row>
    <row r="1879" spans="1:5">
      <c r="A1879" s="11" t="s">
        <v>7003</v>
      </c>
      <c r="B1879">
        <v>8001845</v>
      </c>
      <c r="D1879" s="11" t="s">
        <v>7004</v>
      </c>
      <c r="E1879" s="11" t="s">
        <v>7005</v>
      </c>
    </row>
    <row r="1880" spans="1:5">
      <c r="A1880" s="11" t="s">
        <v>7006</v>
      </c>
      <c r="B1880">
        <v>8011507</v>
      </c>
      <c r="D1880" s="11" t="s">
        <v>7007</v>
      </c>
      <c r="E1880" s="11" t="s">
        <v>7008</v>
      </c>
    </row>
    <row r="1881" spans="1:5">
      <c r="A1881" s="11" t="s">
        <v>7009</v>
      </c>
      <c r="B1881">
        <v>8001848</v>
      </c>
      <c r="D1881" s="11" t="s">
        <v>7010</v>
      </c>
      <c r="E1881" s="11" t="s">
        <v>7011</v>
      </c>
    </row>
    <row r="1882" spans="1:5">
      <c r="A1882" s="11" t="s">
        <v>7012</v>
      </c>
      <c r="B1882">
        <v>8001851</v>
      </c>
      <c r="D1882" s="11" t="s">
        <v>7013</v>
      </c>
      <c r="E1882" s="11" t="s">
        <v>7014</v>
      </c>
    </row>
    <row r="1883" spans="1:5">
      <c r="A1883" s="11" t="s">
        <v>7015</v>
      </c>
      <c r="B1883">
        <v>8001853</v>
      </c>
      <c r="D1883" s="11" t="s">
        <v>7016</v>
      </c>
      <c r="E1883" s="11" t="s">
        <v>7017</v>
      </c>
    </row>
    <row r="1884" spans="1:5">
      <c r="A1884" s="11" t="s">
        <v>7018</v>
      </c>
      <c r="B1884">
        <v>8001854</v>
      </c>
      <c r="D1884" s="11" t="s">
        <v>7019</v>
      </c>
      <c r="E1884" s="11" t="s">
        <v>7020</v>
      </c>
    </row>
    <row r="1885" spans="1:5">
      <c r="A1885" s="11" t="s">
        <v>7021</v>
      </c>
      <c r="B1885">
        <v>8011512</v>
      </c>
      <c r="D1885" s="11" t="s">
        <v>7022</v>
      </c>
      <c r="E1885" s="11" t="s">
        <v>7023</v>
      </c>
    </row>
    <row r="1886" spans="1:5">
      <c r="A1886" s="11" t="s">
        <v>7024</v>
      </c>
      <c r="B1886">
        <v>8001858</v>
      </c>
      <c r="D1886" s="11" t="s">
        <v>7025</v>
      </c>
      <c r="E1886" s="11" t="s">
        <v>7026</v>
      </c>
    </row>
    <row r="1887" spans="1:5">
      <c r="A1887" s="11" t="s">
        <v>7027</v>
      </c>
      <c r="B1887">
        <v>8001860</v>
      </c>
      <c r="D1887" s="11" t="s">
        <v>7028</v>
      </c>
      <c r="E1887" s="11" t="s">
        <v>7029</v>
      </c>
    </row>
    <row r="1888" spans="1:5">
      <c r="A1888" s="11" t="s">
        <v>7030</v>
      </c>
      <c r="B1888">
        <v>8001861</v>
      </c>
      <c r="D1888" s="11" t="s">
        <v>7031</v>
      </c>
      <c r="E1888" s="11" t="s">
        <v>7032</v>
      </c>
    </row>
    <row r="1889" spans="1:5">
      <c r="A1889" s="11" t="s">
        <v>7033</v>
      </c>
      <c r="B1889">
        <v>8079090</v>
      </c>
      <c r="D1889" s="11" t="s">
        <v>7034</v>
      </c>
      <c r="E1889" s="11" t="s">
        <v>7035</v>
      </c>
    </row>
    <row r="1890" spans="1:5">
      <c r="A1890" s="11" t="s">
        <v>7036</v>
      </c>
      <c r="B1890">
        <v>8001864</v>
      </c>
      <c r="D1890" s="11" t="s">
        <v>7037</v>
      </c>
      <c r="E1890" s="11" t="s">
        <v>7038</v>
      </c>
    </row>
    <row r="1891" spans="1:5">
      <c r="A1891" s="11" t="s">
        <v>7039</v>
      </c>
      <c r="B1891">
        <v>8001865</v>
      </c>
      <c r="D1891" s="11" t="s">
        <v>7040</v>
      </c>
      <c r="E1891" s="11" t="s">
        <v>7041</v>
      </c>
    </row>
    <row r="1892" spans="1:5">
      <c r="A1892" s="11" t="s">
        <v>7042</v>
      </c>
      <c r="B1892">
        <v>8029357</v>
      </c>
      <c r="D1892" s="11" t="s">
        <v>7043</v>
      </c>
      <c r="E1892" s="11" t="s">
        <v>7044</v>
      </c>
    </row>
    <row r="1893" spans="1:5">
      <c r="A1893" s="11" t="s">
        <v>7045</v>
      </c>
      <c r="B1893">
        <v>8001870</v>
      </c>
      <c r="D1893" s="11" t="s">
        <v>7046</v>
      </c>
      <c r="E1893" s="11" t="s">
        <v>7047</v>
      </c>
    </row>
    <row r="1894" spans="1:5">
      <c r="A1894" s="11" t="s">
        <v>7048</v>
      </c>
      <c r="B1894">
        <v>8001871</v>
      </c>
      <c r="D1894" s="11" t="s">
        <v>7049</v>
      </c>
      <c r="E1894" s="11" t="s">
        <v>7050</v>
      </c>
    </row>
    <row r="1895" spans="1:5">
      <c r="A1895" s="11" t="s">
        <v>7051</v>
      </c>
      <c r="B1895">
        <v>8001872</v>
      </c>
      <c r="D1895" s="11" t="s">
        <v>7052</v>
      </c>
      <c r="E1895" s="11" t="s">
        <v>7053</v>
      </c>
    </row>
    <row r="1896" spans="1:5">
      <c r="A1896" s="11" t="s">
        <v>7054</v>
      </c>
      <c r="B1896">
        <v>8007443</v>
      </c>
      <c r="D1896" s="11" t="s">
        <v>7055</v>
      </c>
      <c r="E1896" s="11" t="s">
        <v>7056</v>
      </c>
    </row>
    <row r="1897" spans="1:5">
      <c r="A1897" s="11" t="s">
        <v>7057</v>
      </c>
      <c r="B1897">
        <v>8071141</v>
      </c>
      <c r="D1897" s="11" t="s">
        <v>7058</v>
      </c>
      <c r="E1897" s="11" t="s">
        <v>7059</v>
      </c>
    </row>
    <row r="1898" spans="1:5">
      <c r="A1898" s="11" t="s">
        <v>7060</v>
      </c>
      <c r="B1898">
        <v>8001874</v>
      </c>
      <c r="D1898" s="11" t="s">
        <v>7061</v>
      </c>
      <c r="E1898" s="11" t="s">
        <v>7062</v>
      </c>
    </row>
    <row r="1899" spans="1:5">
      <c r="A1899" s="11" t="s">
        <v>7063</v>
      </c>
      <c r="B1899">
        <v>8001875</v>
      </c>
      <c r="D1899" s="11" t="s">
        <v>7064</v>
      </c>
      <c r="E1899" s="11" t="s">
        <v>7065</v>
      </c>
    </row>
    <row r="1900" spans="1:5">
      <c r="A1900" s="11" t="s">
        <v>7066</v>
      </c>
      <c r="B1900">
        <v>8001877</v>
      </c>
      <c r="D1900" s="11" t="s">
        <v>7067</v>
      </c>
      <c r="E1900" s="11" t="s">
        <v>7068</v>
      </c>
    </row>
    <row r="1901" spans="1:5">
      <c r="A1901" s="11" t="s">
        <v>7069</v>
      </c>
      <c r="B1901">
        <v>8001880</v>
      </c>
      <c r="D1901" s="11" t="s">
        <v>7070</v>
      </c>
      <c r="E1901" s="11" t="s">
        <v>7071</v>
      </c>
    </row>
    <row r="1902" spans="1:5">
      <c r="A1902" s="11" t="s">
        <v>7072</v>
      </c>
      <c r="B1902">
        <v>715570</v>
      </c>
      <c r="D1902" s="11" t="s">
        <v>7073</v>
      </c>
      <c r="E1902" s="11" t="s">
        <v>7074</v>
      </c>
    </row>
    <row r="1903" spans="1:5">
      <c r="A1903" s="11" t="s">
        <v>7075</v>
      </c>
      <c r="B1903">
        <v>713362</v>
      </c>
      <c r="D1903" s="11" t="s">
        <v>7076</v>
      </c>
      <c r="E1903" s="11" t="s">
        <v>7077</v>
      </c>
    </row>
    <row r="1904" spans="1:5">
      <c r="A1904" s="11" t="s">
        <v>7078</v>
      </c>
      <c r="B1904">
        <v>8070857</v>
      </c>
      <c r="D1904" s="11" t="s">
        <v>7079</v>
      </c>
      <c r="E1904" s="11" t="s">
        <v>7080</v>
      </c>
    </row>
    <row r="1905" spans="1:5">
      <c r="A1905" s="11" t="s">
        <v>7081</v>
      </c>
      <c r="B1905">
        <v>8001883</v>
      </c>
      <c r="D1905" s="11" t="s">
        <v>7082</v>
      </c>
      <c r="E1905" s="11" t="s">
        <v>7083</v>
      </c>
    </row>
    <row r="1906" spans="1:5">
      <c r="A1906" s="11" t="s">
        <v>820</v>
      </c>
      <c r="B1906">
        <v>8001884</v>
      </c>
      <c r="D1906" s="11" t="s">
        <v>822</v>
      </c>
      <c r="E1906" s="11" t="s">
        <v>823</v>
      </c>
    </row>
    <row r="1907" spans="1:5">
      <c r="A1907" s="11" t="s">
        <v>7084</v>
      </c>
      <c r="B1907">
        <v>8001895</v>
      </c>
      <c r="D1907" s="11" t="s">
        <v>7085</v>
      </c>
      <c r="E1907" s="11" t="s">
        <v>7086</v>
      </c>
    </row>
    <row r="1908" spans="1:5">
      <c r="A1908" s="11" t="s">
        <v>7087</v>
      </c>
      <c r="B1908">
        <v>8071220</v>
      </c>
      <c r="D1908" s="11" t="s">
        <v>7088</v>
      </c>
      <c r="E1908" s="11" t="s">
        <v>7089</v>
      </c>
    </row>
    <row r="1909" spans="1:5">
      <c r="A1909" s="11" t="s">
        <v>7090</v>
      </c>
      <c r="B1909">
        <v>8001886</v>
      </c>
      <c r="D1909" s="11" t="s">
        <v>7091</v>
      </c>
      <c r="E1909" s="11" t="s">
        <v>7092</v>
      </c>
    </row>
    <row r="1910" spans="1:5">
      <c r="A1910" s="11" t="s">
        <v>7093</v>
      </c>
      <c r="B1910">
        <v>8001888</v>
      </c>
      <c r="D1910" s="11" t="s">
        <v>7094</v>
      </c>
      <c r="E1910" s="11" t="s">
        <v>7095</v>
      </c>
    </row>
    <row r="1911" spans="1:5">
      <c r="A1911" s="11" t="s">
        <v>7096</v>
      </c>
      <c r="B1911">
        <v>8001889</v>
      </c>
      <c r="D1911" s="11" t="s">
        <v>7097</v>
      </c>
      <c r="E1911" s="11" t="s">
        <v>7098</v>
      </c>
    </row>
    <row r="1912" spans="1:5">
      <c r="A1912" s="11" t="s">
        <v>7099</v>
      </c>
      <c r="B1912">
        <v>8001917</v>
      </c>
      <c r="D1912" s="11" t="s">
        <v>7100</v>
      </c>
      <c r="E1912" s="11" t="s">
        <v>7101</v>
      </c>
    </row>
    <row r="1913" spans="1:5">
      <c r="A1913" s="11" t="s">
        <v>7102</v>
      </c>
      <c r="B1913">
        <v>8001893</v>
      </c>
      <c r="D1913" s="11" t="s">
        <v>7103</v>
      </c>
      <c r="E1913" s="11" t="s">
        <v>7104</v>
      </c>
    </row>
    <row r="1914" spans="1:5">
      <c r="A1914" s="11" t="s">
        <v>7105</v>
      </c>
      <c r="B1914">
        <v>8001887</v>
      </c>
      <c r="D1914" s="11" t="s">
        <v>7106</v>
      </c>
      <c r="E1914" s="11" t="s">
        <v>7107</v>
      </c>
    </row>
    <row r="1915" spans="1:5">
      <c r="A1915" s="11" t="s">
        <v>7108</v>
      </c>
      <c r="B1915">
        <v>8000460</v>
      </c>
      <c r="D1915" s="11" t="s">
        <v>1539</v>
      </c>
      <c r="E1915" s="11" t="s">
        <v>1539</v>
      </c>
    </row>
    <row r="1916" spans="1:5">
      <c r="A1916" s="11" t="s">
        <v>7109</v>
      </c>
      <c r="B1916">
        <v>8000458</v>
      </c>
      <c r="D1916" s="11" t="s">
        <v>7110</v>
      </c>
      <c r="E1916" s="11" t="s">
        <v>7111</v>
      </c>
    </row>
    <row r="1917" spans="1:5">
      <c r="A1917" s="11" t="s">
        <v>7112</v>
      </c>
      <c r="B1917">
        <v>8001890</v>
      </c>
      <c r="D1917" s="11" t="s">
        <v>7113</v>
      </c>
      <c r="E1917" s="11" t="s">
        <v>7114</v>
      </c>
    </row>
    <row r="1918" spans="1:5">
      <c r="A1918" s="11" t="s">
        <v>7115</v>
      </c>
      <c r="B1918">
        <v>8001894</v>
      </c>
      <c r="D1918" s="11" t="s">
        <v>7116</v>
      </c>
      <c r="E1918" s="11" t="s">
        <v>7117</v>
      </c>
    </row>
    <row r="1919" spans="1:5">
      <c r="A1919" s="11" t="s">
        <v>7118</v>
      </c>
      <c r="B1919">
        <v>8004060</v>
      </c>
      <c r="D1919" s="11" t="s">
        <v>7119</v>
      </c>
      <c r="E1919" s="11" t="s">
        <v>7120</v>
      </c>
    </row>
    <row r="1920" spans="1:5">
      <c r="A1920" s="11" t="s">
        <v>7121</v>
      </c>
      <c r="B1920">
        <v>8000098</v>
      </c>
      <c r="D1920" s="11" t="s">
        <v>7122</v>
      </c>
      <c r="E1920" s="11" t="s">
        <v>7123</v>
      </c>
    </row>
    <row r="1921" spans="1:5">
      <c r="A1921" s="11" t="s">
        <v>7124</v>
      </c>
      <c r="B1921">
        <v>8001896</v>
      </c>
      <c r="D1921" s="11" t="s">
        <v>7125</v>
      </c>
      <c r="E1921" s="11" t="s">
        <v>7126</v>
      </c>
    </row>
    <row r="1922" spans="1:5">
      <c r="A1922" s="11" t="s">
        <v>7127</v>
      </c>
      <c r="B1922">
        <v>8001897</v>
      </c>
      <c r="D1922" s="11" t="s">
        <v>7128</v>
      </c>
      <c r="E1922" s="11" t="s">
        <v>7129</v>
      </c>
    </row>
    <row r="1923" spans="1:5">
      <c r="A1923" s="11" t="s">
        <v>7130</v>
      </c>
      <c r="B1923">
        <v>8001898</v>
      </c>
      <c r="D1923" s="11" t="s">
        <v>7131</v>
      </c>
      <c r="E1923" s="11" t="s">
        <v>7132</v>
      </c>
    </row>
    <row r="1924" spans="1:5">
      <c r="A1924" s="11" t="s">
        <v>7133</v>
      </c>
      <c r="B1924">
        <v>8001899</v>
      </c>
      <c r="D1924" s="11" t="s">
        <v>7134</v>
      </c>
      <c r="E1924" s="11" t="s">
        <v>7135</v>
      </c>
    </row>
    <row r="1925" spans="1:5">
      <c r="A1925" s="11" t="s">
        <v>7136</v>
      </c>
      <c r="B1925">
        <v>8001900</v>
      </c>
      <c r="D1925" s="11" t="s">
        <v>7137</v>
      </c>
      <c r="E1925" s="11" t="s">
        <v>7138</v>
      </c>
    </row>
    <row r="1926" spans="1:5">
      <c r="A1926" s="11" t="s">
        <v>7139</v>
      </c>
      <c r="B1926">
        <v>8001901</v>
      </c>
      <c r="D1926" s="11" t="s">
        <v>7140</v>
      </c>
      <c r="E1926" s="11" t="s">
        <v>7141</v>
      </c>
    </row>
    <row r="1927" spans="1:5">
      <c r="A1927" s="11" t="s">
        <v>7142</v>
      </c>
      <c r="B1927">
        <v>8001902</v>
      </c>
      <c r="D1927" s="11" t="s">
        <v>7143</v>
      </c>
      <c r="E1927" s="11" t="s">
        <v>7144</v>
      </c>
    </row>
    <row r="1928" spans="1:5">
      <c r="A1928" s="11" t="s">
        <v>7145</v>
      </c>
      <c r="B1928">
        <v>8005031</v>
      </c>
      <c r="D1928" s="11" t="s">
        <v>7146</v>
      </c>
      <c r="E1928" s="11" t="s">
        <v>7147</v>
      </c>
    </row>
    <row r="1929" spans="1:5">
      <c r="A1929" s="11" t="s">
        <v>7148</v>
      </c>
      <c r="B1929">
        <v>8001903</v>
      </c>
      <c r="D1929" s="11" t="s">
        <v>7149</v>
      </c>
      <c r="E1929" s="11" t="s">
        <v>7150</v>
      </c>
    </row>
    <row r="1930" spans="1:5">
      <c r="A1930" s="11" t="s">
        <v>7151</v>
      </c>
      <c r="B1930">
        <v>8001904</v>
      </c>
      <c r="D1930" s="11" t="s">
        <v>7152</v>
      </c>
      <c r="E1930" s="11" t="s">
        <v>7153</v>
      </c>
    </row>
    <row r="1931" spans="1:5">
      <c r="A1931" s="11" t="s">
        <v>7154</v>
      </c>
      <c r="B1931">
        <v>8001905</v>
      </c>
      <c r="D1931" s="11" t="s">
        <v>7155</v>
      </c>
      <c r="E1931" s="11" t="s">
        <v>7156</v>
      </c>
    </row>
    <row r="1932" spans="1:5">
      <c r="A1932" s="11" t="s">
        <v>7157</v>
      </c>
      <c r="B1932">
        <v>8001906</v>
      </c>
      <c r="D1932" s="11" t="s">
        <v>7158</v>
      </c>
      <c r="E1932" s="11" t="s">
        <v>7159</v>
      </c>
    </row>
    <row r="1933" spans="1:5">
      <c r="A1933" s="11" t="s">
        <v>7160</v>
      </c>
      <c r="B1933">
        <v>8001907</v>
      </c>
      <c r="D1933" s="11" t="s">
        <v>7161</v>
      </c>
      <c r="E1933" s="11" t="s">
        <v>7162</v>
      </c>
    </row>
    <row r="1934" spans="1:5">
      <c r="A1934" s="11" t="s">
        <v>7163</v>
      </c>
      <c r="B1934">
        <v>8006514</v>
      </c>
      <c r="D1934" s="11" t="s">
        <v>7164</v>
      </c>
      <c r="E1934" s="11" t="s">
        <v>7165</v>
      </c>
    </row>
    <row r="1935" spans="1:5">
      <c r="A1935" s="11" t="s">
        <v>512</v>
      </c>
      <c r="B1935">
        <v>8006194</v>
      </c>
      <c r="D1935" s="11" t="s">
        <v>514</v>
      </c>
      <c r="E1935" s="11" t="s">
        <v>515</v>
      </c>
    </row>
    <row r="1936" spans="1:5">
      <c r="A1936" s="11" t="s">
        <v>7166</v>
      </c>
      <c r="B1936">
        <v>8001908</v>
      </c>
      <c r="D1936" s="11" t="s">
        <v>7167</v>
      </c>
      <c r="E1936" s="11" t="s">
        <v>7168</v>
      </c>
    </row>
    <row r="1937" spans="1:5">
      <c r="A1937" s="11" t="s">
        <v>7169</v>
      </c>
      <c r="B1937">
        <v>8001910</v>
      </c>
      <c r="D1937" s="11" t="s">
        <v>7170</v>
      </c>
      <c r="E1937" s="11" t="s">
        <v>7171</v>
      </c>
    </row>
    <row r="1938" spans="1:5">
      <c r="A1938" s="11" t="s">
        <v>7172</v>
      </c>
      <c r="B1938">
        <v>8001911</v>
      </c>
      <c r="D1938" s="11" t="s">
        <v>7173</v>
      </c>
      <c r="E1938" s="11" t="s">
        <v>7174</v>
      </c>
    </row>
    <row r="1939" spans="1:5">
      <c r="A1939" s="11" t="s">
        <v>7175</v>
      </c>
      <c r="B1939">
        <v>8001912</v>
      </c>
      <c r="D1939" s="11" t="s">
        <v>7176</v>
      </c>
      <c r="E1939" s="11" t="s">
        <v>7177</v>
      </c>
    </row>
    <row r="1940" spans="1:5">
      <c r="A1940" s="11" t="s">
        <v>7178</v>
      </c>
      <c r="B1940">
        <v>8000099</v>
      </c>
      <c r="D1940" s="11" t="s">
        <v>7179</v>
      </c>
      <c r="E1940" s="11" t="s">
        <v>7180</v>
      </c>
    </row>
    <row r="1941" spans="1:5">
      <c r="A1941" s="11" t="s">
        <v>7181</v>
      </c>
      <c r="B1941">
        <v>8001913</v>
      </c>
      <c r="D1941" s="11" t="s">
        <v>7182</v>
      </c>
      <c r="E1941" s="11" t="s">
        <v>7183</v>
      </c>
    </row>
    <row r="1942" spans="1:5">
      <c r="A1942" s="11" t="s">
        <v>7184</v>
      </c>
      <c r="B1942">
        <v>8001914</v>
      </c>
      <c r="D1942" s="11" t="s">
        <v>7185</v>
      </c>
      <c r="E1942" s="11" t="s">
        <v>7186</v>
      </c>
    </row>
    <row r="1943" spans="1:5">
      <c r="A1943" s="11" t="s">
        <v>7187</v>
      </c>
      <c r="B1943">
        <v>8001915</v>
      </c>
      <c r="D1943" s="11" t="s">
        <v>7188</v>
      </c>
      <c r="E1943" s="11" t="s">
        <v>7189</v>
      </c>
    </row>
    <row r="1944" spans="1:5">
      <c r="A1944" s="11" t="s">
        <v>7190</v>
      </c>
      <c r="B1944">
        <v>8001909</v>
      </c>
      <c r="D1944" s="11" t="s">
        <v>7191</v>
      </c>
      <c r="E1944" s="11" t="s">
        <v>7192</v>
      </c>
    </row>
    <row r="1945" spans="1:5">
      <c r="A1945" s="11" t="s">
        <v>7193</v>
      </c>
      <c r="B1945">
        <v>8001919</v>
      </c>
      <c r="D1945" s="11" t="s">
        <v>7194</v>
      </c>
      <c r="E1945" s="11" t="s">
        <v>7195</v>
      </c>
    </row>
    <row r="1946" spans="1:5">
      <c r="A1946" s="11" t="s">
        <v>7196</v>
      </c>
      <c r="B1946">
        <v>8001920</v>
      </c>
      <c r="D1946" s="11" t="s">
        <v>7197</v>
      </c>
      <c r="E1946" s="11" t="s">
        <v>7198</v>
      </c>
    </row>
    <row r="1947" spans="1:5">
      <c r="A1947" s="11" t="s">
        <v>7199</v>
      </c>
      <c r="B1947">
        <v>8001921</v>
      </c>
      <c r="D1947" s="11" t="s">
        <v>7200</v>
      </c>
      <c r="E1947" s="11" t="s">
        <v>7201</v>
      </c>
    </row>
    <row r="1948" spans="1:5">
      <c r="A1948" s="11" t="s">
        <v>7202</v>
      </c>
      <c r="B1948">
        <v>8006642</v>
      </c>
      <c r="D1948" s="11" t="s">
        <v>7203</v>
      </c>
      <c r="E1948" s="11" t="s">
        <v>7204</v>
      </c>
    </row>
    <row r="1949" spans="1:5">
      <c r="A1949" s="11" t="s">
        <v>7205</v>
      </c>
      <c r="B1949">
        <v>8001996</v>
      </c>
      <c r="D1949" s="11" t="s">
        <v>7206</v>
      </c>
      <c r="E1949" s="11" t="s">
        <v>7207</v>
      </c>
    </row>
    <row r="1950" spans="1:5">
      <c r="A1950" s="11" t="s">
        <v>7208</v>
      </c>
      <c r="B1950">
        <v>8001924</v>
      </c>
      <c r="D1950" s="11" t="s">
        <v>7209</v>
      </c>
      <c r="E1950" s="11" t="s">
        <v>7210</v>
      </c>
    </row>
    <row r="1951" spans="1:5">
      <c r="A1951" s="11" t="s">
        <v>7211</v>
      </c>
      <c r="B1951">
        <v>8011519</v>
      </c>
      <c r="D1951" s="11" t="s">
        <v>7212</v>
      </c>
      <c r="E1951" s="11" t="s">
        <v>7213</v>
      </c>
    </row>
    <row r="1952" spans="1:5">
      <c r="A1952" s="11" t="s">
        <v>7214</v>
      </c>
      <c r="B1952">
        <v>8001925</v>
      </c>
      <c r="D1952" s="11" t="s">
        <v>7215</v>
      </c>
      <c r="E1952" s="11" t="s">
        <v>7216</v>
      </c>
    </row>
    <row r="1953" spans="1:5">
      <c r="A1953" s="11" t="s">
        <v>7217</v>
      </c>
      <c r="B1953">
        <v>8007007</v>
      </c>
      <c r="D1953" s="11" t="s">
        <v>7218</v>
      </c>
      <c r="E1953" s="11" t="s">
        <v>7219</v>
      </c>
    </row>
    <row r="1954" spans="1:5">
      <c r="A1954" s="11" t="s">
        <v>7220</v>
      </c>
      <c r="B1954">
        <v>8001926</v>
      </c>
      <c r="D1954" s="11" t="s">
        <v>7221</v>
      </c>
      <c r="E1954" s="11" t="s">
        <v>7222</v>
      </c>
    </row>
    <row r="1955" spans="1:5">
      <c r="A1955" s="11" t="s">
        <v>7223</v>
      </c>
      <c r="B1955">
        <v>8001928</v>
      </c>
      <c r="D1955" s="11" t="s">
        <v>7224</v>
      </c>
      <c r="E1955" s="11" t="s">
        <v>7225</v>
      </c>
    </row>
    <row r="1956" spans="1:5">
      <c r="A1956" s="11" t="s">
        <v>7226</v>
      </c>
      <c r="B1956">
        <v>8001929</v>
      </c>
      <c r="D1956" s="11" t="s">
        <v>7227</v>
      </c>
      <c r="E1956" s="11" t="s">
        <v>7228</v>
      </c>
    </row>
    <row r="1957" spans="1:5">
      <c r="A1957" s="11" t="s">
        <v>7229</v>
      </c>
      <c r="B1957">
        <v>8007334</v>
      </c>
      <c r="D1957" s="11" t="s">
        <v>7230</v>
      </c>
      <c r="E1957" s="11" t="s">
        <v>7231</v>
      </c>
    </row>
    <row r="1958" spans="1:5">
      <c r="A1958" s="11" t="s">
        <v>7232</v>
      </c>
      <c r="B1958">
        <v>8001932</v>
      </c>
      <c r="D1958" s="11" t="s">
        <v>7233</v>
      </c>
      <c r="E1958" s="11" t="s">
        <v>7234</v>
      </c>
    </row>
    <row r="1959" spans="1:5">
      <c r="A1959" s="11" t="s">
        <v>7235</v>
      </c>
      <c r="B1959">
        <v>8007008</v>
      </c>
      <c r="D1959" s="11" t="s">
        <v>7236</v>
      </c>
      <c r="E1959" s="11" t="s">
        <v>7237</v>
      </c>
    </row>
    <row r="1960" spans="1:5">
      <c r="A1960" s="11" t="s">
        <v>7238</v>
      </c>
      <c r="B1960">
        <v>8011520</v>
      </c>
      <c r="D1960" s="11" t="s">
        <v>7239</v>
      </c>
      <c r="E1960" s="11" t="s">
        <v>7240</v>
      </c>
    </row>
    <row r="1961" spans="1:5">
      <c r="A1961" s="11" t="s">
        <v>7241</v>
      </c>
      <c r="B1961">
        <v>8001933</v>
      </c>
      <c r="D1961" s="11" t="s">
        <v>7242</v>
      </c>
      <c r="E1961" s="11" t="s">
        <v>7243</v>
      </c>
    </row>
    <row r="1962" spans="1:5">
      <c r="A1962" s="11" t="s">
        <v>7244</v>
      </c>
      <c r="B1962">
        <v>8001935</v>
      </c>
      <c r="D1962" s="11" t="s">
        <v>7245</v>
      </c>
      <c r="E1962" s="11" t="s">
        <v>7246</v>
      </c>
    </row>
    <row r="1963" spans="1:5">
      <c r="A1963" s="11" t="s">
        <v>7247</v>
      </c>
      <c r="B1963">
        <v>8000100</v>
      </c>
      <c r="D1963" s="11" t="s">
        <v>7248</v>
      </c>
      <c r="E1963" s="11" t="s">
        <v>7249</v>
      </c>
    </row>
    <row r="1964" spans="1:5">
      <c r="A1964" s="11" t="s">
        <v>7250</v>
      </c>
      <c r="B1964">
        <v>8006673</v>
      </c>
      <c r="D1964" s="11" t="s">
        <v>7251</v>
      </c>
      <c r="E1964" s="11" t="s">
        <v>7252</v>
      </c>
    </row>
    <row r="1965" spans="1:5">
      <c r="A1965" s="11" t="s">
        <v>7253</v>
      </c>
      <c r="B1965">
        <v>8002402</v>
      </c>
      <c r="D1965" s="11" t="s">
        <v>7254</v>
      </c>
      <c r="E1965" s="11" t="s">
        <v>7255</v>
      </c>
    </row>
    <row r="1966" spans="1:5">
      <c r="A1966" s="11" t="s">
        <v>7256</v>
      </c>
      <c r="B1966">
        <v>8003440</v>
      </c>
      <c r="D1966" s="11" t="s">
        <v>7257</v>
      </c>
      <c r="E1966" s="11" t="s">
        <v>7258</v>
      </c>
    </row>
    <row r="1967" spans="1:5">
      <c r="A1967" s="11" t="s">
        <v>7259</v>
      </c>
      <c r="B1967">
        <v>8003462</v>
      </c>
      <c r="D1967" s="11" t="s">
        <v>7260</v>
      </c>
      <c r="E1967" s="11" t="s">
        <v>7261</v>
      </c>
    </row>
    <row r="1968" spans="1:5">
      <c r="A1968" s="11" t="s">
        <v>7262</v>
      </c>
      <c r="B1968">
        <v>8005748</v>
      </c>
      <c r="D1968" s="11" t="s">
        <v>7263</v>
      </c>
      <c r="E1968" s="11" t="s">
        <v>7264</v>
      </c>
    </row>
    <row r="1969" spans="1:5">
      <c r="A1969" s="11" t="s">
        <v>7265</v>
      </c>
      <c r="B1969">
        <v>8001941</v>
      </c>
      <c r="D1969" s="11" t="s">
        <v>7266</v>
      </c>
      <c r="E1969" s="11" t="s">
        <v>7267</v>
      </c>
    </row>
    <row r="1970" spans="1:5">
      <c r="A1970" s="11" t="s">
        <v>7268</v>
      </c>
      <c r="B1970">
        <v>8000101</v>
      </c>
      <c r="D1970" s="11" t="s">
        <v>7269</v>
      </c>
      <c r="E1970" s="11" t="s">
        <v>7270</v>
      </c>
    </row>
    <row r="1971" spans="1:5">
      <c r="A1971" s="11" t="s">
        <v>7271</v>
      </c>
      <c r="B1971">
        <v>8001944</v>
      </c>
      <c r="D1971" s="11" t="s">
        <v>7272</v>
      </c>
      <c r="E1971" s="11" t="s">
        <v>7273</v>
      </c>
    </row>
    <row r="1972" spans="1:5">
      <c r="A1972" s="11" t="s">
        <v>7274</v>
      </c>
      <c r="B1972">
        <v>8001942</v>
      </c>
      <c r="D1972" s="11" t="s">
        <v>7275</v>
      </c>
      <c r="E1972" s="11" t="s">
        <v>7276</v>
      </c>
    </row>
    <row r="1973" spans="1:5">
      <c r="A1973" s="11" t="s">
        <v>7277</v>
      </c>
      <c r="B1973">
        <v>8001946</v>
      </c>
      <c r="D1973" s="11" t="s">
        <v>7278</v>
      </c>
      <c r="E1973" s="11" t="s">
        <v>7279</v>
      </c>
    </row>
    <row r="1974" spans="1:5">
      <c r="A1974" s="11" t="s">
        <v>7280</v>
      </c>
      <c r="B1974">
        <v>8001949</v>
      </c>
      <c r="D1974" s="11" t="s">
        <v>7281</v>
      </c>
      <c r="E1974" s="11" t="s">
        <v>7282</v>
      </c>
    </row>
    <row r="1975" spans="1:5">
      <c r="A1975" s="11" t="s">
        <v>7283</v>
      </c>
      <c r="B1975">
        <v>8001950</v>
      </c>
      <c r="D1975" s="11" t="s">
        <v>7284</v>
      </c>
      <c r="E1975" s="11" t="s">
        <v>7285</v>
      </c>
    </row>
    <row r="1976" spans="1:5">
      <c r="A1976" s="11" t="s">
        <v>7286</v>
      </c>
      <c r="B1976">
        <v>8011524</v>
      </c>
      <c r="D1976" s="11" t="s">
        <v>7287</v>
      </c>
      <c r="E1976" s="11" t="s">
        <v>7288</v>
      </c>
    </row>
    <row r="1977" spans="1:5">
      <c r="A1977" s="11" t="s">
        <v>7289</v>
      </c>
      <c r="B1977">
        <v>8001953</v>
      </c>
      <c r="D1977" s="11" t="s">
        <v>7290</v>
      </c>
      <c r="E1977" s="11" t="s">
        <v>7291</v>
      </c>
    </row>
    <row r="1978" spans="1:5">
      <c r="A1978" s="11" t="s">
        <v>7292</v>
      </c>
      <c r="B1978">
        <v>8001954</v>
      </c>
      <c r="D1978" s="11" t="s">
        <v>7293</v>
      </c>
      <c r="E1978" s="11" t="s">
        <v>7294</v>
      </c>
    </row>
    <row r="1979" spans="1:5">
      <c r="A1979" s="11" t="s">
        <v>7295</v>
      </c>
      <c r="B1979">
        <v>8011528</v>
      </c>
      <c r="D1979" s="11" t="s">
        <v>7296</v>
      </c>
      <c r="E1979" s="11" t="s">
        <v>7297</v>
      </c>
    </row>
    <row r="1980" spans="1:5">
      <c r="A1980" s="11" t="s">
        <v>7298</v>
      </c>
      <c r="B1980">
        <v>8011529</v>
      </c>
      <c r="D1980" s="11" t="s">
        <v>7299</v>
      </c>
      <c r="E1980" s="11" t="s">
        <v>7300</v>
      </c>
    </row>
    <row r="1981" spans="1:5">
      <c r="A1981" s="11" t="s">
        <v>7301</v>
      </c>
      <c r="B1981">
        <v>8010103</v>
      </c>
      <c r="D1981" s="11" t="s">
        <v>7302</v>
      </c>
      <c r="E1981" s="11" t="s">
        <v>7303</v>
      </c>
    </row>
    <row r="1982" spans="1:5">
      <c r="A1982" s="11" t="s">
        <v>7304</v>
      </c>
      <c r="B1982">
        <v>8011531</v>
      </c>
      <c r="D1982" s="11" t="s">
        <v>7305</v>
      </c>
      <c r="E1982" s="11" t="s">
        <v>7306</v>
      </c>
    </row>
    <row r="1983" spans="1:5">
      <c r="A1983" s="11" t="s">
        <v>7307</v>
      </c>
      <c r="B1983">
        <v>8081086</v>
      </c>
      <c r="D1983" s="11" t="s">
        <v>7308</v>
      </c>
      <c r="E1983" s="11" t="s">
        <v>7309</v>
      </c>
    </row>
    <row r="1984" spans="1:5">
      <c r="A1984" s="11" t="s">
        <v>7310</v>
      </c>
      <c r="B1984">
        <v>8017346</v>
      </c>
      <c r="D1984" s="11" t="s">
        <v>7311</v>
      </c>
      <c r="E1984" s="11" t="s">
        <v>7312</v>
      </c>
    </row>
    <row r="1985" spans="1:5">
      <c r="A1985" s="11" t="s">
        <v>7313</v>
      </c>
      <c r="B1985">
        <v>8013479</v>
      </c>
      <c r="D1985" s="11" t="s">
        <v>7314</v>
      </c>
      <c r="E1985" s="11" t="s">
        <v>7315</v>
      </c>
    </row>
    <row r="1986" spans="1:5">
      <c r="A1986" s="11" t="s">
        <v>7316</v>
      </c>
      <c r="B1986">
        <v>8010106</v>
      </c>
      <c r="D1986" s="11" t="s">
        <v>7317</v>
      </c>
      <c r="E1986" s="11" t="s">
        <v>7318</v>
      </c>
    </row>
    <row r="1987" spans="1:5">
      <c r="A1987" s="11" t="s">
        <v>7319</v>
      </c>
      <c r="B1987">
        <v>8001957</v>
      </c>
      <c r="D1987" s="11" t="s">
        <v>7320</v>
      </c>
      <c r="E1987" s="11" t="s">
        <v>7321</v>
      </c>
    </row>
    <row r="1988" spans="1:5">
      <c r="A1988" s="11" t="s">
        <v>7322</v>
      </c>
      <c r="B1988">
        <v>8011533</v>
      </c>
      <c r="D1988" s="11" t="s">
        <v>7323</v>
      </c>
      <c r="E1988" s="11" t="s">
        <v>7324</v>
      </c>
    </row>
    <row r="1989" spans="1:5">
      <c r="A1989" s="11" t="s">
        <v>7325</v>
      </c>
      <c r="B1989">
        <v>8079310</v>
      </c>
      <c r="D1989" s="11" t="s">
        <v>7326</v>
      </c>
      <c r="E1989" s="11" t="s">
        <v>7327</v>
      </c>
    </row>
    <row r="1990" spans="1:5">
      <c r="A1990" s="11" t="s">
        <v>7328</v>
      </c>
      <c r="B1990">
        <v>8001961</v>
      </c>
      <c r="D1990" s="11" t="s">
        <v>7329</v>
      </c>
      <c r="E1990" s="11" t="s">
        <v>7330</v>
      </c>
    </row>
    <row r="1991" spans="1:5">
      <c r="A1991" s="11" t="s">
        <v>7331</v>
      </c>
      <c r="B1991">
        <v>8001963</v>
      </c>
      <c r="D1991" s="11" t="s">
        <v>7332</v>
      </c>
      <c r="E1991" s="11" t="s">
        <v>7333</v>
      </c>
    </row>
    <row r="1992" spans="1:5">
      <c r="A1992" s="11" t="s">
        <v>7334</v>
      </c>
      <c r="B1992">
        <v>8001964</v>
      </c>
      <c r="D1992" s="11" t="s">
        <v>7335</v>
      </c>
      <c r="E1992" s="11" t="s">
        <v>7336</v>
      </c>
    </row>
    <row r="1993" spans="1:5">
      <c r="A1993" s="11" t="s">
        <v>7337</v>
      </c>
      <c r="B1993">
        <v>8001965</v>
      </c>
      <c r="D1993" s="11" t="s">
        <v>7338</v>
      </c>
      <c r="E1993" s="11" t="s">
        <v>7339</v>
      </c>
    </row>
    <row r="1994" spans="1:5">
      <c r="A1994" s="11" t="s">
        <v>7340</v>
      </c>
      <c r="B1994">
        <v>8001967</v>
      </c>
      <c r="D1994" s="11" t="s">
        <v>7341</v>
      </c>
      <c r="E1994" s="11" t="s">
        <v>7342</v>
      </c>
    </row>
    <row r="1995" spans="1:5">
      <c r="A1995" s="11" t="s">
        <v>7343</v>
      </c>
      <c r="B1995">
        <v>8001274</v>
      </c>
      <c r="D1995" s="11" t="s">
        <v>7344</v>
      </c>
      <c r="E1995" s="11" t="s">
        <v>7345</v>
      </c>
    </row>
    <row r="1996" spans="1:5">
      <c r="A1996" s="11" t="s">
        <v>7346</v>
      </c>
      <c r="B1996">
        <v>8084061</v>
      </c>
      <c r="D1996" s="11" t="s">
        <v>7347</v>
      </c>
      <c r="E1996" s="11" t="s">
        <v>7348</v>
      </c>
    </row>
    <row r="1997" spans="1:5">
      <c r="A1997" s="11" t="s">
        <v>7349</v>
      </c>
      <c r="B1997">
        <v>8084063</v>
      </c>
      <c r="D1997" s="11" t="s">
        <v>7350</v>
      </c>
      <c r="E1997" s="11" t="s">
        <v>7351</v>
      </c>
    </row>
    <row r="1998" spans="1:5">
      <c r="A1998" s="11" t="s">
        <v>7352</v>
      </c>
      <c r="B1998">
        <v>8084064</v>
      </c>
      <c r="D1998" s="11" t="s">
        <v>7353</v>
      </c>
      <c r="E1998" s="11" t="s">
        <v>7354</v>
      </c>
    </row>
    <row r="1999" spans="1:5">
      <c r="A1999" s="11" t="s">
        <v>7355</v>
      </c>
      <c r="B1999">
        <v>8084065</v>
      </c>
      <c r="D1999" s="11" t="s">
        <v>7356</v>
      </c>
      <c r="E1999" s="11" t="s">
        <v>7357</v>
      </c>
    </row>
    <row r="2000" spans="1:5">
      <c r="A2000" s="11" t="s">
        <v>7358</v>
      </c>
      <c r="B2000">
        <v>8001969</v>
      </c>
      <c r="D2000" s="11" t="s">
        <v>7359</v>
      </c>
      <c r="E2000" s="11" t="s">
        <v>7360</v>
      </c>
    </row>
    <row r="2001" spans="1:5">
      <c r="A2001" s="11" t="s">
        <v>7361</v>
      </c>
      <c r="B2001">
        <v>8001970</v>
      </c>
      <c r="D2001" s="11" t="s">
        <v>7362</v>
      </c>
      <c r="E2001" s="11" t="s">
        <v>7363</v>
      </c>
    </row>
    <row r="2002" spans="1:5">
      <c r="A2002" s="11" t="s">
        <v>7364</v>
      </c>
      <c r="B2002">
        <v>8011534</v>
      </c>
      <c r="D2002" s="11" t="s">
        <v>7365</v>
      </c>
      <c r="E2002" s="11" t="s">
        <v>7366</v>
      </c>
    </row>
    <row r="2003" spans="1:5">
      <c r="A2003" s="11" t="s">
        <v>73</v>
      </c>
      <c r="B2003">
        <v>8001971</v>
      </c>
      <c r="D2003" s="11" t="s">
        <v>1143</v>
      </c>
      <c r="E2003" s="11" t="s">
        <v>1144</v>
      </c>
    </row>
    <row r="2004" spans="1:5">
      <c r="A2004" s="11" t="s">
        <v>7367</v>
      </c>
      <c r="B2004">
        <v>8001977</v>
      </c>
      <c r="D2004" s="11" t="s">
        <v>7368</v>
      </c>
      <c r="E2004" s="11" t="s">
        <v>7369</v>
      </c>
    </row>
    <row r="2005" spans="1:5">
      <c r="A2005" s="11" t="s">
        <v>7370</v>
      </c>
      <c r="B2005">
        <v>8001972</v>
      </c>
      <c r="D2005" s="11" t="s">
        <v>7371</v>
      </c>
      <c r="E2005" s="11" t="s">
        <v>7372</v>
      </c>
    </row>
    <row r="2006" spans="1:5">
      <c r="A2006" s="11" t="s">
        <v>7373</v>
      </c>
      <c r="B2006">
        <v>8001973</v>
      </c>
      <c r="D2006" s="11" t="s">
        <v>7374</v>
      </c>
      <c r="E2006" s="11" t="s">
        <v>7375</v>
      </c>
    </row>
    <row r="2007" spans="1:5">
      <c r="A2007" s="11" t="s">
        <v>7376</v>
      </c>
      <c r="B2007">
        <v>8001966</v>
      </c>
      <c r="D2007" s="11" t="s">
        <v>7377</v>
      </c>
      <c r="E2007" s="11" t="s">
        <v>7378</v>
      </c>
    </row>
    <row r="2008" spans="1:5">
      <c r="A2008" s="11" t="s">
        <v>7379</v>
      </c>
      <c r="B2008">
        <v>8001974</v>
      </c>
      <c r="D2008" s="11" t="s">
        <v>7380</v>
      </c>
      <c r="E2008" s="11" t="s">
        <v>7381</v>
      </c>
    </row>
    <row r="2009" spans="1:5">
      <c r="A2009" s="11" t="s">
        <v>7382</v>
      </c>
      <c r="B2009">
        <v>8000520</v>
      </c>
      <c r="D2009" s="11" t="s">
        <v>7383</v>
      </c>
      <c r="E2009" s="11" t="s">
        <v>7384</v>
      </c>
    </row>
    <row r="2010" spans="1:5">
      <c r="A2010" s="11" t="s">
        <v>7385</v>
      </c>
      <c r="B2010">
        <v>8002236</v>
      </c>
      <c r="D2010" s="11" t="s">
        <v>7386</v>
      </c>
      <c r="E2010" s="11" t="s">
        <v>7387</v>
      </c>
    </row>
    <row r="2011" spans="1:5">
      <c r="A2011" s="11" t="s">
        <v>7388</v>
      </c>
      <c r="B2011">
        <v>8006546</v>
      </c>
      <c r="D2011" s="11" t="s">
        <v>7389</v>
      </c>
      <c r="E2011" s="11" t="s">
        <v>7390</v>
      </c>
    </row>
    <row r="2012" spans="1:5">
      <c r="A2012" s="11" t="s">
        <v>7391</v>
      </c>
      <c r="B2012">
        <v>8013480</v>
      </c>
      <c r="D2012" s="11" t="s">
        <v>7392</v>
      </c>
      <c r="E2012" s="11" t="s">
        <v>7393</v>
      </c>
    </row>
    <row r="2013" spans="1:5">
      <c r="A2013" s="11" t="s">
        <v>7394</v>
      </c>
      <c r="B2013">
        <v>8011536</v>
      </c>
      <c r="D2013" s="11" t="s">
        <v>7395</v>
      </c>
      <c r="E2013" s="11" t="s">
        <v>7396</v>
      </c>
    </row>
    <row r="2014" spans="1:5">
      <c r="A2014" s="11" t="s">
        <v>7397</v>
      </c>
      <c r="B2014">
        <v>8011537</v>
      </c>
      <c r="D2014" s="11" t="s">
        <v>7398</v>
      </c>
      <c r="E2014" s="11" t="s">
        <v>7399</v>
      </c>
    </row>
    <row r="2015" spans="1:5">
      <c r="A2015" s="11" t="s">
        <v>7400</v>
      </c>
      <c r="B2015">
        <v>8071888</v>
      </c>
      <c r="D2015" s="11" t="s">
        <v>7401</v>
      </c>
      <c r="E2015" s="11" t="s">
        <v>7402</v>
      </c>
    </row>
    <row r="2016" spans="1:5">
      <c r="A2016" s="11" t="s">
        <v>7403</v>
      </c>
      <c r="B2016">
        <v>8001976</v>
      </c>
      <c r="D2016" s="11" t="s">
        <v>7404</v>
      </c>
      <c r="E2016" s="11" t="s">
        <v>7405</v>
      </c>
    </row>
    <row r="2017" spans="1:5">
      <c r="A2017" s="11" t="s">
        <v>211</v>
      </c>
      <c r="B2017">
        <v>8001978</v>
      </c>
      <c r="D2017" s="11" t="s">
        <v>213</v>
      </c>
      <c r="E2017" s="11" t="s">
        <v>214</v>
      </c>
    </row>
    <row r="2018" spans="1:5">
      <c r="A2018" s="11" t="s">
        <v>7406</v>
      </c>
      <c r="B2018">
        <v>8001988</v>
      </c>
      <c r="D2018" s="11" t="s">
        <v>7407</v>
      </c>
      <c r="E2018" s="11" t="s">
        <v>7408</v>
      </c>
    </row>
    <row r="2019" spans="1:5">
      <c r="A2019" s="11" t="s">
        <v>7409</v>
      </c>
      <c r="B2019">
        <v>8002520</v>
      </c>
      <c r="D2019" s="11" t="s">
        <v>7410</v>
      </c>
      <c r="E2019" s="11" t="s">
        <v>7411</v>
      </c>
    </row>
    <row r="2020" spans="1:5">
      <c r="A2020" s="11" t="s">
        <v>7412</v>
      </c>
      <c r="B2020">
        <v>8001980</v>
      </c>
      <c r="D2020" s="11" t="s">
        <v>7413</v>
      </c>
      <c r="E2020" s="11" t="s">
        <v>7414</v>
      </c>
    </row>
    <row r="2021" spans="1:5">
      <c r="A2021" s="11" t="s">
        <v>7415</v>
      </c>
      <c r="B2021">
        <v>8001982</v>
      </c>
      <c r="D2021" s="11" t="s">
        <v>7416</v>
      </c>
      <c r="E2021" s="11" t="s">
        <v>7417</v>
      </c>
    </row>
    <row r="2022" spans="1:5">
      <c r="A2022" s="11" t="s">
        <v>7418</v>
      </c>
      <c r="B2022">
        <v>8001984</v>
      </c>
      <c r="D2022" s="11" t="s">
        <v>7419</v>
      </c>
      <c r="E2022" s="11" t="s">
        <v>7420</v>
      </c>
    </row>
    <row r="2023" spans="1:5">
      <c r="A2023" s="11" t="s">
        <v>7421</v>
      </c>
      <c r="B2023">
        <v>8001983</v>
      </c>
      <c r="D2023" s="11" t="s">
        <v>7422</v>
      </c>
      <c r="E2023" s="11" t="s">
        <v>7423</v>
      </c>
    </row>
    <row r="2024" spans="1:5">
      <c r="A2024" s="11" t="s">
        <v>7424</v>
      </c>
      <c r="B2024">
        <v>8011540</v>
      </c>
      <c r="D2024" s="11" t="s">
        <v>7425</v>
      </c>
      <c r="E2024" s="11" t="s">
        <v>7426</v>
      </c>
    </row>
    <row r="2025" spans="1:5">
      <c r="A2025" s="11" t="s">
        <v>7427</v>
      </c>
      <c r="B2025">
        <v>8011541</v>
      </c>
      <c r="D2025" s="11" t="s">
        <v>7428</v>
      </c>
      <c r="E2025" s="11" t="s">
        <v>7429</v>
      </c>
    </row>
    <row r="2026" spans="1:5">
      <c r="A2026" s="11" t="s">
        <v>7430</v>
      </c>
      <c r="B2026">
        <v>8000102</v>
      </c>
      <c r="D2026" s="11" t="s">
        <v>7431</v>
      </c>
      <c r="E2026" s="11" t="s">
        <v>7432</v>
      </c>
    </row>
    <row r="2027" spans="1:5">
      <c r="A2027" s="11" t="s">
        <v>7433</v>
      </c>
      <c r="B2027">
        <v>8001985</v>
      </c>
      <c r="D2027" s="11" t="s">
        <v>7434</v>
      </c>
      <c r="E2027" s="11" t="s">
        <v>7435</v>
      </c>
    </row>
    <row r="2028" spans="1:5">
      <c r="A2028" s="11" t="s">
        <v>7436</v>
      </c>
      <c r="B2028">
        <v>8007889</v>
      </c>
      <c r="D2028" s="11" t="s">
        <v>7437</v>
      </c>
      <c r="E2028" s="11" t="s">
        <v>7438</v>
      </c>
    </row>
    <row r="2029" spans="1:5">
      <c r="A2029" s="11" t="s">
        <v>7439</v>
      </c>
      <c r="B2029">
        <v>8011542</v>
      </c>
      <c r="D2029" s="11" t="s">
        <v>7440</v>
      </c>
      <c r="E2029" s="11" t="s">
        <v>7441</v>
      </c>
    </row>
    <row r="2030" spans="1:5">
      <c r="A2030" s="11" t="s">
        <v>7442</v>
      </c>
      <c r="B2030">
        <v>8001986</v>
      </c>
      <c r="D2030" s="11" t="s">
        <v>7443</v>
      </c>
      <c r="E2030" s="11" t="s">
        <v>7444</v>
      </c>
    </row>
    <row r="2031" spans="1:5">
      <c r="A2031" s="11" t="s">
        <v>7445</v>
      </c>
      <c r="B2031">
        <v>8001989</v>
      </c>
      <c r="D2031" s="11" t="s">
        <v>7446</v>
      </c>
      <c r="E2031" s="11" t="s">
        <v>7447</v>
      </c>
    </row>
    <row r="2032" spans="1:5">
      <c r="A2032" s="11" t="s">
        <v>7448</v>
      </c>
      <c r="B2032">
        <v>8001992</v>
      </c>
      <c r="D2032" s="11" t="s">
        <v>7449</v>
      </c>
      <c r="E2032" s="11" t="s">
        <v>7450</v>
      </c>
    </row>
    <row r="2033" spans="1:5">
      <c r="A2033" s="11" t="s">
        <v>7451</v>
      </c>
      <c r="B2033">
        <v>8001990</v>
      </c>
      <c r="D2033" s="11" t="s">
        <v>7452</v>
      </c>
      <c r="E2033" s="11" t="s">
        <v>7453</v>
      </c>
    </row>
    <row r="2034" spans="1:5">
      <c r="A2034" s="11" t="s">
        <v>7454</v>
      </c>
      <c r="B2034">
        <v>8001991</v>
      </c>
      <c r="D2034" s="11" t="s">
        <v>7455</v>
      </c>
      <c r="E2034" s="11" t="s">
        <v>7456</v>
      </c>
    </row>
    <row r="2035" spans="1:5">
      <c r="A2035" s="11" t="s">
        <v>7457</v>
      </c>
      <c r="B2035">
        <v>8001995</v>
      </c>
      <c r="D2035" s="11" t="s">
        <v>7458</v>
      </c>
      <c r="E2035" s="11" t="s">
        <v>7459</v>
      </c>
    </row>
    <row r="2036" spans="1:5">
      <c r="A2036" s="11" t="s">
        <v>7460</v>
      </c>
      <c r="B2036">
        <v>8070806</v>
      </c>
      <c r="D2036" s="11" t="s">
        <v>7461</v>
      </c>
      <c r="E2036" s="11" t="s">
        <v>7462</v>
      </c>
    </row>
    <row r="2037" spans="1:5">
      <c r="A2037" s="11" t="s">
        <v>7463</v>
      </c>
      <c r="B2037">
        <v>8001998</v>
      </c>
      <c r="D2037" s="11" t="s">
        <v>7464</v>
      </c>
      <c r="E2037" s="11" t="s">
        <v>7465</v>
      </c>
    </row>
    <row r="2038" spans="1:5">
      <c r="A2038" s="11" t="s">
        <v>7466</v>
      </c>
      <c r="B2038">
        <v>8002001</v>
      </c>
      <c r="D2038" s="11" t="s">
        <v>7467</v>
      </c>
      <c r="E2038" s="11" t="s">
        <v>7468</v>
      </c>
    </row>
    <row r="2039" spans="1:5">
      <c r="A2039" s="11" t="s">
        <v>7469</v>
      </c>
      <c r="B2039">
        <v>8011544</v>
      </c>
      <c r="D2039" s="11" t="s">
        <v>7470</v>
      </c>
      <c r="E2039" s="11" t="s">
        <v>7471</v>
      </c>
    </row>
    <row r="2040" spans="1:5">
      <c r="A2040" s="11" t="s">
        <v>7472</v>
      </c>
      <c r="B2040">
        <v>8011545</v>
      </c>
      <c r="D2040" s="11" t="s">
        <v>7473</v>
      </c>
      <c r="E2040" s="11" t="s">
        <v>7474</v>
      </c>
    </row>
    <row r="2041" spans="1:5">
      <c r="A2041" s="11" t="s">
        <v>7475</v>
      </c>
      <c r="B2041">
        <v>8002005</v>
      </c>
      <c r="D2041" s="11" t="s">
        <v>7476</v>
      </c>
      <c r="E2041" s="11" t="s">
        <v>7477</v>
      </c>
    </row>
    <row r="2042" spans="1:5">
      <c r="A2042" s="11" t="s">
        <v>7478</v>
      </c>
      <c r="B2042">
        <v>8000103</v>
      </c>
      <c r="D2042" s="11" t="s">
        <v>7479</v>
      </c>
      <c r="E2042" s="11" t="s">
        <v>7480</v>
      </c>
    </row>
    <row r="2043" spans="1:5">
      <c r="A2043" s="11" t="s">
        <v>7481</v>
      </c>
      <c r="B2043">
        <v>8002007</v>
      </c>
      <c r="D2043" s="11" t="s">
        <v>1539</v>
      </c>
      <c r="E2043" s="11" t="s">
        <v>1539</v>
      </c>
    </row>
    <row r="2044" spans="1:5">
      <c r="A2044" s="11" t="s">
        <v>7482</v>
      </c>
      <c r="B2044">
        <v>8070006</v>
      </c>
      <c r="D2044" s="11" t="s">
        <v>7483</v>
      </c>
      <c r="E2044" s="11" t="s">
        <v>7484</v>
      </c>
    </row>
    <row r="2045" spans="1:5">
      <c r="A2045" s="11" t="s">
        <v>7485</v>
      </c>
      <c r="B2045">
        <v>8002010</v>
      </c>
      <c r="D2045" s="11" t="s">
        <v>7486</v>
      </c>
      <c r="E2045" s="11" t="s">
        <v>7487</v>
      </c>
    </row>
    <row r="2046" spans="1:5">
      <c r="A2046" s="11" t="s">
        <v>7488</v>
      </c>
      <c r="B2046">
        <v>8002011</v>
      </c>
      <c r="D2046" s="11" t="s">
        <v>7489</v>
      </c>
      <c r="E2046" s="11" t="s">
        <v>7490</v>
      </c>
    </row>
    <row r="2047" spans="1:5">
      <c r="A2047" s="11" t="s">
        <v>7491</v>
      </c>
      <c r="B2047">
        <v>8002012</v>
      </c>
      <c r="D2047" s="11" t="s">
        <v>7492</v>
      </c>
      <c r="E2047" s="11" t="s">
        <v>7493</v>
      </c>
    </row>
    <row r="2048" spans="1:5">
      <c r="A2048" s="11" t="s">
        <v>7494</v>
      </c>
      <c r="B2048">
        <v>8010108</v>
      </c>
      <c r="D2048" s="11" t="s">
        <v>7495</v>
      </c>
      <c r="E2048" s="11" t="s">
        <v>7496</v>
      </c>
    </row>
    <row r="2049" spans="1:5">
      <c r="A2049" s="11" t="s">
        <v>7497</v>
      </c>
      <c r="B2049">
        <v>8010128</v>
      </c>
      <c r="D2049" s="11" t="s">
        <v>7498</v>
      </c>
      <c r="E2049" s="11" t="s">
        <v>7499</v>
      </c>
    </row>
    <row r="2050" spans="1:5">
      <c r="A2050" s="11" t="s">
        <v>7500</v>
      </c>
      <c r="B2050">
        <v>8002014</v>
      </c>
      <c r="D2050" s="11" t="s">
        <v>7501</v>
      </c>
      <c r="E2050" s="11" t="s">
        <v>7502</v>
      </c>
    </row>
    <row r="2051" spans="1:5">
      <c r="A2051" s="11" t="s">
        <v>7503</v>
      </c>
      <c r="B2051">
        <v>8002013</v>
      </c>
      <c r="D2051" s="11" t="s">
        <v>7504</v>
      </c>
      <c r="E2051" s="11" t="s">
        <v>7505</v>
      </c>
    </row>
    <row r="2052" spans="1:5">
      <c r="A2052" s="11" t="s">
        <v>7506</v>
      </c>
      <c r="B2052">
        <v>8011548</v>
      </c>
      <c r="D2052" s="11" t="s">
        <v>7507</v>
      </c>
      <c r="E2052" s="11" t="s">
        <v>7508</v>
      </c>
    </row>
    <row r="2053" spans="1:5">
      <c r="A2053" s="11" t="s">
        <v>7509</v>
      </c>
      <c r="B2053">
        <v>8011201</v>
      </c>
      <c r="D2053" s="11" t="s">
        <v>7510</v>
      </c>
      <c r="E2053" s="11" t="s">
        <v>7511</v>
      </c>
    </row>
    <row r="2054" spans="1:5">
      <c r="A2054" s="11" t="s">
        <v>7512</v>
      </c>
      <c r="B2054">
        <v>8089201</v>
      </c>
      <c r="D2054" s="11" t="s">
        <v>7513</v>
      </c>
      <c r="E2054" s="11" t="s">
        <v>7514</v>
      </c>
    </row>
    <row r="2055" spans="1:5">
      <c r="A2055" s="11" t="s">
        <v>7515</v>
      </c>
      <c r="B2055">
        <v>8011550</v>
      </c>
      <c r="D2055" s="11" t="s">
        <v>7516</v>
      </c>
      <c r="E2055" s="11" t="s">
        <v>7517</v>
      </c>
    </row>
    <row r="2056" spans="1:5">
      <c r="A2056" s="11" t="s">
        <v>7518</v>
      </c>
      <c r="B2056">
        <v>8081065</v>
      </c>
      <c r="D2056" s="11" t="s">
        <v>7519</v>
      </c>
      <c r="E2056" s="11" t="s">
        <v>7520</v>
      </c>
    </row>
    <row r="2057" spans="1:5">
      <c r="A2057" s="11" t="s">
        <v>7521</v>
      </c>
      <c r="B2057">
        <v>8002018</v>
      </c>
      <c r="D2057" s="11" t="s">
        <v>7522</v>
      </c>
      <c r="E2057" s="11" t="s">
        <v>7523</v>
      </c>
    </row>
    <row r="2058" spans="1:5">
      <c r="A2058" s="11" t="s">
        <v>7524</v>
      </c>
      <c r="B2058">
        <v>8002021</v>
      </c>
      <c r="D2058" s="11" t="s">
        <v>7525</v>
      </c>
      <c r="E2058" s="11" t="s">
        <v>7526</v>
      </c>
    </row>
    <row r="2059" spans="1:5">
      <c r="A2059" s="11" t="s">
        <v>7527</v>
      </c>
      <c r="B2059">
        <v>8002022</v>
      </c>
      <c r="D2059" s="11" t="s">
        <v>7528</v>
      </c>
      <c r="E2059" s="11" t="s">
        <v>7529</v>
      </c>
    </row>
    <row r="2060" spans="1:5">
      <c r="A2060" s="11" t="s">
        <v>7530</v>
      </c>
      <c r="B2060">
        <v>8002019</v>
      </c>
      <c r="D2060" s="11" t="s">
        <v>7531</v>
      </c>
      <c r="E2060" s="11" t="s">
        <v>7532</v>
      </c>
    </row>
    <row r="2061" spans="1:5">
      <c r="A2061" s="11" t="s">
        <v>7533</v>
      </c>
      <c r="B2061">
        <v>8003892</v>
      </c>
      <c r="D2061" s="11" t="s">
        <v>7534</v>
      </c>
      <c r="E2061" s="11" t="s">
        <v>7535</v>
      </c>
    </row>
    <row r="2062" spans="1:5">
      <c r="A2062" s="11" t="s">
        <v>7536</v>
      </c>
      <c r="B2062">
        <v>8002023</v>
      </c>
      <c r="D2062" s="11" t="s">
        <v>7537</v>
      </c>
      <c r="E2062" s="11" t="s">
        <v>7538</v>
      </c>
    </row>
    <row r="2063" spans="1:5">
      <c r="A2063" s="11" t="s">
        <v>264</v>
      </c>
      <c r="B2063">
        <v>8002024</v>
      </c>
      <c r="D2063" s="11" t="s">
        <v>266</v>
      </c>
      <c r="E2063" s="11" t="s">
        <v>267</v>
      </c>
    </row>
    <row r="2064" spans="1:5">
      <c r="A2064" s="11" t="s">
        <v>7539</v>
      </c>
      <c r="B2064">
        <v>8011549</v>
      </c>
      <c r="D2064" s="11" t="s">
        <v>7540</v>
      </c>
      <c r="E2064" s="11" t="s">
        <v>7541</v>
      </c>
    </row>
    <row r="2065" spans="1:5">
      <c r="A2065" s="11" t="s">
        <v>7542</v>
      </c>
      <c r="B2065">
        <v>8002026</v>
      </c>
      <c r="D2065" s="11" t="s">
        <v>7543</v>
      </c>
      <c r="E2065" s="11" t="s">
        <v>7544</v>
      </c>
    </row>
    <row r="2066" spans="1:5">
      <c r="A2066" s="11" t="s">
        <v>7545</v>
      </c>
      <c r="B2066">
        <v>8089122</v>
      </c>
      <c r="D2066" s="11" t="s">
        <v>1539</v>
      </c>
      <c r="E2066" s="11" t="s">
        <v>1539</v>
      </c>
    </row>
    <row r="2067" spans="1:5">
      <c r="A2067" s="11" t="s">
        <v>7546</v>
      </c>
      <c r="B2067">
        <v>8010111</v>
      </c>
      <c r="D2067" s="11" t="s">
        <v>7547</v>
      </c>
      <c r="E2067" s="11" t="s">
        <v>7548</v>
      </c>
    </row>
    <row r="2068" spans="1:5">
      <c r="A2068" s="11" t="s">
        <v>7549</v>
      </c>
      <c r="B2068">
        <v>8002027</v>
      </c>
      <c r="D2068" s="11" t="s">
        <v>7550</v>
      </c>
      <c r="E2068" s="11" t="s">
        <v>7551</v>
      </c>
    </row>
    <row r="2069" spans="1:5">
      <c r="A2069" s="11" t="s">
        <v>7552</v>
      </c>
      <c r="B2069">
        <v>8079626</v>
      </c>
      <c r="D2069" s="11" t="s">
        <v>7553</v>
      </c>
      <c r="E2069" s="11" t="s">
        <v>7554</v>
      </c>
    </row>
    <row r="2070" spans="1:5">
      <c r="A2070" s="11" t="s">
        <v>7555</v>
      </c>
      <c r="B2070">
        <v>8002028</v>
      </c>
      <c r="D2070" s="11" t="s">
        <v>7556</v>
      </c>
      <c r="E2070" s="11" t="s">
        <v>7557</v>
      </c>
    </row>
    <row r="2071" spans="1:5">
      <c r="A2071" s="11" t="s">
        <v>7558</v>
      </c>
      <c r="B2071">
        <v>8002029</v>
      </c>
      <c r="D2071" s="11" t="s">
        <v>7559</v>
      </c>
      <c r="E2071" s="11" t="s">
        <v>7560</v>
      </c>
    </row>
    <row r="2072" spans="1:5">
      <c r="A2072" s="11" t="s">
        <v>7561</v>
      </c>
      <c r="B2072">
        <v>8010110</v>
      </c>
      <c r="D2072" s="11" t="s">
        <v>7562</v>
      </c>
      <c r="E2072" s="11" t="s">
        <v>7563</v>
      </c>
    </row>
    <row r="2073" spans="1:5">
      <c r="A2073" s="11" t="s">
        <v>7564</v>
      </c>
      <c r="B2073">
        <v>8002020</v>
      </c>
      <c r="D2073" s="11" t="s">
        <v>7565</v>
      </c>
      <c r="E2073" s="11" t="s">
        <v>7566</v>
      </c>
    </row>
    <row r="2074" spans="1:5">
      <c r="A2074" s="11" t="s">
        <v>7567</v>
      </c>
      <c r="B2074">
        <v>8007344</v>
      </c>
      <c r="D2074" s="11" t="s">
        <v>7568</v>
      </c>
      <c r="E2074" s="11" t="s">
        <v>7569</v>
      </c>
    </row>
    <row r="2075" spans="1:5">
      <c r="A2075" s="11" t="s">
        <v>7570</v>
      </c>
      <c r="B2075">
        <v>8000104</v>
      </c>
      <c r="D2075" s="11" t="s">
        <v>7571</v>
      </c>
      <c r="E2075" s="11" t="s">
        <v>7572</v>
      </c>
    </row>
    <row r="2076" spans="1:5">
      <c r="A2076" s="11" t="s">
        <v>7573</v>
      </c>
      <c r="B2076">
        <v>8011553</v>
      </c>
      <c r="D2076" s="11" t="s">
        <v>7574</v>
      </c>
      <c r="E2076" s="11" t="s">
        <v>7575</v>
      </c>
    </row>
    <row r="2077" spans="1:5">
      <c r="A2077" s="11" t="s">
        <v>7576</v>
      </c>
      <c r="B2077">
        <v>8011554</v>
      </c>
      <c r="D2077" s="11" t="s">
        <v>7577</v>
      </c>
      <c r="E2077" s="11" t="s">
        <v>7578</v>
      </c>
    </row>
    <row r="2078" spans="1:5">
      <c r="A2078" s="11" t="s">
        <v>7579</v>
      </c>
      <c r="B2078">
        <v>8002033</v>
      </c>
      <c r="D2078" s="11" t="s">
        <v>7580</v>
      </c>
      <c r="E2078" s="11" t="s">
        <v>7581</v>
      </c>
    </row>
    <row r="2079" spans="1:5">
      <c r="A2079" s="11" t="s">
        <v>7582</v>
      </c>
      <c r="B2079">
        <v>8006082</v>
      </c>
      <c r="D2079" s="11" t="s">
        <v>7583</v>
      </c>
      <c r="E2079" s="11" t="s">
        <v>7584</v>
      </c>
    </row>
    <row r="2080" spans="1:5">
      <c r="A2080" s="11" t="s">
        <v>7585</v>
      </c>
      <c r="B2080">
        <v>8070390</v>
      </c>
      <c r="D2080" s="11" t="s">
        <v>7586</v>
      </c>
      <c r="E2080" s="11" t="s">
        <v>7587</v>
      </c>
    </row>
    <row r="2081" spans="1:5">
      <c r="A2081" s="11" t="s">
        <v>7588</v>
      </c>
      <c r="B2081">
        <v>8002036</v>
      </c>
      <c r="D2081" s="11" t="s">
        <v>7589</v>
      </c>
      <c r="E2081" s="11" t="s">
        <v>7590</v>
      </c>
    </row>
    <row r="2082" spans="1:5">
      <c r="A2082" s="11" t="s">
        <v>7591</v>
      </c>
      <c r="B2082">
        <v>8011556</v>
      </c>
      <c r="D2082" s="11" t="s">
        <v>7592</v>
      </c>
      <c r="E2082" s="11" t="s">
        <v>7593</v>
      </c>
    </row>
    <row r="2083" spans="1:5">
      <c r="A2083" s="11" t="s">
        <v>7594</v>
      </c>
      <c r="B2083">
        <v>8000332</v>
      </c>
      <c r="D2083" s="11" t="s">
        <v>7595</v>
      </c>
      <c r="E2083" s="11" t="s">
        <v>7596</v>
      </c>
    </row>
    <row r="2084" spans="1:5">
      <c r="A2084" s="11" t="s">
        <v>7597</v>
      </c>
      <c r="B2084">
        <v>8002025</v>
      </c>
      <c r="D2084" s="11" t="s">
        <v>7598</v>
      </c>
      <c r="E2084" s="11" t="s">
        <v>7599</v>
      </c>
    </row>
    <row r="2085" spans="1:5">
      <c r="A2085" s="11" t="s">
        <v>7600</v>
      </c>
      <c r="B2085">
        <v>8002040</v>
      </c>
      <c r="D2085" s="11" t="s">
        <v>7601</v>
      </c>
      <c r="E2085" s="11" t="s">
        <v>7602</v>
      </c>
    </row>
    <row r="2086" spans="1:5">
      <c r="A2086" s="11" t="s">
        <v>7603</v>
      </c>
      <c r="B2086">
        <v>8070003</v>
      </c>
      <c r="D2086" s="11" t="s">
        <v>7604</v>
      </c>
      <c r="E2086" s="11" t="s">
        <v>7605</v>
      </c>
    </row>
    <row r="2087" spans="1:5">
      <c r="A2087" s="11" t="s">
        <v>356</v>
      </c>
      <c r="B2087">
        <v>8070004</v>
      </c>
      <c r="D2087" s="11" t="s">
        <v>358</v>
      </c>
      <c r="E2087" s="11" t="s">
        <v>359</v>
      </c>
    </row>
    <row r="2088" spans="1:5">
      <c r="A2088" s="11" t="s">
        <v>7606</v>
      </c>
      <c r="B2088">
        <v>8000281</v>
      </c>
      <c r="D2088" s="11" t="s">
        <v>7607</v>
      </c>
      <c r="E2088" s="11" t="s">
        <v>7608</v>
      </c>
    </row>
    <row r="2089" spans="1:5">
      <c r="A2089" s="11" t="s">
        <v>334</v>
      </c>
      <c r="B2089">
        <v>8006690</v>
      </c>
      <c r="D2089" s="11" t="s">
        <v>336</v>
      </c>
      <c r="E2089" s="11" t="s">
        <v>337</v>
      </c>
    </row>
    <row r="2090" spans="1:5">
      <c r="A2090" s="11" t="s">
        <v>7609</v>
      </c>
      <c r="B2090">
        <v>8006692</v>
      </c>
      <c r="D2090" s="11" t="s">
        <v>7610</v>
      </c>
      <c r="E2090" s="11" t="s">
        <v>7611</v>
      </c>
    </row>
    <row r="2091" spans="1:5">
      <c r="A2091" s="11" t="s">
        <v>7612</v>
      </c>
      <c r="B2091">
        <v>8004429</v>
      </c>
      <c r="D2091" s="11" t="s">
        <v>7613</v>
      </c>
      <c r="E2091" s="11" t="s">
        <v>7614</v>
      </c>
    </row>
    <row r="2092" spans="1:5">
      <c r="A2092" s="11" t="s">
        <v>7615</v>
      </c>
      <c r="B2092">
        <v>8002038</v>
      </c>
      <c r="D2092" s="11" t="s">
        <v>7616</v>
      </c>
      <c r="E2092" s="11" t="s">
        <v>7617</v>
      </c>
    </row>
    <row r="2093" spans="1:5">
      <c r="A2093" s="11" t="s">
        <v>364</v>
      </c>
      <c r="B2093">
        <v>8002034</v>
      </c>
      <c r="D2093" s="11" t="s">
        <v>366</v>
      </c>
      <c r="E2093" s="11" t="s">
        <v>367</v>
      </c>
    </row>
    <row r="2094" spans="1:5">
      <c r="A2094" s="11" t="s">
        <v>326</v>
      </c>
      <c r="B2094">
        <v>8002058</v>
      </c>
      <c r="D2094" s="11" t="s">
        <v>328</v>
      </c>
      <c r="E2094" s="11" t="s">
        <v>329</v>
      </c>
    </row>
    <row r="2095" spans="1:5">
      <c r="A2095" s="11" t="s">
        <v>318</v>
      </c>
      <c r="B2095">
        <v>8002059</v>
      </c>
      <c r="D2095" s="11" t="s">
        <v>320</v>
      </c>
      <c r="E2095" s="11" t="s">
        <v>321</v>
      </c>
    </row>
    <row r="2096" spans="1:5">
      <c r="A2096" s="11" t="s">
        <v>7618</v>
      </c>
      <c r="B2096">
        <v>8006691</v>
      </c>
      <c r="D2096" s="11" t="s">
        <v>7619</v>
      </c>
      <c r="E2096" s="11" t="s">
        <v>7620</v>
      </c>
    </row>
    <row r="2097" spans="1:5">
      <c r="A2097" s="11" t="s">
        <v>7621</v>
      </c>
      <c r="B2097">
        <v>8071655</v>
      </c>
      <c r="D2097" s="11" t="s">
        <v>1539</v>
      </c>
      <c r="E2097" s="11" t="s">
        <v>1539</v>
      </c>
    </row>
    <row r="2098" spans="1:5">
      <c r="A2098" s="11" t="s">
        <v>7622</v>
      </c>
      <c r="B2098">
        <v>8071169</v>
      </c>
      <c r="D2098" s="11" t="s">
        <v>7623</v>
      </c>
      <c r="E2098" s="11" t="s">
        <v>7624</v>
      </c>
    </row>
    <row r="2099" spans="1:5">
      <c r="A2099" s="11" t="s">
        <v>7625</v>
      </c>
      <c r="B2099">
        <v>8002060</v>
      </c>
      <c r="D2099" s="11" t="s">
        <v>7626</v>
      </c>
      <c r="E2099" s="11" t="s">
        <v>7627</v>
      </c>
    </row>
    <row r="2100" spans="1:5">
      <c r="A2100" s="11" t="s">
        <v>22</v>
      </c>
      <c r="B2100">
        <v>8000105</v>
      </c>
      <c r="D2100" s="11" t="s">
        <v>7628</v>
      </c>
      <c r="E2100" s="11" t="s">
        <v>7629</v>
      </c>
    </row>
    <row r="2101" spans="1:5">
      <c r="A2101" s="11" t="s">
        <v>7630</v>
      </c>
      <c r="B2101">
        <v>8079632</v>
      </c>
      <c r="D2101" s="11" t="s">
        <v>7631</v>
      </c>
      <c r="E2101" s="11" t="s">
        <v>7632</v>
      </c>
    </row>
    <row r="2102" spans="1:5">
      <c r="A2102" s="11" t="s">
        <v>7633</v>
      </c>
      <c r="B2102">
        <v>8002039</v>
      </c>
      <c r="D2102" s="11" t="s">
        <v>7634</v>
      </c>
      <c r="E2102" s="11" t="s">
        <v>7635</v>
      </c>
    </row>
    <row r="2103" spans="1:5">
      <c r="A2103" s="11" t="s">
        <v>144</v>
      </c>
      <c r="B2103">
        <v>8002041</v>
      </c>
      <c r="D2103" s="11" t="s">
        <v>350</v>
      </c>
      <c r="E2103" s="11" t="s">
        <v>351</v>
      </c>
    </row>
    <row r="2104" spans="1:5">
      <c r="A2104" s="11" t="s">
        <v>7636</v>
      </c>
      <c r="B2104">
        <v>8002042</v>
      </c>
      <c r="D2104" s="11" t="s">
        <v>7637</v>
      </c>
      <c r="E2104" s="11" t="s">
        <v>7638</v>
      </c>
    </row>
    <row r="2105" spans="1:5">
      <c r="A2105" s="11" t="s">
        <v>7639</v>
      </c>
      <c r="B2105">
        <v>8089332</v>
      </c>
      <c r="D2105" s="11" t="s">
        <v>7640</v>
      </c>
      <c r="E2105" s="11" t="s">
        <v>7641</v>
      </c>
    </row>
    <row r="2106" spans="1:5">
      <c r="A2106" s="11" t="s">
        <v>7642</v>
      </c>
      <c r="B2106">
        <v>8010113</v>
      </c>
      <c r="D2106" s="11" t="s">
        <v>7643</v>
      </c>
      <c r="E2106" s="11" t="s">
        <v>7644</v>
      </c>
    </row>
    <row r="2107" spans="1:5">
      <c r="A2107" s="11" t="s">
        <v>7645</v>
      </c>
      <c r="B2107">
        <v>8071291</v>
      </c>
      <c r="D2107" s="11" t="s">
        <v>1539</v>
      </c>
      <c r="E2107" s="11" t="s">
        <v>1539</v>
      </c>
    </row>
    <row r="2108" spans="1:5">
      <c r="A2108" s="11" t="s">
        <v>7646</v>
      </c>
      <c r="B2108">
        <v>8080985</v>
      </c>
      <c r="D2108" s="11" t="s">
        <v>1539</v>
      </c>
      <c r="E2108" s="11" t="s">
        <v>1539</v>
      </c>
    </row>
    <row r="2109" spans="1:5">
      <c r="A2109" s="11" t="s">
        <v>7647</v>
      </c>
      <c r="B2109">
        <v>8089124</v>
      </c>
      <c r="D2109" s="11" t="s">
        <v>1539</v>
      </c>
      <c r="E2109" s="11" t="s">
        <v>1539</v>
      </c>
    </row>
    <row r="2110" spans="1:5">
      <c r="A2110" s="11" t="s">
        <v>7648</v>
      </c>
      <c r="B2110">
        <v>8011557</v>
      </c>
      <c r="D2110" s="11" t="s">
        <v>7649</v>
      </c>
      <c r="E2110" s="11" t="s">
        <v>7650</v>
      </c>
    </row>
    <row r="2111" spans="1:5">
      <c r="A2111" s="11" t="s">
        <v>7651</v>
      </c>
      <c r="B2111">
        <v>8011559</v>
      </c>
      <c r="D2111" s="11" t="s">
        <v>7652</v>
      </c>
      <c r="E2111" s="11" t="s">
        <v>7653</v>
      </c>
    </row>
    <row r="2112" spans="1:5">
      <c r="A2112" s="11" t="s">
        <v>7654</v>
      </c>
      <c r="B2112">
        <v>8002043</v>
      </c>
      <c r="D2112" s="11" t="s">
        <v>7655</v>
      </c>
      <c r="E2112" s="11" t="s">
        <v>7656</v>
      </c>
    </row>
    <row r="2113" spans="1:5">
      <c r="A2113" s="11" t="s">
        <v>7657</v>
      </c>
      <c r="B2113">
        <v>8002045</v>
      </c>
      <c r="D2113" s="11" t="s">
        <v>7658</v>
      </c>
      <c r="E2113" s="11" t="s">
        <v>7659</v>
      </c>
    </row>
    <row r="2114" spans="1:5">
      <c r="A2114" s="11" t="s">
        <v>7660</v>
      </c>
      <c r="B2114">
        <v>8002044</v>
      </c>
      <c r="D2114" s="11" t="s">
        <v>7661</v>
      </c>
      <c r="E2114" s="11" t="s">
        <v>7662</v>
      </c>
    </row>
    <row r="2115" spans="1:5">
      <c r="A2115" s="11" t="s">
        <v>7663</v>
      </c>
      <c r="B2115">
        <v>8002037</v>
      </c>
      <c r="D2115" s="11" t="s">
        <v>7664</v>
      </c>
      <c r="E2115" s="11" t="s">
        <v>7665</v>
      </c>
    </row>
    <row r="2116" spans="1:5">
      <c r="A2116" s="11" t="s">
        <v>7666</v>
      </c>
      <c r="B2116">
        <v>8002046</v>
      </c>
      <c r="D2116" s="11" t="s">
        <v>7667</v>
      </c>
      <c r="E2116" s="11" t="s">
        <v>7668</v>
      </c>
    </row>
    <row r="2117" spans="1:5">
      <c r="A2117" s="11" t="s">
        <v>748</v>
      </c>
      <c r="B2117">
        <v>8000106</v>
      </c>
      <c r="D2117" s="11" t="s">
        <v>750</v>
      </c>
      <c r="E2117" s="11" t="s">
        <v>751</v>
      </c>
    </row>
    <row r="2118" spans="1:5">
      <c r="A2118" s="11" t="s">
        <v>7669</v>
      </c>
      <c r="B2118">
        <v>8002051</v>
      </c>
      <c r="D2118" s="11" t="s">
        <v>7670</v>
      </c>
      <c r="E2118" s="11" t="s">
        <v>7671</v>
      </c>
    </row>
    <row r="2119" spans="1:5">
      <c r="A2119" s="11" t="s">
        <v>7672</v>
      </c>
      <c r="B2119">
        <v>8002047</v>
      </c>
      <c r="D2119" s="11" t="s">
        <v>7673</v>
      </c>
      <c r="E2119" s="11" t="s">
        <v>7674</v>
      </c>
    </row>
    <row r="2120" spans="1:5">
      <c r="A2120" s="11" t="s">
        <v>342</v>
      </c>
      <c r="B2120">
        <v>8002048</v>
      </c>
      <c r="D2120" s="11" t="s">
        <v>344</v>
      </c>
      <c r="E2120" s="11" t="s">
        <v>345</v>
      </c>
    </row>
    <row r="2121" spans="1:5">
      <c r="A2121" s="11" t="s">
        <v>7675</v>
      </c>
      <c r="B2121">
        <v>8002049</v>
      </c>
      <c r="D2121" s="11" t="s">
        <v>7676</v>
      </c>
      <c r="E2121" s="11" t="s">
        <v>7677</v>
      </c>
    </row>
    <row r="2122" spans="1:5">
      <c r="A2122" s="11" t="s">
        <v>33</v>
      </c>
      <c r="B2122">
        <v>8002050</v>
      </c>
      <c r="D2122" s="11" t="s">
        <v>372</v>
      </c>
      <c r="E2122" s="11" t="s">
        <v>373</v>
      </c>
    </row>
    <row r="2123" spans="1:5">
      <c r="A2123" s="11" t="s">
        <v>7678</v>
      </c>
      <c r="B2123">
        <v>8002052</v>
      </c>
      <c r="D2123" s="11" t="s">
        <v>7679</v>
      </c>
      <c r="E2123" s="11" t="s">
        <v>7680</v>
      </c>
    </row>
    <row r="2124" spans="1:5">
      <c r="A2124" s="11" t="s">
        <v>7681</v>
      </c>
      <c r="B2124">
        <v>8002053</v>
      </c>
      <c r="D2124" s="11" t="s">
        <v>7682</v>
      </c>
      <c r="E2124" s="11" t="s">
        <v>7683</v>
      </c>
    </row>
    <row r="2125" spans="1:5">
      <c r="A2125" s="11" t="s">
        <v>7684</v>
      </c>
      <c r="B2125">
        <v>8002054</v>
      </c>
      <c r="D2125" s="11" t="s">
        <v>7685</v>
      </c>
      <c r="E2125" s="11" t="s">
        <v>7686</v>
      </c>
    </row>
    <row r="2126" spans="1:5">
      <c r="A2126" s="11" t="s">
        <v>7687</v>
      </c>
      <c r="B2126">
        <v>8007158</v>
      </c>
      <c r="D2126" s="11" t="s">
        <v>7688</v>
      </c>
      <c r="E2126" s="11" t="s">
        <v>7689</v>
      </c>
    </row>
    <row r="2127" spans="1:5">
      <c r="A2127" s="11" t="s">
        <v>7690</v>
      </c>
      <c r="B2127">
        <v>8002055</v>
      </c>
      <c r="D2127" s="11" t="s">
        <v>7691</v>
      </c>
      <c r="E2127" s="11" t="s">
        <v>7692</v>
      </c>
    </row>
    <row r="2128" spans="1:5">
      <c r="A2128" s="11" t="s">
        <v>7693</v>
      </c>
      <c r="B2128">
        <v>8011560</v>
      </c>
      <c r="D2128" s="11" t="s">
        <v>7694</v>
      </c>
      <c r="E2128" s="11" t="s">
        <v>7695</v>
      </c>
    </row>
    <row r="2129" spans="1:5">
      <c r="A2129" s="11" t="s">
        <v>7696</v>
      </c>
      <c r="B2129">
        <v>8007010</v>
      </c>
      <c r="D2129" s="11" t="s">
        <v>7697</v>
      </c>
      <c r="E2129" s="11" t="s">
        <v>7698</v>
      </c>
    </row>
    <row r="2130" spans="1:5">
      <c r="A2130" s="11" t="s">
        <v>7699</v>
      </c>
      <c r="B2130">
        <v>8002057</v>
      </c>
      <c r="D2130" s="11" t="s">
        <v>7700</v>
      </c>
      <c r="E2130" s="11" t="s">
        <v>7701</v>
      </c>
    </row>
    <row r="2131" spans="1:5">
      <c r="A2131" s="11" t="s">
        <v>7702</v>
      </c>
      <c r="B2131">
        <v>8011563</v>
      </c>
      <c r="D2131" s="11" t="s">
        <v>7703</v>
      </c>
      <c r="E2131" s="11" t="s">
        <v>7704</v>
      </c>
    </row>
    <row r="2132" spans="1:5">
      <c r="A2132" s="11" t="s">
        <v>7705</v>
      </c>
      <c r="B2132">
        <v>8002389</v>
      </c>
      <c r="D2132" s="11" t="s">
        <v>7706</v>
      </c>
      <c r="E2132" s="11" t="s">
        <v>7707</v>
      </c>
    </row>
    <row r="2133" spans="1:5">
      <c r="A2133" s="11" t="s">
        <v>7708</v>
      </c>
      <c r="B2133">
        <v>8011564</v>
      </c>
      <c r="D2133" s="11" t="s">
        <v>7709</v>
      </c>
      <c r="E2133" s="11" t="s">
        <v>7710</v>
      </c>
    </row>
    <row r="2134" spans="1:5">
      <c r="A2134" s="11" t="s">
        <v>7711</v>
      </c>
      <c r="B2134">
        <v>8002063</v>
      </c>
      <c r="D2134" s="11" t="s">
        <v>7712</v>
      </c>
      <c r="E2134" s="11" t="s">
        <v>7713</v>
      </c>
    </row>
    <row r="2135" spans="1:5">
      <c r="A2135" s="11" t="s">
        <v>7714</v>
      </c>
      <c r="B2135">
        <v>8071335</v>
      </c>
      <c r="D2135" s="11" t="s">
        <v>7715</v>
      </c>
      <c r="E2135" s="11" t="s">
        <v>7716</v>
      </c>
    </row>
    <row r="2136" spans="1:5">
      <c r="A2136" s="11" t="s">
        <v>7717</v>
      </c>
      <c r="B2136">
        <v>8080440</v>
      </c>
      <c r="D2136" s="11" t="s">
        <v>7718</v>
      </c>
      <c r="E2136" s="11" t="s">
        <v>7719</v>
      </c>
    </row>
    <row r="2137" spans="1:5">
      <c r="A2137" s="11" t="s">
        <v>7720</v>
      </c>
      <c r="B2137">
        <v>8002065</v>
      </c>
      <c r="D2137" s="11" t="s">
        <v>7721</v>
      </c>
      <c r="E2137" s="11" t="s">
        <v>7722</v>
      </c>
    </row>
    <row r="2138" spans="1:5">
      <c r="A2138" s="11" t="s">
        <v>7723</v>
      </c>
      <c r="B2138">
        <v>8010115</v>
      </c>
      <c r="D2138" s="11" t="s">
        <v>7724</v>
      </c>
      <c r="E2138" s="11" t="s">
        <v>7725</v>
      </c>
    </row>
    <row r="2139" spans="1:5">
      <c r="A2139" s="11" t="s">
        <v>7726</v>
      </c>
      <c r="B2139">
        <v>8002077</v>
      </c>
      <c r="D2139" s="11" t="s">
        <v>7727</v>
      </c>
      <c r="E2139" s="11" t="s">
        <v>7728</v>
      </c>
    </row>
    <row r="2140" spans="1:5">
      <c r="A2140" s="11" t="s">
        <v>7729</v>
      </c>
      <c r="B2140">
        <v>8000453</v>
      </c>
      <c r="D2140" s="11" t="s">
        <v>7730</v>
      </c>
      <c r="E2140" s="11" t="s">
        <v>7731</v>
      </c>
    </row>
    <row r="2141" spans="1:5">
      <c r="A2141" s="11" t="s">
        <v>64</v>
      </c>
      <c r="B2141">
        <v>8000107</v>
      </c>
      <c r="D2141" s="11" t="s">
        <v>1121</v>
      </c>
      <c r="E2141" s="11" t="s">
        <v>1122</v>
      </c>
    </row>
    <row r="2142" spans="1:5">
      <c r="A2142" s="11" t="s">
        <v>7732</v>
      </c>
      <c r="B2142">
        <v>8002067</v>
      </c>
      <c r="D2142" s="11" t="s">
        <v>7733</v>
      </c>
      <c r="E2142" s="11" t="s">
        <v>7734</v>
      </c>
    </row>
    <row r="2143" spans="1:5">
      <c r="A2143" s="11" t="s">
        <v>7735</v>
      </c>
      <c r="B2143">
        <v>8002066</v>
      </c>
      <c r="D2143" s="11" t="s">
        <v>7736</v>
      </c>
      <c r="E2143" s="11" t="s">
        <v>7737</v>
      </c>
    </row>
    <row r="2144" spans="1:5">
      <c r="A2144" s="11" t="s">
        <v>7738</v>
      </c>
      <c r="B2144">
        <v>8002068</v>
      </c>
      <c r="D2144" s="11" t="s">
        <v>7739</v>
      </c>
      <c r="E2144" s="11" t="s">
        <v>7740</v>
      </c>
    </row>
    <row r="2145" spans="1:5">
      <c r="A2145" s="11" t="s">
        <v>7741</v>
      </c>
      <c r="B2145">
        <v>8002069</v>
      </c>
      <c r="D2145" s="11" t="s">
        <v>7742</v>
      </c>
      <c r="E2145" s="11" t="s">
        <v>7743</v>
      </c>
    </row>
    <row r="2146" spans="1:5">
      <c r="A2146" s="11" t="s">
        <v>7744</v>
      </c>
      <c r="B2146">
        <v>8002070</v>
      </c>
      <c r="D2146" s="11" t="s">
        <v>7745</v>
      </c>
      <c r="E2146" s="11" t="s">
        <v>7746</v>
      </c>
    </row>
    <row r="2147" spans="1:5">
      <c r="A2147" s="11" t="s">
        <v>7747</v>
      </c>
      <c r="B2147">
        <v>8002071</v>
      </c>
      <c r="D2147" s="11" t="s">
        <v>7748</v>
      </c>
      <c r="E2147" s="11" t="s">
        <v>7749</v>
      </c>
    </row>
    <row r="2148" spans="1:5">
      <c r="A2148" s="11" t="s">
        <v>7750</v>
      </c>
      <c r="B2148">
        <v>8002073</v>
      </c>
      <c r="D2148" s="11" t="s">
        <v>7751</v>
      </c>
      <c r="E2148" s="11" t="s">
        <v>7752</v>
      </c>
    </row>
    <row r="2149" spans="1:5">
      <c r="A2149" s="11" t="s">
        <v>7753</v>
      </c>
      <c r="B2149">
        <v>8011567</v>
      </c>
      <c r="D2149" s="11" t="s">
        <v>7754</v>
      </c>
      <c r="E2149" s="11" t="s">
        <v>7755</v>
      </c>
    </row>
    <row r="2150" spans="1:5">
      <c r="A2150" s="11" t="s">
        <v>7756</v>
      </c>
      <c r="B2150">
        <v>8002074</v>
      </c>
      <c r="D2150" s="11" t="s">
        <v>7757</v>
      </c>
      <c r="E2150" s="11" t="s">
        <v>7758</v>
      </c>
    </row>
    <row r="2151" spans="1:5">
      <c r="A2151" s="11" t="s">
        <v>7759</v>
      </c>
      <c r="B2151">
        <v>8002075</v>
      </c>
      <c r="D2151" s="11" t="s">
        <v>7760</v>
      </c>
      <c r="E2151" s="11" t="s">
        <v>7761</v>
      </c>
    </row>
    <row r="2152" spans="1:5">
      <c r="A2152" s="11" t="s">
        <v>7762</v>
      </c>
      <c r="B2152">
        <v>8002076</v>
      </c>
      <c r="D2152" s="11" t="s">
        <v>7763</v>
      </c>
      <c r="E2152" s="11" t="s">
        <v>7764</v>
      </c>
    </row>
    <row r="2153" spans="1:5">
      <c r="A2153" s="11" t="s">
        <v>7765</v>
      </c>
      <c r="B2153">
        <v>8000108</v>
      </c>
      <c r="D2153" s="11" t="s">
        <v>7766</v>
      </c>
      <c r="E2153" s="11" t="s">
        <v>7767</v>
      </c>
    </row>
    <row r="2154" spans="1:5">
      <c r="A2154" s="11" t="s">
        <v>7768</v>
      </c>
      <c r="B2154">
        <v>8081104</v>
      </c>
      <c r="D2154" s="11" t="s">
        <v>7769</v>
      </c>
      <c r="E2154" s="11" t="s">
        <v>7770</v>
      </c>
    </row>
    <row r="2155" spans="1:5">
      <c r="A2155" s="11" t="s">
        <v>7771</v>
      </c>
      <c r="B2155">
        <v>8002085</v>
      </c>
      <c r="D2155" s="11" t="s">
        <v>7772</v>
      </c>
      <c r="E2155" s="11" t="s">
        <v>7773</v>
      </c>
    </row>
    <row r="2156" spans="1:5">
      <c r="A2156" s="11" t="s">
        <v>7774</v>
      </c>
      <c r="B2156">
        <v>8000340</v>
      </c>
      <c r="D2156" s="11" t="s">
        <v>7775</v>
      </c>
      <c r="E2156" s="11" t="s">
        <v>7776</v>
      </c>
    </row>
    <row r="2157" spans="1:5">
      <c r="A2157" s="11" t="s">
        <v>7777</v>
      </c>
      <c r="B2157">
        <v>8000374</v>
      </c>
      <c r="D2157" s="11" t="s">
        <v>7778</v>
      </c>
      <c r="E2157" s="11" t="s">
        <v>7779</v>
      </c>
    </row>
    <row r="2158" spans="1:5">
      <c r="A2158" s="11" t="s">
        <v>7780</v>
      </c>
      <c r="B2158">
        <v>8002078</v>
      </c>
      <c r="D2158" s="11" t="s">
        <v>7781</v>
      </c>
      <c r="E2158" s="11" t="s">
        <v>7782</v>
      </c>
    </row>
    <row r="2159" spans="1:5">
      <c r="A2159" s="11" t="s">
        <v>7783</v>
      </c>
      <c r="B2159">
        <v>8011568</v>
      </c>
      <c r="D2159" s="11" t="s">
        <v>7784</v>
      </c>
      <c r="E2159" s="11" t="s">
        <v>7785</v>
      </c>
    </row>
    <row r="2160" spans="1:5">
      <c r="A2160" s="11" t="s">
        <v>7786</v>
      </c>
      <c r="B2160">
        <v>8011569</v>
      </c>
      <c r="D2160" s="11" t="s">
        <v>7787</v>
      </c>
      <c r="E2160" s="11" t="s">
        <v>7788</v>
      </c>
    </row>
    <row r="2161" spans="1:5">
      <c r="A2161" s="11" t="s">
        <v>7789</v>
      </c>
      <c r="B2161">
        <v>8010116</v>
      </c>
      <c r="D2161" s="11" t="s">
        <v>7790</v>
      </c>
      <c r="E2161" s="11" t="s">
        <v>7791</v>
      </c>
    </row>
    <row r="2162" spans="1:5">
      <c r="A2162" s="11" t="s">
        <v>7792</v>
      </c>
      <c r="B2162">
        <v>8011570</v>
      </c>
      <c r="D2162" s="11" t="s">
        <v>7793</v>
      </c>
      <c r="E2162" s="11" t="s">
        <v>7794</v>
      </c>
    </row>
    <row r="2163" spans="1:5">
      <c r="A2163" s="11" t="s">
        <v>7795</v>
      </c>
      <c r="B2163">
        <v>8013445</v>
      </c>
      <c r="D2163" s="11" t="s">
        <v>7796</v>
      </c>
      <c r="E2163" s="11" t="s">
        <v>7797</v>
      </c>
    </row>
    <row r="2164" spans="1:5">
      <c r="A2164" s="11" t="s">
        <v>7798</v>
      </c>
      <c r="B2164">
        <v>8002080</v>
      </c>
      <c r="D2164" s="11" t="s">
        <v>7799</v>
      </c>
      <c r="E2164" s="11" t="s">
        <v>7800</v>
      </c>
    </row>
    <row r="2165" spans="1:5">
      <c r="A2165" s="11" t="s">
        <v>7801</v>
      </c>
      <c r="B2165">
        <v>8007804</v>
      </c>
      <c r="D2165" s="11" t="s">
        <v>7802</v>
      </c>
      <c r="E2165" s="11" t="s">
        <v>7803</v>
      </c>
    </row>
    <row r="2166" spans="1:5">
      <c r="A2166" s="11" t="s">
        <v>7804</v>
      </c>
      <c r="B2166">
        <v>8070392</v>
      </c>
      <c r="D2166" s="11" t="s">
        <v>7805</v>
      </c>
      <c r="E2166" s="11" t="s">
        <v>7806</v>
      </c>
    </row>
    <row r="2167" spans="1:5">
      <c r="A2167" s="11" t="s">
        <v>7807</v>
      </c>
      <c r="B2167">
        <v>8002083</v>
      </c>
      <c r="D2167" s="11" t="s">
        <v>7808</v>
      </c>
      <c r="E2167" s="11" t="s">
        <v>7809</v>
      </c>
    </row>
    <row r="2168" spans="1:5">
      <c r="A2168" s="11" t="s">
        <v>7810</v>
      </c>
      <c r="B2168">
        <v>8011571</v>
      </c>
      <c r="D2168" s="11" t="s">
        <v>7811</v>
      </c>
      <c r="E2168" s="11" t="s">
        <v>7812</v>
      </c>
    </row>
    <row r="2169" spans="1:5">
      <c r="A2169" s="11" t="s">
        <v>7813</v>
      </c>
      <c r="B2169">
        <v>8002086</v>
      </c>
      <c r="D2169" s="11" t="s">
        <v>7814</v>
      </c>
      <c r="E2169" s="11" t="s">
        <v>7815</v>
      </c>
    </row>
    <row r="2170" spans="1:5">
      <c r="A2170" s="11" t="s">
        <v>7816</v>
      </c>
      <c r="B2170">
        <v>8011572</v>
      </c>
      <c r="D2170" s="11" t="s">
        <v>7817</v>
      </c>
      <c r="E2170" s="11" t="s">
        <v>7818</v>
      </c>
    </row>
    <row r="2171" spans="1:5">
      <c r="A2171" s="11" t="s">
        <v>7819</v>
      </c>
      <c r="B2171">
        <v>8079726</v>
      </c>
      <c r="D2171" s="11" t="s">
        <v>7820</v>
      </c>
      <c r="E2171" s="11" t="s">
        <v>7821</v>
      </c>
    </row>
    <row r="2172" spans="1:5">
      <c r="A2172" s="11" t="s">
        <v>7822</v>
      </c>
      <c r="B2172">
        <v>8002089</v>
      </c>
      <c r="D2172" s="11" t="s">
        <v>7823</v>
      </c>
      <c r="E2172" s="11" t="s">
        <v>7824</v>
      </c>
    </row>
    <row r="2173" spans="1:5">
      <c r="A2173" s="11" t="s">
        <v>7825</v>
      </c>
      <c r="B2173">
        <v>8000110</v>
      </c>
      <c r="D2173" s="11" t="s">
        <v>7826</v>
      </c>
      <c r="E2173" s="11" t="s">
        <v>7827</v>
      </c>
    </row>
    <row r="2174" spans="1:5">
      <c r="A2174" s="11" t="s">
        <v>7828</v>
      </c>
      <c r="B2174">
        <v>8002087</v>
      </c>
      <c r="D2174" s="11" t="s">
        <v>7829</v>
      </c>
      <c r="E2174" s="11" t="s">
        <v>7830</v>
      </c>
    </row>
    <row r="2175" spans="1:5">
      <c r="A2175" s="11" t="s">
        <v>7831</v>
      </c>
      <c r="B2175">
        <v>8002090</v>
      </c>
      <c r="D2175" s="11" t="s">
        <v>7832</v>
      </c>
      <c r="E2175" s="11" t="s">
        <v>7833</v>
      </c>
    </row>
    <row r="2176" spans="1:5">
      <c r="A2176" s="11" t="s">
        <v>7834</v>
      </c>
      <c r="B2176">
        <v>8002091</v>
      </c>
      <c r="D2176" s="11" t="s">
        <v>7835</v>
      </c>
      <c r="E2176" s="11" t="s">
        <v>7836</v>
      </c>
    </row>
    <row r="2177" spans="1:5">
      <c r="A2177" s="11" t="s">
        <v>7837</v>
      </c>
      <c r="B2177">
        <v>8002092</v>
      </c>
      <c r="D2177" s="11" t="s">
        <v>7838</v>
      </c>
      <c r="E2177" s="11" t="s">
        <v>7839</v>
      </c>
    </row>
    <row r="2178" spans="1:5">
      <c r="A2178" s="11" t="s">
        <v>7840</v>
      </c>
      <c r="B2178">
        <v>8011573</v>
      </c>
      <c r="D2178" s="11" t="s">
        <v>7841</v>
      </c>
      <c r="E2178" s="11" t="s">
        <v>7842</v>
      </c>
    </row>
    <row r="2179" spans="1:5">
      <c r="A2179" s="11" t="s">
        <v>7843</v>
      </c>
      <c r="B2179">
        <v>8002094</v>
      </c>
      <c r="D2179" s="11" t="s">
        <v>7844</v>
      </c>
      <c r="E2179" s="11" t="s">
        <v>7845</v>
      </c>
    </row>
    <row r="2180" spans="1:5">
      <c r="A2180" s="11" t="s">
        <v>7846</v>
      </c>
      <c r="B2180">
        <v>8007446</v>
      </c>
      <c r="D2180" s="11" t="s">
        <v>7847</v>
      </c>
      <c r="E2180" s="11" t="s">
        <v>7848</v>
      </c>
    </row>
    <row r="2181" spans="1:5">
      <c r="A2181" s="11" t="s">
        <v>7849</v>
      </c>
      <c r="B2181">
        <v>8090022</v>
      </c>
      <c r="D2181" s="11" t="s">
        <v>7850</v>
      </c>
      <c r="E2181" s="11" t="s">
        <v>7851</v>
      </c>
    </row>
    <row r="2182" spans="1:5">
      <c r="A2182" s="11" t="s">
        <v>7852</v>
      </c>
      <c r="B2182">
        <v>8002095</v>
      </c>
      <c r="D2182" s="11" t="s">
        <v>7853</v>
      </c>
      <c r="E2182" s="11" t="s">
        <v>7854</v>
      </c>
    </row>
    <row r="2183" spans="1:5">
      <c r="A2183" s="11" t="s">
        <v>7855</v>
      </c>
      <c r="B2183">
        <v>8002096</v>
      </c>
      <c r="D2183" s="11" t="s">
        <v>7856</v>
      </c>
      <c r="E2183" s="11" t="s">
        <v>7857</v>
      </c>
    </row>
    <row r="2184" spans="1:5">
      <c r="A2184" s="11" t="s">
        <v>7858</v>
      </c>
      <c r="B2184">
        <v>8002097</v>
      </c>
      <c r="D2184" s="11" t="s">
        <v>7859</v>
      </c>
      <c r="E2184" s="11" t="s">
        <v>7860</v>
      </c>
    </row>
    <row r="2185" spans="1:5">
      <c r="A2185" s="11" t="s">
        <v>7861</v>
      </c>
      <c r="B2185">
        <v>8002105</v>
      </c>
      <c r="D2185" s="11" t="s">
        <v>7862</v>
      </c>
      <c r="E2185" s="11" t="s">
        <v>7863</v>
      </c>
    </row>
    <row r="2186" spans="1:5">
      <c r="A2186" s="11" t="s">
        <v>7864</v>
      </c>
      <c r="B2186">
        <v>8002099</v>
      </c>
      <c r="D2186" s="11" t="s">
        <v>7865</v>
      </c>
      <c r="E2186" s="11" t="s">
        <v>7866</v>
      </c>
    </row>
    <row r="2187" spans="1:5">
      <c r="A2187" s="11" t="s">
        <v>7867</v>
      </c>
      <c r="B2187">
        <v>8000111</v>
      </c>
      <c r="D2187" s="11" t="s">
        <v>7868</v>
      </c>
      <c r="E2187" s="11" t="s">
        <v>7869</v>
      </c>
    </row>
    <row r="2188" spans="1:5">
      <c r="A2188" s="11" t="s">
        <v>7870</v>
      </c>
      <c r="B2188">
        <v>8002100</v>
      </c>
      <c r="D2188" s="11" t="s">
        <v>7871</v>
      </c>
      <c r="E2188" s="11" t="s">
        <v>7872</v>
      </c>
    </row>
    <row r="2189" spans="1:5">
      <c r="A2189" s="11" t="s">
        <v>7873</v>
      </c>
      <c r="B2189">
        <v>8002101</v>
      </c>
      <c r="D2189" s="11" t="s">
        <v>7874</v>
      </c>
      <c r="E2189" s="11" t="s">
        <v>7875</v>
      </c>
    </row>
    <row r="2190" spans="1:5">
      <c r="A2190" s="11" t="s">
        <v>7876</v>
      </c>
      <c r="B2190">
        <v>8011574</v>
      </c>
      <c r="D2190" s="11" t="s">
        <v>7877</v>
      </c>
      <c r="E2190" s="11" t="s">
        <v>7878</v>
      </c>
    </row>
    <row r="2191" spans="1:5">
      <c r="A2191" s="11" t="s">
        <v>7879</v>
      </c>
      <c r="B2191">
        <v>8011575</v>
      </c>
      <c r="D2191" s="11" t="s">
        <v>7880</v>
      </c>
      <c r="E2191" s="11" t="s">
        <v>7881</v>
      </c>
    </row>
    <row r="2192" spans="1:5">
      <c r="A2192" s="11" t="s">
        <v>7882</v>
      </c>
      <c r="B2192">
        <v>8011576</v>
      </c>
      <c r="D2192" s="11" t="s">
        <v>7883</v>
      </c>
      <c r="E2192" s="11" t="s">
        <v>7884</v>
      </c>
    </row>
    <row r="2193" spans="1:5">
      <c r="A2193" s="11" t="s">
        <v>7885</v>
      </c>
      <c r="B2193">
        <v>8002102</v>
      </c>
      <c r="D2193" s="11" t="s">
        <v>7886</v>
      </c>
      <c r="E2193" s="11" t="s">
        <v>7887</v>
      </c>
    </row>
    <row r="2194" spans="1:5">
      <c r="A2194" s="11" t="s">
        <v>7888</v>
      </c>
      <c r="B2194">
        <v>8002104</v>
      </c>
      <c r="D2194" s="11" t="s">
        <v>7889</v>
      </c>
      <c r="E2194" s="11" t="s">
        <v>7890</v>
      </c>
    </row>
    <row r="2195" spans="1:5">
      <c r="A2195" s="11" t="s">
        <v>7891</v>
      </c>
      <c r="B2195">
        <v>8011578</v>
      </c>
      <c r="D2195" s="11" t="s">
        <v>7892</v>
      </c>
      <c r="E2195" s="11" t="s">
        <v>7893</v>
      </c>
    </row>
    <row r="2196" spans="1:5">
      <c r="A2196" s="11" t="s">
        <v>7894</v>
      </c>
      <c r="B2196">
        <v>8002108</v>
      </c>
      <c r="D2196" s="11" t="s">
        <v>7895</v>
      </c>
      <c r="E2196" s="11" t="s">
        <v>7896</v>
      </c>
    </row>
    <row r="2197" spans="1:5">
      <c r="A2197" s="11" t="s">
        <v>7897</v>
      </c>
      <c r="B2197">
        <v>8002109</v>
      </c>
      <c r="D2197" s="11" t="s">
        <v>7898</v>
      </c>
      <c r="E2197" s="11" t="s">
        <v>7899</v>
      </c>
    </row>
    <row r="2198" spans="1:5">
      <c r="A2198" s="11" t="s">
        <v>7900</v>
      </c>
      <c r="B2198">
        <v>8079024</v>
      </c>
      <c r="D2198" s="11" t="s">
        <v>7901</v>
      </c>
      <c r="E2198" s="11" t="s">
        <v>7902</v>
      </c>
    </row>
    <row r="2199" spans="1:5">
      <c r="A2199" s="11" t="s">
        <v>7903</v>
      </c>
      <c r="B2199">
        <v>8070112</v>
      </c>
      <c r="D2199" s="11" t="s">
        <v>7904</v>
      </c>
      <c r="E2199" s="11" t="s">
        <v>7905</v>
      </c>
    </row>
    <row r="2200" spans="1:5">
      <c r="A2200" s="11" t="s">
        <v>7906</v>
      </c>
      <c r="B2200">
        <v>8002120</v>
      </c>
      <c r="D2200" s="11" t="s">
        <v>7907</v>
      </c>
      <c r="E2200" s="11" t="s">
        <v>7908</v>
      </c>
    </row>
    <row r="2201" spans="1:5">
      <c r="A2201" s="11" t="s">
        <v>87</v>
      </c>
      <c r="B2201">
        <v>8002110</v>
      </c>
      <c r="D2201" s="11" t="s">
        <v>1165</v>
      </c>
      <c r="E2201" s="11" t="s">
        <v>1166</v>
      </c>
    </row>
    <row r="2202" spans="1:5">
      <c r="A2202" s="11" t="s">
        <v>7909</v>
      </c>
      <c r="B2202">
        <v>8072110</v>
      </c>
      <c r="D2202" s="11" t="s">
        <v>7910</v>
      </c>
      <c r="E2202" s="11" t="s">
        <v>7911</v>
      </c>
    </row>
    <row r="2203" spans="1:5">
      <c r="A2203" s="11" t="s">
        <v>7912</v>
      </c>
      <c r="B2203">
        <v>8002122</v>
      </c>
      <c r="D2203" s="11" t="s">
        <v>7913</v>
      </c>
      <c r="E2203" s="11" t="s">
        <v>7914</v>
      </c>
    </row>
    <row r="2204" spans="1:5">
      <c r="A2204" s="11" t="s">
        <v>7915</v>
      </c>
      <c r="B2204">
        <v>8076131</v>
      </c>
      <c r="D2204" s="11" t="s">
        <v>7916</v>
      </c>
      <c r="E2204" s="11" t="s">
        <v>7917</v>
      </c>
    </row>
    <row r="2205" spans="1:5">
      <c r="A2205" s="11" t="s">
        <v>7918</v>
      </c>
      <c r="B2205">
        <v>8002030</v>
      </c>
      <c r="D2205" s="11" t="s">
        <v>7919</v>
      </c>
      <c r="E2205" s="11" t="s">
        <v>7920</v>
      </c>
    </row>
    <row r="2206" spans="1:5">
      <c r="A2206" s="11" t="s">
        <v>85</v>
      </c>
      <c r="B2206">
        <v>8000112</v>
      </c>
      <c r="D2206" s="11" t="s">
        <v>7921</v>
      </c>
      <c r="E2206" s="11" t="s">
        <v>7922</v>
      </c>
    </row>
    <row r="2207" spans="1:5">
      <c r="A2207" s="11" t="s">
        <v>7923</v>
      </c>
      <c r="B2207">
        <v>8002111</v>
      </c>
      <c r="D2207" s="11" t="s">
        <v>7924</v>
      </c>
      <c r="E2207" s="11" t="s">
        <v>7925</v>
      </c>
    </row>
    <row r="2208" spans="1:5">
      <c r="A2208" s="11" t="s">
        <v>7926</v>
      </c>
      <c r="B2208">
        <v>8003345</v>
      </c>
      <c r="D2208" s="11" t="s">
        <v>7927</v>
      </c>
      <c r="E2208" s="11" t="s">
        <v>7928</v>
      </c>
    </row>
    <row r="2209" spans="1:5">
      <c r="A2209" s="11" t="s">
        <v>7929</v>
      </c>
      <c r="B2209">
        <v>8003850</v>
      </c>
      <c r="D2209" s="11" t="s">
        <v>7930</v>
      </c>
      <c r="E2209" s="11" t="s">
        <v>7931</v>
      </c>
    </row>
    <row r="2210" spans="1:5">
      <c r="A2210" s="11" t="s">
        <v>7932</v>
      </c>
      <c r="B2210">
        <v>8017009</v>
      </c>
      <c r="D2210" s="11" t="s">
        <v>7933</v>
      </c>
      <c r="E2210" s="11" t="s">
        <v>7934</v>
      </c>
    </row>
    <row r="2211" spans="1:5">
      <c r="A2211" s="11" t="s">
        <v>7935</v>
      </c>
      <c r="B2211">
        <v>8011582</v>
      </c>
      <c r="D2211" s="11" t="s">
        <v>7936</v>
      </c>
      <c r="E2211" s="11" t="s">
        <v>7937</v>
      </c>
    </row>
    <row r="2212" spans="1:5">
      <c r="A2212" s="11" t="s">
        <v>7938</v>
      </c>
      <c r="B2212">
        <v>8002114</v>
      </c>
      <c r="D2212" s="11" t="s">
        <v>7939</v>
      </c>
      <c r="E2212" s="11" t="s">
        <v>7940</v>
      </c>
    </row>
    <row r="2213" spans="1:5">
      <c r="A2213" s="11" t="s">
        <v>7941</v>
      </c>
      <c r="B2213">
        <v>8002115</v>
      </c>
      <c r="D2213" s="11" t="s">
        <v>7942</v>
      </c>
      <c r="E2213" s="11" t="s">
        <v>7943</v>
      </c>
    </row>
    <row r="2214" spans="1:5">
      <c r="A2214" s="11" t="s">
        <v>7944</v>
      </c>
      <c r="B2214">
        <v>8002126</v>
      </c>
      <c r="D2214" s="11" t="s">
        <v>7945</v>
      </c>
      <c r="E2214" s="11" t="s">
        <v>7946</v>
      </c>
    </row>
    <row r="2215" spans="1:5">
      <c r="A2215" s="11" t="s">
        <v>7947</v>
      </c>
      <c r="B2215">
        <v>8002116</v>
      </c>
      <c r="D2215" s="11" t="s">
        <v>7948</v>
      </c>
      <c r="E2215" s="11" t="s">
        <v>7949</v>
      </c>
    </row>
    <row r="2216" spans="1:5">
      <c r="A2216" s="11" t="s">
        <v>7950</v>
      </c>
      <c r="B2216">
        <v>8002118</v>
      </c>
      <c r="D2216" s="11" t="s">
        <v>7951</v>
      </c>
      <c r="E2216" s="11" t="s">
        <v>7952</v>
      </c>
    </row>
    <row r="2217" spans="1:5">
      <c r="A2217" s="11" t="s">
        <v>7953</v>
      </c>
      <c r="B2217">
        <v>8002117</v>
      </c>
      <c r="D2217" s="11" t="s">
        <v>7954</v>
      </c>
      <c r="E2217" s="11" t="s">
        <v>7955</v>
      </c>
    </row>
    <row r="2218" spans="1:5">
      <c r="A2218" s="11" t="s">
        <v>7956</v>
      </c>
      <c r="B2218">
        <v>8002132</v>
      </c>
      <c r="D2218" s="11" t="s">
        <v>7957</v>
      </c>
      <c r="E2218" s="11" t="s">
        <v>7958</v>
      </c>
    </row>
    <row r="2219" spans="1:5">
      <c r="A2219" s="11" t="s">
        <v>7959</v>
      </c>
      <c r="B2219">
        <v>8071585</v>
      </c>
      <c r="D2219" s="11" t="s">
        <v>7960</v>
      </c>
      <c r="E2219" s="11" t="s">
        <v>7961</v>
      </c>
    </row>
    <row r="2220" spans="1:5">
      <c r="A2220" s="11" t="s">
        <v>7962</v>
      </c>
      <c r="B2220">
        <v>8011585</v>
      </c>
      <c r="D2220" s="11" t="s">
        <v>7963</v>
      </c>
      <c r="E2220" s="11" t="s">
        <v>7964</v>
      </c>
    </row>
    <row r="2221" spans="1:5">
      <c r="A2221" s="11" t="s">
        <v>7965</v>
      </c>
      <c r="B2221">
        <v>8011586</v>
      </c>
      <c r="D2221" s="11" t="s">
        <v>7966</v>
      </c>
      <c r="E2221" s="11" t="s">
        <v>7967</v>
      </c>
    </row>
    <row r="2222" spans="1:5">
      <c r="A2222" s="11" t="s">
        <v>7968</v>
      </c>
      <c r="B2222">
        <v>8011587</v>
      </c>
      <c r="D2222" s="11" t="s">
        <v>7969</v>
      </c>
      <c r="E2222" s="11" t="s">
        <v>7970</v>
      </c>
    </row>
    <row r="2223" spans="1:5">
      <c r="A2223" s="11" t="s">
        <v>7971</v>
      </c>
      <c r="B2223">
        <v>8002123</v>
      </c>
      <c r="D2223" s="11" t="s">
        <v>7972</v>
      </c>
      <c r="E2223" s="11" t="s">
        <v>7973</v>
      </c>
    </row>
    <row r="2224" spans="1:5">
      <c r="A2224" s="11" t="s">
        <v>7974</v>
      </c>
      <c r="B2224">
        <v>8002127</v>
      </c>
      <c r="D2224" s="11" t="s">
        <v>7975</v>
      </c>
      <c r="E2224" s="11" t="s">
        <v>7976</v>
      </c>
    </row>
    <row r="2225" spans="1:5">
      <c r="A2225" s="11" t="s">
        <v>7977</v>
      </c>
      <c r="B2225">
        <v>8002129</v>
      </c>
      <c r="D2225" s="11" t="s">
        <v>7978</v>
      </c>
      <c r="E2225" s="11" t="s">
        <v>7979</v>
      </c>
    </row>
    <row r="2226" spans="1:5">
      <c r="A2226" s="11" t="s">
        <v>7980</v>
      </c>
      <c r="B2226">
        <v>8011588</v>
      </c>
      <c r="D2226" s="11" t="s">
        <v>7981</v>
      </c>
      <c r="E2226" s="11" t="s">
        <v>7982</v>
      </c>
    </row>
    <row r="2227" spans="1:5">
      <c r="A2227" s="11" t="s">
        <v>7983</v>
      </c>
      <c r="B2227">
        <v>8002133</v>
      </c>
      <c r="D2227" s="11" t="s">
        <v>7984</v>
      </c>
      <c r="E2227" s="11" t="s">
        <v>7985</v>
      </c>
    </row>
    <row r="2228" spans="1:5">
      <c r="A2228" s="11" t="s">
        <v>7986</v>
      </c>
      <c r="B2228">
        <v>8000113</v>
      </c>
      <c r="D2228" s="11" t="s">
        <v>7987</v>
      </c>
      <c r="E2228" s="11" t="s">
        <v>7988</v>
      </c>
    </row>
    <row r="2229" spans="1:5">
      <c r="A2229" s="11" t="s">
        <v>7989</v>
      </c>
      <c r="B2229">
        <v>8002130</v>
      </c>
      <c r="D2229" s="11" t="s">
        <v>7990</v>
      </c>
      <c r="E2229" s="11" t="s">
        <v>7991</v>
      </c>
    </row>
    <row r="2230" spans="1:5">
      <c r="A2230" s="11" t="s">
        <v>7992</v>
      </c>
      <c r="B2230">
        <v>8002134</v>
      </c>
      <c r="D2230" s="11" t="s">
        <v>7993</v>
      </c>
      <c r="E2230" s="11" t="s">
        <v>7994</v>
      </c>
    </row>
    <row r="2231" spans="1:5">
      <c r="A2231" s="11" t="s">
        <v>7995</v>
      </c>
      <c r="B2231">
        <v>8010119</v>
      </c>
      <c r="D2231" s="11" t="s">
        <v>7996</v>
      </c>
      <c r="E2231" s="11" t="s">
        <v>7997</v>
      </c>
    </row>
    <row r="2232" spans="1:5">
      <c r="A2232" s="11" t="s">
        <v>7998</v>
      </c>
      <c r="B2232">
        <v>8010118</v>
      </c>
      <c r="D2232" s="11" t="s">
        <v>7999</v>
      </c>
      <c r="E2232" s="11" t="s">
        <v>8000</v>
      </c>
    </row>
    <row r="2233" spans="1:5">
      <c r="A2233" s="11" t="s">
        <v>8001</v>
      </c>
      <c r="B2233">
        <v>8000115</v>
      </c>
      <c r="D2233" s="11" t="s">
        <v>8002</v>
      </c>
      <c r="E2233" s="11" t="s">
        <v>8003</v>
      </c>
    </row>
    <row r="2234" spans="1:5">
      <c r="A2234" s="11" t="s">
        <v>8004</v>
      </c>
      <c r="B2234">
        <v>8003053</v>
      </c>
      <c r="D2234" s="11" t="s">
        <v>8005</v>
      </c>
      <c r="E2234" s="11" t="s">
        <v>8006</v>
      </c>
    </row>
    <row r="2235" spans="1:5">
      <c r="A2235" s="11" t="s">
        <v>8007</v>
      </c>
      <c r="B2235">
        <v>8002137</v>
      </c>
      <c r="D2235" s="11" t="s">
        <v>8008</v>
      </c>
      <c r="E2235" s="11" t="s">
        <v>8009</v>
      </c>
    </row>
    <row r="2236" spans="1:5">
      <c r="A2236" s="11" t="s">
        <v>8010</v>
      </c>
      <c r="B2236">
        <v>8071347</v>
      </c>
      <c r="D2236" s="11" t="s">
        <v>8011</v>
      </c>
      <c r="E2236" s="11" t="s">
        <v>8012</v>
      </c>
    </row>
    <row r="2237" spans="1:5">
      <c r="A2237" s="11" t="s">
        <v>8013</v>
      </c>
      <c r="B2237">
        <v>8007005</v>
      </c>
      <c r="D2237" s="11" t="s">
        <v>8014</v>
      </c>
      <c r="E2237" s="11" t="s">
        <v>8015</v>
      </c>
    </row>
    <row r="2238" spans="1:5">
      <c r="A2238" s="11" t="s">
        <v>8016</v>
      </c>
      <c r="B2238">
        <v>8010399</v>
      </c>
      <c r="D2238" s="11" t="s">
        <v>8017</v>
      </c>
      <c r="E2238" s="11" t="s">
        <v>8018</v>
      </c>
    </row>
    <row r="2239" spans="1:5">
      <c r="A2239" s="11" t="s">
        <v>8019</v>
      </c>
      <c r="B2239">
        <v>8070809</v>
      </c>
      <c r="D2239" s="11" t="s">
        <v>8020</v>
      </c>
      <c r="E2239" s="11" t="s">
        <v>8021</v>
      </c>
    </row>
    <row r="2240" spans="1:5">
      <c r="A2240" s="11" t="s">
        <v>8022</v>
      </c>
      <c r="B2240">
        <v>8002141</v>
      </c>
      <c r="D2240" s="11" t="s">
        <v>8023</v>
      </c>
      <c r="E2240" s="11" t="s">
        <v>8024</v>
      </c>
    </row>
    <row r="2241" spans="1:5">
      <c r="A2241" s="11" t="s">
        <v>8025</v>
      </c>
      <c r="B2241">
        <v>8002145</v>
      </c>
      <c r="D2241" s="11" t="s">
        <v>8026</v>
      </c>
      <c r="E2241" s="11" t="s">
        <v>8027</v>
      </c>
    </row>
    <row r="2242" spans="1:5">
      <c r="A2242" s="11" t="s">
        <v>8028</v>
      </c>
      <c r="B2242">
        <v>8011591</v>
      </c>
      <c r="D2242" s="11" t="s">
        <v>8029</v>
      </c>
      <c r="E2242" s="11" t="s">
        <v>8030</v>
      </c>
    </row>
    <row r="2243" spans="1:5">
      <c r="A2243" s="11" t="s">
        <v>8031</v>
      </c>
      <c r="B2243">
        <v>8010120</v>
      </c>
      <c r="D2243" s="11" t="s">
        <v>8032</v>
      </c>
      <c r="E2243" s="11" t="s">
        <v>8033</v>
      </c>
    </row>
    <row r="2244" spans="1:5">
      <c r="A2244" s="11" t="s">
        <v>8034</v>
      </c>
      <c r="B2244">
        <v>8002146</v>
      </c>
      <c r="D2244" s="11" t="s">
        <v>8035</v>
      </c>
      <c r="E2244" s="11" t="s">
        <v>8036</v>
      </c>
    </row>
    <row r="2245" spans="1:5">
      <c r="A2245" s="11" t="s">
        <v>8037</v>
      </c>
      <c r="B2245">
        <v>8071456</v>
      </c>
      <c r="D2245" s="11" t="s">
        <v>8038</v>
      </c>
      <c r="E2245" s="11" t="s">
        <v>8039</v>
      </c>
    </row>
    <row r="2246" spans="1:5">
      <c r="A2246" s="11" t="s">
        <v>8040</v>
      </c>
      <c r="B2246">
        <v>8002159</v>
      </c>
      <c r="D2246" s="11" t="s">
        <v>8041</v>
      </c>
      <c r="E2246" s="11" t="s">
        <v>8042</v>
      </c>
    </row>
    <row r="2247" spans="1:5">
      <c r="A2247" s="11" t="s">
        <v>8043</v>
      </c>
      <c r="B2247">
        <v>8000003</v>
      </c>
      <c r="D2247" s="11" t="s">
        <v>1539</v>
      </c>
      <c r="E2247" s="11" t="s">
        <v>1539</v>
      </c>
    </row>
    <row r="2248" spans="1:5">
      <c r="A2248" s="11" t="s">
        <v>8044</v>
      </c>
      <c r="B2248">
        <v>8002149</v>
      </c>
      <c r="D2248" s="11" t="s">
        <v>8045</v>
      </c>
      <c r="E2248" s="11" t="s">
        <v>8046</v>
      </c>
    </row>
    <row r="2249" spans="1:5">
      <c r="A2249" s="11" t="s">
        <v>8047</v>
      </c>
      <c r="B2249">
        <v>8002161</v>
      </c>
      <c r="D2249" s="11" t="s">
        <v>8048</v>
      </c>
      <c r="E2249" s="11" t="s">
        <v>8049</v>
      </c>
    </row>
    <row r="2250" spans="1:5">
      <c r="A2250" s="11" t="s">
        <v>8050</v>
      </c>
      <c r="B2250">
        <v>8000114</v>
      </c>
      <c r="D2250" s="11" t="s">
        <v>8051</v>
      </c>
      <c r="E2250" s="11" t="s">
        <v>8052</v>
      </c>
    </row>
    <row r="2251" spans="1:5">
      <c r="A2251" s="11" t="s">
        <v>8053</v>
      </c>
      <c r="B2251">
        <v>8002150</v>
      </c>
      <c r="D2251" s="11" t="s">
        <v>8054</v>
      </c>
      <c r="E2251" s="11" t="s">
        <v>8055</v>
      </c>
    </row>
    <row r="2252" spans="1:5">
      <c r="A2252" s="11" t="s">
        <v>8056</v>
      </c>
      <c r="B2252">
        <v>8002152</v>
      </c>
      <c r="D2252" s="11" t="s">
        <v>8057</v>
      </c>
      <c r="E2252" s="11" t="s">
        <v>8058</v>
      </c>
    </row>
    <row r="2253" spans="1:5">
      <c r="A2253" s="11" t="s">
        <v>8059</v>
      </c>
      <c r="B2253">
        <v>8002153</v>
      </c>
      <c r="D2253" s="11" t="s">
        <v>8060</v>
      </c>
      <c r="E2253" s="11" t="s">
        <v>8061</v>
      </c>
    </row>
    <row r="2254" spans="1:5">
      <c r="A2254" s="11" t="s">
        <v>8062</v>
      </c>
      <c r="B2254">
        <v>8002154</v>
      </c>
      <c r="D2254" s="11" t="s">
        <v>8063</v>
      </c>
      <c r="E2254" s="11" t="s">
        <v>8064</v>
      </c>
    </row>
    <row r="2255" spans="1:5">
      <c r="A2255" s="11" t="s">
        <v>8065</v>
      </c>
      <c r="B2255">
        <v>8002155</v>
      </c>
      <c r="D2255" s="11" t="s">
        <v>8066</v>
      </c>
      <c r="E2255" s="11" t="s">
        <v>8067</v>
      </c>
    </row>
    <row r="2256" spans="1:5">
      <c r="A2256" s="11" t="s">
        <v>8068</v>
      </c>
      <c r="B2256">
        <v>8002156</v>
      </c>
      <c r="D2256" s="11" t="s">
        <v>8069</v>
      </c>
      <c r="E2256" s="11" t="s">
        <v>8070</v>
      </c>
    </row>
    <row r="2257" spans="1:5">
      <c r="A2257" s="11" t="s">
        <v>8071</v>
      </c>
      <c r="B2257">
        <v>8081943</v>
      </c>
      <c r="D2257" s="11" t="s">
        <v>1539</v>
      </c>
      <c r="E2257" s="11" t="s">
        <v>1539</v>
      </c>
    </row>
    <row r="2258" spans="1:5">
      <c r="A2258" s="11" t="s">
        <v>1372</v>
      </c>
      <c r="B2258">
        <v>8081945</v>
      </c>
      <c r="D2258" s="11" t="s">
        <v>1539</v>
      </c>
      <c r="E2258" s="11" t="s">
        <v>1539</v>
      </c>
    </row>
    <row r="2259" spans="1:5">
      <c r="A2259" s="11" t="s">
        <v>8072</v>
      </c>
      <c r="B2259">
        <v>8070394</v>
      </c>
      <c r="D2259" s="11" t="s">
        <v>8073</v>
      </c>
      <c r="E2259" s="11" t="s">
        <v>8074</v>
      </c>
    </row>
    <row r="2260" spans="1:5">
      <c r="A2260" s="11" t="s">
        <v>8075</v>
      </c>
      <c r="B2260">
        <v>8002162</v>
      </c>
      <c r="D2260" s="11" t="s">
        <v>8076</v>
      </c>
      <c r="E2260" s="11" t="s">
        <v>8077</v>
      </c>
    </row>
    <row r="2261" spans="1:5">
      <c r="A2261" s="11" t="s">
        <v>8078</v>
      </c>
      <c r="B2261">
        <v>8011592</v>
      </c>
      <c r="D2261" s="11" t="s">
        <v>8079</v>
      </c>
      <c r="E2261" s="11" t="s">
        <v>8080</v>
      </c>
    </row>
    <row r="2262" spans="1:5">
      <c r="A2262" s="11" t="s">
        <v>8081</v>
      </c>
      <c r="B2262">
        <v>8002167</v>
      </c>
      <c r="D2262" s="11" t="s">
        <v>8082</v>
      </c>
      <c r="E2262" s="11" t="s">
        <v>8083</v>
      </c>
    </row>
    <row r="2263" spans="1:5">
      <c r="A2263" s="11" t="s">
        <v>8084</v>
      </c>
      <c r="B2263">
        <v>8006733</v>
      </c>
      <c r="D2263" s="11" t="s">
        <v>8085</v>
      </c>
      <c r="E2263" s="11" t="s">
        <v>8086</v>
      </c>
    </row>
    <row r="2264" spans="1:5">
      <c r="A2264" s="11" t="s">
        <v>8087</v>
      </c>
      <c r="B2264">
        <v>8079012</v>
      </c>
      <c r="D2264" s="11" t="s">
        <v>8088</v>
      </c>
      <c r="E2264" s="11" t="s">
        <v>8089</v>
      </c>
    </row>
    <row r="2265" spans="1:5">
      <c r="A2265" s="11" t="s">
        <v>8090</v>
      </c>
      <c r="B2265">
        <v>8002168</v>
      </c>
      <c r="D2265" s="11" t="s">
        <v>8091</v>
      </c>
      <c r="E2265" s="11" t="s">
        <v>8092</v>
      </c>
    </row>
    <row r="2266" spans="1:5">
      <c r="A2266" s="11" t="s">
        <v>8093</v>
      </c>
      <c r="B2266">
        <v>8002171</v>
      </c>
      <c r="D2266" s="11" t="s">
        <v>8094</v>
      </c>
      <c r="E2266" s="11" t="s">
        <v>8095</v>
      </c>
    </row>
    <row r="2267" spans="1:5">
      <c r="A2267" s="11" t="s">
        <v>8096</v>
      </c>
      <c r="B2267">
        <v>8002173</v>
      </c>
      <c r="D2267" s="11" t="s">
        <v>8097</v>
      </c>
      <c r="E2267" s="11" t="s">
        <v>8098</v>
      </c>
    </row>
    <row r="2268" spans="1:5">
      <c r="A2268" s="11" t="s">
        <v>8099</v>
      </c>
      <c r="B2268">
        <v>8011593</v>
      </c>
      <c r="D2268" s="11" t="s">
        <v>8100</v>
      </c>
      <c r="E2268" s="11" t="s">
        <v>8101</v>
      </c>
    </row>
    <row r="2269" spans="1:5">
      <c r="A2269" s="11" t="s">
        <v>8102</v>
      </c>
      <c r="B2269">
        <v>8002177</v>
      </c>
      <c r="D2269" s="11" t="s">
        <v>8103</v>
      </c>
      <c r="E2269" s="11" t="s">
        <v>8104</v>
      </c>
    </row>
    <row r="2270" spans="1:5">
      <c r="A2270" s="11" t="s">
        <v>8105</v>
      </c>
      <c r="B2270">
        <v>8007229</v>
      </c>
      <c r="D2270" s="11" t="s">
        <v>8106</v>
      </c>
      <c r="E2270" s="11" t="s">
        <v>8107</v>
      </c>
    </row>
    <row r="2271" spans="1:5">
      <c r="A2271" s="11" t="s">
        <v>8108</v>
      </c>
      <c r="B2271">
        <v>8070382</v>
      </c>
      <c r="D2271" s="11" t="s">
        <v>8109</v>
      </c>
      <c r="E2271" s="11" t="s">
        <v>8110</v>
      </c>
    </row>
    <row r="2272" spans="1:5">
      <c r="A2272" s="11" t="s">
        <v>8111</v>
      </c>
      <c r="B2272">
        <v>8002179</v>
      </c>
      <c r="D2272" s="11" t="s">
        <v>8112</v>
      </c>
      <c r="E2272" s="11" t="s">
        <v>8113</v>
      </c>
    </row>
    <row r="2273" spans="1:5">
      <c r="A2273" s="11" t="s">
        <v>8114</v>
      </c>
      <c r="B2273">
        <v>8011594</v>
      </c>
      <c r="D2273" s="11" t="s">
        <v>8115</v>
      </c>
      <c r="E2273" s="11" t="s">
        <v>8116</v>
      </c>
    </row>
    <row r="2274" spans="1:5">
      <c r="A2274" s="11" t="s">
        <v>8117</v>
      </c>
      <c r="B2274">
        <v>8011595</v>
      </c>
      <c r="D2274" s="11" t="s">
        <v>8118</v>
      </c>
      <c r="E2274" s="11" t="s">
        <v>8119</v>
      </c>
    </row>
    <row r="2275" spans="1:5">
      <c r="A2275" s="11" t="s">
        <v>8120</v>
      </c>
      <c r="B2275">
        <v>8002180</v>
      </c>
      <c r="D2275" s="11" t="s">
        <v>8121</v>
      </c>
      <c r="E2275" s="11" t="s">
        <v>8122</v>
      </c>
    </row>
    <row r="2276" spans="1:5">
      <c r="A2276" s="11" t="s">
        <v>8123</v>
      </c>
      <c r="B2276">
        <v>8002182</v>
      </c>
      <c r="D2276" s="11" t="s">
        <v>8124</v>
      </c>
      <c r="E2276" s="11" t="s">
        <v>8125</v>
      </c>
    </row>
    <row r="2277" spans="1:5">
      <c r="A2277" s="11" t="s">
        <v>8126</v>
      </c>
      <c r="B2277">
        <v>8002184</v>
      </c>
      <c r="D2277" s="11" t="s">
        <v>8127</v>
      </c>
      <c r="E2277" s="11" t="s">
        <v>8128</v>
      </c>
    </row>
    <row r="2278" spans="1:5">
      <c r="A2278" s="11" t="s">
        <v>8129</v>
      </c>
      <c r="B2278">
        <v>8011596</v>
      </c>
      <c r="D2278" s="11" t="s">
        <v>8130</v>
      </c>
      <c r="E2278" s="11" t="s">
        <v>8131</v>
      </c>
    </row>
    <row r="2279" spans="1:5">
      <c r="A2279" s="11" t="s">
        <v>8132</v>
      </c>
      <c r="B2279">
        <v>8002185</v>
      </c>
      <c r="D2279" s="11" t="s">
        <v>8133</v>
      </c>
      <c r="E2279" s="11" t="s">
        <v>8134</v>
      </c>
    </row>
    <row r="2280" spans="1:5">
      <c r="A2280" s="11" t="s">
        <v>8135</v>
      </c>
      <c r="B2280">
        <v>8071060</v>
      </c>
      <c r="D2280" s="11" t="s">
        <v>8136</v>
      </c>
      <c r="E2280" s="11" t="s">
        <v>8137</v>
      </c>
    </row>
    <row r="2281" spans="1:5">
      <c r="A2281" s="11" t="s">
        <v>8138</v>
      </c>
      <c r="B2281">
        <v>8011597</v>
      </c>
      <c r="D2281" s="11" t="s">
        <v>8139</v>
      </c>
      <c r="E2281" s="11" t="s">
        <v>8140</v>
      </c>
    </row>
    <row r="2282" spans="1:5">
      <c r="A2282" s="11" t="s">
        <v>8141</v>
      </c>
      <c r="B2282">
        <v>8002187</v>
      </c>
      <c r="D2282" s="11" t="s">
        <v>8142</v>
      </c>
      <c r="E2282" s="11" t="s">
        <v>8143</v>
      </c>
    </row>
    <row r="2283" spans="1:5">
      <c r="A2283" s="11" t="s">
        <v>8144</v>
      </c>
      <c r="B2283">
        <v>8002188</v>
      </c>
      <c r="D2283" s="11" t="s">
        <v>8145</v>
      </c>
      <c r="E2283" s="11" t="s">
        <v>8146</v>
      </c>
    </row>
    <row r="2284" spans="1:5">
      <c r="A2284" s="11" t="s">
        <v>8147</v>
      </c>
      <c r="B2284">
        <v>8002189</v>
      </c>
      <c r="D2284" s="11" t="s">
        <v>8148</v>
      </c>
      <c r="E2284" s="11" t="s">
        <v>8149</v>
      </c>
    </row>
    <row r="2285" spans="1:5">
      <c r="A2285" s="11" t="s">
        <v>8150</v>
      </c>
      <c r="B2285">
        <v>8002165</v>
      </c>
      <c r="D2285" s="11" t="s">
        <v>8151</v>
      </c>
      <c r="E2285" s="11" t="s">
        <v>8152</v>
      </c>
    </row>
    <row r="2286" spans="1:5">
      <c r="A2286" s="11" t="s">
        <v>8153</v>
      </c>
      <c r="B2286">
        <v>8011599</v>
      </c>
      <c r="D2286" s="11" t="s">
        <v>8154</v>
      </c>
      <c r="E2286" s="11" t="s">
        <v>8155</v>
      </c>
    </row>
    <row r="2287" spans="1:5">
      <c r="A2287" s="11" t="s">
        <v>8156</v>
      </c>
      <c r="B2287">
        <v>8000375</v>
      </c>
      <c r="D2287" s="11" t="s">
        <v>8157</v>
      </c>
      <c r="E2287" s="11" t="s">
        <v>8158</v>
      </c>
    </row>
    <row r="2288" spans="1:5">
      <c r="A2288" s="11" t="s">
        <v>8159</v>
      </c>
      <c r="B2288">
        <v>8002191</v>
      </c>
      <c r="D2288" s="11" t="s">
        <v>8160</v>
      </c>
      <c r="E2288" s="11" t="s">
        <v>8161</v>
      </c>
    </row>
    <row r="2289" spans="1:5">
      <c r="A2289" s="11" t="s">
        <v>8162</v>
      </c>
      <c r="B2289">
        <v>8002195</v>
      </c>
      <c r="D2289" s="11" t="s">
        <v>8163</v>
      </c>
      <c r="E2289" s="11" t="s">
        <v>8164</v>
      </c>
    </row>
    <row r="2290" spans="1:5">
      <c r="A2290" s="11" t="s">
        <v>8165</v>
      </c>
      <c r="B2290">
        <v>8002166</v>
      </c>
      <c r="D2290" s="11" t="s">
        <v>8166</v>
      </c>
      <c r="E2290" s="11" t="s">
        <v>8167</v>
      </c>
    </row>
    <row r="2291" spans="1:5">
      <c r="A2291" s="11" t="s">
        <v>8168</v>
      </c>
      <c r="B2291">
        <v>8002197</v>
      </c>
      <c r="D2291" s="11" t="s">
        <v>8169</v>
      </c>
      <c r="E2291" s="11" t="s">
        <v>8170</v>
      </c>
    </row>
    <row r="2292" spans="1:5">
      <c r="A2292" s="11" t="s">
        <v>8171</v>
      </c>
      <c r="B2292">
        <v>8007227</v>
      </c>
      <c r="D2292" s="11" t="s">
        <v>8172</v>
      </c>
      <c r="E2292" s="11" t="s">
        <v>8173</v>
      </c>
    </row>
    <row r="2293" spans="1:5">
      <c r="A2293" s="11" t="s">
        <v>8174</v>
      </c>
      <c r="B2293">
        <v>8002198</v>
      </c>
      <c r="D2293" s="11" t="s">
        <v>8175</v>
      </c>
      <c r="E2293" s="11" t="s">
        <v>8176</v>
      </c>
    </row>
    <row r="2294" spans="1:5">
      <c r="A2294" s="11" t="s">
        <v>8177</v>
      </c>
      <c r="B2294">
        <v>8011601</v>
      </c>
      <c r="D2294" s="11" t="s">
        <v>8178</v>
      </c>
      <c r="E2294" s="11" t="s">
        <v>8179</v>
      </c>
    </row>
    <row r="2295" spans="1:5">
      <c r="A2295" s="11" t="s">
        <v>8180</v>
      </c>
      <c r="B2295">
        <v>8011602</v>
      </c>
      <c r="D2295" s="11" t="s">
        <v>8181</v>
      </c>
      <c r="E2295" s="11" t="s">
        <v>8182</v>
      </c>
    </row>
    <row r="2296" spans="1:5">
      <c r="A2296" s="11" t="s">
        <v>8183</v>
      </c>
      <c r="B2296">
        <v>8002203</v>
      </c>
      <c r="D2296" s="11" t="s">
        <v>8184</v>
      </c>
      <c r="E2296" s="11" t="s">
        <v>8185</v>
      </c>
    </row>
    <row r="2297" spans="1:5">
      <c r="A2297" s="11" t="s">
        <v>8186</v>
      </c>
      <c r="B2297">
        <v>8007805</v>
      </c>
      <c r="D2297" s="11" t="s">
        <v>8187</v>
      </c>
      <c r="E2297" s="11" t="s">
        <v>8188</v>
      </c>
    </row>
    <row r="2298" spans="1:5">
      <c r="A2298" s="11" t="s">
        <v>8189</v>
      </c>
      <c r="B2298">
        <v>8010121</v>
      </c>
      <c r="D2298" s="11" t="s">
        <v>8190</v>
      </c>
      <c r="E2298" s="11" t="s">
        <v>8191</v>
      </c>
    </row>
    <row r="2299" spans="1:5">
      <c r="A2299" s="11" t="s">
        <v>8192</v>
      </c>
      <c r="B2299">
        <v>8011603</v>
      </c>
      <c r="D2299" s="11" t="s">
        <v>8193</v>
      </c>
      <c r="E2299" s="11" t="s">
        <v>8194</v>
      </c>
    </row>
    <row r="2300" spans="1:5">
      <c r="A2300" s="11" t="s">
        <v>8195</v>
      </c>
      <c r="B2300">
        <v>8002205</v>
      </c>
      <c r="D2300" s="11" t="s">
        <v>8196</v>
      </c>
      <c r="E2300" s="11" t="s">
        <v>8197</v>
      </c>
    </row>
    <row r="2301" spans="1:5">
      <c r="A2301" s="11" t="s">
        <v>1513</v>
      </c>
      <c r="B2301">
        <v>8002206</v>
      </c>
      <c r="D2301" s="11" t="s">
        <v>8198</v>
      </c>
      <c r="E2301" s="11" t="s">
        <v>8199</v>
      </c>
    </row>
    <row r="2302" spans="1:5">
      <c r="A2302" s="11" t="s">
        <v>8200</v>
      </c>
      <c r="B2302">
        <v>8002207</v>
      </c>
      <c r="D2302" s="11" t="s">
        <v>8201</v>
      </c>
      <c r="E2302" s="11" t="s">
        <v>8202</v>
      </c>
    </row>
    <row r="2303" spans="1:5">
      <c r="A2303" s="11" t="s">
        <v>8203</v>
      </c>
      <c r="B2303">
        <v>8002209</v>
      </c>
      <c r="D2303" s="11" t="s">
        <v>8204</v>
      </c>
      <c r="E2303" s="11" t="s">
        <v>8205</v>
      </c>
    </row>
    <row r="2304" spans="1:5">
      <c r="A2304" s="11" t="s">
        <v>8206</v>
      </c>
      <c r="B2304">
        <v>8002210</v>
      </c>
      <c r="D2304" s="11" t="s">
        <v>8207</v>
      </c>
      <c r="E2304" s="11" t="s">
        <v>8208</v>
      </c>
    </row>
    <row r="2305" spans="1:5">
      <c r="A2305" s="11" t="s">
        <v>8209</v>
      </c>
      <c r="B2305">
        <v>8002211</v>
      </c>
      <c r="D2305" s="11" t="s">
        <v>8210</v>
      </c>
      <c r="E2305" s="11" t="s">
        <v>8211</v>
      </c>
    </row>
    <row r="2306" spans="1:5">
      <c r="A2306" s="11" t="s">
        <v>8212</v>
      </c>
      <c r="B2306">
        <v>8002212</v>
      </c>
      <c r="D2306" s="11" t="s">
        <v>8213</v>
      </c>
      <c r="E2306" s="11" t="s">
        <v>8214</v>
      </c>
    </row>
    <row r="2307" spans="1:5">
      <c r="A2307" s="11" t="s">
        <v>8215</v>
      </c>
      <c r="B2307">
        <v>8011609</v>
      </c>
      <c r="D2307" s="11" t="s">
        <v>8216</v>
      </c>
      <c r="E2307" s="11" t="s">
        <v>8217</v>
      </c>
    </row>
    <row r="2308" spans="1:5">
      <c r="A2308" s="11" t="s">
        <v>8218</v>
      </c>
      <c r="B2308">
        <v>8002214</v>
      </c>
      <c r="D2308" s="11" t="s">
        <v>8219</v>
      </c>
      <c r="E2308" s="11" t="s">
        <v>8220</v>
      </c>
    </row>
    <row r="2309" spans="1:5">
      <c r="A2309" s="11" t="s">
        <v>8221</v>
      </c>
      <c r="B2309">
        <v>8002200</v>
      </c>
      <c r="D2309" s="11" t="s">
        <v>8222</v>
      </c>
      <c r="E2309" s="11" t="s">
        <v>8223</v>
      </c>
    </row>
    <row r="2310" spans="1:5">
      <c r="A2310" s="11" t="s">
        <v>8224</v>
      </c>
      <c r="B2310">
        <v>8002204</v>
      </c>
      <c r="D2310" s="11" t="s">
        <v>8225</v>
      </c>
      <c r="E2310" s="11" t="s">
        <v>8226</v>
      </c>
    </row>
    <row r="2311" spans="1:5">
      <c r="A2311" s="11" t="s">
        <v>8227</v>
      </c>
      <c r="B2311">
        <v>8002213</v>
      </c>
      <c r="D2311" s="11" t="s">
        <v>8228</v>
      </c>
      <c r="E2311" s="11" t="s">
        <v>8229</v>
      </c>
    </row>
    <row r="2312" spans="1:5">
      <c r="A2312" s="11" t="s">
        <v>8230</v>
      </c>
      <c r="B2312">
        <v>8002215</v>
      </c>
      <c r="D2312" s="11" t="s">
        <v>8231</v>
      </c>
      <c r="E2312" s="11" t="s">
        <v>8232</v>
      </c>
    </row>
    <row r="2313" spans="1:5">
      <c r="A2313" s="11" t="s">
        <v>8233</v>
      </c>
      <c r="B2313">
        <v>8002218</v>
      </c>
      <c r="D2313" s="11" t="s">
        <v>8234</v>
      </c>
      <c r="E2313" s="11" t="s">
        <v>8235</v>
      </c>
    </row>
    <row r="2314" spans="1:5">
      <c r="A2314" s="11" t="s">
        <v>8236</v>
      </c>
      <c r="B2314">
        <v>8002217</v>
      </c>
      <c r="D2314" s="11" t="s">
        <v>8237</v>
      </c>
      <c r="E2314" s="11" t="s">
        <v>8238</v>
      </c>
    </row>
    <row r="2315" spans="1:5">
      <c r="A2315" s="11" t="s">
        <v>8239</v>
      </c>
      <c r="B2315">
        <v>8002220</v>
      </c>
      <c r="D2315" s="11" t="s">
        <v>8240</v>
      </c>
      <c r="E2315" s="11" t="s">
        <v>8241</v>
      </c>
    </row>
    <row r="2316" spans="1:5">
      <c r="A2316" s="11" t="s">
        <v>8242</v>
      </c>
      <c r="B2316">
        <v>8010122</v>
      </c>
      <c r="D2316" s="11" t="s">
        <v>8243</v>
      </c>
      <c r="E2316" s="11" t="s">
        <v>8244</v>
      </c>
    </row>
    <row r="2317" spans="1:5">
      <c r="A2317" s="11" t="s">
        <v>8245</v>
      </c>
      <c r="B2317">
        <v>8011611</v>
      </c>
      <c r="D2317" s="11" t="s">
        <v>8246</v>
      </c>
      <c r="E2317" s="11" t="s">
        <v>8247</v>
      </c>
    </row>
    <row r="2318" spans="1:5">
      <c r="A2318" s="11" t="s">
        <v>8248</v>
      </c>
      <c r="B2318">
        <v>8002222</v>
      </c>
      <c r="D2318" s="11" t="s">
        <v>8249</v>
      </c>
      <c r="E2318" s="11" t="s">
        <v>8250</v>
      </c>
    </row>
    <row r="2319" spans="1:5">
      <c r="A2319" s="11" t="s">
        <v>8251</v>
      </c>
      <c r="B2319">
        <v>8000117</v>
      </c>
      <c r="D2319" s="11" t="s">
        <v>8252</v>
      </c>
      <c r="E2319" s="11" t="s">
        <v>8253</v>
      </c>
    </row>
    <row r="2320" spans="1:5">
      <c r="A2320" s="11" t="s">
        <v>8254</v>
      </c>
      <c r="B2320">
        <v>8000118</v>
      </c>
      <c r="D2320" s="11" t="s">
        <v>8255</v>
      </c>
      <c r="E2320" s="11" t="s">
        <v>8256</v>
      </c>
    </row>
    <row r="2321" spans="1:5">
      <c r="A2321" s="11" t="s">
        <v>8257</v>
      </c>
      <c r="B2321">
        <v>8002223</v>
      </c>
      <c r="D2321" s="11" t="s">
        <v>8258</v>
      </c>
      <c r="E2321" s="11" t="s">
        <v>8259</v>
      </c>
    </row>
    <row r="2322" spans="1:5">
      <c r="A2322" s="11" t="s">
        <v>8260</v>
      </c>
      <c r="B2322">
        <v>8002224</v>
      </c>
      <c r="D2322" s="11" t="s">
        <v>8261</v>
      </c>
      <c r="E2322" s="11" t="s">
        <v>8262</v>
      </c>
    </row>
    <row r="2323" spans="1:5">
      <c r="A2323" s="11" t="s">
        <v>8263</v>
      </c>
      <c r="B2323">
        <v>8002225</v>
      </c>
      <c r="D2323" s="11" t="s">
        <v>8264</v>
      </c>
      <c r="E2323" s="11" t="s">
        <v>8265</v>
      </c>
    </row>
    <row r="2324" spans="1:5">
      <c r="A2324" s="11" t="s">
        <v>8266</v>
      </c>
      <c r="B2324">
        <v>8002226</v>
      </c>
      <c r="D2324" s="11" t="s">
        <v>8267</v>
      </c>
      <c r="E2324" s="11" t="s">
        <v>8268</v>
      </c>
    </row>
    <row r="2325" spans="1:5">
      <c r="A2325" s="11" t="s">
        <v>8269</v>
      </c>
      <c r="B2325">
        <v>8002227</v>
      </c>
      <c r="D2325" s="11" t="s">
        <v>8270</v>
      </c>
      <c r="E2325" s="11" t="s">
        <v>8271</v>
      </c>
    </row>
    <row r="2326" spans="1:5">
      <c r="A2326" s="11" t="s">
        <v>8272</v>
      </c>
      <c r="B2326">
        <v>8000119</v>
      </c>
      <c r="D2326" s="11" t="s">
        <v>8273</v>
      </c>
      <c r="E2326" s="11" t="s">
        <v>8274</v>
      </c>
    </row>
    <row r="2327" spans="1:5">
      <c r="A2327" s="11" t="s">
        <v>8275</v>
      </c>
      <c r="B2327">
        <v>8002228</v>
      </c>
      <c r="D2327" s="11" t="s">
        <v>8276</v>
      </c>
      <c r="E2327" s="11" t="s">
        <v>8277</v>
      </c>
    </row>
    <row r="2328" spans="1:5">
      <c r="A2328" s="11" t="s">
        <v>8278</v>
      </c>
      <c r="B2328">
        <v>8071001</v>
      </c>
      <c r="D2328" s="11" t="s">
        <v>8279</v>
      </c>
      <c r="E2328" s="11" t="s">
        <v>8280</v>
      </c>
    </row>
    <row r="2329" spans="1:5">
      <c r="A2329" s="11" t="s">
        <v>8281</v>
      </c>
      <c r="B2329">
        <v>8000120</v>
      </c>
      <c r="D2329" s="11" t="s">
        <v>8282</v>
      </c>
      <c r="E2329" s="11" t="s">
        <v>8283</v>
      </c>
    </row>
    <row r="2330" spans="1:5">
      <c r="A2330" s="11" t="s">
        <v>8284</v>
      </c>
      <c r="B2330">
        <v>8002233</v>
      </c>
      <c r="D2330" s="11" t="s">
        <v>8285</v>
      </c>
      <c r="E2330" s="11" t="s">
        <v>8286</v>
      </c>
    </row>
    <row r="2331" spans="1:5">
      <c r="A2331" s="11" t="s">
        <v>8287</v>
      </c>
      <c r="B2331">
        <v>8002234</v>
      </c>
      <c r="D2331" s="11" t="s">
        <v>8288</v>
      </c>
      <c r="E2331" s="11" t="s">
        <v>8289</v>
      </c>
    </row>
    <row r="2332" spans="1:5">
      <c r="A2332" s="11" t="s">
        <v>8290</v>
      </c>
      <c r="B2332">
        <v>8002235</v>
      </c>
      <c r="D2332" s="11" t="s">
        <v>8291</v>
      </c>
      <c r="E2332" s="11" t="s">
        <v>8292</v>
      </c>
    </row>
    <row r="2333" spans="1:5">
      <c r="A2333" s="11" t="s">
        <v>8293</v>
      </c>
      <c r="B2333">
        <v>8002238</v>
      </c>
      <c r="D2333" s="11" t="s">
        <v>8294</v>
      </c>
      <c r="E2333" s="11" t="s">
        <v>8295</v>
      </c>
    </row>
    <row r="2334" spans="1:5">
      <c r="A2334" s="11" t="s">
        <v>8296</v>
      </c>
      <c r="B2334">
        <v>8000121</v>
      </c>
      <c r="D2334" s="11" t="s">
        <v>8297</v>
      </c>
      <c r="E2334" s="11" t="s">
        <v>8298</v>
      </c>
    </row>
    <row r="2335" spans="1:5">
      <c r="A2335" s="11" t="s">
        <v>8299</v>
      </c>
      <c r="B2335">
        <v>8010123</v>
      </c>
      <c r="D2335" s="11" t="s">
        <v>8300</v>
      </c>
      <c r="E2335" s="11" t="s">
        <v>8301</v>
      </c>
    </row>
    <row r="2336" spans="1:5">
      <c r="A2336" s="11" t="s">
        <v>8302</v>
      </c>
      <c r="B2336">
        <v>8002237</v>
      </c>
      <c r="D2336" s="11" t="s">
        <v>8303</v>
      </c>
      <c r="E2336" s="11" t="s">
        <v>8304</v>
      </c>
    </row>
    <row r="2337" spans="1:5">
      <c r="A2337" s="11" t="s">
        <v>8305</v>
      </c>
      <c r="B2337">
        <v>8010125</v>
      </c>
      <c r="D2337" s="11" t="s">
        <v>8306</v>
      </c>
      <c r="E2337" s="11" t="s">
        <v>8307</v>
      </c>
    </row>
    <row r="2338" spans="1:5">
      <c r="A2338" s="11" t="s">
        <v>8308</v>
      </c>
      <c r="B2338">
        <v>8010126</v>
      </c>
      <c r="D2338" s="11" t="s">
        <v>8309</v>
      </c>
      <c r="E2338" s="11" t="s">
        <v>8310</v>
      </c>
    </row>
    <row r="2339" spans="1:5">
      <c r="A2339" s="11" t="s">
        <v>8311</v>
      </c>
      <c r="B2339">
        <v>8011624</v>
      </c>
      <c r="D2339" s="11" t="s">
        <v>8312</v>
      </c>
      <c r="E2339" s="11" t="s">
        <v>8313</v>
      </c>
    </row>
    <row r="2340" spans="1:5">
      <c r="A2340" s="11" t="s">
        <v>8314</v>
      </c>
      <c r="B2340">
        <v>8002240</v>
      </c>
      <c r="D2340" s="11" t="s">
        <v>8315</v>
      </c>
      <c r="E2340" s="11" t="s">
        <v>8316</v>
      </c>
    </row>
    <row r="2341" spans="1:5">
      <c r="A2341" s="11" t="s">
        <v>8317</v>
      </c>
      <c r="B2341">
        <v>8011619</v>
      </c>
      <c r="D2341" s="11" t="s">
        <v>8318</v>
      </c>
      <c r="E2341" s="11" t="s">
        <v>8319</v>
      </c>
    </row>
    <row r="2342" spans="1:5">
      <c r="A2342" s="11" t="s">
        <v>8320</v>
      </c>
      <c r="B2342">
        <v>8011623</v>
      </c>
      <c r="D2342" s="11" t="s">
        <v>8321</v>
      </c>
      <c r="E2342" s="11" t="s">
        <v>8322</v>
      </c>
    </row>
    <row r="2343" spans="1:5">
      <c r="A2343" s="11" t="s">
        <v>8323</v>
      </c>
      <c r="B2343">
        <v>8002242</v>
      </c>
      <c r="D2343" s="11" t="s">
        <v>8324</v>
      </c>
      <c r="E2343" s="11" t="s">
        <v>8325</v>
      </c>
    </row>
    <row r="2344" spans="1:5">
      <c r="A2344" s="11" t="s">
        <v>8326</v>
      </c>
      <c r="B2344">
        <v>8011626</v>
      </c>
      <c r="D2344" s="11" t="s">
        <v>8327</v>
      </c>
      <c r="E2344" s="11" t="s">
        <v>8328</v>
      </c>
    </row>
    <row r="2345" spans="1:5">
      <c r="A2345" s="11" t="s">
        <v>8329</v>
      </c>
      <c r="B2345">
        <v>8002243</v>
      </c>
      <c r="D2345" s="11" t="s">
        <v>8330</v>
      </c>
      <c r="E2345" s="11" t="s">
        <v>8331</v>
      </c>
    </row>
    <row r="2346" spans="1:5">
      <c r="A2346" s="11" t="s">
        <v>8332</v>
      </c>
      <c r="B2346">
        <v>8002244</v>
      </c>
      <c r="D2346" s="11" t="s">
        <v>8333</v>
      </c>
      <c r="E2346" s="11" t="s">
        <v>8334</v>
      </c>
    </row>
    <row r="2347" spans="1:5">
      <c r="A2347" s="11" t="s">
        <v>8335</v>
      </c>
      <c r="B2347">
        <v>8006006</v>
      </c>
      <c r="D2347" s="11" t="s">
        <v>8336</v>
      </c>
      <c r="E2347" s="11" t="s">
        <v>8337</v>
      </c>
    </row>
    <row r="2348" spans="1:5">
      <c r="A2348" s="11" t="s">
        <v>8338</v>
      </c>
      <c r="B2348">
        <v>8000376</v>
      </c>
      <c r="D2348" s="11" t="s">
        <v>8339</v>
      </c>
      <c r="E2348" s="11" t="s">
        <v>8340</v>
      </c>
    </row>
    <row r="2349" spans="1:5">
      <c r="A2349" s="11" t="s">
        <v>8341</v>
      </c>
      <c r="B2349">
        <v>8002239</v>
      </c>
      <c r="D2349" s="11" t="s">
        <v>8342</v>
      </c>
      <c r="E2349" s="11" t="s">
        <v>8343</v>
      </c>
    </row>
    <row r="2350" spans="1:5">
      <c r="A2350" s="11" t="s">
        <v>8344</v>
      </c>
      <c r="B2350">
        <v>8002241</v>
      </c>
      <c r="D2350" s="11" t="s">
        <v>8345</v>
      </c>
      <c r="E2350" s="11" t="s">
        <v>8346</v>
      </c>
    </row>
    <row r="2351" spans="1:5">
      <c r="A2351" s="11" t="s">
        <v>8347</v>
      </c>
      <c r="B2351">
        <v>8002247</v>
      </c>
      <c r="D2351" s="11" t="s">
        <v>8348</v>
      </c>
      <c r="E2351" s="11" t="s">
        <v>8349</v>
      </c>
    </row>
    <row r="2352" spans="1:5">
      <c r="A2352" s="11" t="s">
        <v>8350</v>
      </c>
      <c r="B2352">
        <v>8010127</v>
      </c>
      <c r="D2352" s="11" t="s">
        <v>8351</v>
      </c>
      <c r="E2352" s="11" t="s">
        <v>8352</v>
      </c>
    </row>
    <row r="2353" spans="1:5">
      <c r="A2353" s="11" t="s">
        <v>8353</v>
      </c>
      <c r="B2353">
        <v>8012492</v>
      </c>
      <c r="D2353" s="11" t="s">
        <v>8354</v>
      </c>
      <c r="E2353" s="11" t="s">
        <v>8355</v>
      </c>
    </row>
    <row r="2354" spans="1:5">
      <c r="A2354" s="11" t="s">
        <v>8356</v>
      </c>
      <c r="B2354">
        <v>8002248</v>
      </c>
      <c r="D2354" s="11" t="s">
        <v>8357</v>
      </c>
      <c r="E2354" s="11" t="s">
        <v>8358</v>
      </c>
    </row>
    <row r="2355" spans="1:5">
      <c r="A2355" s="11" t="s">
        <v>8359</v>
      </c>
      <c r="B2355">
        <v>8002250</v>
      </c>
      <c r="D2355" s="11" t="s">
        <v>8360</v>
      </c>
      <c r="E2355" s="11" t="s">
        <v>8361</v>
      </c>
    </row>
    <row r="2356" spans="1:5">
      <c r="A2356" s="11" t="s">
        <v>8362</v>
      </c>
      <c r="B2356">
        <v>8002249</v>
      </c>
      <c r="D2356" s="11" t="s">
        <v>8363</v>
      </c>
      <c r="E2356" s="11" t="s">
        <v>8364</v>
      </c>
    </row>
    <row r="2357" spans="1:5">
      <c r="A2357" s="11" t="s">
        <v>8365</v>
      </c>
      <c r="B2357">
        <v>8002251</v>
      </c>
      <c r="D2357" s="11" t="s">
        <v>8366</v>
      </c>
      <c r="E2357" s="11" t="s">
        <v>8367</v>
      </c>
    </row>
    <row r="2358" spans="1:5">
      <c r="A2358" s="11" t="s">
        <v>8368</v>
      </c>
      <c r="B2358">
        <v>8000123</v>
      </c>
      <c r="D2358" s="11" t="s">
        <v>8369</v>
      </c>
      <c r="E2358" s="11" t="s">
        <v>8370</v>
      </c>
    </row>
    <row r="2359" spans="1:5">
      <c r="A2359" s="11" t="s">
        <v>8371</v>
      </c>
      <c r="B2359">
        <v>8011628</v>
      </c>
      <c r="D2359" s="11" t="s">
        <v>8372</v>
      </c>
      <c r="E2359" s="11" t="s">
        <v>8373</v>
      </c>
    </row>
    <row r="2360" spans="1:5">
      <c r="A2360" s="11" t="s">
        <v>8374</v>
      </c>
      <c r="B2360">
        <v>8002254</v>
      </c>
      <c r="D2360" s="11" t="s">
        <v>8375</v>
      </c>
      <c r="E2360" s="11" t="s">
        <v>8376</v>
      </c>
    </row>
    <row r="2361" spans="1:5">
      <c r="A2361" s="11" t="s">
        <v>8377</v>
      </c>
      <c r="B2361">
        <v>8007075</v>
      </c>
      <c r="D2361" s="11" t="s">
        <v>8378</v>
      </c>
      <c r="E2361" s="11" t="s">
        <v>8379</v>
      </c>
    </row>
    <row r="2362" spans="1:5">
      <c r="A2362" s="11" t="s">
        <v>8380</v>
      </c>
      <c r="B2362">
        <v>8002256</v>
      </c>
      <c r="D2362" s="11" t="s">
        <v>8381</v>
      </c>
      <c r="E2362" s="11" t="s">
        <v>8382</v>
      </c>
    </row>
    <row r="2363" spans="1:5">
      <c r="A2363" s="11" t="s">
        <v>8383</v>
      </c>
      <c r="B2363">
        <v>8011629</v>
      </c>
      <c r="D2363" s="11" t="s">
        <v>8384</v>
      </c>
      <c r="E2363" s="11" t="s">
        <v>8385</v>
      </c>
    </row>
    <row r="2364" spans="1:5">
      <c r="A2364" s="11" t="s">
        <v>8386</v>
      </c>
      <c r="B2364">
        <v>8002259</v>
      </c>
      <c r="D2364" s="11" t="s">
        <v>8387</v>
      </c>
      <c r="E2364" s="11" t="s">
        <v>8388</v>
      </c>
    </row>
    <row r="2365" spans="1:5">
      <c r="A2365" s="11" t="s">
        <v>8389</v>
      </c>
      <c r="B2365">
        <v>8011630</v>
      </c>
      <c r="D2365" s="11" t="s">
        <v>8390</v>
      </c>
      <c r="E2365" s="11" t="s">
        <v>8391</v>
      </c>
    </row>
    <row r="2366" spans="1:5">
      <c r="A2366" s="11" t="s">
        <v>8392</v>
      </c>
      <c r="B2366">
        <v>8002262</v>
      </c>
      <c r="D2366" s="11" t="s">
        <v>8393</v>
      </c>
      <c r="E2366" s="11" t="s">
        <v>8394</v>
      </c>
    </row>
    <row r="2367" spans="1:5">
      <c r="A2367" s="11" t="s">
        <v>8395</v>
      </c>
      <c r="B2367">
        <v>8002263</v>
      </c>
      <c r="D2367" s="11" t="s">
        <v>8396</v>
      </c>
      <c r="E2367" s="11" t="s">
        <v>8397</v>
      </c>
    </row>
    <row r="2368" spans="1:5">
      <c r="A2368" s="11" t="s">
        <v>8398</v>
      </c>
      <c r="B2368">
        <v>8002265</v>
      </c>
      <c r="D2368" s="11" t="s">
        <v>8399</v>
      </c>
      <c r="E2368" s="11" t="s">
        <v>8400</v>
      </c>
    </row>
    <row r="2369" spans="1:5">
      <c r="A2369" s="11" t="s">
        <v>8401</v>
      </c>
      <c r="B2369">
        <v>8002266</v>
      </c>
      <c r="D2369" s="11" t="s">
        <v>8402</v>
      </c>
      <c r="E2369" s="11" t="s">
        <v>8403</v>
      </c>
    </row>
    <row r="2370" spans="1:5">
      <c r="A2370" s="11" t="s">
        <v>8404</v>
      </c>
      <c r="B2370">
        <v>8002267</v>
      </c>
      <c r="D2370" s="11" t="s">
        <v>8405</v>
      </c>
      <c r="E2370" s="11" t="s">
        <v>8406</v>
      </c>
    </row>
    <row r="2371" spans="1:5">
      <c r="A2371" s="11" t="s">
        <v>8407</v>
      </c>
      <c r="B2371">
        <v>8002268</v>
      </c>
      <c r="D2371" s="11" t="s">
        <v>8408</v>
      </c>
      <c r="E2371" s="11" t="s">
        <v>8409</v>
      </c>
    </row>
    <row r="2372" spans="1:5">
      <c r="A2372" s="11" t="s">
        <v>8410</v>
      </c>
      <c r="B2372">
        <v>8071356</v>
      </c>
      <c r="D2372" s="11" t="s">
        <v>8411</v>
      </c>
      <c r="E2372" s="11" t="s">
        <v>8412</v>
      </c>
    </row>
    <row r="2373" spans="1:5">
      <c r="A2373" s="11" t="s">
        <v>8413</v>
      </c>
      <c r="B2373">
        <v>8002509</v>
      </c>
      <c r="D2373" s="11" t="s">
        <v>8414</v>
      </c>
      <c r="E2373" s="11" t="s">
        <v>8415</v>
      </c>
    </row>
    <row r="2374" spans="1:5">
      <c r="A2374" s="11" t="s">
        <v>8416</v>
      </c>
      <c r="B2374">
        <v>8001943</v>
      </c>
      <c r="D2374" s="11" t="s">
        <v>8417</v>
      </c>
      <c r="E2374" s="11" t="s">
        <v>8418</v>
      </c>
    </row>
    <row r="2375" spans="1:5">
      <c r="A2375" s="11" t="s">
        <v>8419</v>
      </c>
      <c r="B2375">
        <v>8002272</v>
      </c>
      <c r="D2375" s="11" t="s">
        <v>8420</v>
      </c>
      <c r="E2375" s="11" t="s">
        <v>8421</v>
      </c>
    </row>
    <row r="2376" spans="1:5">
      <c r="A2376" s="11" t="s">
        <v>8422</v>
      </c>
      <c r="B2376">
        <v>8011632</v>
      </c>
      <c r="D2376" s="11" t="s">
        <v>8423</v>
      </c>
      <c r="E2376" s="11" t="s">
        <v>8424</v>
      </c>
    </row>
    <row r="2377" spans="1:5">
      <c r="A2377" s="11" t="s">
        <v>8425</v>
      </c>
      <c r="B2377">
        <v>8000124</v>
      </c>
      <c r="D2377" s="11" t="s">
        <v>8426</v>
      </c>
      <c r="E2377" s="11" t="s">
        <v>8427</v>
      </c>
    </row>
    <row r="2378" spans="1:5">
      <c r="A2378" s="11" t="s">
        <v>8428</v>
      </c>
      <c r="B2378">
        <v>8071859</v>
      </c>
      <c r="D2378" s="11" t="s">
        <v>8429</v>
      </c>
      <c r="E2378" s="11" t="s">
        <v>8430</v>
      </c>
    </row>
    <row r="2379" spans="1:5">
      <c r="A2379" s="11" t="s">
        <v>8431</v>
      </c>
      <c r="B2379">
        <v>8001826</v>
      </c>
      <c r="D2379" s="11" t="s">
        <v>8432</v>
      </c>
      <c r="E2379" s="11" t="s">
        <v>8433</v>
      </c>
    </row>
    <row r="2380" spans="1:5">
      <c r="A2380" s="11" t="s">
        <v>8434</v>
      </c>
      <c r="B2380">
        <v>8003674</v>
      </c>
      <c r="D2380" s="11" t="s">
        <v>8435</v>
      </c>
      <c r="E2380" s="11" t="s">
        <v>8436</v>
      </c>
    </row>
    <row r="2381" spans="1:5">
      <c r="A2381" s="11" t="s">
        <v>8437</v>
      </c>
      <c r="B2381">
        <v>8002269</v>
      </c>
      <c r="D2381" s="11" t="s">
        <v>8438</v>
      </c>
      <c r="E2381" s="11" t="s">
        <v>8439</v>
      </c>
    </row>
    <row r="2382" spans="1:5">
      <c r="A2382" s="11" t="s">
        <v>8440</v>
      </c>
      <c r="B2382">
        <v>8071837</v>
      </c>
      <c r="D2382" s="11" t="s">
        <v>8441</v>
      </c>
      <c r="E2382" s="11" t="s">
        <v>8442</v>
      </c>
    </row>
    <row r="2383" spans="1:5">
      <c r="A2383" s="11" t="s">
        <v>8443</v>
      </c>
      <c r="B2383">
        <v>8000185</v>
      </c>
      <c r="D2383" s="11" t="s">
        <v>8444</v>
      </c>
      <c r="E2383" s="11" t="s">
        <v>8445</v>
      </c>
    </row>
    <row r="2384" spans="1:5">
      <c r="A2384" s="11" t="s">
        <v>8446</v>
      </c>
      <c r="B2384">
        <v>8002274</v>
      </c>
      <c r="D2384" s="11" t="s">
        <v>8447</v>
      </c>
      <c r="E2384" s="11" t="s">
        <v>8448</v>
      </c>
    </row>
    <row r="2385" spans="1:5">
      <c r="A2385" s="11" t="s">
        <v>8449</v>
      </c>
      <c r="B2385">
        <v>8002275</v>
      </c>
      <c r="D2385" s="11" t="s">
        <v>8450</v>
      </c>
      <c r="E2385" s="11" t="s">
        <v>8451</v>
      </c>
    </row>
    <row r="2386" spans="1:5">
      <c r="A2386" s="11" t="s">
        <v>8452</v>
      </c>
      <c r="B2386">
        <v>8011633</v>
      </c>
      <c r="D2386" s="11" t="s">
        <v>8453</v>
      </c>
      <c r="E2386" s="11" t="s">
        <v>8454</v>
      </c>
    </row>
    <row r="2387" spans="1:5">
      <c r="A2387" s="11" t="s">
        <v>8455</v>
      </c>
      <c r="B2387">
        <v>8002278</v>
      </c>
      <c r="D2387" s="11" t="s">
        <v>8456</v>
      </c>
      <c r="E2387" s="11" t="s">
        <v>8457</v>
      </c>
    </row>
    <row r="2388" spans="1:5">
      <c r="A2388" s="11" t="s">
        <v>8458</v>
      </c>
      <c r="B2388">
        <v>8002280</v>
      </c>
      <c r="D2388" s="11" t="s">
        <v>8459</v>
      </c>
      <c r="E2388" s="11" t="s">
        <v>8460</v>
      </c>
    </row>
    <row r="2389" spans="1:5">
      <c r="A2389" s="11" t="s">
        <v>8461</v>
      </c>
      <c r="B2389">
        <v>8002281</v>
      </c>
      <c r="D2389" s="11" t="s">
        <v>8462</v>
      </c>
      <c r="E2389" s="11" t="s">
        <v>8463</v>
      </c>
    </row>
    <row r="2390" spans="1:5">
      <c r="A2390" s="11" t="s">
        <v>8464</v>
      </c>
      <c r="B2390">
        <v>8002283</v>
      </c>
      <c r="D2390" s="11" t="s">
        <v>8465</v>
      </c>
      <c r="E2390" s="11" t="s">
        <v>8466</v>
      </c>
    </row>
    <row r="2391" spans="1:5">
      <c r="A2391" s="11" t="s">
        <v>8467</v>
      </c>
      <c r="B2391">
        <v>8000125</v>
      </c>
      <c r="D2391" s="11" t="s">
        <v>8468</v>
      </c>
      <c r="E2391" s="11" t="s">
        <v>8469</v>
      </c>
    </row>
    <row r="2392" spans="1:5">
      <c r="A2392" s="11" t="s">
        <v>8470</v>
      </c>
      <c r="B2392">
        <v>8002284</v>
      </c>
      <c r="D2392" s="11" t="s">
        <v>8471</v>
      </c>
      <c r="E2392" s="11" t="s">
        <v>8472</v>
      </c>
    </row>
    <row r="2393" spans="1:5">
      <c r="A2393" s="11" t="s">
        <v>8473</v>
      </c>
      <c r="B2393">
        <v>8002286</v>
      </c>
      <c r="D2393" s="11" t="s">
        <v>8474</v>
      </c>
      <c r="E2393" s="11" t="s">
        <v>8475</v>
      </c>
    </row>
    <row r="2394" spans="1:5">
      <c r="A2394" s="11" t="s">
        <v>8476</v>
      </c>
      <c r="B2394">
        <v>8002287</v>
      </c>
      <c r="D2394" s="11" t="s">
        <v>8477</v>
      </c>
      <c r="E2394" s="11" t="s">
        <v>8478</v>
      </c>
    </row>
    <row r="2395" spans="1:5">
      <c r="A2395" s="11" t="s">
        <v>8479</v>
      </c>
      <c r="B2395">
        <v>8011636</v>
      </c>
      <c r="D2395" s="11" t="s">
        <v>8480</v>
      </c>
      <c r="E2395" s="11" t="s">
        <v>8481</v>
      </c>
    </row>
    <row r="2396" spans="1:5">
      <c r="A2396" s="11" t="s">
        <v>8482</v>
      </c>
      <c r="B2396">
        <v>8011637</v>
      </c>
      <c r="D2396" s="11" t="s">
        <v>8483</v>
      </c>
      <c r="E2396" s="11" t="s">
        <v>8484</v>
      </c>
    </row>
    <row r="2397" spans="1:5">
      <c r="A2397" s="11" t="s">
        <v>8485</v>
      </c>
      <c r="B2397">
        <v>8002288</v>
      </c>
      <c r="D2397" s="11" t="s">
        <v>8486</v>
      </c>
      <c r="E2397" s="11" t="s">
        <v>8487</v>
      </c>
    </row>
    <row r="2398" spans="1:5">
      <c r="A2398" s="11" t="s">
        <v>8488</v>
      </c>
      <c r="B2398">
        <v>8000347</v>
      </c>
      <c r="D2398" s="11" t="s">
        <v>8489</v>
      </c>
      <c r="E2398" s="11" t="s">
        <v>8490</v>
      </c>
    </row>
    <row r="2399" spans="1:5">
      <c r="A2399" s="11" t="s">
        <v>129</v>
      </c>
      <c r="B2399">
        <v>8010129</v>
      </c>
      <c r="D2399" s="11" t="s">
        <v>8491</v>
      </c>
      <c r="E2399" s="11" t="s">
        <v>8492</v>
      </c>
    </row>
    <row r="2400" spans="1:5">
      <c r="A2400" s="11" t="s">
        <v>8493</v>
      </c>
      <c r="B2400">
        <v>8010130</v>
      </c>
      <c r="D2400" s="11" t="s">
        <v>8494</v>
      </c>
      <c r="E2400" s="11" t="s">
        <v>8495</v>
      </c>
    </row>
    <row r="2401" spans="1:5">
      <c r="A2401" s="11" t="s">
        <v>8496</v>
      </c>
      <c r="B2401">
        <v>8011638</v>
      </c>
      <c r="D2401" s="11" t="s">
        <v>8497</v>
      </c>
      <c r="E2401" s="11" t="s">
        <v>8498</v>
      </c>
    </row>
    <row r="2402" spans="1:5">
      <c r="A2402" s="11" t="s">
        <v>8499</v>
      </c>
      <c r="B2402">
        <v>8002290</v>
      </c>
      <c r="D2402" s="11" t="s">
        <v>8500</v>
      </c>
      <c r="E2402" s="11" t="s">
        <v>8501</v>
      </c>
    </row>
    <row r="2403" spans="1:5">
      <c r="A2403" s="11" t="s">
        <v>8502</v>
      </c>
      <c r="B2403">
        <v>8011640</v>
      </c>
      <c r="D2403" s="11" t="s">
        <v>8503</v>
      </c>
      <c r="E2403" s="11" t="s">
        <v>8504</v>
      </c>
    </row>
    <row r="2404" spans="1:5">
      <c r="A2404" s="11" t="s">
        <v>8505</v>
      </c>
      <c r="B2404">
        <v>8070199</v>
      </c>
      <c r="D2404" s="11" t="s">
        <v>8506</v>
      </c>
      <c r="E2404" s="11" t="s">
        <v>8507</v>
      </c>
    </row>
    <row r="2405" spans="1:5">
      <c r="A2405" s="11" t="s">
        <v>8508</v>
      </c>
      <c r="B2405">
        <v>8011641</v>
      </c>
      <c r="D2405" s="11" t="s">
        <v>8509</v>
      </c>
      <c r="E2405" s="11" t="s">
        <v>8510</v>
      </c>
    </row>
    <row r="2406" spans="1:5">
      <c r="A2406" s="11" t="s">
        <v>221</v>
      </c>
      <c r="B2406">
        <v>8011643</v>
      </c>
      <c r="D2406" s="11" t="s">
        <v>223</v>
      </c>
      <c r="E2406" s="11" t="s">
        <v>224</v>
      </c>
    </row>
    <row r="2407" spans="1:5">
      <c r="A2407" s="11" t="s">
        <v>8511</v>
      </c>
      <c r="B2407">
        <v>8002293</v>
      </c>
      <c r="D2407" s="11" t="s">
        <v>8512</v>
      </c>
      <c r="E2407" s="11" t="s">
        <v>8513</v>
      </c>
    </row>
    <row r="2408" spans="1:5">
      <c r="A2408" s="11" t="s">
        <v>8514</v>
      </c>
      <c r="B2408">
        <v>8007631</v>
      </c>
      <c r="D2408" s="11" t="s">
        <v>8515</v>
      </c>
      <c r="E2408" s="11" t="s">
        <v>8516</v>
      </c>
    </row>
    <row r="2409" spans="1:5">
      <c r="A2409" s="11" t="s">
        <v>8517</v>
      </c>
      <c r="B2409">
        <v>8010084</v>
      </c>
      <c r="D2409" s="11" t="s">
        <v>8518</v>
      </c>
      <c r="E2409" s="11" t="s">
        <v>8519</v>
      </c>
    </row>
    <row r="2410" spans="1:5">
      <c r="A2410" s="11" t="s">
        <v>8520</v>
      </c>
      <c r="B2410">
        <v>8071242</v>
      </c>
      <c r="D2410" s="11" t="s">
        <v>8521</v>
      </c>
      <c r="E2410" s="11" t="s">
        <v>8522</v>
      </c>
    </row>
    <row r="2411" spans="1:5">
      <c r="A2411" s="11" t="s">
        <v>8523</v>
      </c>
      <c r="B2411">
        <v>8007114</v>
      </c>
      <c r="D2411" s="11" t="s">
        <v>8524</v>
      </c>
      <c r="E2411" s="11" t="s">
        <v>8525</v>
      </c>
    </row>
    <row r="2412" spans="1:5">
      <c r="A2412" s="11" t="s">
        <v>8526</v>
      </c>
      <c r="B2412">
        <v>8011646</v>
      </c>
      <c r="D2412" s="11" t="s">
        <v>8527</v>
      </c>
      <c r="E2412" s="11" t="s">
        <v>8528</v>
      </c>
    </row>
    <row r="2413" spans="1:5">
      <c r="A2413" s="11" t="s">
        <v>8529</v>
      </c>
      <c r="B2413">
        <v>8079728</v>
      </c>
      <c r="D2413" s="11" t="s">
        <v>8530</v>
      </c>
      <c r="E2413" s="11" t="s">
        <v>8531</v>
      </c>
    </row>
    <row r="2414" spans="1:5">
      <c r="A2414" s="11" t="s">
        <v>8532</v>
      </c>
      <c r="B2414">
        <v>8002301</v>
      </c>
      <c r="D2414" s="11" t="s">
        <v>8533</v>
      </c>
      <c r="E2414" s="11" t="s">
        <v>8534</v>
      </c>
    </row>
    <row r="2415" spans="1:5">
      <c r="A2415" s="11" t="s">
        <v>8535</v>
      </c>
      <c r="B2415">
        <v>8002296</v>
      </c>
      <c r="D2415" s="11" t="s">
        <v>8536</v>
      </c>
      <c r="E2415" s="11" t="s">
        <v>8537</v>
      </c>
    </row>
    <row r="2416" spans="1:5">
      <c r="A2416" s="11" t="s">
        <v>8538</v>
      </c>
      <c r="B2416">
        <v>8007143</v>
      </c>
      <c r="D2416" s="11" t="s">
        <v>8539</v>
      </c>
      <c r="E2416" s="11" t="s">
        <v>8540</v>
      </c>
    </row>
    <row r="2417" spans="1:5">
      <c r="A2417" s="11" t="s">
        <v>8541</v>
      </c>
      <c r="B2417">
        <v>8002300</v>
      </c>
      <c r="D2417" s="11" t="s">
        <v>8542</v>
      </c>
      <c r="E2417" s="11" t="s">
        <v>8543</v>
      </c>
    </row>
    <row r="2418" spans="1:5">
      <c r="A2418" s="11" t="s">
        <v>8544</v>
      </c>
      <c r="B2418">
        <v>8002304</v>
      </c>
      <c r="D2418" s="11" t="s">
        <v>8545</v>
      </c>
      <c r="E2418" s="11" t="s">
        <v>8546</v>
      </c>
    </row>
    <row r="2419" spans="1:5">
      <c r="A2419" s="11" t="s">
        <v>8547</v>
      </c>
      <c r="B2419">
        <v>8011651</v>
      </c>
      <c r="D2419" s="11" t="s">
        <v>8548</v>
      </c>
      <c r="E2419" s="11" t="s">
        <v>8549</v>
      </c>
    </row>
    <row r="2420" spans="1:5">
      <c r="A2420" s="11" t="s">
        <v>8550</v>
      </c>
      <c r="B2420">
        <v>8002319</v>
      </c>
      <c r="D2420" s="11" t="s">
        <v>8551</v>
      </c>
      <c r="E2420" s="11" t="s">
        <v>8552</v>
      </c>
    </row>
    <row r="2421" spans="1:5">
      <c r="A2421" s="11" t="s">
        <v>8553</v>
      </c>
      <c r="B2421">
        <v>8011665</v>
      </c>
      <c r="D2421" s="11" t="s">
        <v>8554</v>
      </c>
      <c r="E2421" s="11" t="s">
        <v>8555</v>
      </c>
    </row>
    <row r="2422" spans="1:5">
      <c r="A2422" s="11" t="s">
        <v>8556</v>
      </c>
      <c r="B2422">
        <v>8005201</v>
      </c>
      <c r="D2422" s="11" t="s">
        <v>8557</v>
      </c>
      <c r="E2422" s="11" t="s">
        <v>8558</v>
      </c>
    </row>
    <row r="2423" spans="1:5">
      <c r="A2423" s="11" t="s">
        <v>8559</v>
      </c>
      <c r="B2423">
        <v>8002320</v>
      </c>
      <c r="D2423" s="11" t="s">
        <v>8560</v>
      </c>
      <c r="E2423" s="11" t="s">
        <v>8561</v>
      </c>
    </row>
    <row r="2424" spans="1:5">
      <c r="A2424" s="11" t="s">
        <v>8562</v>
      </c>
      <c r="B2424">
        <v>8002321</v>
      </c>
      <c r="D2424" s="11" t="s">
        <v>8563</v>
      </c>
      <c r="E2424" s="11" t="s">
        <v>8564</v>
      </c>
    </row>
    <row r="2425" spans="1:5">
      <c r="A2425" s="11" t="s">
        <v>8565</v>
      </c>
      <c r="B2425">
        <v>8000380</v>
      </c>
      <c r="D2425" s="11" t="s">
        <v>8566</v>
      </c>
      <c r="E2425" s="11" t="s">
        <v>8567</v>
      </c>
    </row>
    <row r="2426" spans="1:5">
      <c r="A2426" s="11" t="s">
        <v>8568</v>
      </c>
      <c r="B2426">
        <v>8070257</v>
      </c>
      <c r="D2426" s="11" t="s">
        <v>8569</v>
      </c>
      <c r="E2426" s="11" t="s">
        <v>8570</v>
      </c>
    </row>
    <row r="2427" spans="1:5">
      <c r="A2427" s="11" t="s">
        <v>8571</v>
      </c>
      <c r="B2427">
        <v>8011667</v>
      </c>
      <c r="D2427" s="11" t="s">
        <v>8572</v>
      </c>
      <c r="E2427" s="11" t="s">
        <v>8573</v>
      </c>
    </row>
    <row r="2428" spans="1:5">
      <c r="A2428" s="11" t="s">
        <v>8574</v>
      </c>
      <c r="B2428">
        <v>8013481</v>
      </c>
      <c r="D2428" s="11" t="s">
        <v>8575</v>
      </c>
      <c r="E2428" s="11" t="s">
        <v>8576</v>
      </c>
    </row>
    <row r="2429" spans="1:5">
      <c r="A2429" s="11" t="s">
        <v>8577</v>
      </c>
      <c r="B2429">
        <v>8002307</v>
      </c>
      <c r="D2429" s="11" t="s">
        <v>8578</v>
      </c>
      <c r="E2429" s="11" t="s">
        <v>8579</v>
      </c>
    </row>
    <row r="2430" spans="1:5">
      <c r="A2430" s="11" t="s">
        <v>8580</v>
      </c>
      <c r="B2430">
        <v>8002306</v>
      </c>
      <c r="D2430" s="11" t="s">
        <v>8581</v>
      </c>
      <c r="E2430" s="11" t="s">
        <v>8582</v>
      </c>
    </row>
    <row r="2431" spans="1:5">
      <c r="A2431" s="11" t="s">
        <v>8583</v>
      </c>
      <c r="B2431">
        <v>8011668</v>
      </c>
      <c r="D2431" s="11" t="s">
        <v>8584</v>
      </c>
      <c r="E2431" s="11" t="s">
        <v>8585</v>
      </c>
    </row>
    <row r="2432" spans="1:5">
      <c r="A2432" s="11" t="s">
        <v>8586</v>
      </c>
      <c r="B2432">
        <v>8071040</v>
      </c>
      <c r="D2432" s="11" t="s">
        <v>8587</v>
      </c>
      <c r="E2432" s="11" t="s">
        <v>8588</v>
      </c>
    </row>
    <row r="2433" spans="1:5">
      <c r="A2433" s="11" t="s">
        <v>8589</v>
      </c>
      <c r="B2433">
        <v>8011671</v>
      </c>
      <c r="D2433" s="11" t="s">
        <v>8590</v>
      </c>
      <c r="E2433" s="11" t="s">
        <v>8591</v>
      </c>
    </row>
    <row r="2434" spans="1:5">
      <c r="A2434" s="11" t="s">
        <v>8592</v>
      </c>
      <c r="B2434">
        <v>8011672</v>
      </c>
      <c r="D2434" s="11" t="s">
        <v>8593</v>
      </c>
      <c r="E2434" s="11" t="s">
        <v>8594</v>
      </c>
    </row>
    <row r="2435" spans="1:5">
      <c r="A2435" s="11" t="s">
        <v>8595</v>
      </c>
      <c r="B2435">
        <v>8070400</v>
      </c>
      <c r="D2435" s="11" t="s">
        <v>8596</v>
      </c>
      <c r="E2435" s="11" t="s">
        <v>8597</v>
      </c>
    </row>
    <row r="2436" spans="1:5">
      <c r="A2436" s="11" t="s">
        <v>8598</v>
      </c>
      <c r="B2436">
        <v>8011673</v>
      </c>
      <c r="D2436" s="11" t="s">
        <v>8599</v>
      </c>
      <c r="E2436" s="11" t="s">
        <v>8600</v>
      </c>
    </row>
    <row r="2437" spans="1:5">
      <c r="A2437" s="11" t="s">
        <v>8601</v>
      </c>
      <c r="B2437">
        <v>8071736</v>
      </c>
      <c r="D2437" s="11" t="s">
        <v>8602</v>
      </c>
      <c r="E2437" s="11" t="s">
        <v>8603</v>
      </c>
    </row>
    <row r="2438" spans="1:5">
      <c r="A2438" s="11" t="s">
        <v>8604</v>
      </c>
      <c r="B2438">
        <v>8070011</v>
      </c>
      <c r="D2438" s="11" t="s">
        <v>8605</v>
      </c>
      <c r="E2438" s="11" t="s">
        <v>8606</v>
      </c>
    </row>
    <row r="2439" spans="1:5">
      <c r="A2439" s="11" t="s">
        <v>8607</v>
      </c>
      <c r="B2439">
        <v>8002326</v>
      </c>
      <c r="D2439" s="11" t="s">
        <v>8608</v>
      </c>
      <c r="E2439" s="11" t="s">
        <v>8609</v>
      </c>
    </row>
    <row r="2440" spans="1:5">
      <c r="A2440" s="11" t="s">
        <v>8610</v>
      </c>
      <c r="B2440">
        <v>8000127</v>
      </c>
      <c r="D2440" s="11" t="s">
        <v>8611</v>
      </c>
      <c r="E2440" s="11" t="s">
        <v>8612</v>
      </c>
    </row>
    <row r="2441" spans="1:5">
      <c r="A2441" s="11" t="s">
        <v>8613</v>
      </c>
      <c r="B2441">
        <v>8011654</v>
      </c>
      <c r="D2441" s="11" t="s">
        <v>8614</v>
      </c>
      <c r="E2441" s="11" t="s">
        <v>8615</v>
      </c>
    </row>
    <row r="2442" spans="1:5">
      <c r="A2442" s="11" t="s">
        <v>8616</v>
      </c>
      <c r="B2442">
        <v>8011674</v>
      </c>
      <c r="D2442" s="11" t="s">
        <v>8617</v>
      </c>
      <c r="E2442" s="11" t="s">
        <v>8618</v>
      </c>
    </row>
    <row r="2443" spans="1:5">
      <c r="A2443" s="11" t="s">
        <v>8619</v>
      </c>
      <c r="B2443">
        <v>8010131</v>
      </c>
      <c r="D2443" s="11" t="s">
        <v>8620</v>
      </c>
      <c r="E2443" s="11" t="s">
        <v>8621</v>
      </c>
    </row>
    <row r="2444" spans="1:5">
      <c r="A2444" s="11" t="s">
        <v>8622</v>
      </c>
      <c r="B2444">
        <v>8012869</v>
      </c>
      <c r="D2444" s="11" t="s">
        <v>8623</v>
      </c>
      <c r="E2444" s="11" t="s">
        <v>8624</v>
      </c>
    </row>
    <row r="2445" spans="1:5">
      <c r="A2445" s="11" t="s">
        <v>8625</v>
      </c>
      <c r="B2445">
        <v>8011656</v>
      </c>
      <c r="D2445" s="11" t="s">
        <v>8626</v>
      </c>
      <c r="E2445" s="11" t="s">
        <v>8627</v>
      </c>
    </row>
    <row r="2446" spans="1:5">
      <c r="A2446" s="11" t="s">
        <v>8628</v>
      </c>
      <c r="B2446">
        <v>8011657</v>
      </c>
      <c r="D2446" s="11" t="s">
        <v>8629</v>
      </c>
      <c r="E2446" s="11" t="s">
        <v>8630</v>
      </c>
    </row>
    <row r="2447" spans="1:5">
      <c r="A2447" s="11" t="s">
        <v>8631</v>
      </c>
      <c r="B2447">
        <v>8002312</v>
      </c>
      <c r="D2447" s="11" t="s">
        <v>8632</v>
      </c>
      <c r="E2447" s="11" t="s">
        <v>8633</v>
      </c>
    </row>
    <row r="2448" spans="1:5">
      <c r="A2448" s="11" t="s">
        <v>8634</v>
      </c>
      <c r="B2448">
        <v>8002329</v>
      </c>
      <c r="D2448" s="11" t="s">
        <v>8635</v>
      </c>
      <c r="E2448" s="11" t="s">
        <v>8636</v>
      </c>
    </row>
    <row r="2449" spans="1:5">
      <c r="A2449" s="11" t="s">
        <v>8637</v>
      </c>
      <c r="B2449">
        <v>8071079</v>
      </c>
      <c r="D2449" s="11" t="s">
        <v>8638</v>
      </c>
      <c r="E2449" s="11" t="s">
        <v>8639</v>
      </c>
    </row>
    <row r="2450" spans="1:5">
      <c r="A2450" s="11" t="s">
        <v>1068</v>
      </c>
      <c r="B2450">
        <v>8000130</v>
      </c>
      <c r="D2450" s="11" t="s">
        <v>1070</v>
      </c>
      <c r="E2450" s="11" t="s">
        <v>1071</v>
      </c>
    </row>
    <row r="2451" spans="1:5">
      <c r="A2451" s="11" t="s">
        <v>8640</v>
      </c>
      <c r="B2451">
        <v>8011676</v>
      </c>
      <c r="D2451" s="11" t="s">
        <v>8641</v>
      </c>
      <c r="E2451" s="11" t="s">
        <v>8642</v>
      </c>
    </row>
    <row r="2452" spans="1:5">
      <c r="A2452" s="11" t="s">
        <v>8643</v>
      </c>
      <c r="B2452">
        <v>8002332</v>
      </c>
      <c r="D2452" s="11" t="s">
        <v>8644</v>
      </c>
      <c r="E2452" s="11" t="s">
        <v>8645</v>
      </c>
    </row>
    <row r="2453" spans="1:5">
      <c r="A2453" s="11" t="s">
        <v>8646</v>
      </c>
      <c r="B2453">
        <v>8002333</v>
      </c>
      <c r="D2453" s="11" t="s">
        <v>8647</v>
      </c>
      <c r="E2453" s="11" t="s">
        <v>8648</v>
      </c>
    </row>
    <row r="2454" spans="1:5">
      <c r="A2454" s="11" t="s">
        <v>133</v>
      </c>
      <c r="B2454">
        <v>8010134</v>
      </c>
      <c r="D2454" s="11" t="s">
        <v>8649</v>
      </c>
      <c r="E2454" s="11" t="s">
        <v>8650</v>
      </c>
    </row>
    <row r="2455" spans="1:5">
      <c r="A2455" s="11" t="s">
        <v>884</v>
      </c>
      <c r="B2455">
        <v>8010136</v>
      </c>
      <c r="D2455" s="11" t="s">
        <v>886</v>
      </c>
      <c r="E2455" s="11" t="s">
        <v>887</v>
      </c>
    </row>
    <row r="2456" spans="1:5">
      <c r="A2456" s="11" t="s">
        <v>8651</v>
      </c>
      <c r="B2456">
        <v>8084111</v>
      </c>
      <c r="D2456" s="11" t="s">
        <v>8652</v>
      </c>
      <c r="E2456" s="11" t="s">
        <v>8653</v>
      </c>
    </row>
    <row r="2457" spans="1:5">
      <c r="A2457" s="11" t="s">
        <v>8654</v>
      </c>
      <c r="B2457">
        <v>8081655</v>
      </c>
      <c r="D2457" s="11" t="s">
        <v>8655</v>
      </c>
      <c r="E2457" s="11" t="s">
        <v>8656</v>
      </c>
    </row>
    <row r="2458" spans="1:5">
      <c r="A2458" s="11" t="s">
        <v>8657</v>
      </c>
      <c r="B2458">
        <v>8011678</v>
      </c>
      <c r="D2458" s="11" t="s">
        <v>8658</v>
      </c>
      <c r="E2458" s="11" t="s">
        <v>8659</v>
      </c>
    </row>
    <row r="2459" spans="1:5">
      <c r="A2459" s="11" t="s">
        <v>8660</v>
      </c>
      <c r="B2459">
        <v>8011659</v>
      </c>
      <c r="D2459" s="11" t="s">
        <v>8661</v>
      </c>
      <c r="E2459" s="11" t="s">
        <v>8662</v>
      </c>
    </row>
    <row r="2460" spans="1:5">
      <c r="A2460" s="11" t="s">
        <v>8663</v>
      </c>
      <c r="B2460">
        <v>8087069</v>
      </c>
      <c r="D2460" s="11" t="s">
        <v>8664</v>
      </c>
      <c r="E2460" s="11" t="s">
        <v>8665</v>
      </c>
    </row>
    <row r="2461" spans="1:5">
      <c r="A2461" s="11" t="s">
        <v>8666</v>
      </c>
      <c r="B2461">
        <v>8002334</v>
      </c>
      <c r="D2461" s="11" t="s">
        <v>8667</v>
      </c>
      <c r="E2461" s="11" t="s">
        <v>8668</v>
      </c>
    </row>
    <row r="2462" spans="1:5">
      <c r="A2462" s="11" t="s">
        <v>8669</v>
      </c>
      <c r="B2462">
        <v>8002335</v>
      </c>
      <c r="D2462" s="11" t="s">
        <v>8670</v>
      </c>
      <c r="E2462" s="11" t="s">
        <v>8671</v>
      </c>
    </row>
    <row r="2463" spans="1:5">
      <c r="A2463" s="11" t="s">
        <v>988</v>
      </c>
      <c r="B2463">
        <v>8000128</v>
      </c>
      <c r="D2463" s="11" t="s">
        <v>990</v>
      </c>
      <c r="E2463" s="11" t="s">
        <v>991</v>
      </c>
    </row>
    <row r="2464" spans="1:5">
      <c r="A2464" s="11" t="s">
        <v>8672</v>
      </c>
      <c r="B2464">
        <v>8002337</v>
      </c>
      <c r="D2464" s="11" t="s">
        <v>8673</v>
      </c>
      <c r="E2464" s="11" t="s">
        <v>8674</v>
      </c>
    </row>
    <row r="2465" spans="1:5">
      <c r="A2465" s="11" t="s">
        <v>8675</v>
      </c>
      <c r="B2465">
        <v>8011662</v>
      </c>
      <c r="D2465" s="11" t="s">
        <v>8676</v>
      </c>
      <c r="E2465" s="11" t="s">
        <v>8677</v>
      </c>
    </row>
    <row r="2466" spans="1:5">
      <c r="A2466" s="11" t="s">
        <v>8678</v>
      </c>
      <c r="B2466">
        <v>8012583</v>
      </c>
      <c r="D2466" s="11" t="s">
        <v>8679</v>
      </c>
      <c r="E2466" s="11" t="s">
        <v>8680</v>
      </c>
    </row>
    <row r="2467" spans="1:5">
      <c r="A2467" s="11" t="s">
        <v>8681</v>
      </c>
      <c r="B2467">
        <v>8012584</v>
      </c>
      <c r="D2467" s="11" t="s">
        <v>8682</v>
      </c>
      <c r="E2467" s="11" t="s">
        <v>8683</v>
      </c>
    </row>
    <row r="2468" spans="1:5">
      <c r="A2468" s="11" t="s">
        <v>8684</v>
      </c>
      <c r="B2468">
        <v>8070163</v>
      </c>
      <c r="D2468" s="11" t="s">
        <v>8685</v>
      </c>
      <c r="E2468" s="11" t="s">
        <v>8686</v>
      </c>
    </row>
    <row r="2469" spans="1:5">
      <c r="A2469" s="11" t="s">
        <v>8687</v>
      </c>
      <c r="B2469">
        <v>8079729</v>
      </c>
      <c r="D2469" s="11" t="s">
        <v>8688</v>
      </c>
      <c r="E2469" s="11" t="s">
        <v>8689</v>
      </c>
    </row>
    <row r="2470" spans="1:5">
      <c r="A2470" s="11" t="s">
        <v>8690</v>
      </c>
      <c r="B2470">
        <v>8002346</v>
      </c>
      <c r="D2470" s="11" t="s">
        <v>8691</v>
      </c>
      <c r="E2470" s="11" t="s">
        <v>8692</v>
      </c>
    </row>
    <row r="2471" spans="1:5">
      <c r="A2471" s="11" t="s">
        <v>8693</v>
      </c>
      <c r="B2471">
        <v>8000131</v>
      </c>
      <c r="D2471" s="11" t="s">
        <v>8694</v>
      </c>
      <c r="E2471" s="11" t="s">
        <v>8695</v>
      </c>
    </row>
    <row r="2472" spans="1:5">
      <c r="A2472" s="11" t="s">
        <v>8696</v>
      </c>
      <c r="B2472">
        <v>8002345</v>
      </c>
      <c r="D2472" s="11" t="s">
        <v>8697</v>
      </c>
      <c r="E2472" s="11" t="s">
        <v>8698</v>
      </c>
    </row>
    <row r="2473" spans="1:5">
      <c r="A2473" s="11" t="s">
        <v>8699</v>
      </c>
      <c r="B2473">
        <v>8070888</v>
      </c>
      <c r="D2473" s="11" t="s">
        <v>8700</v>
      </c>
      <c r="E2473" s="11" t="s">
        <v>8701</v>
      </c>
    </row>
    <row r="2474" spans="1:5">
      <c r="A2474" s="11" t="s">
        <v>8702</v>
      </c>
      <c r="B2474">
        <v>8011681</v>
      </c>
      <c r="D2474" s="11" t="s">
        <v>8703</v>
      </c>
      <c r="E2474" s="11" t="s">
        <v>8704</v>
      </c>
    </row>
    <row r="2475" spans="1:5">
      <c r="A2475" s="11" t="s">
        <v>8705</v>
      </c>
      <c r="B2475">
        <v>8002339</v>
      </c>
      <c r="D2475" s="11" t="s">
        <v>8706</v>
      </c>
      <c r="E2475" s="11" t="s">
        <v>8707</v>
      </c>
    </row>
    <row r="2476" spans="1:5">
      <c r="A2476" s="11" t="s">
        <v>8708</v>
      </c>
      <c r="B2476">
        <v>8002343</v>
      </c>
      <c r="D2476" s="11" t="s">
        <v>8709</v>
      </c>
      <c r="E2476" s="11" t="s">
        <v>8710</v>
      </c>
    </row>
    <row r="2477" spans="1:5">
      <c r="A2477" s="11" t="s">
        <v>8711</v>
      </c>
      <c r="B2477">
        <v>8002344</v>
      </c>
      <c r="D2477" s="11" t="s">
        <v>8712</v>
      </c>
      <c r="E2477" s="11" t="s">
        <v>8713</v>
      </c>
    </row>
    <row r="2478" spans="1:5">
      <c r="A2478" s="11" t="s">
        <v>171</v>
      </c>
      <c r="B2478">
        <v>8002340</v>
      </c>
      <c r="D2478" s="11" t="s">
        <v>173</v>
      </c>
      <c r="E2478" s="11" t="s">
        <v>174</v>
      </c>
    </row>
    <row r="2479" spans="1:5">
      <c r="A2479" s="11" t="s">
        <v>8714</v>
      </c>
      <c r="B2479">
        <v>8002341</v>
      </c>
      <c r="D2479" s="11" t="s">
        <v>8715</v>
      </c>
      <c r="E2479" s="11" t="s">
        <v>8716</v>
      </c>
    </row>
    <row r="2480" spans="1:5">
      <c r="A2480" s="11" t="s">
        <v>8717</v>
      </c>
      <c r="B2480">
        <v>8011683</v>
      </c>
      <c r="D2480" s="11" t="s">
        <v>8718</v>
      </c>
      <c r="E2480" s="11" t="s">
        <v>8719</v>
      </c>
    </row>
    <row r="2481" spans="1:5">
      <c r="A2481" s="11" t="s">
        <v>8720</v>
      </c>
      <c r="B2481">
        <v>8010137</v>
      </c>
      <c r="D2481" s="11" t="s">
        <v>8721</v>
      </c>
      <c r="E2481" s="11" t="s">
        <v>8722</v>
      </c>
    </row>
    <row r="2482" spans="1:5">
      <c r="A2482" s="11" t="s">
        <v>8723</v>
      </c>
      <c r="B2482">
        <v>8011685</v>
      </c>
      <c r="D2482" s="11" t="s">
        <v>8724</v>
      </c>
      <c r="E2482" s="11" t="s">
        <v>8725</v>
      </c>
    </row>
    <row r="2483" spans="1:5">
      <c r="A2483" s="11" t="s">
        <v>176</v>
      </c>
      <c r="B2483">
        <v>8011687</v>
      </c>
      <c r="D2483" s="11" t="s">
        <v>178</v>
      </c>
      <c r="E2483" s="11" t="s">
        <v>179</v>
      </c>
    </row>
    <row r="2484" spans="1:5">
      <c r="A2484" s="11" t="s">
        <v>8726</v>
      </c>
      <c r="B2484">
        <v>8007339</v>
      </c>
      <c r="D2484" s="11" t="s">
        <v>8727</v>
      </c>
      <c r="E2484" s="11" t="s">
        <v>8728</v>
      </c>
    </row>
    <row r="2485" spans="1:5">
      <c r="A2485" s="11" t="s">
        <v>8729</v>
      </c>
      <c r="B2485">
        <v>8002347</v>
      </c>
      <c r="D2485" s="11" t="s">
        <v>8730</v>
      </c>
      <c r="E2485" s="11" t="s">
        <v>8731</v>
      </c>
    </row>
    <row r="2486" spans="1:5">
      <c r="A2486" s="11" t="s">
        <v>8732</v>
      </c>
      <c r="B2486">
        <v>8002348</v>
      </c>
      <c r="D2486" s="11" t="s">
        <v>8733</v>
      </c>
      <c r="E2486" s="11" t="s">
        <v>8734</v>
      </c>
    </row>
    <row r="2487" spans="1:5">
      <c r="A2487" s="11" t="s">
        <v>8735</v>
      </c>
      <c r="B2487">
        <v>8002349</v>
      </c>
      <c r="D2487" s="11" t="s">
        <v>8736</v>
      </c>
      <c r="E2487" s="11" t="s">
        <v>8737</v>
      </c>
    </row>
    <row r="2488" spans="1:5">
      <c r="A2488" s="11" t="s">
        <v>8738</v>
      </c>
      <c r="B2488">
        <v>8002351</v>
      </c>
      <c r="D2488" s="11" t="s">
        <v>8739</v>
      </c>
      <c r="E2488" s="11" t="s">
        <v>8740</v>
      </c>
    </row>
    <row r="2489" spans="1:5">
      <c r="A2489" s="11" t="s">
        <v>8741</v>
      </c>
      <c r="B2489">
        <v>8071706</v>
      </c>
      <c r="D2489" s="11" t="s">
        <v>8742</v>
      </c>
      <c r="E2489" s="11" t="s">
        <v>8743</v>
      </c>
    </row>
    <row r="2490" spans="1:5">
      <c r="A2490" s="11" t="s">
        <v>8744</v>
      </c>
      <c r="B2490">
        <v>8011689</v>
      </c>
      <c r="D2490" s="11" t="s">
        <v>8745</v>
      </c>
      <c r="E2490" s="11" t="s">
        <v>8746</v>
      </c>
    </row>
    <row r="2491" spans="1:5">
      <c r="A2491" s="11" t="s">
        <v>8747</v>
      </c>
      <c r="B2491">
        <v>8089123</v>
      </c>
      <c r="D2491" s="11" t="s">
        <v>1539</v>
      </c>
      <c r="E2491" s="11" t="s">
        <v>1539</v>
      </c>
    </row>
    <row r="2492" spans="1:5">
      <c r="A2492" s="11" t="s">
        <v>8748</v>
      </c>
      <c r="B2492">
        <v>8011691</v>
      </c>
      <c r="D2492" s="11" t="s">
        <v>8749</v>
      </c>
      <c r="E2492" s="11" t="s">
        <v>8750</v>
      </c>
    </row>
    <row r="2493" spans="1:5">
      <c r="A2493" s="11" t="s">
        <v>8751</v>
      </c>
      <c r="B2493">
        <v>8079851</v>
      </c>
      <c r="D2493" s="11" t="s">
        <v>8752</v>
      </c>
      <c r="E2493" s="11" t="s">
        <v>8753</v>
      </c>
    </row>
    <row r="2494" spans="1:5">
      <c r="A2494" s="11" t="s">
        <v>8754</v>
      </c>
      <c r="B2494">
        <v>8070660</v>
      </c>
      <c r="D2494" s="11" t="s">
        <v>8755</v>
      </c>
      <c r="E2494" s="11" t="s">
        <v>8756</v>
      </c>
    </row>
    <row r="2495" spans="1:5">
      <c r="A2495" s="11" t="s">
        <v>8757</v>
      </c>
      <c r="B2495">
        <v>8002342</v>
      </c>
      <c r="D2495" s="11" t="s">
        <v>8758</v>
      </c>
      <c r="E2495" s="11" t="s">
        <v>8759</v>
      </c>
    </row>
    <row r="2496" spans="1:5">
      <c r="A2496" s="11" t="s">
        <v>8760</v>
      </c>
      <c r="B2496">
        <v>8071348</v>
      </c>
      <c r="D2496" s="11" t="s">
        <v>8761</v>
      </c>
      <c r="E2496" s="11" t="s">
        <v>8762</v>
      </c>
    </row>
    <row r="2497" spans="1:5">
      <c r="A2497" s="11" t="s">
        <v>8763</v>
      </c>
      <c r="B2497">
        <v>8000132</v>
      </c>
      <c r="D2497" s="11" t="s">
        <v>8764</v>
      </c>
      <c r="E2497" s="11" t="s">
        <v>8765</v>
      </c>
    </row>
    <row r="2498" spans="1:5">
      <c r="A2498" s="11" t="s">
        <v>8766</v>
      </c>
      <c r="B2498">
        <v>8002358</v>
      </c>
      <c r="D2498" s="11" t="s">
        <v>8767</v>
      </c>
      <c r="E2498" s="11" t="s">
        <v>8768</v>
      </c>
    </row>
    <row r="2499" spans="1:5">
      <c r="A2499" s="11" t="s">
        <v>8769</v>
      </c>
      <c r="B2499">
        <v>8010139</v>
      </c>
      <c r="D2499" s="11" t="s">
        <v>8770</v>
      </c>
      <c r="E2499" s="11" t="s">
        <v>8771</v>
      </c>
    </row>
    <row r="2500" spans="1:5">
      <c r="A2500" s="11" t="s">
        <v>8772</v>
      </c>
      <c r="B2500">
        <v>8011694</v>
      </c>
      <c r="D2500" s="11" t="s">
        <v>8773</v>
      </c>
      <c r="E2500" s="11" t="s">
        <v>8774</v>
      </c>
    </row>
    <row r="2501" spans="1:5">
      <c r="A2501" s="11" t="s">
        <v>8775</v>
      </c>
      <c r="B2501">
        <v>8070125</v>
      </c>
      <c r="D2501" s="11" t="s">
        <v>8776</v>
      </c>
      <c r="E2501" s="11" t="s">
        <v>8777</v>
      </c>
    </row>
    <row r="2502" spans="1:5">
      <c r="A2502" s="11" t="s">
        <v>8778</v>
      </c>
      <c r="B2502">
        <v>8070114</v>
      </c>
      <c r="D2502" s="11" t="s">
        <v>8779</v>
      </c>
      <c r="E2502" s="11" t="s">
        <v>8780</v>
      </c>
    </row>
    <row r="2503" spans="1:5">
      <c r="A2503" s="11" t="s">
        <v>8781</v>
      </c>
      <c r="B2503">
        <v>8010140</v>
      </c>
      <c r="D2503" s="11" t="s">
        <v>8782</v>
      </c>
      <c r="E2503" s="11" t="s">
        <v>8783</v>
      </c>
    </row>
    <row r="2504" spans="1:5">
      <c r="A2504" s="11" t="s">
        <v>8784</v>
      </c>
      <c r="B2504">
        <v>8011697</v>
      </c>
      <c r="D2504" s="11" t="s">
        <v>8785</v>
      </c>
      <c r="E2504" s="11" t="s">
        <v>8786</v>
      </c>
    </row>
    <row r="2505" spans="1:5">
      <c r="A2505" s="11" t="s">
        <v>8787</v>
      </c>
      <c r="B2505">
        <v>8002365</v>
      </c>
      <c r="D2505" s="11" t="s">
        <v>8788</v>
      </c>
      <c r="E2505" s="11" t="s">
        <v>8789</v>
      </c>
    </row>
    <row r="2506" spans="1:5">
      <c r="A2506" s="11" t="s">
        <v>8790</v>
      </c>
      <c r="B2506">
        <v>8011699</v>
      </c>
      <c r="D2506" s="11" t="s">
        <v>8791</v>
      </c>
      <c r="E2506" s="11" t="s">
        <v>8792</v>
      </c>
    </row>
    <row r="2507" spans="1:5">
      <c r="A2507" s="11" t="s">
        <v>8793</v>
      </c>
      <c r="B2507">
        <v>8011700</v>
      </c>
      <c r="D2507" s="11" t="s">
        <v>8794</v>
      </c>
      <c r="E2507" s="11" t="s">
        <v>8795</v>
      </c>
    </row>
    <row r="2508" spans="1:5">
      <c r="A2508" s="11" t="s">
        <v>8796</v>
      </c>
      <c r="B2508">
        <v>8002369</v>
      </c>
      <c r="D2508" s="11" t="s">
        <v>8797</v>
      </c>
      <c r="E2508" s="11" t="s">
        <v>8798</v>
      </c>
    </row>
    <row r="2509" spans="1:5">
      <c r="A2509" s="11" t="s">
        <v>8799</v>
      </c>
      <c r="B2509">
        <v>8000133</v>
      </c>
      <c r="D2509" s="11" t="s">
        <v>8800</v>
      </c>
      <c r="E2509" s="11" t="s">
        <v>8801</v>
      </c>
    </row>
    <row r="2510" spans="1:5">
      <c r="A2510" s="11" t="s">
        <v>8802</v>
      </c>
      <c r="B2510">
        <v>8010141</v>
      </c>
      <c r="D2510" s="11" t="s">
        <v>8803</v>
      </c>
      <c r="E2510" s="11" t="s">
        <v>8804</v>
      </c>
    </row>
    <row r="2511" spans="1:5">
      <c r="A2511" s="11" t="s">
        <v>8805</v>
      </c>
      <c r="B2511">
        <v>8011702</v>
      </c>
      <c r="D2511" s="11" t="s">
        <v>8806</v>
      </c>
      <c r="E2511" s="11" t="s">
        <v>8807</v>
      </c>
    </row>
    <row r="2512" spans="1:5">
      <c r="A2512" s="11" t="s">
        <v>8808</v>
      </c>
      <c r="B2512">
        <v>8011703</v>
      </c>
      <c r="D2512" s="11" t="s">
        <v>8809</v>
      </c>
      <c r="E2512" s="11" t="s">
        <v>8810</v>
      </c>
    </row>
    <row r="2513" spans="1:5">
      <c r="A2513" s="11" t="s">
        <v>8811</v>
      </c>
      <c r="B2513">
        <v>8071641</v>
      </c>
      <c r="D2513" s="11" t="s">
        <v>8812</v>
      </c>
      <c r="E2513" s="11" t="s">
        <v>8813</v>
      </c>
    </row>
    <row r="2514" spans="1:5">
      <c r="A2514" s="11" t="s">
        <v>8814</v>
      </c>
      <c r="B2514">
        <v>8070405</v>
      </c>
      <c r="D2514" s="11" t="s">
        <v>8815</v>
      </c>
      <c r="E2514" s="11" t="s">
        <v>8816</v>
      </c>
    </row>
    <row r="2515" spans="1:5">
      <c r="A2515" s="11" t="s">
        <v>8817</v>
      </c>
      <c r="B2515">
        <v>8084070</v>
      </c>
      <c r="D2515" s="11" t="s">
        <v>8818</v>
      </c>
      <c r="E2515" s="11" t="s">
        <v>8819</v>
      </c>
    </row>
    <row r="2516" spans="1:5">
      <c r="A2516" s="11" t="s">
        <v>8820</v>
      </c>
      <c r="B2516">
        <v>8017041</v>
      </c>
      <c r="D2516" s="11" t="s">
        <v>8821</v>
      </c>
      <c r="E2516" s="11" t="s">
        <v>8822</v>
      </c>
    </row>
    <row r="2517" spans="1:5">
      <c r="A2517" s="11" t="s">
        <v>8823</v>
      </c>
      <c r="B2517">
        <v>8002373</v>
      </c>
      <c r="D2517" s="11" t="s">
        <v>8824</v>
      </c>
      <c r="E2517" s="11" t="s">
        <v>8825</v>
      </c>
    </row>
    <row r="2518" spans="1:5">
      <c r="A2518" s="11" t="s">
        <v>8826</v>
      </c>
      <c r="B2518">
        <v>8011705</v>
      </c>
      <c r="D2518" s="11" t="s">
        <v>8827</v>
      </c>
      <c r="E2518" s="11" t="s">
        <v>8828</v>
      </c>
    </row>
    <row r="2519" spans="1:5">
      <c r="A2519" s="11" t="s">
        <v>8829</v>
      </c>
      <c r="B2519">
        <v>8070406</v>
      </c>
      <c r="D2519" s="11" t="s">
        <v>8830</v>
      </c>
      <c r="E2519" s="11" t="s">
        <v>8831</v>
      </c>
    </row>
    <row r="2520" spans="1:5">
      <c r="A2520" s="11" t="s">
        <v>8832</v>
      </c>
      <c r="B2520">
        <v>8011707</v>
      </c>
      <c r="D2520" s="11" t="s">
        <v>8833</v>
      </c>
      <c r="E2520" s="11" t="s">
        <v>8834</v>
      </c>
    </row>
    <row r="2521" spans="1:5">
      <c r="A2521" s="11" t="s">
        <v>8835</v>
      </c>
      <c r="B2521">
        <v>8010142</v>
      </c>
      <c r="D2521" s="11" t="s">
        <v>8836</v>
      </c>
      <c r="E2521" s="11" t="s">
        <v>8837</v>
      </c>
    </row>
    <row r="2522" spans="1:5">
      <c r="A2522" s="11" t="s">
        <v>8838</v>
      </c>
      <c r="B2522">
        <v>8011709</v>
      </c>
      <c r="D2522" s="11" t="s">
        <v>8839</v>
      </c>
      <c r="E2522" s="11" t="s">
        <v>8840</v>
      </c>
    </row>
    <row r="2523" spans="1:5">
      <c r="A2523" s="11" t="s">
        <v>8841</v>
      </c>
      <c r="B2523">
        <v>8002377</v>
      </c>
      <c r="D2523" s="11" t="s">
        <v>8842</v>
      </c>
      <c r="E2523" s="11" t="s">
        <v>8843</v>
      </c>
    </row>
    <row r="2524" spans="1:5">
      <c r="A2524" s="11" t="s">
        <v>8844</v>
      </c>
      <c r="B2524">
        <v>8011711</v>
      </c>
      <c r="D2524" s="11" t="s">
        <v>8845</v>
      </c>
      <c r="E2524" s="11" t="s">
        <v>8846</v>
      </c>
    </row>
    <row r="2525" spans="1:5">
      <c r="A2525" s="11" t="s">
        <v>8847</v>
      </c>
      <c r="B2525">
        <v>8071113</v>
      </c>
      <c r="D2525" s="11" t="s">
        <v>8848</v>
      </c>
      <c r="E2525" s="11" t="s">
        <v>8849</v>
      </c>
    </row>
    <row r="2526" spans="1:5">
      <c r="A2526" s="11" t="s">
        <v>8850</v>
      </c>
      <c r="B2526">
        <v>8011712</v>
      </c>
      <c r="D2526" s="11" t="s">
        <v>8851</v>
      </c>
      <c r="E2526" s="11" t="s">
        <v>8852</v>
      </c>
    </row>
    <row r="2527" spans="1:5">
      <c r="A2527" s="11" t="s">
        <v>8853</v>
      </c>
      <c r="B2527">
        <v>8002380</v>
      </c>
      <c r="D2527" s="11" t="s">
        <v>8854</v>
      </c>
      <c r="E2527" s="11" t="s">
        <v>8855</v>
      </c>
    </row>
    <row r="2528" spans="1:5">
      <c r="A2528" s="11" t="s">
        <v>8856</v>
      </c>
      <c r="B2528">
        <v>8000382</v>
      </c>
      <c r="D2528" s="11" t="s">
        <v>8857</v>
      </c>
      <c r="E2528" s="11" t="s">
        <v>8858</v>
      </c>
    </row>
    <row r="2529" spans="1:5">
      <c r="A2529" s="11" t="s">
        <v>8859</v>
      </c>
      <c r="B2529">
        <v>8080132</v>
      </c>
      <c r="D2529" s="11" t="s">
        <v>8860</v>
      </c>
      <c r="E2529" s="11" t="s">
        <v>8861</v>
      </c>
    </row>
    <row r="2530" spans="1:5">
      <c r="A2530" s="11" t="s">
        <v>8862</v>
      </c>
      <c r="B2530">
        <v>8002383</v>
      </c>
      <c r="D2530" s="11" t="s">
        <v>8863</v>
      </c>
      <c r="E2530" s="11" t="s">
        <v>8864</v>
      </c>
    </row>
    <row r="2531" spans="1:5">
      <c r="A2531" s="11" t="s">
        <v>8865</v>
      </c>
      <c r="B2531">
        <v>8011714</v>
      </c>
      <c r="D2531" s="11" t="s">
        <v>8866</v>
      </c>
      <c r="E2531" s="11" t="s">
        <v>8867</v>
      </c>
    </row>
    <row r="2532" spans="1:5">
      <c r="A2532" s="11" t="s">
        <v>8868</v>
      </c>
      <c r="B2532">
        <v>8011715</v>
      </c>
      <c r="D2532" s="11" t="s">
        <v>8869</v>
      </c>
      <c r="E2532" s="11" t="s">
        <v>8870</v>
      </c>
    </row>
    <row r="2533" spans="1:5">
      <c r="A2533" s="11" t="s">
        <v>8871</v>
      </c>
      <c r="B2533">
        <v>8011718</v>
      </c>
      <c r="D2533" s="11" t="s">
        <v>8872</v>
      </c>
      <c r="E2533" s="11" t="s">
        <v>8873</v>
      </c>
    </row>
    <row r="2534" spans="1:5">
      <c r="A2534" s="11" t="s">
        <v>8874</v>
      </c>
      <c r="B2534">
        <v>8002405</v>
      </c>
      <c r="D2534" s="11" t="s">
        <v>8875</v>
      </c>
      <c r="E2534" s="11" t="s">
        <v>8876</v>
      </c>
    </row>
    <row r="2535" spans="1:5">
      <c r="A2535" s="11" t="s">
        <v>8877</v>
      </c>
      <c r="B2535">
        <v>8000136</v>
      </c>
      <c r="D2535" s="11" t="s">
        <v>8878</v>
      </c>
      <c r="E2535" s="11" t="s">
        <v>8879</v>
      </c>
    </row>
    <row r="2536" spans="1:5">
      <c r="A2536" s="11" t="s">
        <v>8880</v>
      </c>
      <c r="B2536">
        <v>8002386</v>
      </c>
      <c r="D2536" s="11" t="s">
        <v>8881</v>
      </c>
      <c r="E2536" s="11" t="s">
        <v>8882</v>
      </c>
    </row>
    <row r="2537" spans="1:5">
      <c r="A2537" s="11" t="s">
        <v>8883</v>
      </c>
      <c r="B2537">
        <v>8001511</v>
      </c>
      <c r="D2537" s="11" t="s">
        <v>8884</v>
      </c>
      <c r="E2537" s="11" t="s">
        <v>8885</v>
      </c>
    </row>
    <row r="2538" spans="1:5">
      <c r="A2538" s="11" t="s">
        <v>8886</v>
      </c>
      <c r="B2538">
        <v>8071654</v>
      </c>
      <c r="D2538" s="11" t="s">
        <v>8887</v>
      </c>
      <c r="E2538" s="11" t="s">
        <v>8888</v>
      </c>
    </row>
    <row r="2539" spans="1:5">
      <c r="A2539" s="11" t="s">
        <v>8889</v>
      </c>
      <c r="B2539">
        <v>8070403</v>
      </c>
      <c r="D2539" s="11" t="s">
        <v>8890</v>
      </c>
      <c r="E2539" s="11" t="s">
        <v>8891</v>
      </c>
    </row>
    <row r="2540" spans="1:5">
      <c r="A2540" s="11" t="s">
        <v>8892</v>
      </c>
      <c r="B2540">
        <v>8002388</v>
      </c>
      <c r="D2540" s="11" t="s">
        <v>8893</v>
      </c>
      <c r="E2540" s="11" t="s">
        <v>8894</v>
      </c>
    </row>
    <row r="2541" spans="1:5">
      <c r="A2541" s="11" t="s">
        <v>8895</v>
      </c>
      <c r="B2541">
        <v>8011723</v>
      </c>
      <c r="D2541" s="11" t="s">
        <v>8896</v>
      </c>
      <c r="E2541" s="11" t="s">
        <v>8897</v>
      </c>
    </row>
    <row r="2542" spans="1:5">
      <c r="A2542" s="11" t="s">
        <v>8898</v>
      </c>
      <c r="B2542">
        <v>8013109</v>
      </c>
      <c r="D2542" s="11" t="s">
        <v>8899</v>
      </c>
      <c r="E2542" s="11" t="s">
        <v>8900</v>
      </c>
    </row>
    <row r="2543" spans="1:5">
      <c r="A2543" s="11" t="s">
        <v>8901</v>
      </c>
      <c r="B2543">
        <v>8011725</v>
      </c>
      <c r="D2543" s="11" t="s">
        <v>8902</v>
      </c>
      <c r="E2543" s="11" t="s">
        <v>8903</v>
      </c>
    </row>
    <row r="2544" spans="1:5">
      <c r="A2544" s="11" t="s">
        <v>8904</v>
      </c>
      <c r="B2544">
        <v>8011726</v>
      </c>
      <c r="D2544" s="11" t="s">
        <v>8905</v>
      </c>
      <c r="E2544" s="11" t="s">
        <v>8906</v>
      </c>
    </row>
    <row r="2545" spans="1:5">
      <c r="A2545" s="11" t="s">
        <v>8907</v>
      </c>
      <c r="B2545">
        <v>8011729</v>
      </c>
      <c r="D2545" s="11" t="s">
        <v>8908</v>
      </c>
      <c r="E2545" s="11" t="s">
        <v>8909</v>
      </c>
    </row>
    <row r="2546" spans="1:5">
      <c r="A2546" s="11" t="s">
        <v>8910</v>
      </c>
      <c r="B2546">
        <v>8079730</v>
      </c>
      <c r="D2546" s="11" t="s">
        <v>8911</v>
      </c>
      <c r="E2546" s="11" t="s">
        <v>8912</v>
      </c>
    </row>
    <row r="2547" spans="1:5">
      <c r="A2547" s="11" t="s">
        <v>8913</v>
      </c>
      <c r="B2547">
        <v>8070404</v>
      </c>
      <c r="D2547" s="11" t="s">
        <v>8914</v>
      </c>
      <c r="E2547" s="11" t="s">
        <v>8915</v>
      </c>
    </row>
    <row r="2548" spans="1:5">
      <c r="A2548" s="11" t="s">
        <v>8916</v>
      </c>
      <c r="B2548">
        <v>8011730</v>
      </c>
      <c r="D2548" s="11" t="s">
        <v>8917</v>
      </c>
      <c r="E2548" s="11" t="s">
        <v>8918</v>
      </c>
    </row>
    <row r="2549" spans="1:5">
      <c r="A2549" s="11" t="s">
        <v>8919</v>
      </c>
      <c r="B2549">
        <v>8011731</v>
      </c>
      <c r="D2549" s="11" t="s">
        <v>8920</v>
      </c>
      <c r="E2549" s="11" t="s">
        <v>8921</v>
      </c>
    </row>
    <row r="2550" spans="1:5">
      <c r="A2550" s="11" t="s">
        <v>8922</v>
      </c>
      <c r="B2550">
        <v>8011734</v>
      </c>
      <c r="D2550" s="11" t="s">
        <v>8923</v>
      </c>
      <c r="E2550" s="11" t="s">
        <v>8924</v>
      </c>
    </row>
    <row r="2551" spans="1:5">
      <c r="A2551" s="11" t="s">
        <v>8925</v>
      </c>
      <c r="B2551">
        <v>8011735</v>
      </c>
      <c r="D2551" s="11" t="s">
        <v>8926</v>
      </c>
      <c r="E2551" s="11" t="s">
        <v>8927</v>
      </c>
    </row>
    <row r="2552" spans="1:5">
      <c r="A2552" s="11" t="s">
        <v>8928</v>
      </c>
      <c r="B2552">
        <v>8002399</v>
      </c>
      <c r="D2552" s="11" t="s">
        <v>8929</v>
      </c>
      <c r="E2552" s="11" t="s">
        <v>8930</v>
      </c>
    </row>
    <row r="2553" spans="1:5">
      <c r="A2553" s="11" t="s">
        <v>8931</v>
      </c>
      <c r="B2553">
        <v>8002400</v>
      </c>
      <c r="D2553" s="11" t="s">
        <v>8932</v>
      </c>
      <c r="E2553" s="11" t="s">
        <v>8933</v>
      </c>
    </row>
    <row r="2554" spans="1:5">
      <c r="A2554" s="11" t="s">
        <v>8934</v>
      </c>
      <c r="B2554">
        <v>8011740</v>
      </c>
      <c r="D2554" s="11" t="s">
        <v>8935</v>
      </c>
      <c r="E2554" s="11" t="s">
        <v>8936</v>
      </c>
    </row>
    <row r="2555" spans="1:5">
      <c r="A2555" s="11" t="s">
        <v>8937</v>
      </c>
      <c r="B2555">
        <v>8071939</v>
      </c>
      <c r="D2555" s="11" t="s">
        <v>8938</v>
      </c>
      <c r="E2555" s="11" t="s">
        <v>8939</v>
      </c>
    </row>
    <row r="2556" spans="1:5">
      <c r="A2556" s="11" t="s">
        <v>8940</v>
      </c>
      <c r="B2556">
        <v>8011741</v>
      </c>
      <c r="D2556" s="11" t="s">
        <v>8941</v>
      </c>
      <c r="E2556" s="11" t="s">
        <v>8942</v>
      </c>
    </row>
    <row r="2557" spans="1:5">
      <c r="A2557" s="11" t="s">
        <v>8943</v>
      </c>
      <c r="B2557">
        <v>8010144</v>
      </c>
      <c r="D2557" s="11" t="s">
        <v>8944</v>
      </c>
      <c r="E2557" s="11" t="s">
        <v>8945</v>
      </c>
    </row>
    <row r="2558" spans="1:5">
      <c r="A2558" s="11" t="s">
        <v>8946</v>
      </c>
      <c r="B2558">
        <v>8002403</v>
      </c>
      <c r="D2558" s="11" t="s">
        <v>8947</v>
      </c>
      <c r="E2558" s="11" t="s">
        <v>8948</v>
      </c>
    </row>
    <row r="2559" spans="1:5">
      <c r="A2559" s="11" t="s">
        <v>8949</v>
      </c>
      <c r="B2559">
        <v>8011745</v>
      </c>
      <c r="D2559" s="11" t="s">
        <v>8950</v>
      </c>
      <c r="E2559" s="11" t="s">
        <v>8951</v>
      </c>
    </row>
    <row r="2560" spans="1:5">
      <c r="A2560" s="11" t="s">
        <v>8952</v>
      </c>
      <c r="B2560">
        <v>8002409</v>
      </c>
      <c r="D2560" s="11" t="s">
        <v>8953</v>
      </c>
      <c r="E2560" s="11" t="s">
        <v>8954</v>
      </c>
    </row>
    <row r="2561" spans="1:5">
      <c r="A2561" s="11" t="s">
        <v>8955</v>
      </c>
      <c r="B2561">
        <v>8002410</v>
      </c>
      <c r="D2561" s="11" t="s">
        <v>8956</v>
      </c>
      <c r="E2561" s="11" t="s">
        <v>8957</v>
      </c>
    </row>
    <row r="2562" spans="1:5">
      <c r="A2562" s="11" t="s">
        <v>8958</v>
      </c>
      <c r="B2562">
        <v>8007060</v>
      </c>
      <c r="D2562" s="11" t="s">
        <v>8959</v>
      </c>
      <c r="E2562" s="11" t="s">
        <v>8960</v>
      </c>
    </row>
    <row r="2563" spans="1:5">
      <c r="A2563" s="11" t="s">
        <v>8961</v>
      </c>
      <c r="B2563">
        <v>8002411</v>
      </c>
      <c r="D2563" s="11" t="s">
        <v>8962</v>
      </c>
      <c r="E2563" s="11" t="s">
        <v>8963</v>
      </c>
    </row>
    <row r="2564" spans="1:5">
      <c r="A2564" s="11" t="s">
        <v>8964</v>
      </c>
      <c r="B2564">
        <v>8011746</v>
      </c>
      <c r="D2564" s="11" t="s">
        <v>8965</v>
      </c>
      <c r="E2564" s="11" t="s">
        <v>8966</v>
      </c>
    </row>
    <row r="2565" spans="1:5">
      <c r="A2565" s="11" t="s">
        <v>8967</v>
      </c>
      <c r="B2565">
        <v>8011749</v>
      </c>
      <c r="D2565" s="11" t="s">
        <v>8968</v>
      </c>
      <c r="E2565" s="11" t="s">
        <v>8969</v>
      </c>
    </row>
    <row r="2566" spans="1:5">
      <c r="A2566" s="11" t="s">
        <v>8970</v>
      </c>
      <c r="B2566">
        <v>8002412</v>
      </c>
      <c r="D2566" s="11" t="s">
        <v>8971</v>
      </c>
      <c r="E2566" s="11" t="s">
        <v>8972</v>
      </c>
    </row>
    <row r="2567" spans="1:5">
      <c r="A2567" s="11" t="s">
        <v>8973</v>
      </c>
      <c r="B2567">
        <v>8002413</v>
      </c>
      <c r="D2567" s="11" t="s">
        <v>8974</v>
      </c>
      <c r="E2567" s="11" t="s">
        <v>8975</v>
      </c>
    </row>
    <row r="2568" spans="1:5">
      <c r="A2568" s="11" t="s">
        <v>8976</v>
      </c>
      <c r="B2568">
        <v>8011750</v>
      </c>
      <c r="D2568" s="11" t="s">
        <v>8977</v>
      </c>
      <c r="E2568" s="11" t="s">
        <v>8978</v>
      </c>
    </row>
    <row r="2569" spans="1:5">
      <c r="A2569" s="11" t="s">
        <v>8979</v>
      </c>
      <c r="B2569">
        <v>8002416</v>
      </c>
      <c r="D2569" s="11" t="s">
        <v>8980</v>
      </c>
      <c r="E2569" s="11" t="s">
        <v>8981</v>
      </c>
    </row>
    <row r="2570" spans="1:5">
      <c r="A2570" s="11" t="s">
        <v>8982</v>
      </c>
      <c r="B2570">
        <v>8011751</v>
      </c>
      <c r="D2570" s="11" t="s">
        <v>8983</v>
      </c>
      <c r="E2570" s="11" t="s">
        <v>8984</v>
      </c>
    </row>
    <row r="2571" spans="1:5">
      <c r="A2571" s="11" t="s">
        <v>8985</v>
      </c>
      <c r="B2571">
        <v>8002420</v>
      </c>
      <c r="D2571" s="11" t="s">
        <v>8986</v>
      </c>
      <c r="E2571" s="11" t="s">
        <v>8987</v>
      </c>
    </row>
    <row r="2572" spans="1:5">
      <c r="A2572" s="11" t="s">
        <v>8988</v>
      </c>
      <c r="B2572">
        <v>8010145</v>
      </c>
      <c r="D2572" s="11" t="s">
        <v>8989</v>
      </c>
      <c r="E2572" s="11" t="s">
        <v>8990</v>
      </c>
    </row>
    <row r="2573" spans="1:5">
      <c r="A2573" s="11" t="s">
        <v>8991</v>
      </c>
      <c r="B2573">
        <v>8002422</v>
      </c>
      <c r="D2573" s="11" t="s">
        <v>8992</v>
      </c>
      <c r="E2573" s="11" t="s">
        <v>8993</v>
      </c>
    </row>
    <row r="2574" spans="1:5">
      <c r="A2574" s="11" t="s">
        <v>8994</v>
      </c>
      <c r="B2574">
        <v>8002424</v>
      </c>
      <c r="D2574" s="11" t="s">
        <v>8995</v>
      </c>
      <c r="E2574" s="11" t="s">
        <v>8996</v>
      </c>
    </row>
    <row r="2575" spans="1:5">
      <c r="A2575" s="11" t="s">
        <v>8997</v>
      </c>
      <c r="B2575">
        <v>8010146</v>
      </c>
      <c r="D2575" s="11" t="s">
        <v>8998</v>
      </c>
      <c r="E2575" s="11" t="s">
        <v>8999</v>
      </c>
    </row>
    <row r="2576" spans="1:5">
      <c r="A2576" s="11" t="s">
        <v>9000</v>
      </c>
      <c r="B2576">
        <v>8002425</v>
      </c>
      <c r="D2576" s="11" t="s">
        <v>9001</v>
      </c>
      <c r="E2576" s="11" t="s">
        <v>9002</v>
      </c>
    </row>
    <row r="2577" spans="1:5">
      <c r="A2577" s="11" t="s">
        <v>9003</v>
      </c>
      <c r="B2577">
        <v>8011752</v>
      </c>
      <c r="D2577" s="11" t="s">
        <v>9004</v>
      </c>
      <c r="E2577" s="11" t="s">
        <v>9005</v>
      </c>
    </row>
    <row r="2578" spans="1:5">
      <c r="A2578" s="11" t="s">
        <v>9006</v>
      </c>
      <c r="B2578">
        <v>8071177</v>
      </c>
      <c r="D2578" s="11" t="s">
        <v>9007</v>
      </c>
      <c r="E2578" s="11" t="s">
        <v>9008</v>
      </c>
    </row>
    <row r="2579" spans="1:5">
      <c r="A2579" s="11" t="s">
        <v>9009</v>
      </c>
      <c r="B2579">
        <v>8011753</v>
      </c>
      <c r="D2579" s="11" t="s">
        <v>9010</v>
      </c>
      <c r="E2579" s="11" t="s">
        <v>9011</v>
      </c>
    </row>
    <row r="2580" spans="1:5">
      <c r="A2580" s="11" t="s">
        <v>9012</v>
      </c>
      <c r="B2580">
        <v>8011754</v>
      </c>
      <c r="D2580" s="11" t="s">
        <v>9013</v>
      </c>
      <c r="E2580" s="11" t="s">
        <v>9014</v>
      </c>
    </row>
    <row r="2581" spans="1:5">
      <c r="A2581" s="11" t="s">
        <v>9015</v>
      </c>
      <c r="B2581">
        <v>8011755</v>
      </c>
      <c r="D2581" s="11" t="s">
        <v>9016</v>
      </c>
      <c r="E2581" s="11" t="s">
        <v>9017</v>
      </c>
    </row>
    <row r="2582" spans="1:5">
      <c r="A2582" s="11" t="s">
        <v>9018</v>
      </c>
      <c r="B2582">
        <v>8011756</v>
      </c>
      <c r="D2582" s="11" t="s">
        <v>9019</v>
      </c>
      <c r="E2582" s="11" t="s">
        <v>9020</v>
      </c>
    </row>
    <row r="2583" spans="1:5">
      <c r="A2583" s="11" t="s">
        <v>9021</v>
      </c>
      <c r="B2583">
        <v>8002391</v>
      </c>
      <c r="D2583" s="11" t="s">
        <v>9022</v>
      </c>
      <c r="E2583" s="11" t="s">
        <v>9023</v>
      </c>
    </row>
    <row r="2584" spans="1:5">
      <c r="A2584" s="11" t="s">
        <v>9024</v>
      </c>
      <c r="B2584">
        <v>8011758</v>
      </c>
      <c r="D2584" s="11" t="s">
        <v>9025</v>
      </c>
      <c r="E2584" s="11" t="s">
        <v>9026</v>
      </c>
    </row>
    <row r="2585" spans="1:5">
      <c r="A2585" s="11" t="s">
        <v>9027</v>
      </c>
      <c r="B2585">
        <v>8011759</v>
      </c>
      <c r="D2585" s="11" t="s">
        <v>9028</v>
      </c>
      <c r="E2585" s="11" t="s">
        <v>9029</v>
      </c>
    </row>
    <row r="2586" spans="1:5">
      <c r="A2586" s="11" t="s">
        <v>9030</v>
      </c>
      <c r="B2586">
        <v>8011761</v>
      </c>
      <c r="D2586" s="11" t="s">
        <v>9031</v>
      </c>
      <c r="E2586" s="11" t="s">
        <v>9032</v>
      </c>
    </row>
    <row r="2587" spans="1:5">
      <c r="A2587" s="11" t="s">
        <v>9033</v>
      </c>
      <c r="B2587">
        <v>8011762</v>
      </c>
      <c r="D2587" s="11" t="s">
        <v>9034</v>
      </c>
      <c r="E2587" s="11" t="s">
        <v>9035</v>
      </c>
    </row>
    <row r="2588" spans="1:5">
      <c r="A2588" s="11" t="s">
        <v>9036</v>
      </c>
      <c r="B2588">
        <v>8011763</v>
      </c>
      <c r="D2588" s="11" t="s">
        <v>9037</v>
      </c>
      <c r="E2588" s="11" t="s">
        <v>9038</v>
      </c>
    </row>
    <row r="2589" spans="1:5">
      <c r="A2589" s="11" t="s">
        <v>9039</v>
      </c>
      <c r="B2589">
        <v>8003315</v>
      </c>
      <c r="D2589" s="11" t="s">
        <v>9040</v>
      </c>
      <c r="E2589" s="11" t="s">
        <v>9041</v>
      </c>
    </row>
    <row r="2590" spans="1:5">
      <c r="A2590" s="11" t="s">
        <v>9042</v>
      </c>
      <c r="B2590">
        <v>8002393</v>
      </c>
      <c r="D2590" s="11" t="s">
        <v>9043</v>
      </c>
      <c r="E2590" s="11" t="s">
        <v>9044</v>
      </c>
    </row>
    <row r="2591" spans="1:5">
      <c r="A2591" s="11" t="s">
        <v>9045</v>
      </c>
      <c r="B2591">
        <v>8000384</v>
      </c>
      <c r="D2591" s="11" t="s">
        <v>9046</v>
      </c>
      <c r="E2591" s="11" t="s">
        <v>9047</v>
      </c>
    </row>
    <row r="2592" spans="1:5">
      <c r="A2592" s="11" t="s">
        <v>9048</v>
      </c>
      <c r="B2592">
        <v>8002432</v>
      </c>
      <c r="D2592" s="11" t="s">
        <v>9049</v>
      </c>
      <c r="E2592" s="11" t="s">
        <v>9050</v>
      </c>
    </row>
    <row r="2593" spans="1:5">
      <c r="A2593" s="11" t="s">
        <v>9051</v>
      </c>
      <c r="B2593">
        <v>8071020</v>
      </c>
      <c r="D2593" s="11" t="s">
        <v>9052</v>
      </c>
      <c r="E2593" s="11" t="s">
        <v>9053</v>
      </c>
    </row>
    <row r="2594" spans="1:5">
      <c r="A2594" s="11" t="s">
        <v>9054</v>
      </c>
      <c r="B2594">
        <v>8011766</v>
      </c>
      <c r="D2594" s="11" t="s">
        <v>9055</v>
      </c>
      <c r="E2594" s="11" t="s">
        <v>9056</v>
      </c>
    </row>
    <row r="2595" spans="1:5">
      <c r="A2595" s="11" t="s">
        <v>9057</v>
      </c>
      <c r="B2595">
        <v>8000381</v>
      </c>
      <c r="D2595" s="11" t="s">
        <v>9058</v>
      </c>
      <c r="E2595" s="11" t="s">
        <v>9059</v>
      </c>
    </row>
    <row r="2596" spans="1:5">
      <c r="A2596" s="11" t="s">
        <v>9060</v>
      </c>
      <c r="B2596">
        <v>8007861</v>
      </c>
      <c r="D2596" s="11" t="s">
        <v>9061</v>
      </c>
      <c r="E2596" s="11" t="s">
        <v>9062</v>
      </c>
    </row>
    <row r="2597" spans="1:5">
      <c r="A2597" s="11" t="s">
        <v>9063</v>
      </c>
      <c r="B2597">
        <v>8079057</v>
      </c>
      <c r="D2597" s="11" t="s">
        <v>9064</v>
      </c>
      <c r="E2597" s="11" t="s">
        <v>9065</v>
      </c>
    </row>
    <row r="2598" spans="1:5">
      <c r="A2598" s="11" t="s">
        <v>9066</v>
      </c>
      <c r="B2598">
        <v>8002434</v>
      </c>
      <c r="D2598" s="11" t="s">
        <v>9067</v>
      </c>
      <c r="E2598" s="11" t="s">
        <v>9068</v>
      </c>
    </row>
    <row r="2599" spans="1:5">
      <c r="A2599" s="11" t="s">
        <v>9069</v>
      </c>
      <c r="B2599">
        <v>8002435</v>
      </c>
      <c r="D2599" s="11" t="s">
        <v>9070</v>
      </c>
      <c r="E2599" s="11" t="s">
        <v>9071</v>
      </c>
    </row>
    <row r="2600" spans="1:5">
      <c r="A2600" s="11" t="s">
        <v>9072</v>
      </c>
      <c r="B2600">
        <v>8002436</v>
      </c>
      <c r="D2600" s="11" t="s">
        <v>9073</v>
      </c>
      <c r="E2600" s="11" t="s">
        <v>9074</v>
      </c>
    </row>
    <row r="2601" spans="1:5">
      <c r="A2601" s="11" t="s">
        <v>9075</v>
      </c>
      <c r="B2601">
        <v>8011770</v>
      </c>
      <c r="D2601" s="11" t="s">
        <v>9076</v>
      </c>
      <c r="E2601" s="11" t="s">
        <v>9077</v>
      </c>
    </row>
    <row r="2602" spans="1:5">
      <c r="A2602" s="11" t="s">
        <v>9078</v>
      </c>
      <c r="B2602">
        <v>8002448</v>
      </c>
      <c r="D2602" s="11" t="s">
        <v>9079</v>
      </c>
      <c r="E2602" s="11" t="s">
        <v>9080</v>
      </c>
    </row>
    <row r="2603" spans="1:5">
      <c r="A2603" s="11" t="s">
        <v>9081</v>
      </c>
      <c r="B2603">
        <v>8011773</v>
      </c>
      <c r="D2603" s="11" t="s">
        <v>9082</v>
      </c>
      <c r="E2603" s="11" t="s">
        <v>9083</v>
      </c>
    </row>
    <row r="2604" spans="1:5">
      <c r="A2604" s="11" t="s">
        <v>9084</v>
      </c>
      <c r="B2604">
        <v>8002439</v>
      </c>
      <c r="D2604" s="11" t="s">
        <v>9085</v>
      </c>
      <c r="E2604" s="11" t="s">
        <v>9086</v>
      </c>
    </row>
    <row r="2605" spans="1:5">
      <c r="A2605" s="11" t="s">
        <v>9087</v>
      </c>
      <c r="B2605">
        <v>8002441</v>
      </c>
      <c r="D2605" s="11" t="s">
        <v>9088</v>
      </c>
      <c r="E2605" s="11" t="s">
        <v>9089</v>
      </c>
    </row>
    <row r="2606" spans="1:5">
      <c r="A2606" s="11" t="s">
        <v>9090</v>
      </c>
      <c r="B2606">
        <v>8002442</v>
      </c>
      <c r="D2606" s="11" t="s">
        <v>9091</v>
      </c>
      <c r="E2606" s="11" t="s">
        <v>9092</v>
      </c>
    </row>
    <row r="2607" spans="1:5">
      <c r="A2607" s="11" t="s">
        <v>9093</v>
      </c>
      <c r="B2607">
        <v>8011776</v>
      </c>
      <c r="D2607" s="11" t="s">
        <v>9094</v>
      </c>
      <c r="E2607" s="11" t="s">
        <v>9095</v>
      </c>
    </row>
    <row r="2608" spans="1:5">
      <c r="A2608" s="11" t="s">
        <v>9096</v>
      </c>
      <c r="B2608">
        <v>8079049</v>
      </c>
      <c r="D2608" s="11" t="s">
        <v>1539</v>
      </c>
      <c r="E2608" s="11" t="s">
        <v>1539</v>
      </c>
    </row>
    <row r="2609" spans="1:5">
      <c r="A2609" s="11" t="s">
        <v>9097</v>
      </c>
      <c r="B2609">
        <v>8011777</v>
      </c>
      <c r="D2609" s="11" t="s">
        <v>9098</v>
      </c>
      <c r="E2609" s="11" t="s">
        <v>9099</v>
      </c>
    </row>
    <row r="2610" spans="1:5">
      <c r="A2610" s="11" t="s">
        <v>9100</v>
      </c>
      <c r="B2610">
        <v>8010150</v>
      </c>
      <c r="D2610" s="11" t="s">
        <v>9101</v>
      </c>
      <c r="E2610" s="11" t="s">
        <v>9102</v>
      </c>
    </row>
    <row r="2611" spans="1:5">
      <c r="A2611" s="11" t="s">
        <v>9103</v>
      </c>
      <c r="B2611">
        <v>8080981</v>
      </c>
      <c r="D2611" s="11" t="s">
        <v>9104</v>
      </c>
      <c r="E2611" s="11" t="s">
        <v>9105</v>
      </c>
    </row>
    <row r="2612" spans="1:5">
      <c r="A2612" s="11" t="s">
        <v>9106</v>
      </c>
      <c r="B2612">
        <v>8002447</v>
      </c>
      <c r="D2612" s="11" t="s">
        <v>9107</v>
      </c>
      <c r="E2612" s="11" t="s">
        <v>9108</v>
      </c>
    </row>
    <row r="2613" spans="1:5">
      <c r="A2613" s="11" t="s">
        <v>9109</v>
      </c>
      <c r="B2613">
        <v>8000137</v>
      </c>
      <c r="D2613" s="11" t="s">
        <v>9110</v>
      </c>
      <c r="E2613" s="11" t="s">
        <v>9111</v>
      </c>
    </row>
    <row r="2614" spans="1:5">
      <c r="A2614" s="11" t="s">
        <v>9112</v>
      </c>
      <c r="B2614">
        <v>8002444</v>
      </c>
      <c r="D2614" s="11" t="s">
        <v>9113</v>
      </c>
      <c r="E2614" s="11" t="s">
        <v>9114</v>
      </c>
    </row>
    <row r="2615" spans="1:5">
      <c r="A2615" s="11" t="s">
        <v>9115</v>
      </c>
      <c r="B2615">
        <v>8011779</v>
      </c>
      <c r="D2615" s="11" t="s">
        <v>9116</v>
      </c>
      <c r="E2615" s="11" t="s">
        <v>9117</v>
      </c>
    </row>
    <row r="2616" spans="1:5">
      <c r="A2616" s="11" t="s">
        <v>9118</v>
      </c>
      <c r="B2616">
        <v>8002445</v>
      </c>
      <c r="D2616" s="11" t="s">
        <v>9119</v>
      </c>
      <c r="E2616" s="11" t="s">
        <v>9120</v>
      </c>
    </row>
    <row r="2617" spans="1:5">
      <c r="A2617" s="11" t="s">
        <v>9121</v>
      </c>
      <c r="B2617">
        <v>8010357</v>
      </c>
      <c r="D2617" s="11" t="s">
        <v>9122</v>
      </c>
      <c r="E2617" s="11" t="s">
        <v>9123</v>
      </c>
    </row>
    <row r="2618" spans="1:5">
      <c r="A2618" s="11" t="s">
        <v>9124</v>
      </c>
      <c r="B2618">
        <v>8084128</v>
      </c>
      <c r="D2618" s="11" t="s">
        <v>1539</v>
      </c>
      <c r="E2618" s="11" t="s">
        <v>1539</v>
      </c>
    </row>
    <row r="2619" spans="1:5">
      <c r="A2619" s="11" t="s">
        <v>9125</v>
      </c>
      <c r="B2619">
        <v>8002452</v>
      </c>
      <c r="D2619" s="11" t="s">
        <v>9126</v>
      </c>
      <c r="E2619" s="11" t="s">
        <v>9127</v>
      </c>
    </row>
    <row r="2620" spans="1:5">
      <c r="A2620" s="11" t="s">
        <v>9128</v>
      </c>
      <c r="B2620">
        <v>8070604</v>
      </c>
      <c r="D2620" s="11" t="s">
        <v>9129</v>
      </c>
      <c r="E2620" s="11" t="s">
        <v>9130</v>
      </c>
    </row>
    <row r="2621" spans="1:5">
      <c r="A2621" s="11" t="s">
        <v>9131</v>
      </c>
      <c r="B2621">
        <v>8002462</v>
      </c>
      <c r="D2621" s="11" t="s">
        <v>9132</v>
      </c>
      <c r="E2621" s="11" t="s">
        <v>9133</v>
      </c>
    </row>
    <row r="2622" spans="1:5">
      <c r="A2622" s="11" t="s">
        <v>9134</v>
      </c>
      <c r="B2622">
        <v>8000363</v>
      </c>
      <c r="D2622" s="11" t="s">
        <v>9135</v>
      </c>
      <c r="E2622" s="11" t="s">
        <v>9136</v>
      </c>
    </row>
    <row r="2623" spans="1:5">
      <c r="A2623" s="11" t="s">
        <v>9137</v>
      </c>
      <c r="B2623">
        <v>8070599</v>
      </c>
      <c r="D2623" s="11" t="s">
        <v>9138</v>
      </c>
      <c r="E2623" s="11" t="s">
        <v>9139</v>
      </c>
    </row>
    <row r="2624" spans="1:5">
      <c r="A2624" s="11" t="s">
        <v>9140</v>
      </c>
      <c r="B2624">
        <v>8002466</v>
      </c>
      <c r="D2624" s="11" t="s">
        <v>9141</v>
      </c>
      <c r="E2624" s="11" t="s">
        <v>9142</v>
      </c>
    </row>
    <row r="2625" spans="1:5">
      <c r="A2625" s="11" t="s">
        <v>9143</v>
      </c>
      <c r="B2625">
        <v>8002465</v>
      </c>
      <c r="D2625" s="11" t="s">
        <v>9144</v>
      </c>
      <c r="E2625" s="11" t="s">
        <v>9145</v>
      </c>
    </row>
    <row r="2626" spans="1:5">
      <c r="A2626" s="11" t="s">
        <v>9146</v>
      </c>
      <c r="B2626">
        <v>8002467</v>
      </c>
      <c r="D2626" s="11" t="s">
        <v>9147</v>
      </c>
      <c r="E2626" s="11" t="s">
        <v>9148</v>
      </c>
    </row>
    <row r="2627" spans="1:5">
      <c r="A2627" s="11" t="s">
        <v>9149</v>
      </c>
      <c r="B2627">
        <v>8002468</v>
      </c>
      <c r="D2627" s="11" t="s">
        <v>9150</v>
      </c>
      <c r="E2627" s="11" t="s">
        <v>9151</v>
      </c>
    </row>
    <row r="2628" spans="1:5">
      <c r="A2628" s="11" t="s">
        <v>9152</v>
      </c>
      <c r="B2628">
        <v>8002470</v>
      </c>
      <c r="D2628" s="11" t="s">
        <v>9153</v>
      </c>
      <c r="E2628" s="11" t="s">
        <v>9154</v>
      </c>
    </row>
    <row r="2629" spans="1:5">
      <c r="A2629" s="11" t="s">
        <v>9155</v>
      </c>
      <c r="B2629">
        <v>8002473</v>
      </c>
      <c r="D2629" s="11" t="s">
        <v>9156</v>
      </c>
      <c r="E2629" s="11" t="s">
        <v>9157</v>
      </c>
    </row>
    <row r="2630" spans="1:5">
      <c r="A2630" s="11" t="s">
        <v>9158</v>
      </c>
      <c r="B2630">
        <v>8002457</v>
      </c>
      <c r="D2630" s="11" t="s">
        <v>9159</v>
      </c>
      <c r="E2630" s="11" t="s">
        <v>9160</v>
      </c>
    </row>
    <row r="2631" spans="1:5">
      <c r="A2631" s="11" t="s">
        <v>9161</v>
      </c>
      <c r="B2631">
        <v>8017011</v>
      </c>
      <c r="D2631" s="11" t="s">
        <v>9162</v>
      </c>
      <c r="E2631" s="11" t="s">
        <v>9163</v>
      </c>
    </row>
    <row r="2632" spans="1:5">
      <c r="A2632" s="11" t="s">
        <v>9164</v>
      </c>
      <c r="B2632">
        <v>8002474</v>
      </c>
      <c r="D2632" s="11" t="s">
        <v>9165</v>
      </c>
      <c r="E2632" s="11" t="s">
        <v>9166</v>
      </c>
    </row>
    <row r="2633" spans="1:5">
      <c r="A2633" s="11" t="s">
        <v>9167</v>
      </c>
      <c r="B2633">
        <v>8002458</v>
      </c>
      <c r="D2633" s="11" t="s">
        <v>9168</v>
      </c>
      <c r="E2633" s="11" t="s">
        <v>9169</v>
      </c>
    </row>
    <row r="2634" spans="1:5">
      <c r="A2634" s="11" t="s">
        <v>9170</v>
      </c>
      <c r="B2634">
        <v>8000139</v>
      </c>
      <c r="D2634" s="11" t="s">
        <v>9171</v>
      </c>
      <c r="E2634" s="11" t="s">
        <v>9172</v>
      </c>
    </row>
    <row r="2635" spans="1:5">
      <c r="A2635" s="11" t="s">
        <v>9173</v>
      </c>
      <c r="B2635">
        <v>8011787</v>
      </c>
      <c r="D2635" s="11" t="s">
        <v>9174</v>
      </c>
      <c r="E2635" s="11" t="s">
        <v>9175</v>
      </c>
    </row>
    <row r="2636" spans="1:5">
      <c r="A2636" s="11" t="s">
        <v>442</v>
      </c>
      <c r="B2636">
        <v>8000385</v>
      </c>
      <c r="D2636" s="11" t="s">
        <v>444</v>
      </c>
      <c r="E2636" s="11" t="s">
        <v>445</v>
      </c>
    </row>
    <row r="2637" spans="1:5">
      <c r="A2637" s="11" t="s">
        <v>9176</v>
      </c>
      <c r="B2637">
        <v>8010151</v>
      </c>
      <c r="D2637" s="11" t="s">
        <v>9177</v>
      </c>
      <c r="E2637" s="11" t="s">
        <v>9178</v>
      </c>
    </row>
    <row r="2638" spans="1:5">
      <c r="A2638" s="11" t="s">
        <v>9179</v>
      </c>
      <c r="B2638">
        <v>8007074</v>
      </c>
      <c r="D2638" s="11" t="s">
        <v>9180</v>
      </c>
      <c r="E2638" s="11" t="s">
        <v>9181</v>
      </c>
    </row>
    <row r="2639" spans="1:5">
      <c r="A2639" s="11" t="s">
        <v>9182</v>
      </c>
      <c r="B2639">
        <v>8010152</v>
      </c>
      <c r="D2639" s="11" t="s">
        <v>9183</v>
      </c>
      <c r="E2639" s="11" t="s">
        <v>9184</v>
      </c>
    </row>
    <row r="2640" spans="1:5">
      <c r="A2640" s="11" t="s">
        <v>9185</v>
      </c>
      <c r="B2640">
        <v>8002477</v>
      </c>
      <c r="D2640" s="11" t="s">
        <v>9186</v>
      </c>
      <c r="E2640" s="11" t="s">
        <v>9187</v>
      </c>
    </row>
    <row r="2641" spans="1:5">
      <c r="A2641" s="11" t="s">
        <v>9188</v>
      </c>
      <c r="B2641">
        <v>8010153</v>
      </c>
      <c r="D2641" s="11" t="s">
        <v>9189</v>
      </c>
      <c r="E2641" s="11" t="s">
        <v>9190</v>
      </c>
    </row>
    <row r="2642" spans="1:5">
      <c r="A2642" s="11" t="s">
        <v>1179</v>
      </c>
      <c r="B2642">
        <v>8002480</v>
      </c>
      <c r="D2642" s="11" t="s">
        <v>1181</v>
      </c>
      <c r="E2642" s="11" t="s">
        <v>1182</v>
      </c>
    </row>
    <row r="2643" spans="1:5">
      <c r="A2643" s="11" t="s">
        <v>9191</v>
      </c>
      <c r="B2643">
        <v>8002478</v>
      </c>
      <c r="D2643" s="11" t="s">
        <v>9192</v>
      </c>
      <c r="E2643" s="11" t="s">
        <v>9193</v>
      </c>
    </row>
    <row r="2644" spans="1:5">
      <c r="A2644" s="11" t="s">
        <v>9194</v>
      </c>
      <c r="B2644">
        <v>8011790</v>
      </c>
      <c r="D2644" s="11" t="s">
        <v>9195</v>
      </c>
      <c r="E2644" s="11" t="s">
        <v>9196</v>
      </c>
    </row>
    <row r="2645" spans="1:5">
      <c r="A2645" s="11" t="s">
        <v>1518</v>
      </c>
      <c r="B2645">
        <v>8010154</v>
      </c>
      <c r="D2645" s="11" t="s">
        <v>9197</v>
      </c>
      <c r="E2645" s="11" t="s">
        <v>9198</v>
      </c>
    </row>
    <row r="2646" spans="1:5">
      <c r="A2646" s="11" t="s">
        <v>9199</v>
      </c>
      <c r="B2646">
        <v>8002461</v>
      </c>
      <c r="D2646" s="11" t="s">
        <v>9200</v>
      </c>
      <c r="E2646" s="11" t="s">
        <v>9201</v>
      </c>
    </row>
    <row r="2647" spans="1:5">
      <c r="A2647" s="11" t="s">
        <v>9202</v>
      </c>
      <c r="B2647">
        <v>8011791</v>
      </c>
      <c r="D2647" s="11" t="s">
        <v>9203</v>
      </c>
      <c r="E2647" s="11" t="s">
        <v>9204</v>
      </c>
    </row>
    <row r="2648" spans="1:5">
      <c r="A2648" s="11" t="s">
        <v>9205</v>
      </c>
      <c r="B2648">
        <v>8002484</v>
      </c>
      <c r="D2648" s="11" t="s">
        <v>9206</v>
      </c>
      <c r="E2648" s="11" t="s">
        <v>9207</v>
      </c>
    </row>
    <row r="2649" spans="1:5">
      <c r="A2649" s="11" t="s">
        <v>9208</v>
      </c>
      <c r="B2649">
        <v>8002490</v>
      </c>
      <c r="D2649" s="11" t="s">
        <v>9209</v>
      </c>
      <c r="E2649" s="11" t="s">
        <v>9210</v>
      </c>
    </row>
    <row r="2650" spans="1:5">
      <c r="A2650" s="11" t="s">
        <v>9211</v>
      </c>
      <c r="B2650">
        <v>8000138</v>
      </c>
      <c r="D2650" s="11" t="s">
        <v>9212</v>
      </c>
      <c r="E2650" s="11" t="s">
        <v>9213</v>
      </c>
    </row>
    <row r="2651" spans="1:5">
      <c r="A2651" s="11" t="s">
        <v>9214</v>
      </c>
      <c r="B2651">
        <v>8002491</v>
      </c>
      <c r="D2651" s="11" t="s">
        <v>9215</v>
      </c>
      <c r="E2651" s="11" t="s">
        <v>9216</v>
      </c>
    </row>
    <row r="2652" spans="1:5">
      <c r="A2652" s="11" t="s">
        <v>9217</v>
      </c>
      <c r="B2652">
        <v>8011792</v>
      </c>
      <c r="D2652" s="11" t="s">
        <v>9218</v>
      </c>
      <c r="E2652" s="11" t="s">
        <v>9219</v>
      </c>
    </row>
    <row r="2653" spans="1:5">
      <c r="A2653" s="11" t="s">
        <v>9220</v>
      </c>
      <c r="B2653">
        <v>8002494</v>
      </c>
      <c r="D2653" s="11" t="s">
        <v>9221</v>
      </c>
      <c r="E2653" s="11" t="s">
        <v>9222</v>
      </c>
    </row>
    <row r="2654" spans="1:5">
      <c r="A2654" s="11" t="s">
        <v>9223</v>
      </c>
      <c r="B2654">
        <v>8002495</v>
      </c>
      <c r="D2654" s="11" t="s">
        <v>9224</v>
      </c>
      <c r="E2654" s="11" t="s">
        <v>9225</v>
      </c>
    </row>
    <row r="2655" spans="1:5">
      <c r="A2655" s="11" t="s">
        <v>9226</v>
      </c>
      <c r="B2655">
        <v>8071533</v>
      </c>
      <c r="D2655" s="11" t="s">
        <v>1539</v>
      </c>
      <c r="E2655" s="11" t="s">
        <v>1539</v>
      </c>
    </row>
    <row r="2656" spans="1:5">
      <c r="A2656" s="11" t="s">
        <v>9227</v>
      </c>
      <c r="B2656">
        <v>8002496</v>
      </c>
      <c r="D2656" s="11" t="s">
        <v>9228</v>
      </c>
      <c r="E2656" s="11" t="s">
        <v>9229</v>
      </c>
    </row>
    <row r="2657" spans="1:5">
      <c r="A2657" s="11" t="s">
        <v>9230</v>
      </c>
      <c r="B2657">
        <v>8002497</v>
      </c>
      <c r="D2657" s="11" t="s">
        <v>9231</v>
      </c>
      <c r="E2657" s="11" t="s">
        <v>9232</v>
      </c>
    </row>
    <row r="2658" spans="1:5">
      <c r="A2658" s="11" t="s">
        <v>9233</v>
      </c>
      <c r="B2658">
        <v>8011794</v>
      </c>
      <c r="D2658" s="11" t="s">
        <v>9234</v>
      </c>
      <c r="E2658" s="11" t="s">
        <v>9235</v>
      </c>
    </row>
    <row r="2659" spans="1:5">
      <c r="A2659" s="11" t="s">
        <v>9236</v>
      </c>
      <c r="B2659">
        <v>8002504</v>
      </c>
      <c r="D2659" s="11" t="s">
        <v>9237</v>
      </c>
      <c r="E2659" s="11" t="s">
        <v>9238</v>
      </c>
    </row>
    <row r="2660" spans="1:5">
      <c r="A2660" s="11" t="s">
        <v>9239</v>
      </c>
      <c r="B2660">
        <v>8011797</v>
      </c>
      <c r="D2660" s="11" t="s">
        <v>9240</v>
      </c>
      <c r="E2660" s="11" t="s">
        <v>9241</v>
      </c>
    </row>
    <row r="2661" spans="1:5">
      <c r="A2661" s="11" t="s">
        <v>9242</v>
      </c>
      <c r="B2661">
        <v>8079731</v>
      </c>
      <c r="D2661" s="11" t="s">
        <v>9243</v>
      </c>
      <c r="E2661" s="11" t="s">
        <v>9244</v>
      </c>
    </row>
    <row r="2662" spans="1:5">
      <c r="A2662" s="11" t="s">
        <v>9245</v>
      </c>
      <c r="B2662">
        <v>8002506</v>
      </c>
      <c r="D2662" s="11" t="s">
        <v>9246</v>
      </c>
      <c r="E2662" s="11" t="s">
        <v>9247</v>
      </c>
    </row>
    <row r="2663" spans="1:5">
      <c r="A2663" s="11" t="s">
        <v>9248</v>
      </c>
      <c r="B2663">
        <v>8000142</v>
      </c>
      <c r="D2663" s="11" t="s">
        <v>9249</v>
      </c>
      <c r="E2663" s="11" t="s">
        <v>9250</v>
      </c>
    </row>
    <row r="2664" spans="1:5">
      <c r="A2664" s="11" t="s">
        <v>9251</v>
      </c>
      <c r="B2664">
        <v>8002507</v>
      </c>
      <c r="D2664" s="11" t="s">
        <v>9252</v>
      </c>
      <c r="E2664" s="11" t="s">
        <v>9253</v>
      </c>
    </row>
    <row r="2665" spans="1:5">
      <c r="A2665" s="11" t="s">
        <v>9254</v>
      </c>
      <c r="B2665">
        <v>8002515</v>
      </c>
      <c r="D2665" s="11" t="s">
        <v>9255</v>
      </c>
      <c r="E2665" s="11" t="s">
        <v>9256</v>
      </c>
    </row>
    <row r="2666" spans="1:5">
      <c r="A2666" s="11" t="s">
        <v>9257</v>
      </c>
      <c r="B2666">
        <v>8002517</v>
      </c>
      <c r="D2666" s="11" t="s">
        <v>9258</v>
      </c>
      <c r="E2666" s="11" t="s">
        <v>9259</v>
      </c>
    </row>
    <row r="2667" spans="1:5">
      <c r="A2667" s="11" t="s">
        <v>9260</v>
      </c>
      <c r="B2667">
        <v>8002512</v>
      </c>
      <c r="D2667" s="11" t="s">
        <v>9261</v>
      </c>
      <c r="E2667" s="11" t="s">
        <v>9262</v>
      </c>
    </row>
    <row r="2668" spans="1:5">
      <c r="A2668" s="11" t="s">
        <v>9263</v>
      </c>
      <c r="B2668">
        <v>8002514</v>
      </c>
      <c r="D2668" s="11" t="s">
        <v>9264</v>
      </c>
      <c r="E2668" s="11" t="s">
        <v>9265</v>
      </c>
    </row>
    <row r="2669" spans="1:5">
      <c r="A2669" s="11" t="s">
        <v>9266</v>
      </c>
      <c r="B2669">
        <v>8010156</v>
      </c>
      <c r="D2669" s="11" t="s">
        <v>9267</v>
      </c>
      <c r="E2669" s="11" t="s">
        <v>9268</v>
      </c>
    </row>
    <row r="2670" spans="1:5">
      <c r="A2670" s="11" t="s">
        <v>9269</v>
      </c>
      <c r="B2670">
        <v>8011798</v>
      </c>
      <c r="D2670" s="11" t="s">
        <v>9270</v>
      </c>
      <c r="E2670" s="11" t="s">
        <v>9271</v>
      </c>
    </row>
    <row r="2671" spans="1:5">
      <c r="A2671" s="11" t="s">
        <v>702</v>
      </c>
      <c r="B2671">
        <v>8000977</v>
      </c>
      <c r="D2671" s="11" t="s">
        <v>704</v>
      </c>
      <c r="E2671" s="11" t="s">
        <v>705</v>
      </c>
    </row>
    <row r="2672" spans="1:5">
      <c r="A2672" s="11" t="s">
        <v>9272</v>
      </c>
      <c r="B2672">
        <v>8006712</v>
      </c>
      <c r="D2672" s="11" t="s">
        <v>9273</v>
      </c>
      <c r="E2672" s="11" t="s">
        <v>9274</v>
      </c>
    </row>
    <row r="2673" spans="1:5">
      <c r="A2673" s="11" t="s">
        <v>9275</v>
      </c>
      <c r="B2673">
        <v>8011799</v>
      </c>
      <c r="D2673" s="11" t="s">
        <v>9276</v>
      </c>
      <c r="E2673" s="11" t="s">
        <v>9277</v>
      </c>
    </row>
    <row r="2674" spans="1:5">
      <c r="A2674" s="11" t="s">
        <v>9278</v>
      </c>
      <c r="B2674">
        <v>8004440</v>
      </c>
      <c r="D2674" s="11" t="s">
        <v>9279</v>
      </c>
      <c r="E2674" s="11" t="s">
        <v>9280</v>
      </c>
    </row>
    <row r="2675" spans="1:5">
      <c r="A2675" s="11" t="s">
        <v>9281</v>
      </c>
      <c r="B2675">
        <v>8006820</v>
      </c>
      <c r="D2675" s="11" t="s">
        <v>9282</v>
      </c>
      <c r="E2675" s="11" t="s">
        <v>9283</v>
      </c>
    </row>
    <row r="2676" spans="1:5">
      <c r="A2676" s="11" t="s">
        <v>9284</v>
      </c>
      <c r="B2676">
        <v>8011795</v>
      </c>
      <c r="D2676" s="11" t="s">
        <v>9285</v>
      </c>
      <c r="E2676" s="11" t="s">
        <v>9286</v>
      </c>
    </row>
    <row r="2677" spans="1:5">
      <c r="A2677" s="11" t="s">
        <v>9287</v>
      </c>
      <c r="B2677">
        <v>8002498</v>
      </c>
      <c r="D2677" s="11" t="s">
        <v>9288</v>
      </c>
      <c r="E2677" s="11" t="s">
        <v>9289</v>
      </c>
    </row>
    <row r="2678" spans="1:5">
      <c r="A2678" s="11" t="s">
        <v>9290</v>
      </c>
      <c r="B2678">
        <v>8002523</v>
      </c>
      <c r="D2678" s="11" t="s">
        <v>9291</v>
      </c>
      <c r="E2678" s="11" t="s">
        <v>9292</v>
      </c>
    </row>
    <row r="2679" spans="1:5">
      <c r="A2679" s="11" t="s">
        <v>9293</v>
      </c>
      <c r="B2679">
        <v>8070414</v>
      </c>
      <c r="D2679" s="11" t="s">
        <v>9294</v>
      </c>
      <c r="E2679" s="11" t="s">
        <v>9295</v>
      </c>
    </row>
    <row r="2680" spans="1:5">
      <c r="A2680" s="11" t="s">
        <v>9296</v>
      </c>
      <c r="B2680">
        <v>8071437</v>
      </c>
      <c r="D2680" s="11" t="s">
        <v>9297</v>
      </c>
      <c r="E2680" s="11" t="s">
        <v>9298</v>
      </c>
    </row>
    <row r="2681" spans="1:5">
      <c r="A2681" s="11" t="s">
        <v>9299</v>
      </c>
      <c r="B2681">
        <v>8000386</v>
      </c>
      <c r="D2681" s="11" t="s">
        <v>9300</v>
      </c>
      <c r="E2681" s="11" t="s">
        <v>9301</v>
      </c>
    </row>
    <row r="2682" spans="1:5">
      <c r="A2682" s="11" t="s">
        <v>9302</v>
      </c>
      <c r="B2682">
        <v>8002524</v>
      </c>
      <c r="D2682" s="11" t="s">
        <v>9303</v>
      </c>
      <c r="E2682" s="11" t="s">
        <v>9304</v>
      </c>
    </row>
    <row r="2683" spans="1:5">
      <c r="A2683" s="11" t="s">
        <v>9305</v>
      </c>
      <c r="B2683">
        <v>8070415</v>
      </c>
      <c r="D2683" s="11" t="s">
        <v>9306</v>
      </c>
      <c r="E2683" s="11" t="s">
        <v>9307</v>
      </c>
    </row>
    <row r="2684" spans="1:5">
      <c r="A2684" s="11" t="s">
        <v>9308</v>
      </c>
      <c r="B2684">
        <v>8002526</v>
      </c>
      <c r="D2684" s="11" t="s">
        <v>9309</v>
      </c>
      <c r="E2684" s="11" t="s">
        <v>9310</v>
      </c>
    </row>
    <row r="2685" spans="1:5">
      <c r="A2685" s="11" t="s">
        <v>9311</v>
      </c>
      <c r="B2685">
        <v>8002531</v>
      </c>
      <c r="D2685" s="11" t="s">
        <v>9312</v>
      </c>
      <c r="E2685" s="11" t="s">
        <v>9313</v>
      </c>
    </row>
    <row r="2686" spans="1:5">
      <c r="A2686" s="11" t="s">
        <v>9314</v>
      </c>
      <c r="B2686">
        <v>8011801</v>
      </c>
      <c r="D2686" s="11" t="s">
        <v>9315</v>
      </c>
      <c r="E2686" s="11" t="s">
        <v>9316</v>
      </c>
    </row>
    <row r="2687" spans="1:5">
      <c r="A2687" s="11" t="s">
        <v>9317</v>
      </c>
      <c r="B2687">
        <v>8071054</v>
      </c>
      <c r="D2687" s="11" t="s">
        <v>9318</v>
      </c>
      <c r="E2687" s="11" t="s">
        <v>9319</v>
      </c>
    </row>
    <row r="2688" spans="1:5">
      <c r="A2688" s="11" t="s">
        <v>9320</v>
      </c>
      <c r="B2688">
        <v>8011802</v>
      </c>
      <c r="D2688" s="11" t="s">
        <v>9321</v>
      </c>
      <c r="E2688" s="11" t="s">
        <v>9322</v>
      </c>
    </row>
    <row r="2689" spans="1:5">
      <c r="A2689" s="11" t="s">
        <v>9323</v>
      </c>
      <c r="B2689">
        <v>8002529</v>
      </c>
      <c r="D2689" s="11" t="s">
        <v>9324</v>
      </c>
      <c r="E2689" s="11" t="s">
        <v>9325</v>
      </c>
    </row>
    <row r="2690" spans="1:5">
      <c r="A2690" s="11" t="s">
        <v>9326</v>
      </c>
      <c r="B2690">
        <v>8002532</v>
      </c>
      <c r="D2690" s="11" t="s">
        <v>9327</v>
      </c>
      <c r="E2690" s="11" t="s">
        <v>9328</v>
      </c>
    </row>
    <row r="2691" spans="1:5">
      <c r="A2691" s="11" t="s">
        <v>9329</v>
      </c>
      <c r="B2691">
        <v>8011805</v>
      </c>
      <c r="D2691" s="11" t="s">
        <v>9330</v>
      </c>
      <c r="E2691" s="11" t="s">
        <v>9331</v>
      </c>
    </row>
    <row r="2692" spans="1:5">
      <c r="A2692" s="11" t="s">
        <v>9332</v>
      </c>
      <c r="B2692">
        <v>8010157</v>
      </c>
      <c r="D2692" s="11" t="s">
        <v>9333</v>
      </c>
      <c r="E2692" s="11" t="s">
        <v>9334</v>
      </c>
    </row>
    <row r="2693" spans="1:5">
      <c r="A2693" s="11" t="s">
        <v>9335</v>
      </c>
      <c r="B2693">
        <v>8011808</v>
      </c>
      <c r="D2693" s="11" t="s">
        <v>9336</v>
      </c>
      <c r="E2693" s="11" t="s">
        <v>9337</v>
      </c>
    </row>
    <row r="2694" spans="1:5">
      <c r="A2694" s="11" t="s">
        <v>9338</v>
      </c>
      <c r="B2694">
        <v>8011809</v>
      </c>
      <c r="D2694" s="11" t="s">
        <v>9339</v>
      </c>
      <c r="E2694" s="11" t="s">
        <v>9340</v>
      </c>
    </row>
    <row r="2695" spans="1:5">
      <c r="A2695" s="11" t="s">
        <v>9341</v>
      </c>
      <c r="B2695">
        <v>8002533</v>
      </c>
      <c r="D2695" s="11" t="s">
        <v>9342</v>
      </c>
      <c r="E2695" s="11" t="s">
        <v>9343</v>
      </c>
    </row>
    <row r="2696" spans="1:5">
      <c r="A2696" s="11" t="s">
        <v>9344</v>
      </c>
      <c r="B2696">
        <v>8010158</v>
      </c>
      <c r="D2696" s="11" t="s">
        <v>9345</v>
      </c>
      <c r="E2696" s="11" t="s">
        <v>9346</v>
      </c>
    </row>
    <row r="2697" spans="1:5">
      <c r="A2697" s="11" t="s">
        <v>9347</v>
      </c>
      <c r="B2697">
        <v>8002536</v>
      </c>
      <c r="D2697" s="11" t="s">
        <v>9348</v>
      </c>
      <c r="E2697" s="11" t="s">
        <v>9349</v>
      </c>
    </row>
    <row r="2698" spans="1:5">
      <c r="A2698" s="11" t="s">
        <v>9350</v>
      </c>
      <c r="B2698">
        <v>8002537</v>
      </c>
      <c r="D2698" s="11" t="s">
        <v>9351</v>
      </c>
      <c r="E2698" s="11" t="s">
        <v>9352</v>
      </c>
    </row>
    <row r="2699" spans="1:5">
      <c r="A2699" s="11" t="s">
        <v>9353</v>
      </c>
      <c r="B2699">
        <v>8070801</v>
      </c>
      <c r="D2699" s="11" t="s">
        <v>9354</v>
      </c>
      <c r="E2699" s="11" t="s">
        <v>9355</v>
      </c>
    </row>
    <row r="2700" spans="1:5">
      <c r="A2700" s="11" t="s">
        <v>9356</v>
      </c>
      <c r="B2700">
        <v>8002534</v>
      </c>
      <c r="D2700" s="11" t="s">
        <v>9357</v>
      </c>
      <c r="E2700" s="11" t="s">
        <v>9358</v>
      </c>
    </row>
    <row r="2701" spans="1:5">
      <c r="A2701" s="11" t="s">
        <v>9359</v>
      </c>
      <c r="B2701">
        <v>8080560</v>
      </c>
      <c r="D2701" s="11" t="s">
        <v>9360</v>
      </c>
      <c r="E2701" s="11" t="s">
        <v>9361</v>
      </c>
    </row>
    <row r="2702" spans="1:5">
      <c r="A2702" s="11" t="s">
        <v>9362</v>
      </c>
      <c r="B2702">
        <v>8010155</v>
      </c>
      <c r="D2702" s="11" t="s">
        <v>9363</v>
      </c>
      <c r="E2702" s="11" t="s">
        <v>9364</v>
      </c>
    </row>
    <row r="2703" spans="1:5">
      <c r="A2703" s="11" t="s">
        <v>9365</v>
      </c>
      <c r="B2703">
        <v>8080570</v>
      </c>
      <c r="D2703" s="11" t="s">
        <v>9366</v>
      </c>
      <c r="E2703" s="11" t="s">
        <v>9367</v>
      </c>
    </row>
    <row r="2704" spans="1:5">
      <c r="A2704" s="11" t="s">
        <v>9368</v>
      </c>
      <c r="B2704">
        <v>8080580</v>
      </c>
      <c r="D2704" s="11" t="s">
        <v>9369</v>
      </c>
      <c r="E2704" s="11" t="s">
        <v>9370</v>
      </c>
    </row>
    <row r="2705" spans="1:5">
      <c r="A2705" s="11" t="s">
        <v>9371</v>
      </c>
      <c r="B2705">
        <v>8080590</v>
      </c>
      <c r="D2705" s="11" t="s">
        <v>9372</v>
      </c>
      <c r="E2705" s="11" t="s">
        <v>9373</v>
      </c>
    </row>
    <row r="2706" spans="1:5">
      <c r="A2706" s="11" t="s">
        <v>9374</v>
      </c>
      <c r="B2706">
        <v>8080600</v>
      </c>
      <c r="D2706" s="11" t="s">
        <v>9375</v>
      </c>
      <c r="E2706" s="11" t="s">
        <v>9376</v>
      </c>
    </row>
    <row r="2707" spans="1:5">
      <c r="A2707" s="11" t="s">
        <v>9377</v>
      </c>
      <c r="B2707">
        <v>8080610</v>
      </c>
      <c r="D2707" s="11" t="s">
        <v>9378</v>
      </c>
      <c r="E2707" s="11" t="s">
        <v>9379</v>
      </c>
    </row>
    <row r="2708" spans="1:5">
      <c r="A2708" s="11" t="s">
        <v>9380</v>
      </c>
      <c r="B2708">
        <v>8080620</v>
      </c>
      <c r="D2708" s="11" t="s">
        <v>9381</v>
      </c>
      <c r="E2708" s="11" t="s">
        <v>9382</v>
      </c>
    </row>
    <row r="2709" spans="1:5">
      <c r="A2709" s="11" t="s">
        <v>9383</v>
      </c>
      <c r="B2709">
        <v>8011811</v>
      </c>
      <c r="D2709" s="11" t="s">
        <v>9384</v>
      </c>
      <c r="E2709" s="11" t="s">
        <v>9385</v>
      </c>
    </row>
    <row r="2710" spans="1:5">
      <c r="A2710" s="11" t="s">
        <v>9386</v>
      </c>
      <c r="B2710">
        <v>8010159</v>
      </c>
      <c r="D2710" s="11" t="s">
        <v>9387</v>
      </c>
      <c r="E2710" s="11" t="s">
        <v>9388</v>
      </c>
    </row>
    <row r="2711" spans="1:5">
      <c r="A2711" s="11" t="s">
        <v>9389</v>
      </c>
      <c r="B2711">
        <v>8002539</v>
      </c>
      <c r="D2711" s="11" t="s">
        <v>9390</v>
      </c>
      <c r="E2711" s="11" t="s">
        <v>9391</v>
      </c>
    </row>
    <row r="2712" spans="1:5">
      <c r="A2712" s="11" t="s">
        <v>9392</v>
      </c>
      <c r="B2712">
        <v>8080630</v>
      </c>
      <c r="D2712" s="11" t="s">
        <v>9393</v>
      </c>
      <c r="E2712" s="11" t="s">
        <v>9394</v>
      </c>
    </row>
    <row r="2713" spans="1:5">
      <c r="A2713" s="11" t="s">
        <v>9395</v>
      </c>
      <c r="B2713">
        <v>8010162</v>
      </c>
      <c r="D2713" s="11" t="s">
        <v>9396</v>
      </c>
      <c r="E2713" s="11" t="s">
        <v>9397</v>
      </c>
    </row>
    <row r="2714" spans="1:5">
      <c r="A2714" s="11" t="s">
        <v>9398</v>
      </c>
      <c r="B2714">
        <v>8010160</v>
      </c>
      <c r="D2714" s="11" t="s">
        <v>9399</v>
      </c>
      <c r="E2714" s="11" t="s">
        <v>9400</v>
      </c>
    </row>
    <row r="2715" spans="1:5">
      <c r="A2715" s="11" t="s">
        <v>9401</v>
      </c>
      <c r="B2715">
        <v>8011813</v>
      </c>
      <c r="D2715" s="11" t="s">
        <v>9402</v>
      </c>
      <c r="E2715" s="11" t="s">
        <v>9403</v>
      </c>
    </row>
    <row r="2716" spans="1:5">
      <c r="A2716" s="11" t="s">
        <v>9404</v>
      </c>
      <c r="B2716">
        <v>8013448</v>
      </c>
      <c r="D2716" s="11" t="s">
        <v>9405</v>
      </c>
      <c r="E2716" s="11" t="s">
        <v>9406</v>
      </c>
    </row>
    <row r="2717" spans="1:5">
      <c r="A2717" s="11" t="s">
        <v>9407</v>
      </c>
      <c r="B2717">
        <v>8011814</v>
      </c>
      <c r="D2717" s="11" t="s">
        <v>9408</v>
      </c>
      <c r="E2717" s="11" t="s">
        <v>9409</v>
      </c>
    </row>
    <row r="2718" spans="1:5">
      <c r="A2718" s="11" t="s">
        <v>9410</v>
      </c>
      <c r="B2718">
        <v>8079001</v>
      </c>
      <c r="D2718" s="11" t="s">
        <v>9411</v>
      </c>
      <c r="E2718" s="11" t="s">
        <v>9412</v>
      </c>
    </row>
    <row r="2719" spans="1:5">
      <c r="A2719" s="11" t="s">
        <v>9413</v>
      </c>
      <c r="B2719">
        <v>8079002</v>
      </c>
      <c r="D2719" s="11" t="s">
        <v>9414</v>
      </c>
      <c r="E2719" s="11" t="s">
        <v>9415</v>
      </c>
    </row>
    <row r="2720" spans="1:5">
      <c r="A2720" s="11" t="s">
        <v>9416</v>
      </c>
      <c r="B2720">
        <v>8002542</v>
      </c>
      <c r="D2720" s="11" t="s">
        <v>9417</v>
      </c>
      <c r="E2720" s="11" t="s">
        <v>9418</v>
      </c>
    </row>
    <row r="2721" spans="1:5">
      <c r="A2721" s="11" t="s">
        <v>9419</v>
      </c>
      <c r="B2721">
        <v>8071030</v>
      </c>
      <c r="D2721" s="11" t="s">
        <v>9420</v>
      </c>
      <c r="E2721" s="11" t="s">
        <v>9421</v>
      </c>
    </row>
    <row r="2722" spans="1:5">
      <c r="A2722" s="11" t="s">
        <v>9422</v>
      </c>
      <c r="B2722">
        <v>8002545</v>
      </c>
      <c r="D2722" s="11" t="s">
        <v>9423</v>
      </c>
      <c r="E2722" s="11" t="s">
        <v>9424</v>
      </c>
    </row>
    <row r="2723" spans="1:5">
      <c r="A2723" s="11" t="s">
        <v>9425</v>
      </c>
      <c r="B2723">
        <v>8000145</v>
      </c>
      <c r="D2723" s="11" t="s">
        <v>9426</v>
      </c>
      <c r="E2723" s="11" t="s">
        <v>9427</v>
      </c>
    </row>
    <row r="2724" spans="1:5">
      <c r="A2724" s="11" t="s">
        <v>54</v>
      </c>
      <c r="B2724">
        <v>8002546</v>
      </c>
      <c r="D2724" s="11" t="s">
        <v>573</v>
      </c>
      <c r="E2724" s="11" t="s">
        <v>574</v>
      </c>
    </row>
    <row r="2725" spans="1:5">
      <c r="A2725" s="11" t="s">
        <v>9428</v>
      </c>
      <c r="B2725">
        <v>8070928</v>
      </c>
      <c r="D2725" s="11" t="s">
        <v>9429</v>
      </c>
      <c r="E2725" s="11" t="s">
        <v>9430</v>
      </c>
    </row>
    <row r="2726" spans="1:5">
      <c r="A2726" s="11" t="s">
        <v>9431</v>
      </c>
      <c r="B2726">
        <v>8079231</v>
      </c>
      <c r="D2726" s="11" t="s">
        <v>9432</v>
      </c>
      <c r="E2726" s="11" t="s">
        <v>9433</v>
      </c>
    </row>
    <row r="2727" spans="1:5">
      <c r="A2727" s="11" t="s">
        <v>9434</v>
      </c>
      <c r="B2727">
        <v>8002535</v>
      </c>
      <c r="D2727" s="11" t="s">
        <v>9435</v>
      </c>
      <c r="E2727" s="11" t="s">
        <v>9436</v>
      </c>
    </row>
    <row r="2728" spans="1:5">
      <c r="A2728" s="11" t="s">
        <v>9437</v>
      </c>
      <c r="B2728">
        <v>8002547</v>
      </c>
      <c r="D2728" s="11" t="s">
        <v>9438</v>
      </c>
      <c r="E2728" s="11" t="s">
        <v>9439</v>
      </c>
    </row>
    <row r="2729" spans="1:5">
      <c r="A2729" s="11" t="s">
        <v>9440</v>
      </c>
      <c r="B2729">
        <v>8000512</v>
      </c>
      <c r="D2729" s="11" t="s">
        <v>9441</v>
      </c>
      <c r="E2729" s="11" t="s">
        <v>9442</v>
      </c>
    </row>
    <row r="2730" spans="1:5">
      <c r="A2730" s="11" t="s">
        <v>9443</v>
      </c>
      <c r="B2730">
        <v>8000908</v>
      </c>
      <c r="D2730" s="11" t="s">
        <v>9444</v>
      </c>
      <c r="E2730" s="11" t="s">
        <v>9445</v>
      </c>
    </row>
    <row r="2731" spans="1:5">
      <c r="A2731" s="11" t="s">
        <v>9446</v>
      </c>
      <c r="B2731">
        <v>8000971</v>
      </c>
      <c r="D2731" s="11" t="s">
        <v>9447</v>
      </c>
      <c r="E2731" s="11" t="s">
        <v>9448</v>
      </c>
    </row>
    <row r="2732" spans="1:5">
      <c r="A2732" s="11" t="s">
        <v>9449</v>
      </c>
      <c r="B2732">
        <v>8007046</v>
      </c>
      <c r="D2732" s="11" t="s">
        <v>9450</v>
      </c>
      <c r="E2732" s="11" t="s">
        <v>9451</v>
      </c>
    </row>
    <row r="2733" spans="1:5">
      <c r="A2733" s="11" t="s">
        <v>9452</v>
      </c>
      <c r="B2733">
        <v>8002548</v>
      </c>
      <c r="D2733" s="11" t="s">
        <v>9453</v>
      </c>
      <c r="E2733" s="11" t="s">
        <v>9454</v>
      </c>
    </row>
    <row r="2734" spans="1:5">
      <c r="A2734" s="11" t="s">
        <v>9455</v>
      </c>
      <c r="B2734">
        <v>8001438</v>
      </c>
      <c r="D2734" s="11" t="s">
        <v>9456</v>
      </c>
      <c r="E2734" s="11" t="s">
        <v>9457</v>
      </c>
    </row>
    <row r="2735" spans="1:5">
      <c r="A2735" s="11" t="s">
        <v>9458</v>
      </c>
      <c r="B2735">
        <v>8002551</v>
      </c>
      <c r="D2735" s="11" t="s">
        <v>9459</v>
      </c>
      <c r="E2735" s="11" t="s">
        <v>9460</v>
      </c>
    </row>
    <row r="2736" spans="1:5">
      <c r="A2736" s="11" t="s">
        <v>9461</v>
      </c>
      <c r="B2736">
        <v>8001739</v>
      </c>
      <c r="D2736" s="11" t="s">
        <v>9462</v>
      </c>
      <c r="E2736" s="11" t="s">
        <v>9463</v>
      </c>
    </row>
    <row r="2737" spans="1:5">
      <c r="A2737" s="11" t="s">
        <v>9464</v>
      </c>
      <c r="B2737">
        <v>8002106</v>
      </c>
      <c r="D2737" s="11" t="s">
        <v>9465</v>
      </c>
      <c r="E2737" s="11" t="s">
        <v>9466</v>
      </c>
    </row>
    <row r="2738" spans="1:5">
      <c r="A2738" s="11" t="s">
        <v>9467</v>
      </c>
      <c r="B2738">
        <v>8002628</v>
      </c>
      <c r="D2738" s="11" t="s">
        <v>9468</v>
      </c>
      <c r="E2738" s="11" t="s">
        <v>9469</v>
      </c>
    </row>
    <row r="2739" spans="1:5">
      <c r="A2739" s="11" t="s">
        <v>9470</v>
      </c>
      <c r="B2739">
        <v>8002549</v>
      </c>
      <c r="D2739" s="11" t="s">
        <v>9471</v>
      </c>
      <c r="E2739" s="11" t="s">
        <v>9472</v>
      </c>
    </row>
    <row r="2740" spans="1:5">
      <c r="A2740" s="11" t="s">
        <v>9473</v>
      </c>
      <c r="B2740">
        <v>8002873</v>
      </c>
      <c r="D2740" s="11" t="s">
        <v>9474</v>
      </c>
      <c r="E2740" s="11" t="s">
        <v>9475</v>
      </c>
    </row>
    <row r="2741" spans="1:5">
      <c r="A2741" s="11" t="s">
        <v>9476</v>
      </c>
      <c r="B2741">
        <v>8002946</v>
      </c>
      <c r="D2741" s="11" t="s">
        <v>9477</v>
      </c>
      <c r="E2741" s="11" t="s">
        <v>9478</v>
      </c>
    </row>
    <row r="2742" spans="1:5">
      <c r="A2742" s="11" t="s">
        <v>9479</v>
      </c>
      <c r="B2742">
        <v>8002550</v>
      </c>
      <c r="D2742" s="11" t="s">
        <v>9480</v>
      </c>
      <c r="E2742" s="11" t="s">
        <v>9481</v>
      </c>
    </row>
    <row r="2743" spans="1:5">
      <c r="A2743" s="11" t="s">
        <v>9482</v>
      </c>
      <c r="B2743">
        <v>8003137</v>
      </c>
      <c r="D2743" s="11" t="s">
        <v>9483</v>
      </c>
      <c r="E2743" s="11" t="s">
        <v>9484</v>
      </c>
    </row>
    <row r="2744" spans="1:5">
      <c r="A2744" s="11" t="s">
        <v>9485</v>
      </c>
      <c r="B2744">
        <v>8071182</v>
      </c>
      <c r="D2744" s="11" t="s">
        <v>1539</v>
      </c>
      <c r="E2744" s="11" t="s">
        <v>1539</v>
      </c>
    </row>
    <row r="2745" spans="1:5">
      <c r="A2745" s="11" t="s">
        <v>9486</v>
      </c>
      <c r="B2745">
        <v>8003312</v>
      </c>
      <c r="D2745" s="11" t="s">
        <v>9487</v>
      </c>
      <c r="E2745" s="11" t="s">
        <v>9488</v>
      </c>
    </row>
    <row r="2746" spans="1:5">
      <c r="A2746" s="11" t="s">
        <v>9489</v>
      </c>
      <c r="B2746">
        <v>8006706</v>
      </c>
      <c r="D2746" s="11" t="s">
        <v>9490</v>
      </c>
      <c r="E2746" s="11" t="s">
        <v>9491</v>
      </c>
    </row>
    <row r="2747" spans="1:5">
      <c r="A2747" s="11" t="s">
        <v>9492</v>
      </c>
      <c r="B2747">
        <v>8003410</v>
      </c>
      <c r="D2747" s="11" t="s">
        <v>9493</v>
      </c>
      <c r="E2747" s="11" t="s">
        <v>9494</v>
      </c>
    </row>
    <row r="2748" spans="1:5">
      <c r="A2748" s="11" t="s">
        <v>9495</v>
      </c>
      <c r="B2748">
        <v>8003518</v>
      </c>
      <c r="D2748" s="11" t="s">
        <v>9496</v>
      </c>
      <c r="E2748" s="11" t="s">
        <v>9497</v>
      </c>
    </row>
    <row r="2749" spans="1:5">
      <c r="A2749" s="11" t="s">
        <v>9498</v>
      </c>
      <c r="B2749">
        <v>8003519</v>
      </c>
      <c r="D2749" s="11" t="s">
        <v>9499</v>
      </c>
      <c r="E2749" s="11" t="s">
        <v>9500</v>
      </c>
    </row>
    <row r="2750" spans="1:5">
      <c r="A2750" s="11" t="s">
        <v>9501</v>
      </c>
      <c r="B2750">
        <v>8004048</v>
      </c>
      <c r="D2750" s="11" t="s">
        <v>9502</v>
      </c>
      <c r="E2750" s="11" t="s">
        <v>9503</v>
      </c>
    </row>
    <row r="2751" spans="1:5">
      <c r="A2751" s="11" t="s">
        <v>9504</v>
      </c>
      <c r="B2751">
        <v>8006750</v>
      </c>
      <c r="D2751" s="11" t="s">
        <v>9505</v>
      </c>
      <c r="E2751" s="11" t="s">
        <v>9506</v>
      </c>
    </row>
    <row r="2752" spans="1:5">
      <c r="A2752" s="11" t="s">
        <v>9507</v>
      </c>
      <c r="B2752">
        <v>8006705</v>
      </c>
      <c r="D2752" s="11" t="s">
        <v>9508</v>
      </c>
      <c r="E2752" s="11" t="s">
        <v>9509</v>
      </c>
    </row>
    <row r="2753" spans="1:5">
      <c r="A2753" s="11" t="s">
        <v>9510</v>
      </c>
      <c r="B2753">
        <v>8005207</v>
      </c>
      <c r="D2753" s="11" t="s">
        <v>9511</v>
      </c>
      <c r="E2753" s="11" t="s">
        <v>9512</v>
      </c>
    </row>
    <row r="2754" spans="1:5">
      <c r="A2754" s="11" t="s">
        <v>9513</v>
      </c>
      <c r="B2754">
        <v>8070053</v>
      </c>
      <c r="D2754" s="11" t="s">
        <v>1539</v>
      </c>
      <c r="E2754" s="11" t="s">
        <v>1539</v>
      </c>
    </row>
    <row r="2755" spans="1:5">
      <c r="A2755" s="11" t="s">
        <v>9514</v>
      </c>
      <c r="B2755">
        <v>8084080</v>
      </c>
      <c r="D2755" s="11" t="s">
        <v>1539</v>
      </c>
      <c r="E2755" s="11" t="s">
        <v>1539</v>
      </c>
    </row>
    <row r="2756" spans="1:5">
      <c r="A2756" s="11" t="s">
        <v>1470</v>
      </c>
      <c r="B2756">
        <v>8005663</v>
      </c>
      <c r="D2756" s="11" t="s">
        <v>9515</v>
      </c>
      <c r="E2756" s="11" t="s">
        <v>9516</v>
      </c>
    </row>
    <row r="2757" spans="1:5">
      <c r="A2757" s="11" t="s">
        <v>9517</v>
      </c>
      <c r="B2757">
        <v>8006198</v>
      </c>
      <c r="D2757" s="11" t="s">
        <v>9518</v>
      </c>
      <c r="E2757" s="11" t="s">
        <v>9519</v>
      </c>
    </row>
    <row r="2758" spans="1:5">
      <c r="A2758" s="11" t="s">
        <v>9520</v>
      </c>
      <c r="B2758">
        <v>8000779</v>
      </c>
      <c r="D2758" s="11" t="s">
        <v>9521</v>
      </c>
      <c r="E2758" s="11" t="s">
        <v>9522</v>
      </c>
    </row>
    <row r="2759" spans="1:5">
      <c r="A2759" s="11" t="s">
        <v>9523</v>
      </c>
      <c r="B2759">
        <v>8002553</v>
      </c>
      <c r="D2759" s="11" t="s">
        <v>9524</v>
      </c>
      <c r="E2759" s="11" t="s">
        <v>9525</v>
      </c>
    </row>
    <row r="2760" spans="1:5">
      <c r="A2760" s="11" t="s">
        <v>9526</v>
      </c>
      <c r="B2760">
        <v>8000780</v>
      </c>
      <c r="D2760" s="11" t="s">
        <v>9527</v>
      </c>
      <c r="E2760" s="11" t="s">
        <v>9528</v>
      </c>
    </row>
    <row r="2761" spans="1:5">
      <c r="A2761" s="11" t="s">
        <v>9529</v>
      </c>
      <c r="B2761">
        <v>8000805</v>
      </c>
      <c r="D2761" s="11" t="s">
        <v>9530</v>
      </c>
      <c r="E2761" s="11" t="s">
        <v>9531</v>
      </c>
    </row>
    <row r="2762" spans="1:5">
      <c r="A2762" s="11" t="s">
        <v>9532</v>
      </c>
      <c r="B2762">
        <v>8002554</v>
      </c>
      <c r="D2762" s="11" t="s">
        <v>9533</v>
      </c>
      <c r="E2762" s="11" t="s">
        <v>9534</v>
      </c>
    </row>
    <row r="2763" spans="1:5">
      <c r="A2763" s="11" t="s">
        <v>9535</v>
      </c>
      <c r="B2763">
        <v>8001007</v>
      </c>
      <c r="D2763" s="11" t="s">
        <v>9536</v>
      </c>
      <c r="E2763" s="11" t="s">
        <v>9537</v>
      </c>
    </row>
    <row r="2764" spans="1:5">
      <c r="A2764" s="11" t="s">
        <v>9538</v>
      </c>
      <c r="B2764">
        <v>8002555</v>
      </c>
      <c r="D2764" s="11" t="s">
        <v>9539</v>
      </c>
      <c r="E2764" s="11" t="s">
        <v>9540</v>
      </c>
    </row>
    <row r="2765" spans="1:5">
      <c r="A2765" s="11" t="s">
        <v>9541</v>
      </c>
      <c r="B2765">
        <v>8007044</v>
      </c>
      <c r="D2765" s="11" t="s">
        <v>9542</v>
      </c>
      <c r="E2765" s="11" t="s">
        <v>9543</v>
      </c>
    </row>
    <row r="2766" spans="1:5">
      <c r="A2766" s="11" t="s">
        <v>9544</v>
      </c>
      <c r="B2766">
        <v>8002556</v>
      </c>
      <c r="D2766" s="11" t="s">
        <v>9545</v>
      </c>
      <c r="E2766" s="11" t="s">
        <v>9546</v>
      </c>
    </row>
    <row r="2767" spans="1:5">
      <c r="A2767" s="11" t="s">
        <v>9547</v>
      </c>
      <c r="B2767">
        <v>8004266</v>
      </c>
      <c r="D2767" s="11" t="s">
        <v>9548</v>
      </c>
      <c r="E2767" s="11" t="s">
        <v>9549</v>
      </c>
    </row>
    <row r="2768" spans="1:5">
      <c r="A2768" s="11" t="s">
        <v>9550</v>
      </c>
      <c r="B2768">
        <v>8000147</v>
      </c>
      <c r="D2768" s="11" t="s">
        <v>9551</v>
      </c>
      <c r="E2768" s="11" t="s">
        <v>9552</v>
      </c>
    </row>
    <row r="2769" spans="1:5">
      <c r="A2769" s="11" t="s">
        <v>9553</v>
      </c>
      <c r="B2769">
        <v>8004267</v>
      </c>
      <c r="D2769" s="11" t="s">
        <v>9554</v>
      </c>
      <c r="E2769" s="11" t="s">
        <v>9555</v>
      </c>
    </row>
    <row r="2770" spans="1:5">
      <c r="A2770" s="11" t="s">
        <v>9556</v>
      </c>
      <c r="B2770">
        <v>8006749</v>
      </c>
      <c r="D2770" s="11" t="s">
        <v>9557</v>
      </c>
      <c r="E2770" s="11" t="s">
        <v>9558</v>
      </c>
    </row>
    <row r="2771" spans="1:5">
      <c r="A2771" s="11" t="s">
        <v>9559</v>
      </c>
      <c r="B2771">
        <v>8002909</v>
      </c>
      <c r="D2771" s="11" t="s">
        <v>9560</v>
      </c>
      <c r="E2771" s="11" t="s">
        <v>9561</v>
      </c>
    </row>
    <row r="2772" spans="1:5">
      <c r="A2772" s="11" t="s">
        <v>9562</v>
      </c>
      <c r="B2772">
        <v>8003088</v>
      </c>
      <c r="D2772" s="11" t="s">
        <v>9563</v>
      </c>
      <c r="E2772" s="11" t="s">
        <v>9564</v>
      </c>
    </row>
    <row r="2773" spans="1:5">
      <c r="A2773" s="11" t="s">
        <v>9565</v>
      </c>
      <c r="B2773">
        <v>8003541</v>
      </c>
      <c r="D2773" s="11" t="s">
        <v>9566</v>
      </c>
      <c r="E2773" s="11" t="s">
        <v>9567</v>
      </c>
    </row>
    <row r="2774" spans="1:5">
      <c r="A2774" s="11" t="s">
        <v>9568</v>
      </c>
      <c r="B2774">
        <v>8004241</v>
      </c>
      <c r="D2774" s="11" t="s">
        <v>9569</v>
      </c>
      <c r="E2774" s="11" t="s">
        <v>9570</v>
      </c>
    </row>
    <row r="2775" spans="1:5">
      <c r="A2775" s="11" t="s">
        <v>9571</v>
      </c>
      <c r="B2775">
        <v>8002557</v>
      </c>
      <c r="D2775" s="11" t="s">
        <v>9572</v>
      </c>
      <c r="E2775" s="11" t="s">
        <v>9573</v>
      </c>
    </row>
    <row r="2776" spans="1:5">
      <c r="A2776" s="11" t="s">
        <v>1195</v>
      </c>
      <c r="B2776">
        <v>8004661</v>
      </c>
      <c r="D2776" s="11" t="s">
        <v>1197</v>
      </c>
      <c r="E2776" s="11" t="s">
        <v>1198</v>
      </c>
    </row>
    <row r="2777" spans="1:5">
      <c r="A2777" s="11" t="s">
        <v>9574</v>
      </c>
      <c r="B2777">
        <v>8004719</v>
      </c>
      <c r="D2777" s="11" t="s">
        <v>9575</v>
      </c>
      <c r="E2777" s="11" t="s">
        <v>9576</v>
      </c>
    </row>
    <row r="2778" spans="1:5">
      <c r="A2778" s="11" t="s">
        <v>9577</v>
      </c>
      <c r="B2778">
        <v>8002562</v>
      </c>
      <c r="D2778" s="11" t="s">
        <v>9578</v>
      </c>
      <c r="E2778" s="11" t="s">
        <v>9579</v>
      </c>
    </row>
    <row r="2779" spans="1:5">
      <c r="A2779" s="11" t="s">
        <v>9580</v>
      </c>
      <c r="B2779">
        <v>8004862</v>
      </c>
      <c r="D2779" s="11" t="s">
        <v>9581</v>
      </c>
      <c r="E2779" s="11" t="s">
        <v>9582</v>
      </c>
    </row>
    <row r="2780" spans="1:5">
      <c r="A2780" s="11" t="s">
        <v>9583</v>
      </c>
      <c r="B2780">
        <v>8002558</v>
      </c>
      <c r="D2780" s="11" t="s">
        <v>9584</v>
      </c>
      <c r="E2780" s="11" t="s">
        <v>9585</v>
      </c>
    </row>
    <row r="2781" spans="1:5">
      <c r="A2781" s="11" t="s">
        <v>9586</v>
      </c>
      <c r="B2781">
        <v>8005106</v>
      </c>
      <c r="D2781" s="11" t="s">
        <v>9587</v>
      </c>
      <c r="E2781" s="11" t="s">
        <v>9588</v>
      </c>
    </row>
    <row r="2782" spans="1:5">
      <c r="A2782" s="11" t="s">
        <v>9589</v>
      </c>
      <c r="B2782">
        <v>8005191</v>
      </c>
      <c r="D2782" s="11" t="s">
        <v>9590</v>
      </c>
      <c r="E2782" s="11" t="s">
        <v>9591</v>
      </c>
    </row>
    <row r="2783" spans="1:5">
      <c r="A2783" s="11" t="s">
        <v>9592</v>
      </c>
      <c r="B2783">
        <v>8007045</v>
      </c>
      <c r="D2783" s="11" t="s">
        <v>9593</v>
      </c>
      <c r="E2783" s="11" t="s">
        <v>9594</v>
      </c>
    </row>
    <row r="2784" spans="1:5">
      <c r="A2784" s="11" t="s">
        <v>9595</v>
      </c>
      <c r="B2784">
        <v>8002559</v>
      </c>
      <c r="D2784" s="11" t="s">
        <v>9596</v>
      </c>
      <c r="E2784" s="11" t="s">
        <v>9597</v>
      </c>
    </row>
    <row r="2785" spans="1:5">
      <c r="A2785" s="11" t="s">
        <v>9598</v>
      </c>
      <c r="B2785">
        <v>8070146</v>
      </c>
      <c r="D2785" s="11" t="s">
        <v>9599</v>
      </c>
      <c r="E2785" s="11" t="s">
        <v>9600</v>
      </c>
    </row>
    <row r="2786" spans="1:5">
      <c r="A2786" s="11" t="s">
        <v>9601</v>
      </c>
      <c r="B2786">
        <v>8005785</v>
      </c>
      <c r="D2786" s="11" t="s">
        <v>9602</v>
      </c>
      <c r="E2786" s="11" t="s">
        <v>9603</v>
      </c>
    </row>
    <row r="2787" spans="1:5">
      <c r="A2787" s="11" t="s">
        <v>9604</v>
      </c>
      <c r="B2787">
        <v>8005870</v>
      </c>
      <c r="D2787" s="11" t="s">
        <v>9605</v>
      </c>
      <c r="E2787" s="11" t="s">
        <v>9606</v>
      </c>
    </row>
    <row r="2788" spans="1:5">
      <c r="A2788" s="11" t="s">
        <v>9607</v>
      </c>
      <c r="B2788">
        <v>8006197</v>
      </c>
      <c r="D2788" s="11" t="s">
        <v>9608</v>
      </c>
      <c r="E2788" s="11" t="s">
        <v>9609</v>
      </c>
    </row>
    <row r="2789" spans="1:5">
      <c r="A2789" s="11" t="s">
        <v>9610</v>
      </c>
      <c r="B2789">
        <v>8006062</v>
      </c>
      <c r="D2789" s="11" t="s">
        <v>9611</v>
      </c>
      <c r="E2789" s="11" t="s">
        <v>9612</v>
      </c>
    </row>
    <row r="2790" spans="1:5">
      <c r="A2790" s="11" t="s">
        <v>9613</v>
      </c>
      <c r="B2790">
        <v>8002560</v>
      </c>
      <c r="D2790" s="11" t="s">
        <v>9614</v>
      </c>
      <c r="E2790" s="11" t="s">
        <v>9615</v>
      </c>
    </row>
    <row r="2791" spans="1:5">
      <c r="A2791" s="11" t="s">
        <v>9616</v>
      </c>
      <c r="B2791">
        <v>8006319</v>
      </c>
      <c r="D2791" s="11" t="s">
        <v>9617</v>
      </c>
      <c r="E2791" s="11" t="s">
        <v>9618</v>
      </c>
    </row>
    <row r="2792" spans="1:5">
      <c r="A2792" s="11" t="s">
        <v>9619</v>
      </c>
      <c r="B2792">
        <v>8002561</v>
      </c>
      <c r="D2792" s="11" t="s">
        <v>9620</v>
      </c>
      <c r="E2792" s="11" t="s">
        <v>9621</v>
      </c>
    </row>
    <row r="2793" spans="1:5">
      <c r="A2793" s="11" t="s">
        <v>9622</v>
      </c>
      <c r="B2793">
        <v>8002499</v>
      </c>
      <c r="D2793" s="11" t="s">
        <v>9623</v>
      </c>
      <c r="E2793" s="11" t="s">
        <v>9624</v>
      </c>
    </row>
    <row r="2794" spans="1:5">
      <c r="A2794" s="11" t="s">
        <v>9625</v>
      </c>
      <c r="B2794">
        <v>8000148</v>
      </c>
      <c r="D2794" s="11" t="s">
        <v>9626</v>
      </c>
      <c r="E2794" s="11" t="s">
        <v>9627</v>
      </c>
    </row>
    <row r="2795" spans="1:5">
      <c r="A2795" s="11" t="s">
        <v>9628</v>
      </c>
      <c r="B2795">
        <v>8011796</v>
      </c>
      <c r="D2795" s="11" t="s">
        <v>9629</v>
      </c>
      <c r="E2795" s="11" t="s">
        <v>9630</v>
      </c>
    </row>
    <row r="2796" spans="1:5">
      <c r="A2796" s="11" t="s">
        <v>9631</v>
      </c>
      <c r="B2796">
        <v>8000149</v>
      </c>
      <c r="D2796" s="11" t="s">
        <v>9632</v>
      </c>
      <c r="E2796" s="11" t="s">
        <v>9633</v>
      </c>
    </row>
    <row r="2797" spans="1:5">
      <c r="A2797" s="11" t="s">
        <v>9634</v>
      </c>
      <c r="B2797">
        <v>8002565</v>
      </c>
      <c r="D2797" s="11" t="s">
        <v>9635</v>
      </c>
      <c r="E2797" s="11" t="s">
        <v>9636</v>
      </c>
    </row>
    <row r="2798" spans="1:5">
      <c r="A2798" s="11" t="s">
        <v>9637</v>
      </c>
      <c r="B2798">
        <v>8001045</v>
      </c>
      <c r="D2798" s="11" t="s">
        <v>9638</v>
      </c>
      <c r="E2798" s="11" t="s">
        <v>9639</v>
      </c>
    </row>
    <row r="2799" spans="1:5">
      <c r="A2799" s="11" t="s">
        <v>9640</v>
      </c>
      <c r="B2799">
        <v>8002567</v>
      </c>
      <c r="D2799" s="11" t="s">
        <v>9641</v>
      </c>
      <c r="E2799" s="11" t="s">
        <v>9642</v>
      </c>
    </row>
    <row r="2800" spans="1:5">
      <c r="A2800" s="11" t="s">
        <v>9643</v>
      </c>
      <c r="B2800">
        <v>8002568</v>
      </c>
      <c r="D2800" s="11" t="s">
        <v>9644</v>
      </c>
      <c r="E2800" s="11" t="s">
        <v>9645</v>
      </c>
    </row>
    <row r="2801" spans="1:5">
      <c r="A2801" s="11" t="s">
        <v>9646</v>
      </c>
      <c r="B2801">
        <v>8011815</v>
      </c>
      <c r="D2801" s="11" t="s">
        <v>9647</v>
      </c>
      <c r="E2801" s="11" t="s">
        <v>9648</v>
      </c>
    </row>
    <row r="2802" spans="1:5">
      <c r="A2802" s="11" t="s">
        <v>9649</v>
      </c>
      <c r="B2802">
        <v>8002570</v>
      </c>
      <c r="D2802" s="11" t="s">
        <v>9650</v>
      </c>
      <c r="E2802" s="11" t="s">
        <v>9651</v>
      </c>
    </row>
    <row r="2803" spans="1:5">
      <c r="A2803" s="11" t="s">
        <v>9652</v>
      </c>
      <c r="B2803">
        <v>8070419</v>
      </c>
      <c r="D2803" s="11" t="s">
        <v>9653</v>
      </c>
      <c r="E2803" s="11" t="s">
        <v>9654</v>
      </c>
    </row>
    <row r="2804" spans="1:5">
      <c r="A2804" s="11" t="s">
        <v>9655</v>
      </c>
      <c r="B2804">
        <v>8070420</v>
      </c>
      <c r="D2804" s="11" t="s">
        <v>9656</v>
      </c>
      <c r="E2804" s="11" t="s">
        <v>9657</v>
      </c>
    </row>
    <row r="2805" spans="1:5">
      <c r="A2805" s="11" t="s">
        <v>9658</v>
      </c>
      <c r="B2805">
        <v>8011817</v>
      </c>
      <c r="D2805" s="11" t="s">
        <v>9659</v>
      </c>
      <c r="E2805" s="11" t="s">
        <v>9660</v>
      </c>
    </row>
    <row r="2806" spans="1:5">
      <c r="A2806" s="11" t="s">
        <v>9661</v>
      </c>
      <c r="B2806">
        <v>8070821</v>
      </c>
      <c r="D2806" s="11" t="s">
        <v>9662</v>
      </c>
      <c r="E2806" s="11" t="s">
        <v>9663</v>
      </c>
    </row>
    <row r="2807" spans="1:5">
      <c r="A2807" s="11" t="s">
        <v>9664</v>
      </c>
      <c r="B2807">
        <v>8002680</v>
      </c>
      <c r="D2807" s="11" t="s">
        <v>9665</v>
      </c>
      <c r="E2807" s="11" t="s">
        <v>9666</v>
      </c>
    </row>
    <row r="2808" spans="1:5">
      <c r="A2808" s="11" t="s">
        <v>9667</v>
      </c>
      <c r="B2808">
        <v>8002571</v>
      </c>
      <c r="D2808" s="11" t="s">
        <v>9668</v>
      </c>
      <c r="E2808" s="11" t="s">
        <v>9669</v>
      </c>
    </row>
    <row r="2809" spans="1:5">
      <c r="A2809" s="11" t="s">
        <v>9670</v>
      </c>
      <c r="B2809">
        <v>8001465</v>
      </c>
      <c r="D2809" s="11" t="s">
        <v>9671</v>
      </c>
      <c r="E2809" s="11" t="s">
        <v>9672</v>
      </c>
    </row>
    <row r="2810" spans="1:5">
      <c r="A2810" s="11" t="s">
        <v>9673</v>
      </c>
      <c r="B2810">
        <v>8002564</v>
      </c>
      <c r="D2810" s="11" t="s">
        <v>9674</v>
      </c>
      <c r="E2810" s="11" t="s">
        <v>9675</v>
      </c>
    </row>
    <row r="2811" spans="1:5">
      <c r="A2811" s="11" t="s">
        <v>9676</v>
      </c>
      <c r="B2811">
        <v>8000150</v>
      </c>
      <c r="D2811" s="11" t="s">
        <v>9677</v>
      </c>
      <c r="E2811" s="11" t="s">
        <v>9678</v>
      </c>
    </row>
    <row r="2812" spans="1:5">
      <c r="A2812" s="11" t="s">
        <v>9679</v>
      </c>
      <c r="B2812">
        <v>8003311</v>
      </c>
      <c r="D2812" s="11" t="s">
        <v>9680</v>
      </c>
      <c r="E2812" s="11" t="s">
        <v>9681</v>
      </c>
    </row>
    <row r="2813" spans="1:5">
      <c r="A2813" s="11" t="s">
        <v>9682</v>
      </c>
      <c r="B2813">
        <v>8002572</v>
      </c>
      <c r="D2813" s="11" t="s">
        <v>9683</v>
      </c>
      <c r="E2813" s="11" t="s">
        <v>9684</v>
      </c>
    </row>
    <row r="2814" spans="1:5">
      <c r="A2814" s="11" t="s">
        <v>9685</v>
      </c>
      <c r="B2814">
        <v>8002573</v>
      </c>
      <c r="D2814" s="11" t="s">
        <v>9686</v>
      </c>
      <c r="E2814" s="11" t="s">
        <v>9687</v>
      </c>
    </row>
    <row r="2815" spans="1:5">
      <c r="A2815" s="11" t="s">
        <v>9688</v>
      </c>
      <c r="B2815">
        <v>8002574</v>
      </c>
      <c r="D2815" s="11" t="s">
        <v>9689</v>
      </c>
      <c r="E2815" s="11" t="s">
        <v>9690</v>
      </c>
    </row>
    <row r="2816" spans="1:5">
      <c r="A2816" s="11" t="s">
        <v>9691</v>
      </c>
      <c r="B2816">
        <v>8002575</v>
      </c>
      <c r="D2816" s="11" t="s">
        <v>9692</v>
      </c>
      <c r="E2816" s="11" t="s">
        <v>9693</v>
      </c>
    </row>
    <row r="2817" spans="1:5">
      <c r="A2817" s="11" t="s">
        <v>9694</v>
      </c>
      <c r="B2817">
        <v>8007235</v>
      </c>
      <c r="D2817" s="11" t="s">
        <v>9695</v>
      </c>
      <c r="E2817" s="11" t="s">
        <v>9696</v>
      </c>
    </row>
    <row r="2818" spans="1:5">
      <c r="A2818" s="11" t="s">
        <v>9697</v>
      </c>
      <c r="B2818">
        <v>8070076</v>
      </c>
      <c r="D2818" s="11" t="s">
        <v>9698</v>
      </c>
      <c r="E2818" s="11" t="s">
        <v>9699</v>
      </c>
    </row>
    <row r="2819" spans="1:5">
      <c r="A2819" s="11" t="s">
        <v>9700</v>
      </c>
      <c r="B2819">
        <v>8070765</v>
      </c>
      <c r="D2819" s="11" t="s">
        <v>9701</v>
      </c>
      <c r="E2819" s="11" t="s">
        <v>9702</v>
      </c>
    </row>
    <row r="2820" spans="1:5">
      <c r="A2820" s="11" t="s">
        <v>9703</v>
      </c>
      <c r="B2820">
        <v>8070764</v>
      </c>
      <c r="D2820" s="11" t="s">
        <v>9704</v>
      </c>
      <c r="E2820" s="11" t="s">
        <v>9705</v>
      </c>
    </row>
    <row r="2821" spans="1:5">
      <c r="A2821" s="11" t="s">
        <v>9706</v>
      </c>
      <c r="B2821">
        <v>8011818</v>
      </c>
      <c r="D2821" s="11" t="s">
        <v>9707</v>
      </c>
      <c r="E2821" s="11" t="s">
        <v>9708</v>
      </c>
    </row>
    <row r="2822" spans="1:5">
      <c r="A2822" s="11" t="s">
        <v>9709</v>
      </c>
      <c r="B2822">
        <v>8006707</v>
      </c>
      <c r="D2822" s="11" t="s">
        <v>9710</v>
      </c>
      <c r="E2822" s="11" t="s">
        <v>9711</v>
      </c>
    </row>
    <row r="2823" spans="1:5">
      <c r="A2823" s="11" t="s">
        <v>9712</v>
      </c>
      <c r="B2823">
        <v>8000578</v>
      </c>
      <c r="D2823" s="11" t="s">
        <v>9713</v>
      </c>
      <c r="E2823" s="11" t="s">
        <v>9714</v>
      </c>
    </row>
    <row r="2824" spans="1:5">
      <c r="A2824" s="11" t="s">
        <v>9715</v>
      </c>
      <c r="B2824">
        <v>8002580</v>
      </c>
      <c r="D2824" s="11" t="s">
        <v>9716</v>
      </c>
      <c r="E2824" s="11" t="s">
        <v>9717</v>
      </c>
    </row>
    <row r="2825" spans="1:5">
      <c r="A2825" s="11" t="s">
        <v>9718</v>
      </c>
      <c r="B2825">
        <v>8002589</v>
      </c>
      <c r="D2825" s="11" t="s">
        <v>9719</v>
      </c>
      <c r="E2825" s="11" t="s">
        <v>9720</v>
      </c>
    </row>
    <row r="2826" spans="1:5">
      <c r="A2826" s="11" t="s">
        <v>9721</v>
      </c>
      <c r="B2826">
        <v>8000152</v>
      </c>
      <c r="D2826" s="11" t="s">
        <v>9722</v>
      </c>
      <c r="E2826" s="11" t="s">
        <v>9723</v>
      </c>
    </row>
    <row r="2827" spans="1:5">
      <c r="A2827" s="11" t="s">
        <v>9724</v>
      </c>
      <c r="B2827">
        <v>8070086</v>
      </c>
      <c r="D2827" s="11" t="s">
        <v>9725</v>
      </c>
      <c r="E2827" s="11" t="s">
        <v>9726</v>
      </c>
    </row>
    <row r="2828" spans="1:5">
      <c r="A2828" s="11" t="s">
        <v>9727</v>
      </c>
      <c r="B2828">
        <v>8003487</v>
      </c>
      <c r="D2828" s="11" t="s">
        <v>9728</v>
      </c>
      <c r="E2828" s="11" t="s">
        <v>9729</v>
      </c>
    </row>
    <row r="2829" spans="1:5">
      <c r="A2829" s="11" t="s">
        <v>9730</v>
      </c>
      <c r="B2829">
        <v>8002581</v>
      </c>
      <c r="D2829" s="11" t="s">
        <v>9731</v>
      </c>
      <c r="E2829" s="11" t="s">
        <v>9732</v>
      </c>
    </row>
    <row r="2830" spans="1:5">
      <c r="A2830" s="11" t="s">
        <v>9733</v>
      </c>
      <c r="B2830">
        <v>8002584</v>
      </c>
      <c r="D2830" s="11" t="s">
        <v>9734</v>
      </c>
      <c r="E2830" s="11" t="s">
        <v>9735</v>
      </c>
    </row>
    <row r="2831" spans="1:5">
      <c r="A2831" s="11" t="s">
        <v>9736</v>
      </c>
      <c r="B2831">
        <v>8079097</v>
      </c>
      <c r="D2831" s="11" t="s">
        <v>9737</v>
      </c>
      <c r="E2831" s="11" t="s">
        <v>9738</v>
      </c>
    </row>
    <row r="2832" spans="1:5">
      <c r="A2832" s="11" t="s">
        <v>9739</v>
      </c>
      <c r="B2832">
        <v>8002585</v>
      </c>
      <c r="D2832" s="11" t="s">
        <v>9740</v>
      </c>
      <c r="E2832" s="11" t="s">
        <v>9741</v>
      </c>
    </row>
    <row r="2833" spans="1:5">
      <c r="A2833" s="11" t="s">
        <v>9742</v>
      </c>
      <c r="B2833">
        <v>8002586</v>
      </c>
      <c r="D2833" s="11" t="s">
        <v>9743</v>
      </c>
      <c r="E2833" s="11" t="s">
        <v>9744</v>
      </c>
    </row>
    <row r="2834" spans="1:5">
      <c r="A2834" s="11" t="s">
        <v>9745</v>
      </c>
      <c r="B2834">
        <v>8079095</v>
      </c>
      <c r="D2834" s="11" t="s">
        <v>9746</v>
      </c>
      <c r="E2834" s="11" t="s">
        <v>9747</v>
      </c>
    </row>
    <row r="2835" spans="1:5">
      <c r="A2835" s="11" t="s">
        <v>9748</v>
      </c>
      <c r="B2835">
        <v>8006089</v>
      </c>
      <c r="D2835" s="11" t="s">
        <v>9749</v>
      </c>
      <c r="E2835" s="11" t="s">
        <v>9750</v>
      </c>
    </row>
    <row r="2836" spans="1:5">
      <c r="A2836" s="11" t="s">
        <v>9751</v>
      </c>
      <c r="B2836">
        <v>8002587</v>
      </c>
      <c r="D2836" s="11" t="s">
        <v>1539</v>
      </c>
      <c r="E2836" s="11" t="s">
        <v>1539</v>
      </c>
    </row>
    <row r="2837" spans="1:5">
      <c r="A2837" s="11" t="s">
        <v>9752</v>
      </c>
      <c r="B2837">
        <v>8002588</v>
      </c>
      <c r="D2837" s="11" t="s">
        <v>9753</v>
      </c>
      <c r="E2837" s="11" t="s">
        <v>9754</v>
      </c>
    </row>
    <row r="2838" spans="1:5">
      <c r="A2838" s="11" t="s">
        <v>9755</v>
      </c>
      <c r="B2838">
        <v>8002578</v>
      </c>
      <c r="D2838" s="11" t="s">
        <v>9756</v>
      </c>
      <c r="E2838" s="11" t="s">
        <v>9757</v>
      </c>
    </row>
    <row r="2839" spans="1:5">
      <c r="A2839" s="11" t="s">
        <v>9758</v>
      </c>
      <c r="B2839">
        <v>8070710</v>
      </c>
      <c r="D2839" s="11" t="s">
        <v>9759</v>
      </c>
      <c r="E2839" s="11" t="s">
        <v>9760</v>
      </c>
    </row>
    <row r="2840" spans="1:5">
      <c r="A2840" s="11" t="s">
        <v>9761</v>
      </c>
      <c r="B2840">
        <v>8002592</v>
      </c>
      <c r="D2840" s="11" t="s">
        <v>9762</v>
      </c>
      <c r="E2840" s="11" t="s">
        <v>9763</v>
      </c>
    </row>
    <row r="2841" spans="1:5">
      <c r="A2841" s="11" t="s">
        <v>9764</v>
      </c>
      <c r="B2841">
        <v>8002593</v>
      </c>
      <c r="D2841" s="11" t="s">
        <v>9765</v>
      </c>
      <c r="E2841" s="11" t="s">
        <v>9766</v>
      </c>
    </row>
    <row r="2842" spans="1:5">
      <c r="A2842" s="11" t="s">
        <v>9767</v>
      </c>
      <c r="B2842">
        <v>8002594</v>
      </c>
      <c r="D2842" s="11" t="s">
        <v>9768</v>
      </c>
      <c r="E2842" s="11" t="s">
        <v>9769</v>
      </c>
    </row>
    <row r="2843" spans="1:5">
      <c r="A2843" s="11" t="s">
        <v>9770</v>
      </c>
      <c r="B2843">
        <v>8071611</v>
      </c>
      <c r="D2843" s="11" t="s">
        <v>9771</v>
      </c>
      <c r="E2843" s="11" t="s">
        <v>9772</v>
      </c>
    </row>
    <row r="2844" spans="1:5">
      <c r="A2844" s="11" t="s">
        <v>9773</v>
      </c>
      <c r="B2844">
        <v>8002596</v>
      </c>
      <c r="D2844" s="11" t="s">
        <v>9774</v>
      </c>
      <c r="E2844" s="11" t="s">
        <v>9775</v>
      </c>
    </row>
    <row r="2845" spans="1:5">
      <c r="A2845" s="11" t="s">
        <v>9776</v>
      </c>
      <c r="B2845">
        <v>8002598</v>
      </c>
      <c r="D2845" s="11" t="s">
        <v>9777</v>
      </c>
      <c r="E2845" s="11" t="s">
        <v>9778</v>
      </c>
    </row>
    <row r="2846" spans="1:5">
      <c r="A2846" s="11" t="s">
        <v>9779</v>
      </c>
      <c r="B2846">
        <v>8002600</v>
      </c>
      <c r="D2846" s="11" t="s">
        <v>9780</v>
      </c>
      <c r="E2846" s="11" t="s">
        <v>9781</v>
      </c>
    </row>
    <row r="2847" spans="1:5">
      <c r="A2847" s="11" t="s">
        <v>9782</v>
      </c>
      <c r="B2847">
        <v>8076172</v>
      </c>
      <c r="D2847" s="11" t="s">
        <v>9783</v>
      </c>
      <c r="E2847" s="11" t="s">
        <v>9784</v>
      </c>
    </row>
    <row r="2848" spans="1:5">
      <c r="A2848" s="11" t="s">
        <v>9785</v>
      </c>
      <c r="B2848">
        <v>8070421</v>
      </c>
      <c r="D2848" s="11" t="s">
        <v>9786</v>
      </c>
      <c r="E2848" s="11" t="s">
        <v>9787</v>
      </c>
    </row>
    <row r="2849" spans="1:5">
      <c r="A2849" s="11" t="s">
        <v>9788</v>
      </c>
      <c r="B2849">
        <v>8011820</v>
      </c>
      <c r="D2849" s="11" t="s">
        <v>9789</v>
      </c>
      <c r="E2849" s="11" t="s">
        <v>9790</v>
      </c>
    </row>
    <row r="2850" spans="1:5">
      <c r="A2850" s="11" t="s">
        <v>9791</v>
      </c>
      <c r="B2850">
        <v>8011821</v>
      </c>
      <c r="D2850" s="11" t="s">
        <v>9792</v>
      </c>
      <c r="E2850" s="11" t="s">
        <v>9793</v>
      </c>
    </row>
    <row r="2851" spans="1:5">
      <c r="A2851" s="11" t="s">
        <v>9794</v>
      </c>
      <c r="B2851">
        <v>8011822</v>
      </c>
      <c r="D2851" s="11" t="s">
        <v>9795</v>
      </c>
      <c r="E2851" s="11" t="s">
        <v>9796</v>
      </c>
    </row>
    <row r="2852" spans="1:5">
      <c r="A2852" s="11" t="s">
        <v>9797</v>
      </c>
      <c r="B2852">
        <v>8002605</v>
      </c>
      <c r="D2852" s="11" t="s">
        <v>9798</v>
      </c>
      <c r="E2852" s="11" t="s">
        <v>9799</v>
      </c>
    </row>
    <row r="2853" spans="1:5">
      <c r="A2853" s="11" t="s">
        <v>9800</v>
      </c>
      <c r="B2853">
        <v>8007843</v>
      </c>
      <c r="D2853" s="11" t="s">
        <v>9801</v>
      </c>
      <c r="E2853" s="11" t="s">
        <v>9802</v>
      </c>
    </row>
    <row r="2854" spans="1:5">
      <c r="A2854" s="11" t="s">
        <v>9803</v>
      </c>
      <c r="B2854">
        <v>8002607</v>
      </c>
      <c r="D2854" s="11" t="s">
        <v>9804</v>
      </c>
      <c r="E2854" s="11" t="s">
        <v>9805</v>
      </c>
    </row>
    <row r="2855" spans="1:5">
      <c r="A2855" s="11" t="s">
        <v>9806</v>
      </c>
      <c r="B2855">
        <v>8011823</v>
      </c>
      <c r="D2855" s="11" t="s">
        <v>9807</v>
      </c>
      <c r="E2855" s="11" t="s">
        <v>9808</v>
      </c>
    </row>
    <row r="2856" spans="1:5">
      <c r="A2856" s="11" t="s">
        <v>9809</v>
      </c>
      <c r="B2856">
        <v>8002609</v>
      </c>
      <c r="D2856" s="11" t="s">
        <v>9810</v>
      </c>
      <c r="E2856" s="11" t="s">
        <v>9811</v>
      </c>
    </row>
    <row r="2857" spans="1:5">
      <c r="A2857" s="11" t="s">
        <v>9812</v>
      </c>
      <c r="B2857">
        <v>8002610</v>
      </c>
      <c r="D2857" s="11" t="s">
        <v>9813</v>
      </c>
      <c r="E2857" s="11" t="s">
        <v>9814</v>
      </c>
    </row>
    <row r="2858" spans="1:5">
      <c r="A2858" s="11" t="s">
        <v>9815</v>
      </c>
      <c r="B2858">
        <v>8011825</v>
      </c>
      <c r="D2858" s="11" t="s">
        <v>9816</v>
      </c>
      <c r="E2858" s="11" t="s">
        <v>9817</v>
      </c>
    </row>
    <row r="2859" spans="1:5">
      <c r="A2859" s="11" t="s">
        <v>9818</v>
      </c>
      <c r="B2859">
        <v>8002612</v>
      </c>
      <c r="D2859" s="11" t="s">
        <v>9819</v>
      </c>
      <c r="E2859" s="11" t="s">
        <v>9820</v>
      </c>
    </row>
    <row r="2860" spans="1:5">
      <c r="A2860" s="11" t="s">
        <v>9821</v>
      </c>
      <c r="B2860">
        <v>8070253</v>
      </c>
      <c r="D2860" s="11" t="s">
        <v>9822</v>
      </c>
      <c r="E2860" s="11" t="s">
        <v>9823</v>
      </c>
    </row>
    <row r="2861" spans="1:5">
      <c r="A2861" s="11" t="s">
        <v>9824</v>
      </c>
      <c r="B2861">
        <v>8017012</v>
      </c>
      <c r="D2861" s="11" t="s">
        <v>9825</v>
      </c>
      <c r="E2861" s="11" t="s">
        <v>9826</v>
      </c>
    </row>
    <row r="2862" spans="1:5">
      <c r="A2862" s="11" t="s">
        <v>9827</v>
      </c>
      <c r="B2862">
        <v>8002615</v>
      </c>
      <c r="D2862" s="11" t="s">
        <v>9828</v>
      </c>
      <c r="E2862" s="11" t="s">
        <v>9829</v>
      </c>
    </row>
    <row r="2863" spans="1:5">
      <c r="A2863" s="11" t="s">
        <v>9830</v>
      </c>
      <c r="B2863">
        <v>8077771</v>
      </c>
      <c r="D2863" s="11" t="s">
        <v>9831</v>
      </c>
      <c r="E2863" s="11" t="s">
        <v>9832</v>
      </c>
    </row>
    <row r="2864" spans="1:5">
      <c r="A2864" s="11" t="s">
        <v>9833</v>
      </c>
      <c r="B2864">
        <v>8070425</v>
      </c>
      <c r="D2864" s="11" t="s">
        <v>9834</v>
      </c>
      <c r="E2864" s="11" t="s">
        <v>9835</v>
      </c>
    </row>
    <row r="2865" spans="1:5">
      <c r="A2865" s="11" t="s">
        <v>9836</v>
      </c>
      <c r="B2865">
        <v>8002621</v>
      </c>
      <c r="D2865" s="11" t="s">
        <v>9837</v>
      </c>
      <c r="E2865" s="11" t="s">
        <v>9838</v>
      </c>
    </row>
    <row r="2866" spans="1:5">
      <c r="A2866" s="11" t="s">
        <v>9839</v>
      </c>
      <c r="B2866">
        <v>8002622</v>
      </c>
      <c r="D2866" s="11" t="s">
        <v>9840</v>
      </c>
      <c r="E2866" s="11" t="s">
        <v>9841</v>
      </c>
    </row>
    <row r="2867" spans="1:5">
      <c r="A2867" s="11" t="s">
        <v>9842</v>
      </c>
      <c r="B2867">
        <v>8007048</v>
      </c>
      <c r="D2867" s="11" t="s">
        <v>9843</v>
      </c>
      <c r="E2867" s="11" t="s">
        <v>9844</v>
      </c>
    </row>
    <row r="2868" spans="1:5">
      <c r="A2868" s="11" t="s">
        <v>9845</v>
      </c>
      <c r="B2868">
        <v>8079025</v>
      </c>
      <c r="D2868" s="11" t="s">
        <v>9846</v>
      </c>
      <c r="E2868" s="11" t="s">
        <v>9847</v>
      </c>
    </row>
    <row r="2869" spans="1:5">
      <c r="A2869" s="11" t="s">
        <v>9848</v>
      </c>
      <c r="B2869">
        <v>8002623</v>
      </c>
      <c r="D2869" s="11" t="s">
        <v>9849</v>
      </c>
      <c r="E2869" s="11" t="s">
        <v>9850</v>
      </c>
    </row>
    <row r="2870" spans="1:5">
      <c r="A2870" s="11" t="s">
        <v>9851</v>
      </c>
      <c r="B2870">
        <v>8002625</v>
      </c>
      <c r="D2870" s="11" t="s">
        <v>9852</v>
      </c>
      <c r="E2870" s="11" t="s">
        <v>9853</v>
      </c>
    </row>
    <row r="2871" spans="1:5">
      <c r="A2871" s="11" t="s">
        <v>9854</v>
      </c>
      <c r="B2871">
        <v>8002627</v>
      </c>
      <c r="D2871" s="11" t="s">
        <v>9855</v>
      </c>
      <c r="E2871" s="11" t="s">
        <v>9856</v>
      </c>
    </row>
    <row r="2872" spans="1:5">
      <c r="A2872" s="11" t="s">
        <v>9857</v>
      </c>
      <c r="B2872">
        <v>8075943</v>
      </c>
      <c r="D2872" s="11" t="s">
        <v>9858</v>
      </c>
      <c r="E2872" s="11" t="s">
        <v>9859</v>
      </c>
    </row>
    <row r="2873" spans="1:5">
      <c r="A2873" s="11" t="s">
        <v>9860</v>
      </c>
      <c r="B2873">
        <v>8017013</v>
      </c>
      <c r="D2873" s="11" t="s">
        <v>9861</v>
      </c>
      <c r="E2873" s="11" t="s">
        <v>9862</v>
      </c>
    </row>
    <row r="2874" spans="1:5">
      <c r="A2874" s="11" t="s">
        <v>9863</v>
      </c>
      <c r="B2874">
        <v>8002630</v>
      </c>
      <c r="D2874" s="11" t="s">
        <v>9864</v>
      </c>
      <c r="E2874" s="11" t="s">
        <v>9865</v>
      </c>
    </row>
    <row r="2875" spans="1:5">
      <c r="A2875" s="11" t="s">
        <v>9866</v>
      </c>
      <c r="B2875">
        <v>8002632</v>
      </c>
      <c r="D2875" s="11" t="s">
        <v>9867</v>
      </c>
      <c r="E2875" s="11" t="s">
        <v>9868</v>
      </c>
    </row>
    <row r="2876" spans="1:5">
      <c r="A2876" s="11" t="s">
        <v>9869</v>
      </c>
      <c r="B2876">
        <v>8002633</v>
      </c>
      <c r="D2876" s="11" t="s">
        <v>9870</v>
      </c>
      <c r="E2876" s="11" t="s">
        <v>9871</v>
      </c>
    </row>
    <row r="2877" spans="1:5">
      <c r="A2877" s="11" t="s">
        <v>9872</v>
      </c>
      <c r="B2877">
        <v>8002634</v>
      </c>
      <c r="D2877" s="11" t="s">
        <v>9873</v>
      </c>
      <c r="E2877" s="11" t="s">
        <v>9874</v>
      </c>
    </row>
    <row r="2878" spans="1:5">
      <c r="A2878" s="11" t="s">
        <v>9875</v>
      </c>
      <c r="B2878">
        <v>8002635</v>
      </c>
      <c r="D2878" s="11" t="s">
        <v>9876</v>
      </c>
      <c r="E2878" s="11" t="s">
        <v>9877</v>
      </c>
    </row>
    <row r="2879" spans="1:5">
      <c r="A2879" s="11" t="s">
        <v>9878</v>
      </c>
      <c r="B2879">
        <v>8002637</v>
      </c>
      <c r="D2879" s="11" t="s">
        <v>9879</v>
      </c>
      <c r="E2879" s="11" t="s">
        <v>9880</v>
      </c>
    </row>
    <row r="2880" spans="1:5">
      <c r="A2880" s="11" t="s">
        <v>9881</v>
      </c>
      <c r="B2880">
        <v>8002638</v>
      </c>
      <c r="D2880" s="11" t="s">
        <v>9882</v>
      </c>
      <c r="E2880" s="11" t="s">
        <v>9883</v>
      </c>
    </row>
    <row r="2881" spans="1:5">
      <c r="A2881" s="11" t="s">
        <v>9884</v>
      </c>
      <c r="B2881">
        <v>8002639</v>
      </c>
      <c r="D2881" s="11" t="s">
        <v>9885</v>
      </c>
      <c r="E2881" s="11" t="s">
        <v>9886</v>
      </c>
    </row>
    <row r="2882" spans="1:5">
      <c r="A2882" s="11" t="s">
        <v>9887</v>
      </c>
      <c r="B2882">
        <v>8002640</v>
      </c>
      <c r="D2882" s="11" t="s">
        <v>9888</v>
      </c>
      <c r="E2882" s="11" t="s">
        <v>9889</v>
      </c>
    </row>
    <row r="2883" spans="1:5">
      <c r="A2883" s="11" t="s">
        <v>9890</v>
      </c>
      <c r="B2883">
        <v>8002641</v>
      </c>
      <c r="D2883" s="11" t="s">
        <v>9891</v>
      </c>
      <c r="E2883" s="11" t="s">
        <v>9892</v>
      </c>
    </row>
    <row r="2884" spans="1:5">
      <c r="A2884" s="11" t="s">
        <v>9893</v>
      </c>
      <c r="B2884">
        <v>8002643</v>
      </c>
      <c r="D2884" s="11" t="s">
        <v>9894</v>
      </c>
      <c r="E2884" s="11" t="s">
        <v>9895</v>
      </c>
    </row>
    <row r="2885" spans="1:5">
      <c r="A2885" s="11" t="s">
        <v>9896</v>
      </c>
      <c r="B2885">
        <v>8002648</v>
      </c>
      <c r="D2885" s="11" t="s">
        <v>9897</v>
      </c>
      <c r="E2885" s="11" t="s">
        <v>9898</v>
      </c>
    </row>
    <row r="2886" spans="1:5">
      <c r="A2886" s="11" t="s">
        <v>9899</v>
      </c>
      <c r="B2886">
        <v>8002649</v>
      </c>
      <c r="D2886" s="11" t="s">
        <v>9900</v>
      </c>
      <c r="E2886" s="11" t="s">
        <v>9901</v>
      </c>
    </row>
    <row r="2887" spans="1:5">
      <c r="A2887" s="11" t="s">
        <v>9902</v>
      </c>
      <c r="B2887">
        <v>8004297</v>
      </c>
      <c r="D2887" s="11" t="s">
        <v>9903</v>
      </c>
      <c r="E2887" s="11" t="s">
        <v>9904</v>
      </c>
    </row>
    <row r="2888" spans="1:5">
      <c r="A2888" s="11" t="s">
        <v>9905</v>
      </c>
      <c r="B2888">
        <v>8002651</v>
      </c>
      <c r="D2888" s="11" t="s">
        <v>9906</v>
      </c>
      <c r="E2888" s="11" t="s">
        <v>9907</v>
      </c>
    </row>
    <row r="2889" spans="1:5">
      <c r="A2889" s="11" t="s">
        <v>9908</v>
      </c>
      <c r="B2889">
        <v>8002655</v>
      </c>
      <c r="D2889" s="11" t="s">
        <v>9909</v>
      </c>
      <c r="E2889" s="11" t="s">
        <v>9910</v>
      </c>
    </row>
    <row r="2890" spans="1:5">
      <c r="A2890" s="11" t="s">
        <v>9911</v>
      </c>
      <c r="B2890">
        <v>8000333</v>
      </c>
      <c r="D2890" s="11" t="s">
        <v>9912</v>
      </c>
      <c r="E2890" s="11" t="s">
        <v>9913</v>
      </c>
    </row>
    <row r="2891" spans="1:5">
      <c r="A2891" s="11" t="s">
        <v>9914</v>
      </c>
      <c r="B2891">
        <v>8007828</v>
      </c>
      <c r="D2891" s="11" t="s">
        <v>9915</v>
      </c>
      <c r="E2891" s="11" t="s">
        <v>9916</v>
      </c>
    </row>
    <row r="2892" spans="1:5">
      <c r="A2892" s="11" t="s">
        <v>9917</v>
      </c>
      <c r="B2892">
        <v>8002656</v>
      </c>
      <c r="D2892" s="11" t="s">
        <v>9918</v>
      </c>
      <c r="E2892" s="11" t="s">
        <v>9919</v>
      </c>
    </row>
    <row r="2893" spans="1:5">
      <c r="A2893" s="11" t="s">
        <v>9920</v>
      </c>
      <c r="B2893">
        <v>8011834</v>
      </c>
      <c r="D2893" s="11" t="s">
        <v>9921</v>
      </c>
      <c r="E2893" s="11" t="s">
        <v>9922</v>
      </c>
    </row>
    <row r="2894" spans="1:5">
      <c r="A2894" s="11" t="s">
        <v>9923</v>
      </c>
      <c r="B2894">
        <v>8002664</v>
      </c>
      <c r="D2894" s="11" t="s">
        <v>9924</v>
      </c>
      <c r="E2894" s="11" t="s">
        <v>9925</v>
      </c>
    </row>
    <row r="2895" spans="1:5">
      <c r="A2895" s="11" t="s">
        <v>9926</v>
      </c>
      <c r="B2895">
        <v>8007847</v>
      </c>
      <c r="D2895" s="11" t="s">
        <v>9927</v>
      </c>
      <c r="E2895" s="11" t="s">
        <v>9928</v>
      </c>
    </row>
    <row r="2896" spans="1:5">
      <c r="A2896" s="11" t="s">
        <v>9929</v>
      </c>
      <c r="B2896">
        <v>8071890</v>
      </c>
      <c r="D2896" s="11" t="s">
        <v>9930</v>
      </c>
      <c r="E2896" s="11" t="s">
        <v>9931</v>
      </c>
    </row>
    <row r="2897" spans="1:5">
      <c r="A2897" s="11" t="s">
        <v>9932</v>
      </c>
      <c r="B2897">
        <v>8002666</v>
      </c>
      <c r="D2897" s="11" t="s">
        <v>9933</v>
      </c>
      <c r="E2897" s="11" t="s">
        <v>9934</v>
      </c>
    </row>
    <row r="2898" spans="1:5">
      <c r="A2898" s="11" t="s">
        <v>9935</v>
      </c>
      <c r="B2898">
        <v>8007225</v>
      </c>
      <c r="D2898" s="11" t="s">
        <v>9936</v>
      </c>
      <c r="E2898" s="11" t="s">
        <v>9937</v>
      </c>
    </row>
    <row r="2899" spans="1:5">
      <c r="A2899" s="11" t="s">
        <v>9938</v>
      </c>
      <c r="B2899">
        <v>8002501</v>
      </c>
      <c r="D2899" s="11" t="s">
        <v>9939</v>
      </c>
      <c r="E2899" s="11" t="s">
        <v>9940</v>
      </c>
    </row>
    <row r="2900" spans="1:5">
      <c r="A2900" s="11" t="s">
        <v>9941</v>
      </c>
      <c r="B2900">
        <v>8002667</v>
      </c>
      <c r="D2900" s="11" t="s">
        <v>9942</v>
      </c>
      <c r="E2900" s="11" t="s">
        <v>9943</v>
      </c>
    </row>
    <row r="2901" spans="1:5">
      <c r="A2901" s="11" t="s">
        <v>9944</v>
      </c>
      <c r="B2901">
        <v>8002670</v>
      </c>
      <c r="D2901" s="11" t="s">
        <v>9945</v>
      </c>
      <c r="E2901" s="11" t="s">
        <v>9946</v>
      </c>
    </row>
    <row r="2902" spans="1:5">
      <c r="A2902" s="11" t="s">
        <v>9947</v>
      </c>
      <c r="B2902">
        <v>8011836</v>
      </c>
      <c r="D2902" s="11" t="s">
        <v>9948</v>
      </c>
      <c r="E2902" s="11" t="s">
        <v>9949</v>
      </c>
    </row>
    <row r="2903" spans="1:5">
      <c r="A2903" s="11" t="s">
        <v>9950</v>
      </c>
      <c r="B2903">
        <v>8002671</v>
      </c>
      <c r="D2903" s="11" t="s">
        <v>9951</v>
      </c>
      <c r="E2903" s="11" t="s">
        <v>9952</v>
      </c>
    </row>
    <row r="2904" spans="1:5">
      <c r="A2904" s="11" t="s">
        <v>9953</v>
      </c>
      <c r="B2904">
        <v>8006189</v>
      </c>
      <c r="D2904" s="11" t="s">
        <v>9954</v>
      </c>
      <c r="E2904" s="11" t="s">
        <v>9955</v>
      </c>
    </row>
    <row r="2905" spans="1:5">
      <c r="A2905" s="11" t="s">
        <v>9956</v>
      </c>
      <c r="B2905">
        <v>8002673</v>
      </c>
      <c r="D2905" s="11" t="s">
        <v>9957</v>
      </c>
      <c r="E2905" s="11" t="s">
        <v>9958</v>
      </c>
    </row>
    <row r="2906" spans="1:5">
      <c r="A2906" s="11" t="s">
        <v>9959</v>
      </c>
      <c r="B2906">
        <v>8082673</v>
      </c>
      <c r="D2906" s="11" t="s">
        <v>9960</v>
      </c>
      <c r="E2906" s="11" t="s">
        <v>9961</v>
      </c>
    </row>
    <row r="2907" spans="1:5">
      <c r="A2907" s="11" t="s">
        <v>9962</v>
      </c>
      <c r="B2907">
        <v>8002674</v>
      </c>
      <c r="D2907" s="11" t="s">
        <v>9963</v>
      </c>
      <c r="E2907" s="11" t="s">
        <v>9964</v>
      </c>
    </row>
    <row r="2908" spans="1:5">
      <c r="A2908" s="11" t="s">
        <v>9965</v>
      </c>
      <c r="B2908">
        <v>8002430</v>
      </c>
      <c r="D2908" s="11" t="s">
        <v>9966</v>
      </c>
      <c r="E2908" s="11" t="s">
        <v>9967</v>
      </c>
    </row>
    <row r="2909" spans="1:5">
      <c r="A2909" s="11" t="s">
        <v>9968</v>
      </c>
      <c r="B2909">
        <v>8002677</v>
      </c>
      <c r="D2909" s="11" t="s">
        <v>9969</v>
      </c>
      <c r="E2909" s="11" t="s">
        <v>9970</v>
      </c>
    </row>
    <row r="2910" spans="1:5">
      <c r="A2910" s="11" t="s">
        <v>9971</v>
      </c>
      <c r="B2910">
        <v>8002678</v>
      </c>
      <c r="D2910" s="11" t="s">
        <v>9972</v>
      </c>
      <c r="E2910" s="11" t="s">
        <v>9973</v>
      </c>
    </row>
    <row r="2911" spans="1:5">
      <c r="A2911" s="11" t="s">
        <v>9974</v>
      </c>
      <c r="B2911">
        <v>8011838</v>
      </c>
      <c r="D2911" s="11" t="s">
        <v>9975</v>
      </c>
      <c r="E2911" s="11" t="s">
        <v>9976</v>
      </c>
    </row>
    <row r="2912" spans="1:5">
      <c r="A2912" s="11" t="s">
        <v>9977</v>
      </c>
      <c r="B2912">
        <v>8002682</v>
      </c>
      <c r="D2912" s="11" t="s">
        <v>9978</v>
      </c>
      <c r="E2912" s="11" t="s">
        <v>9979</v>
      </c>
    </row>
    <row r="2913" spans="1:5">
      <c r="A2913" s="11" t="s">
        <v>9980</v>
      </c>
      <c r="B2913">
        <v>8002683</v>
      </c>
      <c r="D2913" s="11" t="s">
        <v>9981</v>
      </c>
      <c r="E2913" s="11" t="s">
        <v>9982</v>
      </c>
    </row>
    <row r="2914" spans="1:5">
      <c r="A2914" s="11" t="s">
        <v>9983</v>
      </c>
      <c r="B2914">
        <v>8000155</v>
      </c>
      <c r="D2914" s="11" t="s">
        <v>9984</v>
      </c>
      <c r="E2914" s="11" t="s">
        <v>9985</v>
      </c>
    </row>
    <row r="2915" spans="1:5">
      <c r="A2915" s="11" t="s">
        <v>9986</v>
      </c>
      <c r="B2915">
        <v>8089495</v>
      </c>
      <c r="D2915" s="11" t="s">
        <v>9987</v>
      </c>
      <c r="E2915" s="11" t="s">
        <v>9988</v>
      </c>
    </row>
    <row r="2916" spans="1:5">
      <c r="A2916" s="11" t="s">
        <v>9989</v>
      </c>
      <c r="B2916">
        <v>8000156</v>
      </c>
      <c r="D2916" s="11" t="s">
        <v>9990</v>
      </c>
      <c r="E2916" s="11" t="s">
        <v>9991</v>
      </c>
    </row>
    <row r="2917" spans="1:5">
      <c r="A2917" s="11" t="s">
        <v>9992</v>
      </c>
      <c r="B2917">
        <v>8070043</v>
      </c>
      <c r="D2917" s="11" t="s">
        <v>9993</v>
      </c>
      <c r="E2917" s="11" t="s">
        <v>9994</v>
      </c>
    </row>
    <row r="2918" spans="1:5">
      <c r="A2918" s="11" t="s">
        <v>9995</v>
      </c>
      <c r="B2918">
        <v>8002684</v>
      </c>
      <c r="D2918" s="11" t="s">
        <v>9996</v>
      </c>
      <c r="E2918" s="11" t="s">
        <v>9997</v>
      </c>
    </row>
    <row r="2919" spans="1:5">
      <c r="A2919" s="11" t="s">
        <v>9998</v>
      </c>
      <c r="B2919">
        <v>8071015</v>
      </c>
      <c r="D2919" s="11" t="s">
        <v>9999</v>
      </c>
      <c r="E2919" s="11" t="s">
        <v>10000</v>
      </c>
    </row>
    <row r="2920" spans="1:5">
      <c r="A2920" s="11" t="s">
        <v>10001</v>
      </c>
      <c r="B2920">
        <v>8002685</v>
      </c>
      <c r="D2920" s="11" t="s">
        <v>10002</v>
      </c>
      <c r="E2920" s="11" t="s">
        <v>10003</v>
      </c>
    </row>
    <row r="2921" spans="1:5">
      <c r="A2921" s="11" t="s">
        <v>10004</v>
      </c>
      <c r="B2921">
        <v>8002686</v>
      </c>
      <c r="D2921" s="11" t="s">
        <v>10005</v>
      </c>
      <c r="E2921" s="11" t="s">
        <v>10006</v>
      </c>
    </row>
    <row r="2922" spans="1:5">
      <c r="A2922" s="11" t="s">
        <v>10007</v>
      </c>
      <c r="B2922">
        <v>8002687</v>
      </c>
      <c r="D2922" s="11" t="s">
        <v>10008</v>
      </c>
      <c r="E2922" s="11" t="s">
        <v>10009</v>
      </c>
    </row>
    <row r="2923" spans="1:5">
      <c r="A2923" s="11" t="s">
        <v>10010</v>
      </c>
      <c r="B2923">
        <v>8005366</v>
      </c>
      <c r="D2923" s="11" t="s">
        <v>10011</v>
      </c>
      <c r="E2923" s="11" t="s">
        <v>10012</v>
      </c>
    </row>
    <row r="2924" spans="1:5">
      <c r="A2924" s="11" t="s">
        <v>10013</v>
      </c>
      <c r="B2924">
        <v>8002681</v>
      </c>
      <c r="D2924" s="11" t="s">
        <v>10014</v>
      </c>
      <c r="E2924" s="11" t="s">
        <v>10015</v>
      </c>
    </row>
    <row r="2925" spans="1:5">
      <c r="A2925" s="11" t="s">
        <v>10016</v>
      </c>
      <c r="B2925">
        <v>8002688</v>
      </c>
      <c r="D2925" s="11" t="s">
        <v>10017</v>
      </c>
      <c r="E2925" s="11" t="s">
        <v>10018</v>
      </c>
    </row>
    <row r="2926" spans="1:5">
      <c r="A2926" s="11" t="s">
        <v>10019</v>
      </c>
      <c r="B2926">
        <v>8071186</v>
      </c>
      <c r="D2926" s="11" t="s">
        <v>10020</v>
      </c>
      <c r="E2926" s="11" t="s">
        <v>10021</v>
      </c>
    </row>
    <row r="2927" spans="1:5">
      <c r="A2927" s="11" t="s">
        <v>10022</v>
      </c>
      <c r="B2927">
        <v>8070010</v>
      </c>
      <c r="D2927" s="11" t="s">
        <v>10023</v>
      </c>
      <c r="E2927" s="11" t="s">
        <v>10024</v>
      </c>
    </row>
    <row r="2928" spans="1:5">
      <c r="A2928" s="11" t="s">
        <v>10025</v>
      </c>
      <c r="B2928">
        <v>8071745</v>
      </c>
      <c r="D2928" s="11" t="s">
        <v>10026</v>
      </c>
      <c r="E2928" s="11" t="s">
        <v>10027</v>
      </c>
    </row>
    <row r="2929" spans="1:5">
      <c r="A2929" s="11" t="s">
        <v>10028</v>
      </c>
      <c r="B2929">
        <v>8010163</v>
      </c>
      <c r="D2929" s="11" t="s">
        <v>10029</v>
      </c>
      <c r="E2929" s="11" t="s">
        <v>10030</v>
      </c>
    </row>
    <row r="2930" spans="1:5">
      <c r="A2930" s="11" t="s">
        <v>10031</v>
      </c>
      <c r="B2930">
        <v>8011843</v>
      </c>
      <c r="D2930" s="11" t="s">
        <v>10032</v>
      </c>
      <c r="E2930" s="11" t="s">
        <v>10033</v>
      </c>
    </row>
    <row r="2931" spans="1:5">
      <c r="A2931" s="11" t="s">
        <v>10034</v>
      </c>
      <c r="B2931">
        <v>8011844</v>
      </c>
      <c r="D2931" s="11" t="s">
        <v>10035</v>
      </c>
      <c r="E2931" s="11" t="s">
        <v>10036</v>
      </c>
    </row>
    <row r="2932" spans="1:5">
      <c r="A2932" s="11" t="s">
        <v>10037</v>
      </c>
      <c r="B2932">
        <v>8007132</v>
      </c>
      <c r="D2932" s="11" t="s">
        <v>10038</v>
      </c>
      <c r="E2932" s="11" t="s">
        <v>10039</v>
      </c>
    </row>
    <row r="2933" spans="1:5">
      <c r="A2933" s="11" t="s">
        <v>10040</v>
      </c>
      <c r="B2933">
        <v>8002689</v>
      </c>
      <c r="D2933" s="11" t="s">
        <v>10041</v>
      </c>
      <c r="E2933" s="11" t="s">
        <v>10042</v>
      </c>
    </row>
    <row r="2934" spans="1:5">
      <c r="A2934" s="11" t="s">
        <v>10043</v>
      </c>
      <c r="B2934">
        <v>8070005</v>
      </c>
      <c r="D2934" s="11" t="s">
        <v>10044</v>
      </c>
      <c r="E2934" s="11" t="s">
        <v>10045</v>
      </c>
    </row>
    <row r="2935" spans="1:5">
      <c r="A2935" s="11" t="s">
        <v>10046</v>
      </c>
      <c r="B2935">
        <v>8002690</v>
      </c>
      <c r="D2935" s="11" t="s">
        <v>10047</v>
      </c>
      <c r="E2935" s="11" t="s">
        <v>10048</v>
      </c>
    </row>
    <row r="2936" spans="1:5">
      <c r="A2936" s="11" t="s">
        <v>10049</v>
      </c>
      <c r="B2936">
        <v>8002691</v>
      </c>
      <c r="D2936" s="11" t="s">
        <v>10050</v>
      </c>
      <c r="E2936" s="11" t="s">
        <v>10051</v>
      </c>
    </row>
    <row r="2937" spans="1:5">
      <c r="A2937" s="11" t="s">
        <v>10052</v>
      </c>
      <c r="B2937">
        <v>8071010</v>
      </c>
      <c r="D2937" s="11" t="s">
        <v>10053</v>
      </c>
      <c r="E2937" s="11" t="s">
        <v>10054</v>
      </c>
    </row>
    <row r="2938" spans="1:5">
      <c r="A2938" s="11" t="s">
        <v>10055</v>
      </c>
      <c r="B2938">
        <v>8071543</v>
      </c>
      <c r="D2938" s="11" t="s">
        <v>10056</v>
      </c>
      <c r="E2938" s="11" t="s">
        <v>10057</v>
      </c>
    </row>
    <row r="2939" spans="1:5">
      <c r="A2939" s="11" t="s">
        <v>10058</v>
      </c>
      <c r="B2939">
        <v>8002692</v>
      </c>
      <c r="D2939" s="11" t="s">
        <v>10059</v>
      </c>
      <c r="E2939" s="11" t="s">
        <v>10060</v>
      </c>
    </row>
    <row r="2940" spans="1:5">
      <c r="A2940" s="11" t="s">
        <v>10061</v>
      </c>
      <c r="B2940">
        <v>8002694</v>
      </c>
      <c r="D2940" s="11" t="s">
        <v>10062</v>
      </c>
      <c r="E2940" s="11" t="s">
        <v>10063</v>
      </c>
    </row>
    <row r="2941" spans="1:5">
      <c r="A2941" s="11" t="s">
        <v>10064</v>
      </c>
      <c r="B2941">
        <v>8002696</v>
      </c>
      <c r="D2941" s="11" t="s">
        <v>10065</v>
      </c>
      <c r="E2941" s="11" t="s">
        <v>10066</v>
      </c>
    </row>
    <row r="2942" spans="1:5">
      <c r="A2942" s="11" t="s">
        <v>10067</v>
      </c>
      <c r="B2942">
        <v>8011849</v>
      </c>
      <c r="D2942" s="11" t="s">
        <v>10068</v>
      </c>
      <c r="E2942" s="11" t="s">
        <v>10069</v>
      </c>
    </row>
    <row r="2943" spans="1:5">
      <c r="A2943" s="11" t="s">
        <v>10070</v>
      </c>
      <c r="B2943">
        <v>8079631</v>
      </c>
      <c r="D2943" s="11" t="s">
        <v>10071</v>
      </c>
      <c r="E2943" s="11" t="s">
        <v>10072</v>
      </c>
    </row>
    <row r="2944" spans="1:5">
      <c r="A2944" s="11" t="s">
        <v>10073</v>
      </c>
      <c r="B2944">
        <v>8070791</v>
      </c>
      <c r="D2944" s="11" t="s">
        <v>10074</v>
      </c>
      <c r="E2944" s="11" t="s">
        <v>10075</v>
      </c>
    </row>
    <row r="2945" spans="1:5">
      <c r="A2945" s="11" t="s">
        <v>10076</v>
      </c>
      <c r="B2945">
        <v>8070792</v>
      </c>
      <c r="D2945" s="11" t="s">
        <v>10077</v>
      </c>
      <c r="E2945" s="11" t="s">
        <v>10078</v>
      </c>
    </row>
    <row r="2946" spans="1:5">
      <c r="A2946" s="11" t="s">
        <v>10079</v>
      </c>
      <c r="B2946">
        <v>8070172</v>
      </c>
      <c r="D2946" s="11" t="s">
        <v>10080</v>
      </c>
      <c r="E2946" s="11" t="s">
        <v>10081</v>
      </c>
    </row>
    <row r="2947" spans="1:5">
      <c r="A2947" s="11" t="s">
        <v>10082</v>
      </c>
      <c r="B2947">
        <v>8071172</v>
      </c>
      <c r="D2947" s="11" t="s">
        <v>10083</v>
      </c>
      <c r="E2947" s="11" t="s">
        <v>10084</v>
      </c>
    </row>
    <row r="2948" spans="1:5">
      <c r="A2948" s="11" t="s">
        <v>10085</v>
      </c>
      <c r="B2948">
        <v>8072172</v>
      </c>
      <c r="D2948" s="11" t="s">
        <v>10086</v>
      </c>
      <c r="E2948" s="11" t="s">
        <v>10087</v>
      </c>
    </row>
    <row r="2949" spans="1:5">
      <c r="A2949" s="11" t="s">
        <v>10088</v>
      </c>
      <c r="B2949">
        <v>8070171</v>
      </c>
      <c r="D2949" s="11" t="s">
        <v>1539</v>
      </c>
      <c r="E2949" s="11" t="s">
        <v>1539</v>
      </c>
    </row>
    <row r="2950" spans="1:5">
      <c r="A2950" s="11" t="s">
        <v>10089</v>
      </c>
      <c r="B2950">
        <v>8000157</v>
      </c>
      <c r="D2950" s="11" t="s">
        <v>10090</v>
      </c>
      <c r="E2950" s="11" t="s">
        <v>10091</v>
      </c>
    </row>
    <row r="2951" spans="1:5">
      <c r="A2951" s="11" t="s">
        <v>10092</v>
      </c>
      <c r="B2951">
        <v>8002723</v>
      </c>
      <c r="D2951" s="11" t="s">
        <v>10093</v>
      </c>
      <c r="E2951" s="11" t="s">
        <v>10094</v>
      </c>
    </row>
    <row r="2952" spans="1:5">
      <c r="A2952" s="11" t="s">
        <v>10095</v>
      </c>
      <c r="B2952">
        <v>8002697</v>
      </c>
      <c r="D2952" s="11" t="s">
        <v>10096</v>
      </c>
      <c r="E2952" s="11" t="s">
        <v>10097</v>
      </c>
    </row>
    <row r="2953" spans="1:5">
      <c r="A2953" s="11" t="s">
        <v>10098</v>
      </c>
      <c r="B2953">
        <v>8002726</v>
      </c>
      <c r="D2953" s="11" t="s">
        <v>10099</v>
      </c>
      <c r="E2953" s="11" t="s">
        <v>10100</v>
      </c>
    </row>
    <row r="2954" spans="1:5">
      <c r="A2954" s="11" t="s">
        <v>10101</v>
      </c>
      <c r="B2954">
        <v>8070174</v>
      </c>
      <c r="D2954" s="11" t="s">
        <v>10102</v>
      </c>
      <c r="E2954" s="11" t="s">
        <v>10103</v>
      </c>
    </row>
    <row r="2955" spans="1:5">
      <c r="A2955" s="11" t="s">
        <v>10104</v>
      </c>
      <c r="B2955">
        <v>8070793</v>
      </c>
      <c r="D2955" s="11" t="s">
        <v>10105</v>
      </c>
      <c r="E2955" s="11" t="s">
        <v>10106</v>
      </c>
    </row>
    <row r="2956" spans="1:5">
      <c r="A2956" s="11" t="s">
        <v>10107</v>
      </c>
      <c r="B2956">
        <v>8070173</v>
      </c>
      <c r="D2956" s="11" t="s">
        <v>10108</v>
      </c>
      <c r="E2956" s="11" t="s">
        <v>10109</v>
      </c>
    </row>
    <row r="2957" spans="1:5">
      <c r="A2957" s="11" t="s">
        <v>10110</v>
      </c>
      <c r="B2957">
        <v>8002699</v>
      </c>
      <c r="D2957" s="11" t="s">
        <v>10111</v>
      </c>
      <c r="E2957" s="11" t="s">
        <v>10112</v>
      </c>
    </row>
    <row r="2958" spans="1:5">
      <c r="A2958" s="11" t="s">
        <v>10113</v>
      </c>
      <c r="B2958">
        <v>8072722</v>
      </c>
      <c r="D2958" s="11" t="s">
        <v>10114</v>
      </c>
      <c r="E2958" s="11" t="s">
        <v>10115</v>
      </c>
    </row>
    <row r="2959" spans="1:5">
      <c r="A2959" s="11" t="s">
        <v>10116</v>
      </c>
      <c r="B2959">
        <v>8002722</v>
      </c>
      <c r="D2959" s="11" t="s">
        <v>10117</v>
      </c>
      <c r="E2959" s="11" t="s">
        <v>10118</v>
      </c>
    </row>
    <row r="2960" spans="1:5">
      <c r="A2960" s="11" t="s">
        <v>10119</v>
      </c>
      <c r="B2960">
        <v>8002700</v>
      </c>
      <c r="D2960" s="11" t="s">
        <v>10120</v>
      </c>
      <c r="E2960" s="11" t="s">
        <v>10121</v>
      </c>
    </row>
    <row r="2961" spans="1:5">
      <c r="A2961" s="11" t="s">
        <v>10122</v>
      </c>
      <c r="B2961">
        <v>8070431</v>
      </c>
      <c r="D2961" s="11" t="s">
        <v>10123</v>
      </c>
      <c r="E2961" s="11" t="s">
        <v>10124</v>
      </c>
    </row>
    <row r="2962" spans="1:5">
      <c r="A2962" s="11" t="s">
        <v>10125</v>
      </c>
      <c r="B2962">
        <v>8011846</v>
      </c>
      <c r="D2962" s="11" t="s">
        <v>10126</v>
      </c>
      <c r="E2962" s="11" t="s">
        <v>10127</v>
      </c>
    </row>
    <row r="2963" spans="1:5">
      <c r="A2963" s="11" t="s">
        <v>10128</v>
      </c>
      <c r="B2963">
        <v>8071376</v>
      </c>
      <c r="D2963" s="11" t="s">
        <v>10129</v>
      </c>
      <c r="E2963" s="11" t="s">
        <v>10130</v>
      </c>
    </row>
    <row r="2964" spans="1:5">
      <c r="A2964" s="11" t="s">
        <v>10131</v>
      </c>
      <c r="B2964">
        <v>8070624</v>
      </c>
      <c r="D2964" s="11" t="s">
        <v>10132</v>
      </c>
      <c r="E2964" s="11" t="s">
        <v>10133</v>
      </c>
    </row>
    <row r="2965" spans="1:5">
      <c r="A2965" s="11" t="s">
        <v>10134</v>
      </c>
      <c r="B2965">
        <v>8011848</v>
      </c>
      <c r="D2965" s="11" t="s">
        <v>10135</v>
      </c>
      <c r="E2965" s="11" t="s">
        <v>10136</v>
      </c>
    </row>
    <row r="2966" spans="1:5">
      <c r="A2966" s="11" t="s">
        <v>10137</v>
      </c>
      <c r="B2966">
        <v>8070935</v>
      </c>
      <c r="D2966" s="11" t="s">
        <v>10138</v>
      </c>
      <c r="E2966" s="11" t="s">
        <v>10139</v>
      </c>
    </row>
    <row r="2967" spans="1:5">
      <c r="A2967" s="11" t="s">
        <v>10140</v>
      </c>
      <c r="B2967">
        <v>8070997</v>
      </c>
      <c r="D2967" s="11" t="s">
        <v>10141</v>
      </c>
      <c r="E2967" s="11" t="s">
        <v>10142</v>
      </c>
    </row>
    <row r="2968" spans="1:5">
      <c r="A2968" s="11" t="s">
        <v>10143</v>
      </c>
      <c r="B2968">
        <v>8070432</v>
      </c>
      <c r="D2968" s="11" t="s">
        <v>10144</v>
      </c>
      <c r="E2968" s="11" t="s">
        <v>10145</v>
      </c>
    </row>
    <row r="2969" spans="1:5">
      <c r="A2969" s="11" t="s">
        <v>10146</v>
      </c>
      <c r="B2969">
        <v>8002703</v>
      </c>
      <c r="D2969" s="11" t="s">
        <v>10147</v>
      </c>
      <c r="E2969" s="11" t="s">
        <v>10148</v>
      </c>
    </row>
    <row r="2970" spans="1:5">
      <c r="A2970" s="11" t="s">
        <v>10149</v>
      </c>
      <c r="B2970">
        <v>8002704</v>
      </c>
      <c r="D2970" s="11" t="s">
        <v>10150</v>
      </c>
      <c r="E2970" s="11" t="s">
        <v>10151</v>
      </c>
    </row>
    <row r="2971" spans="1:5">
      <c r="A2971" s="11" t="s">
        <v>10152</v>
      </c>
      <c r="B2971">
        <v>8002705</v>
      </c>
      <c r="D2971" s="11" t="s">
        <v>10153</v>
      </c>
      <c r="E2971" s="11" t="s">
        <v>10154</v>
      </c>
    </row>
    <row r="2972" spans="1:5">
      <c r="A2972" s="11" t="s">
        <v>10155</v>
      </c>
      <c r="B2972">
        <v>8007829</v>
      </c>
      <c r="D2972" s="11" t="s">
        <v>10156</v>
      </c>
      <c r="E2972" s="11" t="s">
        <v>10157</v>
      </c>
    </row>
    <row r="2973" spans="1:5">
      <c r="A2973" s="11" t="s">
        <v>10158</v>
      </c>
      <c r="B2973">
        <v>8002707</v>
      </c>
      <c r="D2973" s="11" t="s">
        <v>10159</v>
      </c>
      <c r="E2973" s="11" t="s">
        <v>10160</v>
      </c>
    </row>
    <row r="2974" spans="1:5">
      <c r="A2974" s="11" t="s">
        <v>10161</v>
      </c>
      <c r="B2974">
        <v>8007887</v>
      </c>
      <c r="D2974" s="11" t="s">
        <v>10162</v>
      </c>
      <c r="E2974" s="11" t="s">
        <v>10163</v>
      </c>
    </row>
    <row r="2975" spans="1:5">
      <c r="A2975" s="11" t="s">
        <v>10164</v>
      </c>
      <c r="B2975">
        <v>8002710</v>
      </c>
      <c r="D2975" s="11" t="s">
        <v>10165</v>
      </c>
      <c r="E2975" s="11" t="s">
        <v>10166</v>
      </c>
    </row>
    <row r="2976" spans="1:5">
      <c r="A2976" s="11" t="s">
        <v>10167</v>
      </c>
      <c r="B2976">
        <v>8007328</v>
      </c>
      <c r="D2976" s="11" t="s">
        <v>10168</v>
      </c>
      <c r="E2976" s="11" t="s">
        <v>10169</v>
      </c>
    </row>
    <row r="2977" spans="1:5">
      <c r="A2977" s="11" t="s">
        <v>10170</v>
      </c>
      <c r="B2977">
        <v>8002711</v>
      </c>
      <c r="D2977" s="11" t="s">
        <v>10171</v>
      </c>
      <c r="E2977" s="11" t="s">
        <v>10172</v>
      </c>
    </row>
    <row r="2978" spans="1:5">
      <c r="A2978" s="11" t="s">
        <v>10173</v>
      </c>
      <c r="B2978">
        <v>8002715</v>
      </c>
      <c r="D2978" s="11" t="s">
        <v>10174</v>
      </c>
      <c r="E2978" s="11" t="s">
        <v>10175</v>
      </c>
    </row>
    <row r="2979" spans="1:5">
      <c r="A2979" s="11" t="s">
        <v>10176</v>
      </c>
      <c r="B2979">
        <v>8002716</v>
      </c>
      <c r="D2979" s="11" t="s">
        <v>10177</v>
      </c>
      <c r="E2979" s="11" t="s">
        <v>10178</v>
      </c>
    </row>
    <row r="2980" spans="1:5">
      <c r="A2980" s="11" t="s">
        <v>10179</v>
      </c>
      <c r="B2980">
        <v>8002725</v>
      </c>
      <c r="D2980" s="11" t="s">
        <v>10180</v>
      </c>
      <c r="E2980" s="11" t="s">
        <v>10181</v>
      </c>
    </row>
    <row r="2981" spans="1:5">
      <c r="A2981" s="11" t="s">
        <v>10182</v>
      </c>
      <c r="B2981">
        <v>8002721</v>
      </c>
      <c r="D2981" s="11" t="s">
        <v>10183</v>
      </c>
      <c r="E2981" s="11" t="s">
        <v>10184</v>
      </c>
    </row>
    <row r="2982" spans="1:5">
      <c r="A2982" s="11" t="s">
        <v>10185</v>
      </c>
      <c r="B2982">
        <v>8001557</v>
      </c>
      <c r="D2982" s="11" t="s">
        <v>10186</v>
      </c>
      <c r="E2982" s="11" t="s">
        <v>10187</v>
      </c>
    </row>
    <row r="2983" spans="1:5">
      <c r="A2983" s="11" t="s">
        <v>10188</v>
      </c>
      <c r="B2983">
        <v>8002719</v>
      </c>
      <c r="D2983" s="11" t="s">
        <v>10189</v>
      </c>
      <c r="E2983" s="11" t="s">
        <v>10190</v>
      </c>
    </row>
    <row r="2984" spans="1:5">
      <c r="A2984" s="11" t="s">
        <v>10191</v>
      </c>
      <c r="B2984">
        <v>8004519</v>
      </c>
      <c r="D2984" s="11" t="s">
        <v>10192</v>
      </c>
      <c r="E2984" s="11" t="s">
        <v>10193</v>
      </c>
    </row>
    <row r="2985" spans="1:5">
      <c r="A2985" s="11" t="s">
        <v>10194</v>
      </c>
      <c r="B2985">
        <v>8002720</v>
      </c>
      <c r="D2985" s="11" t="s">
        <v>10195</v>
      </c>
      <c r="E2985" s="11" t="s">
        <v>10196</v>
      </c>
    </row>
    <row r="2986" spans="1:5">
      <c r="A2986" s="11" t="s">
        <v>10197</v>
      </c>
      <c r="B2986">
        <v>8002718</v>
      </c>
      <c r="D2986" s="11" t="s">
        <v>10198</v>
      </c>
      <c r="E2986" s="11" t="s">
        <v>10199</v>
      </c>
    </row>
    <row r="2987" spans="1:5">
      <c r="A2987" s="11" t="s">
        <v>10200</v>
      </c>
      <c r="B2987">
        <v>8007807</v>
      </c>
      <c r="D2987" s="11" t="s">
        <v>10201</v>
      </c>
      <c r="E2987" s="11" t="s">
        <v>10202</v>
      </c>
    </row>
    <row r="2988" spans="1:5">
      <c r="A2988" s="11" t="s">
        <v>10203</v>
      </c>
      <c r="B2988">
        <v>8002724</v>
      </c>
      <c r="D2988" s="11" t="s">
        <v>10204</v>
      </c>
      <c r="E2988" s="11" t="s">
        <v>10205</v>
      </c>
    </row>
    <row r="2989" spans="1:5">
      <c r="A2989" s="11" t="s">
        <v>10206</v>
      </c>
      <c r="B2989">
        <v>8002727</v>
      </c>
      <c r="D2989" s="11" t="s">
        <v>10207</v>
      </c>
      <c r="E2989" s="11" t="s">
        <v>10208</v>
      </c>
    </row>
    <row r="2990" spans="1:5">
      <c r="A2990" s="11" t="s">
        <v>10209</v>
      </c>
      <c r="B2990">
        <v>8011852</v>
      </c>
      <c r="D2990" s="11" t="s">
        <v>10210</v>
      </c>
      <c r="E2990" s="11" t="s">
        <v>10211</v>
      </c>
    </row>
    <row r="2991" spans="1:5">
      <c r="A2991" s="11" t="s">
        <v>10212</v>
      </c>
      <c r="B2991">
        <v>8011853</v>
      </c>
      <c r="D2991" s="11" t="s">
        <v>10213</v>
      </c>
      <c r="E2991" s="11" t="s">
        <v>10214</v>
      </c>
    </row>
    <row r="2992" spans="1:5">
      <c r="A2992" s="11" t="s">
        <v>10215</v>
      </c>
      <c r="B2992">
        <v>8007779</v>
      </c>
      <c r="D2992" s="11" t="s">
        <v>10216</v>
      </c>
      <c r="E2992" s="11" t="s">
        <v>10217</v>
      </c>
    </row>
    <row r="2993" spans="1:5">
      <c r="A2993" s="11" t="s">
        <v>10218</v>
      </c>
      <c r="B2993">
        <v>8070237</v>
      </c>
      <c r="D2993" s="11" t="s">
        <v>10219</v>
      </c>
      <c r="E2993" s="11" t="s">
        <v>10220</v>
      </c>
    </row>
    <row r="2994" spans="1:5">
      <c r="A2994" s="11" t="s">
        <v>10221</v>
      </c>
      <c r="B2994">
        <v>8070433</v>
      </c>
      <c r="D2994" s="11" t="s">
        <v>10222</v>
      </c>
      <c r="E2994" s="11" t="s">
        <v>10223</v>
      </c>
    </row>
    <row r="2995" spans="1:5">
      <c r="A2995" s="11" t="s">
        <v>10224</v>
      </c>
      <c r="B2995">
        <v>8002733</v>
      </c>
      <c r="D2995" s="11" t="s">
        <v>10225</v>
      </c>
      <c r="E2995" s="11" t="s">
        <v>10226</v>
      </c>
    </row>
    <row r="2996" spans="1:5">
      <c r="A2996" s="11" t="s">
        <v>10227</v>
      </c>
      <c r="B2996">
        <v>8011855</v>
      </c>
      <c r="D2996" s="11" t="s">
        <v>10228</v>
      </c>
      <c r="E2996" s="11" t="s">
        <v>10229</v>
      </c>
    </row>
    <row r="2997" spans="1:5">
      <c r="A2997" s="11" t="s">
        <v>10230</v>
      </c>
      <c r="B2997">
        <v>8002734</v>
      </c>
      <c r="D2997" s="11" t="s">
        <v>10231</v>
      </c>
      <c r="E2997" s="11" t="s">
        <v>10232</v>
      </c>
    </row>
    <row r="2998" spans="1:5">
      <c r="A2998" s="11" t="s">
        <v>10233</v>
      </c>
      <c r="B2998">
        <v>8071201</v>
      </c>
      <c r="D2998" s="11" t="s">
        <v>10234</v>
      </c>
      <c r="E2998" s="11" t="s">
        <v>10235</v>
      </c>
    </row>
    <row r="2999" spans="1:5">
      <c r="A2999" s="11" t="s">
        <v>10236</v>
      </c>
      <c r="B2999">
        <v>8071162</v>
      </c>
      <c r="D2999" s="11" t="s">
        <v>10237</v>
      </c>
      <c r="E2999" s="11" t="s">
        <v>10238</v>
      </c>
    </row>
    <row r="3000" spans="1:5">
      <c r="A3000" s="11" t="s">
        <v>10239</v>
      </c>
      <c r="B3000">
        <v>8007444</v>
      </c>
      <c r="D3000" s="11" t="s">
        <v>10240</v>
      </c>
      <c r="E3000" s="11" t="s">
        <v>10241</v>
      </c>
    </row>
    <row r="3001" spans="1:5">
      <c r="A3001" s="11" t="s">
        <v>10242</v>
      </c>
      <c r="B3001">
        <v>8000159</v>
      </c>
      <c r="D3001" s="11" t="s">
        <v>10243</v>
      </c>
      <c r="E3001" s="11" t="s">
        <v>10244</v>
      </c>
    </row>
    <row r="3002" spans="1:5">
      <c r="A3002" s="11" t="s">
        <v>10245</v>
      </c>
      <c r="B3002">
        <v>8089195</v>
      </c>
      <c r="D3002" s="11" t="s">
        <v>10246</v>
      </c>
      <c r="E3002" s="11" t="s">
        <v>10247</v>
      </c>
    </row>
    <row r="3003" spans="1:5">
      <c r="A3003" s="11" t="s">
        <v>10248</v>
      </c>
      <c r="B3003">
        <v>8002737</v>
      </c>
      <c r="D3003" s="11" t="s">
        <v>10249</v>
      </c>
      <c r="E3003" s="11" t="s">
        <v>10250</v>
      </c>
    </row>
    <row r="3004" spans="1:5">
      <c r="A3004" s="11" t="s">
        <v>10251</v>
      </c>
      <c r="B3004">
        <v>8079013</v>
      </c>
      <c r="D3004" s="11" t="s">
        <v>10252</v>
      </c>
      <c r="E3004" s="11" t="s">
        <v>10253</v>
      </c>
    </row>
    <row r="3005" spans="1:5">
      <c r="A3005" s="11" t="s">
        <v>10254</v>
      </c>
      <c r="B3005">
        <v>8002745</v>
      </c>
      <c r="D3005" s="11" t="s">
        <v>10255</v>
      </c>
      <c r="E3005" s="11" t="s">
        <v>10256</v>
      </c>
    </row>
    <row r="3006" spans="1:5">
      <c r="A3006" s="11" t="s">
        <v>10257</v>
      </c>
      <c r="B3006">
        <v>8002746</v>
      </c>
      <c r="D3006" s="11" t="s">
        <v>10258</v>
      </c>
      <c r="E3006" s="11" t="s">
        <v>10259</v>
      </c>
    </row>
    <row r="3007" spans="1:5">
      <c r="A3007" s="11" t="s">
        <v>10260</v>
      </c>
      <c r="B3007">
        <v>8007327</v>
      </c>
      <c r="D3007" s="11" t="s">
        <v>10261</v>
      </c>
      <c r="E3007" s="11" t="s">
        <v>10262</v>
      </c>
    </row>
    <row r="3008" spans="1:5">
      <c r="A3008" s="11" t="s">
        <v>10263</v>
      </c>
      <c r="B3008">
        <v>8000815</v>
      </c>
      <c r="D3008" s="11" t="s">
        <v>10264</v>
      </c>
      <c r="E3008" s="11" t="s">
        <v>10265</v>
      </c>
    </row>
    <row r="3009" spans="1:5">
      <c r="A3009" s="11" t="s">
        <v>10266</v>
      </c>
      <c r="B3009">
        <v>8002748</v>
      </c>
      <c r="D3009" s="11" t="s">
        <v>10267</v>
      </c>
      <c r="E3009" s="11" t="s">
        <v>10268</v>
      </c>
    </row>
    <row r="3010" spans="1:5">
      <c r="A3010" s="11" t="s">
        <v>10269</v>
      </c>
      <c r="B3010">
        <v>8002750</v>
      </c>
      <c r="D3010" s="11" t="s">
        <v>10270</v>
      </c>
      <c r="E3010" s="11" t="s">
        <v>10271</v>
      </c>
    </row>
    <row r="3011" spans="1:5">
      <c r="A3011" s="11" t="s">
        <v>10272</v>
      </c>
      <c r="B3011">
        <v>8002751</v>
      </c>
      <c r="D3011" s="11" t="s">
        <v>10273</v>
      </c>
      <c r="E3011" s="11" t="s">
        <v>10274</v>
      </c>
    </row>
    <row r="3012" spans="1:5">
      <c r="A3012" s="11" t="s">
        <v>10275</v>
      </c>
      <c r="B3012">
        <v>8002775</v>
      </c>
      <c r="D3012" s="11" t="s">
        <v>10276</v>
      </c>
      <c r="E3012" s="11" t="s">
        <v>10277</v>
      </c>
    </row>
    <row r="3013" spans="1:5">
      <c r="A3013" s="11" t="s">
        <v>10278</v>
      </c>
      <c r="B3013">
        <v>8002753</v>
      </c>
      <c r="D3013" s="11" t="s">
        <v>10279</v>
      </c>
      <c r="E3013" s="11" t="s">
        <v>10280</v>
      </c>
    </row>
    <row r="3014" spans="1:5">
      <c r="A3014" s="11" t="s">
        <v>10281</v>
      </c>
      <c r="B3014">
        <v>8002754</v>
      </c>
      <c r="D3014" s="11" t="s">
        <v>10282</v>
      </c>
      <c r="E3014" s="11" t="s">
        <v>10283</v>
      </c>
    </row>
    <row r="3015" spans="1:5">
      <c r="A3015" s="11" t="s">
        <v>10284</v>
      </c>
      <c r="B3015">
        <v>8011856</v>
      </c>
      <c r="D3015" s="11" t="s">
        <v>10285</v>
      </c>
      <c r="E3015" s="11" t="s">
        <v>10286</v>
      </c>
    </row>
    <row r="3016" spans="1:5">
      <c r="A3016" s="11" t="s">
        <v>10287</v>
      </c>
      <c r="B3016">
        <v>8089207</v>
      </c>
      <c r="D3016" s="11" t="s">
        <v>10288</v>
      </c>
      <c r="E3016" s="11" t="s">
        <v>10289</v>
      </c>
    </row>
    <row r="3017" spans="1:5">
      <c r="A3017" s="11" t="s">
        <v>10290</v>
      </c>
      <c r="B3017">
        <v>8013483</v>
      </c>
      <c r="D3017" s="11" t="s">
        <v>10291</v>
      </c>
      <c r="E3017" s="11" t="s">
        <v>10292</v>
      </c>
    </row>
    <row r="3018" spans="1:5">
      <c r="A3018" s="11" t="s">
        <v>10293</v>
      </c>
      <c r="B3018">
        <v>8007053</v>
      </c>
      <c r="D3018" s="11" t="s">
        <v>10294</v>
      </c>
      <c r="E3018" s="11" t="s">
        <v>10295</v>
      </c>
    </row>
    <row r="3019" spans="1:5">
      <c r="A3019" s="11" t="s">
        <v>10296</v>
      </c>
      <c r="B3019">
        <v>8002757</v>
      </c>
      <c r="D3019" s="11" t="s">
        <v>10297</v>
      </c>
      <c r="E3019" s="11" t="s">
        <v>10298</v>
      </c>
    </row>
    <row r="3020" spans="1:5">
      <c r="A3020" s="11" t="s">
        <v>10299</v>
      </c>
      <c r="B3020">
        <v>8000160</v>
      </c>
      <c r="D3020" s="11" t="s">
        <v>10300</v>
      </c>
      <c r="E3020" s="11" t="s">
        <v>10301</v>
      </c>
    </row>
    <row r="3021" spans="1:5">
      <c r="A3021" s="11" t="s">
        <v>10302</v>
      </c>
      <c r="B3021">
        <v>8002760</v>
      </c>
      <c r="D3021" s="11" t="s">
        <v>10303</v>
      </c>
      <c r="E3021" s="11" t="s">
        <v>10304</v>
      </c>
    </row>
    <row r="3022" spans="1:5">
      <c r="A3022" s="11" t="s">
        <v>10305</v>
      </c>
      <c r="B3022">
        <v>8002761</v>
      </c>
      <c r="D3022" s="11" t="s">
        <v>10306</v>
      </c>
      <c r="E3022" s="11" t="s">
        <v>10307</v>
      </c>
    </row>
    <row r="3023" spans="1:5">
      <c r="A3023" s="11" t="s">
        <v>10308</v>
      </c>
      <c r="B3023">
        <v>8002762</v>
      </c>
      <c r="D3023" s="11" t="s">
        <v>10309</v>
      </c>
      <c r="E3023" s="11" t="s">
        <v>10310</v>
      </c>
    </row>
    <row r="3024" spans="1:5">
      <c r="A3024" s="11" t="s">
        <v>10311</v>
      </c>
      <c r="B3024">
        <v>8002763</v>
      </c>
      <c r="D3024" s="11" t="s">
        <v>10312</v>
      </c>
      <c r="E3024" s="11" t="s">
        <v>10313</v>
      </c>
    </row>
    <row r="3025" spans="1:5">
      <c r="A3025" s="11" t="s">
        <v>10314</v>
      </c>
      <c r="B3025">
        <v>8002764</v>
      </c>
      <c r="D3025" s="11" t="s">
        <v>10315</v>
      </c>
      <c r="E3025" s="11" t="s">
        <v>10316</v>
      </c>
    </row>
    <row r="3026" spans="1:5">
      <c r="A3026" s="11" t="s">
        <v>10317</v>
      </c>
      <c r="B3026">
        <v>8000161</v>
      </c>
      <c r="D3026" s="11" t="s">
        <v>10318</v>
      </c>
      <c r="E3026" s="11" t="s">
        <v>10319</v>
      </c>
    </row>
    <row r="3027" spans="1:5">
      <c r="A3027" s="11" t="s">
        <v>10320</v>
      </c>
      <c r="B3027">
        <v>8002766</v>
      </c>
      <c r="D3027" s="11" t="s">
        <v>10321</v>
      </c>
      <c r="E3027" s="11" t="s">
        <v>10322</v>
      </c>
    </row>
    <row r="3028" spans="1:5">
      <c r="A3028" s="11" t="s">
        <v>10323</v>
      </c>
      <c r="B3028">
        <v>8002768</v>
      </c>
      <c r="D3028" s="11" t="s">
        <v>10324</v>
      </c>
      <c r="E3028" s="11" t="s">
        <v>10325</v>
      </c>
    </row>
    <row r="3029" spans="1:5">
      <c r="A3029" s="11" t="s">
        <v>10326</v>
      </c>
      <c r="B3029">
        <v>8002769</v>
      </c>
      <c r="D3029" s="11" t="s">
        <v>10327</v>
      </c>
      <c r="E3029" s="11" t="s">
        <v>10328</v>
      </c>
    </row>
    <row r="3030" spans="1:5">
      <c r="A3030" s="11" t="s">
        <v>10329</v>
      </c>
      <c r="B3030">
        <v>8079267</v>
      </c>
      <c r="D3030" s="11" t="s">
        <v>10330</v>
      </c>
      <c r="E3030" s="11" t="s">
        <v>10331</v>
      </c>
    </row>
    <row r="3031" spans="1:5">
      <c r="A3031" s="11" t="s">
        <v>10332</v>
      </c>
      <c r="B3031">
        <v>8002770</v>
      </c>
      <c r="D3031" s="11" t="s">
        <v>10333</v>
      </c>
      <c r="E3031" s="11" t="s">
        <v>10334</v>
      </c>
    </row>
    <row r="3032" spans="1:5">
      <c r="A3032" s="11" t="s">
        <v>10335</v>
      </c>
      <c r="B3032">
        <v>8000162</v>
      </c>
      <c r="D3032" s="11" t="s">
        <v>10336</v>
      </c>
      <c r="E3032" s="11" t="s">
        <v>10337</v>
      </c>
    </row>
    <row r="3033" spans="1:5">
      <c r="A3033" s="11" t="s">
        <v>10338</v>
      </c>
      <c r="B3033">
        <v>8000387</v>
      </c>
      <c r="D3033" s="11" t="s">
        <v>10339</v>
      </c>
      <c r="E3033" s="11" t="s">
        <v>10340</v>
      </c>
    </row>
    <row r="3034" spans="1:5">
      <c r="A3034" s="11" t="s">
        <v>10341</v>
      </c>
      <c r="B3034">
        <v>8002773</v>
      </c>
      <c r="D3034" s="11" t="s">
        <v>10342</v>
      </c>
      <c r="E3034" s="11" t="s">
        <v>10343</v>
      </c>
    </row>
    <row r="3035" spans="1:5">
      <c r="A3035" s="11" t="s">
        <v>10344</v>
      </c>
      <c r="B3035">
        <v>8011860</v>
      </c>
      <c r="D3035" s="11" t="s">
        <v>10345</v>
      </c>
      <c r="E3035" s="11" t="s">
        <v>10346</v>
      </c>
    </row>
    <row r="3036" spans="1:5">
      <c r="A3036" s="11" t="s">
        <v>10347</v>
      </c>
      <c r="B3036">
        <v>8087026</v>
      </c>
      <c r="D3036" s="11" t="s">
        <v>10348</v>
      </c>
      <c r="E3036" s="11" t="s">
        <v>10349</v>
      </c>
    </row>
    <row r="3037" spans="1:5">
      <c r="A3037" s="11" t="s">
        <v>10350</v>
      </c>
      <c r="B3037">
        <v>8010166</v>
      </c>
      <c r="D3037" s="11" t="s">
        <v>10351</v>
      </c>
      <c r="E3037" s="11" t="s">
        <v>10352</v>
      </c>
    </row>
    <row r="3038" spans="1:5">
      <c r="A3038" s="11" t="s">
        <v>10353</v>
      </c>
      <c r="B3038">
        <v>8013548</v>
      </c>
      <c r="D3038" s="11" t="s">
        <v>10354</v>
      </c>
      <c r="E3038" s="11" t="s">
        <v>10355</v>
      </c>
    </row>
    <row r="3039" spans="1:5">
      <c r="A3039" s="11" t="s">
        <v>10356</v>
      </c>
      <c r="B3039">
        <v>8002776</v>
      </c>
      <c r="D3039" s="11" t="s">
        <v>10357</v>
      </c>
      <c r="E3039" s="11" t="s">
        <v>10358</v>
      </c>
    </row>
    <row r="3040" spans="1:5">
      <c r="A3040" s="11" t="s">
        <v>10359</v>
      </c>
      <c r="B3040">
        <v>8007231</v>
      </c>
      <c r="D3040" s="11" t="s">
        <v>10360</v>
      </c>
      <c r="E3040" s="11" t="s">
        <v>10361</v>
      </c>
    </row>
    <row r="3041" spans="1:5">
      <c r="A3041" s="11" t="s">
        <v>10362</v>
      </c>
      <c r="B3041">
        <v>8011861</v>
      </c>
      <c r="D3041" s="11" t="s">
        <v>10363</v>
      </c>
      <c r="E3041" s="11" t="s">
        <v>10364</v>
      </c>
    </row>
    <row r="3042" spans="1:5">
      <c r="A3042" s="11" t="s">
        <v>10365</v>
      </c>
      <c r="B3042">
        <v>8011862</v>
      </c>
      <c r="D3042" s="11" t="s">
        <v>10366</v>
      </c>
      <c r="E3042" s="11" t="s">
        <v>10367</v>
      </c>
    </row>
    <row r="3043" spans="1:5">
      <c r="A3043" s="11" t="s">
        <v>10368</v>
      </c>
      <c r="B3043">
        <v>8000164</v>
      </c>
      <c r="D3043" s="11" t="s">
        <v>10369</v>
      </c>
      <c r="E3043" s="11" t="s">
        <v>10370</v>
      </c>
    </row>
    <row r="3044" spans="1:5">
      <c r="A3044" s="11" t="s">
        <v>10371</v>
      </c>
      <c r="B3044">
        <v>8002779</v>
      </c>
      <c r="D3044" s="11" t="s">
        <v>10372</v>
      </c>
      <c r="E3044" s="11" t="s">
        <v>10373</v>
      </c>
    </row>
    <row r="3045" spans="1:5">
      <c r="A3045" s="11" t="s">
        <v>10374</v>
      </c>
      <c r="B3045">
        <v>8002782</v>
      </c>
      <c r="D3045" s="11" t="s">
        <v>10375</v>
      </c>
      <c r="E3045" s="11" t="s">
        <v>10376</v>
      </c>
    </row>
    <row r="3046" spans="1:5">
      <c r="A3046" s="11" t="s">
        <v>10377</v>
      </c>
      <c r="B3046">
        <v>8002783</v>
      </c>
      <c r="D3046" s="11" t="s">
        <v>10378</v>
      </c>
      <c r="E3046" s="11" t="s">
        <v>10379</v>
      </c>
    </row>
    <row r="3047" spans="1:5">
      <c r="A3047" s="11" t="s">
        <v>10380</v>
      </c>
      <c r="B3047">
        <v>8002784</v>
      </c>
      <c r="D3047" s="11" t="s">
        <v>10381</v>
      </c>
      <c r="E3047" s="11" t="s">
        <v>10382</v>
      </c>
    </row>
    <row r="3048" spans="1:5">
      <c r="A3048" s="11" t="s">
        <v>10383</v>
      </c>
      <c r="B3048">
        <v>8002785</v>
      </c>
      <c r="D3048" s="11" t="s">
        <v>10384</v>
      </c>
      <c r="E3048" s="11" t="s">
        <v>10385</v>
      </c>
    </row>
    <row r="3049" spans="1:5">
      <c r="A3049" s="11" t="s">
        <v>10386</v>
      </c>
      <c r="B3049">
        <v>8002786</v>
      </c>
      <c r="D3049" s="11" t="s">
        <v>10387</v>
      </c>
      <c r="E3049" s="11" t="s">
        <v>10388</v>
      </c>
    </row>
    <row r="3050" spans="1:5">
      <c r="A3050" s="11" t="s">
        <v>10389</v>
      </c>
      <c r="B3050">
        <v>8011863</v>
      </c>
      <c r="D3050" s="11" t="s">
        <v>10390</v>
      </c>
      <c r="E3050" s="11" t="s">
        <v>10391</v>
      </c>
    </row>
    <row r="3051" spans="1:5">
      <c r="A3051" s="11" t="s">
        <v>10392</v>
      </c>
      <c r="B3051">
        <v>8002789</v>
      </c>
      <c r="D3051" s="11" t="s">
        <v>10393</v>
      </c>
      <c r="E3051" s="11" t="s">
        <v>10394</v>
      </c>
    </row>
    <row r="3052" spans="1:5">
      <c r="A3052" s="11" t="s">
        <v>10395</v>
      </c>
      <c r="B3052">
        <v>8079099</v>
      </c>
      <c r="D3052" s="11" t="s">
        <v>10396</v>
      </c>
      <c r="E3052" s="11" t="s">
        <v>10397</v>
      </c>
    </row>
    <row r="3053" spans="1:5">
      <c r="A3053" s="11" t="s">
        <v>10398</v>
      </c>
      <c r="B3053">
        <v>8011864</v>
      </c>
      <c r="D3053" s="11" t="s">
        <v>10399</v>
      </c>
      <c r="E3053" s="11" t="s">
        <v>10400</v>
      </c>
    </row>
    <row r="3054" spans="1:5">
      <c r="A3054" s="11" t="s">
        <v>10401</v>
      </c>
      <c r="B3054">
        <v>8002792</v>
      </c>
      <c r="D3054" s="11" t="s">
        <v>10402</v>
      </c>
      <c r="E3054" s="11" t="s">
        <v>10403</v>
      </c>
    </row>
    <row r="3055" spans="1:5">
      <c r="A3055" s="11" t="s">
        <v>10404</v>
      </c>
      <c r="B3055">
        <v>8002793</v>
      </c>
      <c r="D3055" s="11" t="s">
        <v>10405</v>
      </c>
      <c r="E3055" s="11" t="s">
        <v>10406</v>
      </c>
    </row>
    <row r="3056" spans="1:5">
      <c r="A3056" s="11" t="s">
        <v>10407</v>
      </c>
      <c r="B3056">
        <v>8002794</v>
      </c>
      <c r="D3056" s="11" t="s">
        <v>10408</v>
      </c>
      <c r="E3056" s="11" t="s">
        <v>10409</v>
      </c>
    </row>
    <row r="3057" spans="1:5">
      <c r="A3057" s="11" t="s">
        <v>10410</v>
      </c>
      <c r="B3057">
        <v>8002797</v>
      </c>
      <c r="D3057" s="11" t="s">
        <v>10411</v>
      </c>
      <c r="E3057" s="11" t="s">
        <v>10412</v>
      </c>
    </row>
    <row r="3058" spans="1:5">
      <c r="A3058" s="11" t="s">
        <v>10413</v>
      </c>
      <c r="B3058">
        <v>8002795</v>
      </c>
      <c r="D3058" s="11" t="s">
        <v>10414</v>
      </c>
      <c r="E3058" s="11" t="s">
        <v>10415</v>
      </c>
    </row>
    <row r="3059" spans="1:5">
      <c r="A3059" s="11" t="s">
        <v>10416</v>
      </c>
      <c r="B3059">
        <v>8000165</v>
      </c>
      <c r="D3059" s="11" t="s">
        <v>10417</v>
      </c>
      <c r="E3059" s="11" t="s">
        <v>10418</v>
      </c>
    </row>
    <row r="3060" spans="1:5">
      <c r="A3060" s="11" t="s">
        <v>10419</v>
      </c>
      <c r="B3060">
        <v>8002798</v>
      </c>
      <c r="D3060" s="11" t="s">
        <v>10420</v>
      </c>
      <c r="E3060" s="11" t="s">
        <v>10421</v>
      </c>
    </row>
    <row r="3061" spans="1:5">
      <c r="A3061" s="11" t="s">
        <v>10422</v>
      </c>
      <c r="B3061">
        <v>8002800</v>
      </c>
      <c r="D3061" s="11" t="s">
        <v>10423</v>
      </c>
      <c r="E3061" s="11" t="s">
        <v>10424</v>
      </c>
    </row>
    <row r="3062" spans="1:5">
      <c r="A3062" s="11" t="s">
        <v>10425</v>
      </c>
      <c r="B3062">
        <v>8011867</v>
      </c>
      <c r="D3062" s="11" t="s">
        <v>10426</v>
      </c>
      <c r="E3062" s="11" t="s">
        <v>10427</v>
      </c>
    </row>
    <row r="3063" spans="1:5">
      <c r="A3063" s="11" t="s">
        <v>1226</v>
      </c>
      <c r="B3063">
        <v>8000166</v>
      </c>
      <c r="D3063" s="11" t="s">
        <v>10428</v>
      </c>
      <c r="E3063" s="11" t="s">
        <v>10429</v>
      </c>
    </row>
    <row r="3064" spans="1:5">
      <c r="A3064" s="11" t="s">
        <v>10430</v>
      </c>
      <c r="B3064">
        <v>8010167</v>
      </c>
      <c r="D3064" s="11" t="s">
        <v>10431</v>
      </c>
      <c r="E3064" s="11" t="s">
        <v>10432</v>
      </c>
    </row>
    <row r="3065" spans="1:5">
      <c r="A3065" s="11" t="s">
        <v>10433</v>
      </c>
      <c r="B3065">
        <v>8002801</v>
      </c>
      <c r="D3065" s="11" t="s">
        <v>10434</v>
      </c>
      <c r="E3065" s="11" t="s">
        <v>10435</v>
      </c>
    </row>
    <row r="3066" spans="1:5">
      <c r="A3066" s="11" t="s">
        <v>10436</v>
      </c>
      <c r="B3066">
        <v>8079605</v>
      </c>
      <c r="D3066" s="11" t="s">
        <v>10437</v>
      </c>
      <c r="E3066" s="11" t="s">
        <v>10438</v>
      </c>
    </row>
    <row r="3067" spans="1:5">
      <c r="A3067" s="11" t="s">
        <v>10439</v>
      </c>
      <c r="B3067">
        <v>8002806</v>
      </c>
      <c r="D3067" s="11" t="s">
        <v>10440</v>
      </c>
      <c r="E3067" s="11" t="s">
        <v>10441</v>
      </c>
    </row>
    <row r="3068" spans="1:5">
      <c r="A3068" s="11" t="s">
        <v>10442</v>
      </c>
      <c r="B3068">
        <v>8089120</v>
      </c>
      <c r="D3068" s="11" t="s">
        <v>1539</v>
      </c>
      <c r="E3068" s="11" t="s">
        <v>1539</v>
      </c>
    </row>
    <row r="3069" spans="1:5">
      <c r="A3069" s="11" t="s">
        <v>10443</v>
      </c>
      <c r="B3069">
        <v>8002804</v>
      </c>
      <c r="D3069" s="11" t="s">
        <v>10444</v>
      </c>
      <c r="E3069" s="11" t="s">
        <v>10445</v>
      </c>
    </row>
    <row r="3070" spans="1:5">
      <c r="A3070" s="11" t="s">
        <v>10446</v>
      </c>
      <c r="B3070">
        <v>8002816</v>
      </c>
      <c r="D3070" s="11" t="s">
        <v>10447</v>
      </c>
      <c r="E3070" s="11" t="s">
        <v>10448</v>
      </c>
    </row>
    <row r="3071" spans="1:5">
      <c r="A3071" s="11" t="s">
        <v>10449</v>
      </c>
      <c r="B3071">
        <v>8007808</v>
      </c>
      <c r="D3071" s="11" t="s">
        <v>10450</v>
      </c>
      <c r="E3071" s="11" t="s">
        <v>10451</v>
      </c>
    </row>
    <row r="3072" spans="1:5">
      <c r="A3072" s="11" t="s">
        <v>10452</v>
      </c>
      <c r="B3072">
        <v>8002808</v>
      </c>
      <c r="D3072" s="11" t="s">
        <v>10453</v>
      </c>
      <c r="E3072" s="11" t="s">
        <v>10454</v>
      </c>
    </row>
    <row r="3073" spans="1:5">
      <c r="A3073" s="11" t="s">
        <v>10455</v>
      </c>
      <c r="B3073">
        <v>8000167</v>
      </c>
      <c r="D3073" s="11" t="s">
        <v>10456</v>
      </c>
      <c r="E3073" s="11" t="s">
        <v>10457</v>
      </c>
    </row>
    <row r="3074" spans="1:5">
      <c r="A3074" s="11" t="s">
        <v>10458</v>
      </c>
      <c r="B3074">
        <v>8002810</v>
      </c>
      <c r="D3074" s="11" t="s">
        <v>10459</v>
      </c>
      <c r="E3074" s="11" t="s">
        <v>10460</v>
      </c>
    </row>
    <row r="3075" spans="1:5">
      <c r="A3075" s="11" t="s">
        <v>10461</v>
      </c>
      <c r="B3075">
        <v>8003144</v>
      </c>
      <c r="D3075" s="11" t="s">
        <v>10462</v>
      </c>
      <c r="E3075" s="11" t="s">
        <v>10463</v>
      </c>
    </row>
    <row r="3076" spans="1:5">
      <c r="A3076" s="11" t="s">
        <v>10464</v>
      </c>
      <c r="B3076">
        <v>8005393</v>
      </c>
      <c r="D3076" s="11" t="s">
        <v>10465</v>
      </c>
      <c r="E3076" s="11" t="s">
        <v>10466</v>
      </c>
    </row>
    <row r="3077" spans="1:5">
      <c r="A3077" s="11" t="s">
        <v>10467</v>
      </c>
      <c r="B3077">
        <v>8002812</v>
      </c>
      <c r="D3077" s="11" t="s">
        <v>10468</v>
      </c>
      <c r="E3077" s="11" t="s">
        <v>10469</v>
      </c>
    </row>
    <row r="3078" spans="1:5">
      <c r="A3078" s="11" t="s">
        <v>10470</v>
      </c>
      <c r="B3078">
        <v>8011869</v>
      </c>
      <c r="D3078" s="11" t="s">
        <v>10471</v>
      </c>
      <c r="E3078" s="11" t="s">
        <v>10472</v>
      </c>
    </row>
    <row r="3079" spans="1:5">
      <c r="A3079" s="11" t="s">
        <v>10473</v>
      </c>
      <c r="B3079">
        <v>8002814</v>
      </c>
      <c r="D3079" s="11" t="s">
        <v>10474</v>
      </c>
      <c r="E3079" s="11" t="s">
        <v>10475</v>
      </c>
    </row>
    <row r="3080" spans="1:5">
      <c r="A3080" s="11" t="s">
        <v>10476</v>
      </c>
      <c r="B3080">
        <v>8007230</v>
      </c>
      <c r="D3080" s="11" t="s">
        <v>10477</v>
      </c>
      <c r="E3080" s="11" t="s">
        <v>10478</v>
      </c>
    </row>
    <row r="3081" spans="1:5">
      <c r="A3081" s="11" t="s">
        <v>10479</v>
      </c>
      <c r="B3081">
        <v>8010168</v>
      </c>
      <c r="D3081" s="11" t="s">
        <v>10480</v>
      </c>
      <c r="E3081" s="11" t="s">
        <v>10481</v>
      </c>
    </row>
    <row r="3082" spans="1:5">
      <c r="A3082" s="11" t="s">
        <v>10482</v>
      </c>
      <c r="B3082">
        <v>8076459</v>
      </c>
      <c r="D3082" s="11" t="s">
        <v>10483</v>
      </c>
      <c r="E3082" s="11" t="s">
        <v>10484</v>
      </c>
    </row>
    <row r="3083" spans="1:5">
      <c r="A3083" s="11" t="s">
        <v>10485</v>
      </c>
      <c r="B3083">
        <v>8011870</v>
      </c>
      <c r="D3083" s="11" t="s">
        <v>10486</v>
      </c>
      <c r="E3083" s="11" t="s">
        <v>10487</v>
      </c>
    </row>
    <row r="3084" spans="1:5">
      <c r="A3084" s="11" t="s">
        <v>10488</v>
      </c>
      <c r="B3084">
        <v>8002817</v>
      </c>
      <c r="D3084" s="11" t="s">
        <v>10489</v>
      </c>
      <c r="E3084" s="11" t="s">
        <v>10490</v>
      </c>
    </row>
    <row r="3085" spans="1:5">
      <c r="A3085" s="11" t="s">
        <v>10491</v>
      </c>
      <c r="B3085">
        <v>8010169</v>
      </c>
      <c r="D3085" s="11" t="s">
        <v>10492</v>
      </c>
      <c r="E3085" s="11" t="s">
        <v>10493</v>
      </c>
    </row>
    <row r="3086" spans="1:5">
      <c r="A3086" s="11" t="s">
        <v>10494</v>
      </c>
      <c r="B3086">
        <v>8002820</v>
      </c>
      <c r="D3086" s="11" t="s">
        <v>10495</v>
      </c>
      <c r="E3086" s="11" t="s">
        <v>10496</v>
      </c>
    </row>
    <row r="3087" spans="1:5">
      <c r="A3087" s="11" t="s">
        <v>10497</v>
      </c>
      <c r="B3087">
        <v>8002821</v>
      </c>
      <c r="D3087" s="11" t="s">
        <v>10498</v>
      </c>
      <c r="E3087" s="11" t="s">
        <v>10499</v>
      </c>
    </row>
    <row r="3088" spans="1:5">
      <c r="A3088" s="11" t="s">
        <v>10500</v>
      </c>
      <c r="B3088">
        <v>8002822</v>
      </c>
      <c r="D3088" s="11" t="s">
        <v>10501</v>
      </c>
      <c r="E3088" s="11" t="s">
        <v>10502</v>
      </c>
    </row>
    <row r="3089" spans="1:5">
      <c r="A3089" s="11" t="s">
        <v>10503</v>
      </c>
      <c r="B3089">
        <v>8002824</v>
      </c>
      <c r="D3089" s="11" t="s">
        <v>10504</v>
      </c>
      <c r="E3089" s="11" t="s">
        <v>10505</v>
      </c>
    </row>
    <row r="3090" spans="1:5">
      <c r="A3090" s="11" t="s">
        <v>10506</v>
      </c>
      <c r="B3090">
        <v>8002826</v>
      </c>
      <c r="D3090" s="11" t="s">
        <v>10507</v>
      </c>
      <c r="E3090" s="11" t="s">
        <v>10508</v>
      </c>
    </row>
    <row r="3091" spans="1:5">
      <c r="A3091" s="11" t="s">
        <v>10509</v>
      </c>
      <c r="B3091">
        <v>8002827</v>
      </c>
      <c r="D3091" s="11" t="s">
        <v>10510</v>
      </c>
      <c r="E3091" s="11" t="s">
        <v>10511</v>
      </c>
    </row>
    <row r="3092" spans="1:5">
      <c r="A3092" s="11" t="s">
        <v>10512</v>
      </c>
      <c r="B3092">
        <v>8011871</v>
      </c>
      <c r="D3092" s="11" t="s">
        <v>10513</v>
      </c>
      <c r="E3092" s="11" t="s">
        <v>10514</v>
      </c>
    </row>
    <row r="3093" spans="1:5">
      <c r="A3093" s="11" t="s">
        <v>10515</v>
      </c>
      <c r="B3093">
        <v>8000388</v>
      </c>
      <c r="D3093" s="11" t="s">
        <v>10516</v>
      </c>
      <c r="E3093" s="11" t="s">
        <v>10517</v>
      </c>
    </row>
    <row r="3094" spans="1:5">
      <c r="A3094" s="11" t="s">
        <v>10518</v>
      </c>
      <c r="B3094">
        <v>8002828</v>
      </c>
      <c r="D3094" s="11" t="s">
        <v>10519</v>
      </c>
      <c r="E3094" s="11" t="s">
        <v>10520</v>
      </c>
    </row>
    <row r="3095" spans="1:5">
      <c r="A3095" s="11" t="s">
        <v>1044</v>
      </c>
      <c r="B3095">
        <v>8000169</v>
      </c>
      <c r="D3095" s="11" t="s">
        <v>1046</v>
      </c>
      <c r="E3095" s="11" t="s">
        <v>1047</v>
      </c>
    </row>
    <row r="3096" spans="1:5">
      <c r="A3096" s="11" t="s">
        <v>10521</v>
      </c>
      <c r="B3096">
        <v>8002830</v>
      </c>
      <c r="D3096" s="11" t="s">
        <v>10522</v>
      </c>
      <c r="E3096" s="11" t="s">
        <v>10523</v>
      </c>
    </row>
    <row r="3097" spans="1:5">
      <c r="A3097" s="11" t="s">
        <v>10524</v>
      </c>
      <c r="B3097">
        <v>8070438</v>
      </c>
      <c r="D3097" s="11" t="s">
        <v>10525</v>
      </c>
      <c r="E3097" s="11" t="s">
        <v>10526</v>
      </c>
    </row>
    <row r="3098" spans="1:5">
      <c r="A3098" s="11" t="s">
        <v>10527</v>
      </c>
      <c r="B3098">
        <v>8002835</v>
      </c>
      <c r="D3098" s="11" t="s">
        <v>10528</v>
      </c>
      <c r="E3098" s="11" t="s">
        <v>10529</v>
      </c>
    </row>
    <row r="3099" spans="1:5">
      <c r="A3099" s="11" t="s">
        <v>10530</v>
      </c>
      <c r="B3099">
        <v>8002837</v>
      </c>
      <c r="D3099" s="11" t="s">
        <v>10531</v>
      </c>
      <c r="E3099" s="11" t="s">
        <v>10532</v>
      </c>
    </row>
    <row r="3100" spans="1:5">
      <c r="A3100" s="11" t="s">
        <v>10533</v>
      </c>
      <c r="B3100">
        <v>8002838</v>
      </c>
      <c r="D3100" s="11" t="s">
        <v>10534</v>
      </c>
      <c r="E3100" s="11" t="s">
        <v>10535</v>
      </c>
    </row>
    <row r="3101" spans="1:5">
      <c r="A3101" s="11" t="s">
        <v>10536</v>
      </c>
      <c r="B3101">
        <v>8002839</v>
      </c>
      <c r="D3101" s="11" t="s">
        <v>10537</v>
      </c>
      <c r="E3101" s="11" t="s">
        <v>10538</v>
      </c>
    </row>
    <row r="3102" spans="1:5">
      <c r="A3102" s="11" t="s">
        <v>10539</v>
      </c>
      <c r="B3102">
        <v>8002843</v>
      </c>
      <c r="D3102" s="11" t="s">
        <v>10540</v>
      </c>
      <c r="E3102" s="11" t="s">
        <v>10541</v>
      </c>
    </row>
    <row r="3103" spans="1:5">
      <c r="A3103" s="11" t="s">
        <v>10542</v>
      </c>
      <c r="B3103">
        <v>8002844</v>
      </c>
      <c r="D3103" s="11" t="s">
        <v>10543</v>
      </c>
      <c r="E3103" s="11" t="s">
        <v>10544</v>
      </c>
    </row>
    <row r="3104" spans="1:5">
      <c r="A3104" s="11" t="s">
        <v>10545</v>
      </c>
      <c r="B3104">
        <v>8002845</v>
      </c>
      <c r="D3104" s="11" t="s">
        <v>10546</v>
      </c>
      <c r="E3104" s="11" t="s">
        <v>10547</v>
      </c>
    </row>
    <row r="3105" spans="1:5">
      <c r="A3105" s="11" t="s">
        <v>10548</v>
      </c>
      <c r="B3105">
        <v>8002850</v>
      </c>
      <c r="D3105" s="11" t="s">
        <v>10549</v>
      </c>
      <c r="E3105" s="11" t="s">
        <v>10550</v>
      </c>
    </row>
    <row r="3106" spans="1:5">
      <c r="A3106" s="11" t="s">
        <v>10551</v>
      </c>
      <c r="B3106">
        <v>8071666</v>
      </c>
      <c r="D3106" s="11" t="s">
        <v>10552</v>
      </c>
      <c r="E3106" s="11" t="s">
        <v>10553</v>
      </c>
    </row>
    <row r="3107" spans="1:5">
      <c r="A3107" s="11" t="s">
        <v>10554</v>
      </c>
      <c r="B3107">
        <v>8002847</v>
      </c>
      <c r="D3107" s="11" t="s">
        <v>10555</v>
      </c>
      <c r="E3107" s="11" t="s">
        <v>10556</v>
      </c>
    </row>
    <row r="3108" spans="1:5">
      <c r="A3108" s="11" t="s">
        <v>10557</v>
      </c>
      <c r="B3108">
        <v>8079088</v>
      </c>
      <c r="D3108" s="11" t="s">
        <v>10558</v>
      </c>
      <c r="E3108" s="11" t="s">
        <v>10559</v>
      </c>
    </row>
    <row r="3109" spans="1:5">
      <c r="A3109" s="11" t="s">
        <v>10560</v>
      </c>
      <c r="B3109">
        <v>8079147</v>
      </c>
      <c r="D3109" s="11" t="s">
        <v>10561</v>
      </c>
      <c r="E3109" s="11" t="s">
        <v>10562</v>
      </c>
    </row>
    <row r="3110" spans="1:5">
      <c r="A3110" s="11" t="s">
        <v>10563</v>
      </c>
      <c r="B3110">
        <v>8002848</v>
      </c>
      <c r="D3110" s="11" t="s">
        <v>10564</v>
      </c>
      <c r="E3110" s="11" t="s">
        <v>10565</v>
      </c>
    </row>
    <row r="3111" spans="1:5">
      <c r="A3111" s="11" t="s">
        <v>10566</v>
      </c>
      <c r="B3111">
        <v>8002852</v>
      </c>
      <c r="D3111" s="11" t="s">
        <v>10567</v>
      </c>
      <c r="E3111" s="11" t="s">
        <v>10568</v>
      </c>
    </row>
    <row r="3112" spans="1:5">
      <c r="A3112" s="11" t="s">
        <v>10569</v>
      </c>
      <c r="B3112">
        <v>8002853</v>
      </c>
      <c r="D3112" s="11" t="s">
        <v>10570</v>
      </c>
      <c r="E3112" s="11" t="s">
        <v>10571</v>
      </c>
    </row>
    <row r="3113" spans="1:5">
      <c r="A3113" s="11" t="s">
        <v>10572</v>
      </c>
      <c r="B3113">
        <v>8011878</v>
      </c>
      <c r="D3113" s="11" t="s">
        <v>10573</v>
      </c>
      <c r="E3113" s="11" t="s">
        <v>10574</v>
      </c>
    </row>
    <row r="3114" spans="1:5">
      <c r="A3114" s="11" t="s">
        <v>10575</v>
      </c>
      <c r="B3114">
        <v>8070847</v>
      </c>
      <c r="D3114" s="11" t="s">
        <v>10576</v>
      </c>
      <c r="E3114" s="11" t="s">
        <v>10577</v>
      </c>
    </row>
    <row r="3115" spans="1:5">
      <c r="A3115" s="11" t="s">
        <v>10578</v>
      </c>
      <c r="B3115">
        <v>8002856</v>
      </c>
      <c r="D3115" s="11" t="s">
        <v>10579</v>
      </c>
      <c r="E3115" s="11" t="s">
        <v>10580</v>
      </c>
    </row>
    <row r="3116" spans="1:5">
      <c r="A3116" s="11" t="s">
        <v>386</v>
      </c>
      <c r="B3116">
        <v>8002857</v>
      </c>
      <c r="D3116" s="11" t="s">
        <v>388</v>
      </c>
      <c r="E3116" s="11" t="s">
        <v>389</v>
      </c>
    </row>
    <row r="3117" spans="1:5">
      <c r="A3117" s="11" t="s">
        <v>10581</v>
      </c>
      <c r="B3117">
        <v>8002858</v>
      </c>
      <c r="D3117" s="11" t="s">
        <v>10582</v>
      </c>
      <c r="E3117" s="11" t="s">
        <v>10583</v>
      </c>
    </row>
    <row r="3118" spans="1:5">
      <c r="A3118" s="11" t="s">
        <v>10584</v>
      </c>
      <c r="B3118">
        <v>8002864</v>
      </c>
      <c r="D3118" s="11" t="s">
        <v>10585</v>
      </c>
      <c r="E3118" s="11" t="s">
        <v>10586</v>
      </c>
    </row>
    <row r="3119" spans="1:5">
      <c r="A3119" s="11" t="s">
        <v>10587</v>
      </c>
      <c r="B3119">
        <v>8002865</v>
      </c>
      <c r="D3119" s="11" t="s">
        <v>10588</v>
      </c>
      <c r="E3119" s="11" t="s">
        <v>10589</v>
      </c>
    </row>
    <row r="3120" spans="1:5">
      <c r="A3120" s="11" t="s">
        <v>10590</v>
      </c>
      <c r="B3120">
        <v>8002868</v>
      </c>
      <c r="D3120" s="11" t="s">
        <v>10591</v>
      </c>
      <c r="E3120" s="11" t="s">
        <v>10592</v>
      </c>
    </row>
    <row r="3121" spans="1:5">
      <c r="A3121" s="11" t="s">
        <v>10593</v>
      </c>
      <c r="B3121">
        <v>8002869</v>
      </c>
      <c r="D3121" s="11" t="s">
        <v>10594</v>
      </c>
      <c r="E3121" s="11" t="s">
        <v>10595</v>
      </c>
    </row>
    <row r="3122" spans="1:5">
      <c r="A3122" s="11" t="s">
        <v>10596</v>
      </c>
      <c r="B3122">
        <v>8000389</v>
      </c>
      <c r="D3122" s="11" t="s">
        <v>10597</v>
      </c>
      <c r="E3122" s="11" t="s">
        <v>10598</v>
      </c>
    </row>
    <row r="3123" spans="1:5">
      <c r="A3123" s="11" t="s">
        <v>10599</v>
      </c>
      <c r="B3123">
        <v>8002871</v>
      </c>
      <c r="D3123" s="11" t="s">
        <v>10600</v>
      </c>
      <c r="E3123" s="11" t="s">
        <v>10601</v>
      </c>
    </row>
    <row r="3124" spans="1:5">
      <c r="A3124" s="11" t="s">
        <v>10602</v>
      </c>
      <c r="B3124">
        <v>8002872</v>
      </c>
      <c r="D3124" s="11" t="s">
        <v>10603</v>
      </c>
      <c r="E3124" s="11" t="s">
        <v>10604</v>
      </c>
    </row>
    <row r="3125" spans="1:5">
      <c r="A3125" s="11" t="s">
        <v>10605</v>
      </c>
      <c r="B3125">
        <v>8000390</v>
      </c>
      <c r="D3125" s="11" t="s">
        <v>10606</v>
      </c>
      <c r="E3125" s="11" t="s">
        <v>10607</v>
      </c>
    </row>
    <row r="3126" spans="1:5">
      <c r="A3126" s="11" t="s">
        <v>10608</v>
      </c>
      <c r="B3126">
        <v>8002875</v>
      </c>
      <c r="D3126" s="11" t="s">
        <v>10609</v>
      </c>
      <c r="E3126" s="11" t="s">
        <v>10610</v>
      </c>
    </row>
    <row r="3127" spans="1:5">
      <c r="A3127" s="11" t="s">
        <v>10611</v>
      </c>
      <c r="B3127">
        <v>8002813</v>
      </c>
      <c r="D3127" s="11" t="s">
        <v>10612</v>
      </c>
      <c r="E3127" s="11" t="s">
        <v>10613</v>
      </c>
    </row>
    <row r="3128" spans="1:5">
      <c r="A3128" s="11" t="s">
        <v>10614</v>
      </c>
      <c r="B3128">
        <v>8004125</v>
      </c>
      <c r="D3128" s="11" t="s">
        <v>10615</v>
      </c>
      <c r="E3128" s="11" t="s">
        <v>10616</v>
      </c>
    </row>
    <row r="3129" spans="1:5">
      <c r="A3129" s="11" t="s">
        <v>10617</v>
      </c>
      <c r="B3129">
        <v>8000172</v>
      </c>
      <c r="D3129" s="11" t="s">
        <v>10618</v>
      </c>
      <c r="E3129" s="11" t="s">
        <v>10619</v>
      </c>
    </row>
    <row r="3130" spans="1:5">
      <c r="A3130" s="11" t="s">
        <v>10620</v>
      </c>
      <c r="B3130">
        <v>8002888</v>
      </c>
      <c r="D3130" s="11" t="s">
        <v>10621</v>
      </c>
      <c r="E3130" s="11" t="s">
        <v>10622</v>
      </c>
    </row>
    <row r="3131" spans="1:5">
      <c r="A3131" s="11" t="s">
        <v>10623</v>
      </c>
      <c r="B3131">
        <v>8002878</v>
      </c>
      <c r="D3131" s="11" t="s">
        <v>10624</v>
      </c>
      <c r="E3131" s="11" t="s">
        <v>10625</v>
      </c>
    </row>
    <row r="3132" spans="1:5">
      <c r="A3132" s="11" t="s">
        <v>10626</v>
      </c>
      <c r="B3132">
        <v>8002879</v>
      </c>
      <c r="D3132" s="11" t="s">
        <v>10627</v>
      </c>
      <c r="E3132" s="11" t="s">
        <v>10628</v>
      </c>
    </row>
    <row r="3133" spans="1:5">
      <c r="A3133" s="11" t="s">
        <v>10629</v>
      </c>
      <c r="B3133">
        <v>8007201</v>
      </c>
      <c r="D3133" s="11" t="s">
        <v>10630</v>
      </c>
      <c r="E3133" s="11" t="s">
        <v>10631</v>
      </c>
    </row>
    <row r="3134" spans="1:5">
      <c r="A3134" s="11" t="s">
        <v>10632</v>
      </c>
      <c r="B3134">
        <v>8079042</v>
      </c>
      <c r="D3134" s="11" t="s">
        <v>10633</v>
      </c>
      <c r="E3134" s="11" t="s">
        <v>10634</v>
      </c>
    </row>
    <row r="3135" spans="1:5">
      <c r="A3135" s="11" t="s">
        <v>10635</v>
      </c>
      <c r="B3135">
        <v>8002880</v>
      </c>
      <c r="D3135" s="11" t="s">
        <v>10636</v>
      </c>
      <c r="E3135" s="11" t="s">
        <v>10637</v>
      </c>
    </row>
    <row r="3136" spans="1:5">
      <c r="A3136" s="11" t="s">
        <v>10638</v>
      </c>
      <c r="B3136">
        <v>8002881</v>
      </c>
      <c r="D3136" s="11" t="s">
        <v>10639</v>
      </c>
      <c r="E3136" s="11" t="s">
        <v>10640</v>
      </c>
    </row>
    <row r="3137" spans="1:5">
      <c r="A3137" s="11" t="s">
        <v>10641</v>
      </c>
      <c r="B3137">
        <v>8002883</v>
      </c>
      <c r="D3137" s="11" t="s">
        <v>10642</v>
      </c>
      <c r="E3137" s="11" t="s">
        <v>10643</v>
      </c>
    </row>
    <row r="3138" spans="1:5">
      <c r="A3138" s="11" t="s">
        <v>10644</v>
      </c>
      <c r="B3138">
        <v>8010170</v>
      </c>
      <c r="D3138" s="11" t="s">
        <v>10645</v>
      </c>
      <c r="E3138" s="11" t="s">
        <v>10646</v>
      </c>
    </row>
    <row r="3139" spans="1:5">
      <c r="A3139" s="11" t="s">
        <v>10647</v>
      </c>
      <c r="B3139">
        <v>8002884</v>
      </c>
      <c r="D3139" s="11" t="s">
        <v>10648</v>
      </c>
      <c r="E3139" s="11" t="s">
        <v>10649</v>
      </c>
    </row>
    <row r="3140" spans="1:5">
      <c r="A3140" s="11" t="s">
        <v>118</v>
      </c>
      <c r="B3140">
        <v>8002924</v>
      </c>
      <c r="D3140" s="11" t="s">
        <v>288</v>
      </c>
      <c r="E3140" s="11" t="s">
        <v>289</v>
      </c>
    </row>
    <row r="3141" spans="1:5">
      <c r="A3141" s="11" t="s">
        <v>10650</v>
      </c>
      <c r="B3141">
        <v>8007336</v>
      </c>
      <c r="D3141" s="11" t="s">
        <v>10651</v>
      </c>
      <c r="E3141" s="11" t="s">
        <v>10652</v>
      </c>
    </row>
    <row r="3142" spans="1:5">
      <c r="A3142" s="11" t="s">
        <v>10653</v>
      </c>
      <c r="B3142">
        <v>8002929</v>
      </c>
      <c r="D3142" s="11" t="s">
        <v>10654</v>
      </c>
      <c r="E3142" s="11" t="s">
        <v>10655</v>
      </c>
    </row>
    <row r="3143" spans="1:5">
      <c r="A3143" s="11" t="s">
        <v>10656</v>
      </c>
      <c r="B3143">
        <v>8002930</v>
      </c>
      <c r="D3143" s="11" t="s">
        <v>10657</v>
      </c>
      <c r="E3143" s="11" t="s">
        <v>10658</v>
      </c>
    </row>
    <row r="3144" spans="1:5">
      <c r="A3144" s="11" t="s">
        <v>10659</v>
      </c>
      <c r="B3144">
        <v>8002891</v>
      </c>
      <c r="D3144" s="11" t="s">
        <v>10660</v>
      </c>
      <c r="E3144" s="11" t="s">
        <v>10661</v>
      </c>
    </row>
    <row r="3145" spans="1:5">
      <c r="A3145" s="11" t="s">
        <v>10662</v>
      </c>
      <c r="B3145">
        <v>8070279</v>
      </c>
      <c r="D3145" s="11" t="s">
        <v>10663</v>
      </c>
      <c r="E3145" s="11" t="s">
        <v>10664</v>
      </c>
    </row>
    <row r="3146" spans="1:5">
      <c r="A3146" s="11" t="s">
        <v>10665</v>
      </c>
      <c r="B3146">
        <v>8002931</v>
      </c>
      <c r="D3146" s="11" t="s">
        <v>10666</v>
      </c>
      <c r="E3146" s="11" t="s">
        <v>10667</v>
      </c>
    </row>
    <row r="3147" spans="1:5">
      <c r="A3147" s="11" t="s">
        <v>10668</v>
      </c>
      <c r="B3147">
        <v>8002932</v>
      </c>
      <c r="D3147" s="11" t="s">
        <v>10669</v>
      </c>
      <c r="E3147" s="11" t="s">
        <v>10670</v>
      </c>
    </row>
    <row r="3148" spans="1:5">
      <c r="A3148" s="11" t="s">
        <v>10671</v>
      </c>
      <c r="B3148">
        <v>8002933</v>
      </c>
      <c r="D3148" s="11" t="s">
        <v>10672</v>
      </c>
      <c r="E3148" s="11" t="s">
        <v>10673</v>
      </c>
    </row>
    <row r="3149" spans="1:5">
      <c r="A3149" s="11" t="s">
        <v>10674</v>
      </c>
      <c r="B3149">
        <v>8003015</v>
      </c>
      <c r="D3149" s="11" t="s">
        <v>10675</v>
      </c>
      <c r="E3149" s="11" t="s">
        <v>10676</v>
      </c>
    </row>
    <row r="3150" spans="1:5">
      <c r="A3150" s="11" t="s">
        <v>10677</v>
      </c>
      <c r="B3150">
        <v>8002934</v>
      </c>
      <c r="D3150" s="11" t="s">
        <v>10678</v>
      </c>
      <c r="E3150" s="11" t="s">
        <v>10679</v>
      </c>
    </row>
    <row r="3151" spans="1:5">
      <c r="A3151" s="11" t="s">
        <v>10680</v>
      </c>
      <c r="B3151">
        <v>8002935</v>
      </c>
      <c r="D3151" s="11" t="s">
        <v>10681</v>
      </c>
      <c r="E3151" s="11" t="s">
        <v>10682</v>
      </c>
    </row>
    <row r="3152" spans="1:5">
      <c r="A3152" s="11" t="s">
        <v>10683</v>
      </c>
      <c r="B3152">
        <v>8002892</v>
      </c>
      <c r="D3152" s="11" t="s">
        <v>10684</v>
      </c>
      <c r="E3152" s="11" t="s">
        <v>10685</v>
      </c>
    </row>
    <row r="3153" spans="1:5">
      <c r="A3153" s="11" t="s">
        <v>10686</v>
      </c>
      <c r="B3153">
        <v>8002927</v>
      </c>
      <c r="D3153" s="11" t="s">
        <v>10687</v>
      </c>
      <c r="E3153" s="11" t="s">
        <v>10688</v>
      </c>
    </row>
    <row r="3154" spans="1:5">
      <c r="A3154" s="11" t="s">
        <v>10689</v>
      </c>
      <c r="B3154">
        <v>8002939</v>
      </c>
      <c r="D3154" s="11" t="s">
        <v>10690</v>
      </c>
      <c r="E3154" s="11" t="s">
        <v>10691</v>
      </c>
    </row>
    <row r="3155" spans="1:5">
      <c r="A3155" s="11" t="s">
        <v>10692</v>
      </c>
      <c r="B3155">
        <v>8080710</v>
      </c>
      <c r="D3155" s="11" t="s">
        <v>10693</v>
      </c>
      <c r="E3155" s="11" t="s">
        <v>10694</v>
      </c>
    </row>
    <row r="3156" spans="1:5">
      <c r="A3156" s="11" t="s">
        <v>10695</v>
      </c>
      <c r="B3156">
        <v>8080720</v>
      </c>
      <c r="D3156" s="11" t="s">
        <v>10696</v>
      </c>
      <c r="E3156" s="11" t="s">
        <v>10697</v>
      </c>
    </row>
    <row r="3157" spans="1:5">
      <c r="A3157" s="11" t="s">
        <v>10698</v>
      </c>
      <c r="B3157">
        <v>8002940</v>
      </c>
      <c r="D3157" s="11" t="s">
        <v>10699</v>
      </c>
      <c r="E3157" s="11" t="s">
        <v>10700</v>
      </c>
    </row>
    <row r="3158" spans="1:5">
      <c r="A3158" s="11" t="s">
        <v>10701</v>
      </c>
      <c r="B3158">
        <v>8011888</v>
      </c>
      <c r="D3158" s="11" t="s">
        <v>10702</v>
      </c>
      <c r="E3158" s="11" t="s">
        <v>10703</v>
      </c>
    </row>
    <row r="3159" spans="1:5">
      <c r="A3159" s="11" t="s">
        <v>10704</v>
      </c>
      <c r="B3159">
        <v>8011889</v>
      </c>
      <c r="D3159" s="11" t="s">
        <v>10705</v>
      </c>
      <c r="E3159" s="11" t="s">
        <v>10706</v>
      </c>
    </row>
    <row r="3160" spans="1:5">
      <c r="A3160" s="11" t="s">
        <v>10707</v>
      </c>
      <c r="B3160">
        <v>8011891</v>
      </c>
      <c r="D3160" s="11" t="s">
        <v>10708</v>
      </c>
      <c r="E3160" s="11" t="s">
        <v>10709</v>
      </c>
    </row>
    <row r="3161" spans="1:5">
      <c r="A3161" s="11" t="s">
        <v>10710</v>
      </c>
      <c r="B3161">
        <v>8002944</v>
      </c>
      <c r="D3161" s="11" t="s">
        <v>10711</v>
      </c>
      <c r="E3161" s="11" t="s">
        <v>10712</v>
      </c>
    </row>
    <row r="3162" spans="1:5">
      <c r="A3162" s="11" t="s">
        <v>10713</v>
      </c>
      <c r="B3162">
        <v>8011892</v>
      </c>
      <c r="D3162" s="11" t="s">
        <v>10714</v>
      </c>
      <c r="E3162" s="11" t="s">
        <v>10715</v>
      </c>
    </row>
    <row r="3163" spans="1:5">
      <c r="A3163" s="11" t="s">
        <v>10716</v>
      </c>
      <c r="B3163">
        <v>8002894</v>
      </c>
      <c r="D3163" s="11" t="s">
        <v>10717</v>
      </c>
      <c r="E3163" s="11" t="s">
        <v>10718</v>
      </c>
    </row>
    <row r="3164" spans="1:5">
      <c r="A3164" s="11" t="s">
        <v>10719</v>
      </c>
      <c r="B3164">
        <v>8011894</v>
      </c>
      <c r="D3164" s="11" t="s">
        <v>10720</v>
      </c>
      <c r="E3164" s="11" t="s">
        <v>10721</v>
      </c>
    </row>
    <row r="3165" spans="1:5">
      <c r="A3165" s="11" t="s">
        <v>10722</v>
      </c>
      <c r="B3165">
        <v>8070957</v>
      </c>
      <c r="D3165" s="11" t="s">
        <v>10723</v>
      </c>
      <c r="E3165" s="11" t="s">
        <v>10724</v>
      </c>
    </row>
    <row r="3166" spans="1:5">
      <c r="A3166" s="11" t="s">
        <v>10725</v>
      </c>
      <c r="B3166">
        <v>8011895</v>
      </c>
      <c r="D3166" s="11" t="s">
        <v>10726</v>
      </c>
      <c r="E3166" s="11" t="s">
        <v>10727</v>
      </c>
    </row>
    <row r="3167" spans="1:5">
      <c r="A3167" s="11" t="s">
        <v>10728</v>
      </c>
      <c r="B3167">
        <v>8071048</v>
      </c>
      <c r="D3167" s="11" t="s">
        <v>10729</v>
      </c>
      <c r="E3167" s="11" t="s">
        <v>10730</v>
      </c>
    </row>
    <row r="3168" spans="1:5">
      <c r="A3168" s="11" t="s">
        <v>10731</v>
      </c>
      <c r="B3168">
        <v>8002953</v>
      </c>
      <c r="D3168" s="11" t="s">
        <v>10732</v>
      </c>
      <c r="E3168" s="11" t="s">
        <v>10733</v>
      </c>
    </row>
    <row r="3169" spans="1:5">
      <c r="A3169" s="11" t="s">
        <v>10734</v>
      </c>
      <c r="B3169">
        <v>8081069</v>
      </c>
      <c r="D3169" s="11" t="s">
        <v>10735</v>
      </c>
      <c r="E3169" s="11" t="s">
        <v>10736</v>
      </c>
    </row>
    <row r="3170" spans="1:5">
      <c r="A3170" s="11" t="s">
        <v>10737</v>
      </c>
      <c r="B3170">
        <v>8002954</v>
      </c>
      <c r="D3170" s="11" t="s">
        <v>10738</v>
      </c>
      <c r="E3170" s="11" t="s">
        <v>10739</v>
      </c>
    </row>
    <row r="3171" spans="1:5">
      <c r="A3171" s="11" t="s">
        <v>10740</v>
      </c>
      <c r="B3171">
        <v>8011900</v>
      </c>
      <c r="D3171" s="11" t="s">
        <v>10741</v>
      </c>
      <c r="E3171" s="11" t="s">
        <v>10742</v>
      </c>
    </row>
    <row r="3172" spans="1:5">
      <c r="A3172" s="11" t="s">
        <v>10743</v>
      </c>
      <c r="B3172">
        <v>8002955</v>
      </c>
      <c r="D3172" s="11" t="s">
        <v>10744</v>
      </c>
      <c r="E3172" s="11" t="s">
        <v>10745</v>
      </c>
    </row>
    <row r="3173" spans="1:5">
      <c r="A3173" s="11" t="s">
        <v>10746</v>
      </c>
      <c r="B3173">
        <v>8002956</v>
      </c>
      <c r="D3173" s="11" t="s">
        <v>10747</v>
      </c>
      <c r="E3173" s="11" t="s">
        <v>10748</v>
      </c>
    </row>
    <row r="3174" spans="1:5">
      <c r="A3174" s="11" t="s">
        <v>10749</v>
      </c>
      <c r="B3174">
        <v>8011904</v>
      </c>
      <c r="D3174" s="11" t="s">
        <v>10750</v>
      </c>
      <c r="E3174" s="11" t="s">
        <v>10751</v>
      </c>
    </row>
    <row r="3175" spans="1:5">
      <c r="A3175" s="11" t="s">
        <v>10752</v>
      </c>
      <c r="B3175">
        <v>8002958</v>
      </c>
      <c r="D3175" s="11" t="s">
        <v>10753</v>
      </c>
      <c r="E3175" s="11" t="s">
        <v>10754</v>
      </c>
    </row>
    <row r="3176" spans="1:5">
      <c r="A3176" s="11" t="s">
        <v>10755</v>
      </c>
      <c r="B3176">
        <v>8011905</v>
      </c>
      <c r="D3176" s="11" t="s">
        <v>10756</v>
      </c>
      <c r="E3176" s="11" t="s">
        <v>10757</v>
      </c>
    </row>
    <row r="3177" spans="1:5">
      <c r="A3177" s="11" t="s">
        <v>10758</v>
      </c>
      <c r="B3177">
        <v>8071741</v>
      </c>
      <c r="D3177" s="11" t="s">
        <v>10759</v>
      </c>
      <c r="E3177" s="11" t="s">
        <v>10760</v>
      </c>
    </row>
    <row r="3178" spans="1:5">
      <c r="A3178" s="11" t="s">
        <v>10761</v>
      </c>
      <c r="B3178">
        <v>8007342</v>
      </c>
      <c r="D3178" s="11" t="s">
        <v>10762</v>
      </c>
      <c r="E3178" s="11" t="s">
        <v>10763</v>
      </c>
    </row>
    <row r="3179" spans="1:5">
      <c r="A3179" s="11" t="s">
        <v>10764</v>
      </c>
      <c r="B3179">
        <v>8070160</v>
      </c>
      <c r="D3179" s="11" t="s">
        <v>10765</v>
      </c>
      <c r="E3179" s="11" t="s">
        <v>10766</v>
      </c>
    </row>
    <row r="3180" spans="1:5">
      <c r="A3180" s="11" t="s">
        <v>10767</v>
      </c>
      <c r="B3180">
        <v>8002959</v>
      </c>
      <c r="D3180" s="11" t="s">
        <v>10768</v>
      </c>
      <c r="E3180" s="11" t="s">
        <v>10769</v>
      </c>
    </row>
    <row r="3181" spans="1:5">
      <c r="A3181" s="11" t="s">
        <v>10770</v>
      </c>
      <c r="B3181">
        <v>8010172</v>
      </c>
      <c r="D3181" s="11" t="s">
        <v>10771</v>
      </c>
      <c r="E3181" s="11" t="s">
        <v>10772</v>
      </c>
    </row>
    <row r="3182" spans="1:5">
      <c r="A3182" s="11" t="s">
        <v>10773</v>
      </c>
      <c r="B3182">
        <v>8002895</v>
      </c>
      <c r="D3182" s="11" t="s">
        <v>10774</v>
      </c>
      <c r="E3182" s="11" t="s">
        <v>10775</v>
      </c>
    </row>
    <row r="3183" spans="1:5">
      <c r="A3183" s="11" t="s">
        <v>10776</v>
      </c>
      <c r="B3183">
        <v>8017422</v>
      </c>
      <c r="D3183" s="11" t="s">
        <v>10777</v>
      </c>
      <c r="E3183" s="11" t="s">
        <v>10778</v>
      </c>
    </row>
    <row r="3184" spans="1:5">
      <c r="A3184" s="11" t="s">
        <v>10779</v>
      </c>
      <c r="B3184">
        <v>8011908</v>
      </c>
      <c r="D3184" s="11" t="s">
        <v>10780</v>
      </c>
      <c r="E3184" s="11" t="s">
        <v>10781</v>
      </c>
    </row>
    <row r="3185" spans="1:5">
      <c r="A3185" s="11" t="s">
        <v>10782</v>
      </c>
      <c r="B3185">
        <v>8002962</v>
      </c>
      <c r="D3185" s="11" t="s">
        <v>10783</v>
      </c>
      <c r="E3185" s="11" t="s">
        <v>10784</v>
      </c>
    </row>
    <row r="3186" spans="1:5">
      <c r="A3186" s="11" t="s">
        <v>10785</v>
      </c>
      <c r="B3186">
        <v>8002898</v>
      </c>
      <c r="D3186" s="11" t="s">
        <v>10786</v>
      </c>
      <c r="E3186" s="11" t="s">
        <v>10787</v>
      </c>
    </row>
    <row r="3187" spans="1:5">
      <c r="A3187" s="11" t="s">
        <v>10788</v>
      </c>
      <c r="B3187">
        <v>8002899</v>
      </c>
      <c r="D3187" s="11" t="s">
        <v>10789</v>
      </c>
      <c r="E3187" s="11" t="s">
        <v>10790</v>
      </c>
    </row>
    <row r="3188" spans="1:5">
      <c r="A3188" s="11" t="s">
        <v>10791</v>
      </c>
      <c r="B3188">
        <v>8002967</v>
      </c>
      <c r="D3188" s="11" t="s">
        <v>10792</v>
      </c>
      <c r="E3188" s="11" t="s">
        <v>10793</v>
      </c>
    </row>
    <row r="3189" spans="1:5">
      <c r="A3189" s="11" t="s">
        <v>10794</v>
      </c>
      <c r="B3189">
        <v>8007203</v>
      </c>
      <c r="D3189" s="11" t="s">
        <v>10795</v>
      </c>
      <c r="E3189" s="11" t="s">
        <v>10796</v>
      </c>
    </row>
    <row r="3190" spans="1:5">
      <c r="A3190" s="11" t="s">
        <v>10797</v>
      </c>
      <c r="B3190">
        <v>8002969</v>
      </c>
      <c r="D3190" s="11" t="s">
        <v>10798</v>
      </c>
      <c r="E3190" s="11" t="s">
        <v>10799</v>
      </c>
    </row>
    <row r="3191" spans="1:5">
      <c r="A3191" s="11" t="s">
        <v>10800</v>
      </c>
      <c r="B3191">
        <v>8010173</v>
      </c>
      <c r="D3191" s="11" t="s">
        <v>10801</v>
      </c>
      <c r="E3191" s="11" t="s">
        <v>10802</v>
      </c>
    </row>
    <row r="3192" spans="1:5">
      <c r="A3192" s="11" t="s">
        <v>10803</v>
      </c>
      <c r="B3192">
        <v>8011910</v>
      </c>
      <c r="D3192" s="11" t="s">
        <v>10804</v>
      </c>
      <c r="E3192" s="11" t="s">
        <v>10805</v>
      </c>
    </row>
    <row r="3193" spans="1:5">
      <c r="A3193" s="11" t="s">
        <v>10806</v>
      </c>
      <c r="B3193">
        <v>8011909</v>
      </c>
      <c r="D3193" s="11" t="s">
        <v>10807</v>
      </c>
      <c r="E3193" s="11" t="s">
        <v>10808</v>
      </c>
    </row>
    <row r="3194" spans="1:5">
      <c r="A3194" s="11" t="s">
        <v>10809</v>
      </c>
      <c r="B3194">
        <v>8085010</v>
      </c>
      <c r="D3194" s="11" t="s">
        <v>10810</v>
      </c>
      <c r="E3194" s="11" t="s">
        <v>10811</v>
      </c>
    </row>
    <row r="3195" spans="1:5">
      <c r="A3195" s="11" t="s">
        <v>10812</v>
      </c>
      <c r="B3195">
        <v>8085011</v>
      </c>
      <c r="D3195" s="11" t="s">
        <v>10813</v>
      </c>
      <c r="E3195" s="11" t="s">
        <v>10814</v>
      </c>
    </row>
    <row r="3196" spans="1:5">
      <c r="A3196" s="11" t="s">
        <v>10815</v>
      </c>
      <c r="B3196">
        <v>8085009</v>
      </c>
      <c r="D3196" s="11" t="s">
        <v>10816</v>
      </c>
      <c r="E3196" s="11" t="s">
        <v>10817</v>
      </c>
    </row>
    <row r="3197" spans="1:5">
      <c r="A3197" s="11" t="s">
        <v>10818</v>
      </c>
      <c r="B3197">
        <v>8011912</v>
      </c>
      <c r="D3197" s="11" t="s">
        <v>10819</v>
      </c>
      <c r="E3197" s="11" t="s">
        <v>10820</v>
      </c>
    </row>
    <row r="3198" spans="1:5">
      <c r="A3198" s="11" t="s">
        <v>10821</v>
      </c>
      <c r="B3198">
        <v>8017218</v>
      </c>
      <c r="D3198" s="11" t="s">
        <v>10822</v>
      </c>
      <c r="E3198" s="11" t="s">
        <v>10823</v>
      </c>
    </row>
    <row r="3199" spans="1:5">
      <c r="A3199" s="11" t="s">
        <v>10824</v>
      </c>
      <c r="B3199">
        <v>8002976</v>
      </c>
      <c r="D3199" s="11" t="s">
        <v>10825</v>
      </c>
      <c r="E3199" s="11" t="s">
        <v>10826</v>
      </c>
    </row>
    <row r="3200" spans="1:5">
      <c r="A3200" s="11" t="s">
        <v>10827</v>
      </c>
      <c r="B3200">
        <v>8002979</v>
      </c>
      <c r="D3200" s="11" t="s">
        <v>10828</v>
      </c>
      <c r="E3200" s="11" t="s">
        <v>10829</v>
      </c>
    </row>
    <row r="3201" spans="1:5">
      <c r="A3201" s="11" t="s">
        <v>10830</v>
      </c>
      <c r="B3201">
        <v>8002980</v>
      </c>
      <c r="D3201" s="11" t="s">
        <v>10831</v>
      </c>
      <c r="E3201" s="11" t="s">
        <v>10832</v>
      </c>
    </row>
    <row r="3202" spans="1:5">
      <c r="A3202" s="11" t="s">
        <v>10833</v>
      </c>
      <c r="B3202">
        <v>8000391</v>
      </c>
      <c r="D3202" s="11" t="s">
        <v>10834</v>
      </c>
      <c r="E3202" s="11" t="s">
        <v>10835</v>
      </c>
    </row>
    <row r="3203" spans="1:5">
      <c r="A3203" s="11" t="s">
        <v>10836</v>
      </c>
      <c r="B3203">
        <v>8000392</v>
      </c>
      <c r="D3203" s="11" t="s">
        <v>10837</v>
      </c>
      <c r="E3203" s="11" t="s">
        <v>10838</v>
      </c>
    </row>
    <row r="3204" spans="1:5">
      <c r="A3204" s="11" t="s">
        <v>10839</v>
      </c>
      <c r="B3204">
        <v>8000176</v>
      </c>
      <c r="D3204" s="11" t="s">
        <v>10840</v>
      </c>
      <c r="E3204" s="11" t="s">
        <v>10841</v>
      </c>
    </row>
    <row r="3205" spans="1:5">
      <c r="A3205" s="11" t="s">
        <v>10842</v>
      </c>
      <c r="B3205">
        <v>8002988</v>
      </c>
      <c r="D3205" s="11" t="s">
        <v>10843</v>
      </c>
      <c r="E3205" s="11" t="s">
        <v>10844</v>
      </c>
    </row>
    <row r="3206" spans="1:5">
      <c r="A3206" s="11" t="s">
        <v>10845</v>
      </c>
      <c r="B3206">
        <v>8011914</v>
      </c>
      <c r="D3206" s="11" t="s">
        <v>10846</v>
      </c>
      <c r="E3206" s="11" t="s">
        <v>10847</v>
      </c>
    </row>
    <row r="3207" spans="1:5">
      <c r="A3207" s="11" t="s">
        <v>10848</v>
      </c>
      <c r="B3207">
        <v>8011915</v>
      </c>
      <c r="D3207" s="11" t="s">
        <v>10849</v>
      </c>
      <c r="E3207" s="11" t="s">
        <v>10850</v>
      </c>
    </row>
    <row r="3208" spans="1:5">
      <c r="A3208" s="11" t="s">
        <v>10851</v>
      </c>
      <c r="B3208">
        <v>8002908</v>
      </c>
      <c r="D3208" s="11" t="s">
        <v>10852</v>
      </c>
      <c r="E3208" s="11" t="s">
        <v>10853</v>
      </c>
    </row>
    <row r="3209" spans="1:5">
      <c r="A3209" s="11" t="s">
        <v>10854</v>
      </c>
      <c r="B3209">
        <v>8002992</v>
      </c>
      <c r="D3209" s="11" t="s">
        <v>10855</v>
      </c>
      <c r="E3209" s="11" t="s">
        <v>10856</v>
      </c>
    </row>
    <row r="3210" spans="1:5">
      <c r="A3210" s="11" t="s">
        <v>10857</v>
      </c>
      <c r="B3210">
        <v>8080750</v>
      </c>
      <c r="D3210" s="11" t="s">
        <v>10858</v>
      </c>
      <c r="E3210" s="11" t="s">
        <v>10859</v>
      </c>
    </row>
    <row r="3211" spans="1:5">
      <c r="A3211" s="11" t="s">
        <v>10860</v>
      </c>
      <c r="B3211">
        <v>8002994</v>
      </c>
      <c r="D3211" s="11" t="s">
        <v>10861</v>
      </c>
      <c r="E3211" s="11" t="s">
        <v>10862</v>
      </c>
    </row>
    <row r="3212" spans="1:5">
      <c r="A3212" s="11" t="s">
        <v>10863</v>
      </c>
      <c r="B3212">
        <v>8002995</v>
      </c>
      <c r="D3212" s="11" t="s">
        <v>10864</v>
      </c>
      <c r="E3212" s="11" t="s">
        <v>10865</v>
      </c>
    </row>
    <row r="3213" spans="1:5">
      <c r="A3213" s="11" t="s">
        <v>10866</v>
      </c>
      <c r="B3213">
        <v>8000177</v>
      </c>
      <c r="D3213" s="11" t="s">
        <v>10867</v>
      </c>
      <c r="E3213" s="11" t="s">
        <v>10868</v>
      </c>
    </row>
    <row r="3214" spans="1:5">
      <c r="A3214" s="11" t="s">
        <v>10869</v>
      </c>
      <c r="B3214">
        <v>8002998</v>
      </c>
      <c r="D3214" s="11" t="s">
        <v>10870</v>
      </c>
      <c r="E3214" s="11" t="s">
        <v>10871</v>
      </c>
    </row>
    <row r="3215" spans="1:5">
      <c r="A3215" s="11" t="s">
        <v>10872</v>
      </c>
      <c r="B3215">
        <v>8002910</v>
      </c>
      <c r="D3215" s="11" t="s">
        <v>10873</v>
      </c>
      <c r="E3215" s="11" t="s">
        <v>10874</v>
      </c>
    </row>
    <row r="3216" spans="1:5">
      <c r="A3216" s="11" t="s">
        <v>10875</v>
      </c>
      <c r="B3216">
        <v>8010174</v>
      </c>
      <c r="D3216" s="11" t="s">
        <v>10876</v>
      </c>
      <c r="E3216" s="11" t="s">
        <v>10877</v>
      </c>
    </row>
    <row r="3217" spans="1:5">
      <c r="A3217" s="11" t="s">
        <v>10878</v>
      </c>
      <c r="B3217">
        <v>8079283</v>
      </c>
      <c r="D3217" s="11" t="s">
        <v>1539</v>
      </c>
      <c r="E3217" s="11" t="s">
        <v>1539</v>
      </c>
    </row>
    <row r="3218" spans="1:5">
      <c r="A3218" s="11" t="s">
        <v>10879</v>
      </c>
      <c r="B3218">
        <v>8002912</v>
      </c>
      <c r="D3218" s="11" t="s">
        <v>10880</v>
      </c>
      <c r="E3218" s="11" t="s">
        <v>10881</v>
      </c>
    </row>
    <row r="3219" spans="1:5">
      <c r="A3219" s="11" t="s">
        <v>10882</v>
      </c>
      <c r="B3219">
        <v>8003000</v>
      </c>
      <c r="D3219" s="11" t="s">
        <v>10883</v>
      </c>
      <c r="E3219" s="11" t="s">
        <v>10884</v>
      </c>
    </row>
    <row r="3220" spans="1:5">
      <c r="A3220" s="11" t="s">
        <v>10885</v>
      </c>
      <c r="B3220">
        <v>8003001</v>
      </c>
      <c r="D3220" s="11" t="s">
        <v>10886</v>
      </c>
      <c r="E3220" s="11" t="s">
        <v>10887</v>
      </c>
    </row>
    <row r="3221" spans="1:5">
      <c r="A3221" s="11" t="s">
        <v>10888</v>
      </c>
      <c r="B3221">
        <v>8003002</v>
      </c>
      <c r="D3221" s="11" t="s">
        <v>10889</v>
      </c>
      <c r="E3221" s="11" t="s">
        <v>10890</v>
      </c>
    </row>
    <row r="3222" spans="1:5">
      <c r="A3222" s="11" t="s">
        <v>10891</v>
      </c>
      <c r="B3222">
        <v>8010176</v>
      </c>
      <c r="D3222" s="11" t="s">
        <v>10892</v>
      </c>
      <c r="E3222" s="11" t="s">
        <v>10893</v>
      </c>
    </row>
    <row r="3223" spans="1:5">
      <c r="A3223" s="11" t="s">
        <v>10894</v>
      </c>
      <c r="B3223">
        <v>8079734</v>
      </c>
      <c r="D3223" s="11" t="s">
        <v>10895</v>
      </c>
      <c r="E3223" s="11" t="s">
        <v>10896</v>
      </c>
    </row>
    <row r="3224" spans="1:5">
      <c r="A3224" s="11" t="s">
        <v>10897</v>
      </c>
      <c r="B3224">
        <v>8002914</v>
      </c>
      <c r="D3224" s="11" t="s">
        <v>10898</v>
      </c>
      <c r="E3224" s="11" t="s">
        <v>10899</v>
      </c>
    </row>
    <row r="3225" spans="1:5">
      <c r="A3225" s="11" t="s">
        <v>10900</v>
      </c>
      <c r="B3225">
        <v>8000178</v>
      </c>
      <c r="D3225" s="11" t="s">
        <v>10901</v>
      </c>
      <c r="E3225" s="11" t="s">
        <v>10902</v>
      </c>
    </row>
    <row r="3226" spans="1:5">
      <c r="A3226" s="11" t="s">
        <v>10903</v>
      </c>
      <c r="B3226">
        <v>8071128</v>
      </c>
      <c r="D3226" s="11" t="s">
        <v>10904</v>
      </c>
      <c r="E3226" s="11" t="s">
        <v>10905</v>
      </c>
    </row>
    <row r="3227" spans="1:5">
      <c r="A3227" s="11" t="s">
        <v>10906</v>
      </c>
      <c r="B3227">
        <v>8013547</v>
      </c>
      <c r="D3227" s="11" t="s">
        <v>10907</v>
      </c>
      <c r="E3227" s="11" t="s">
        <v>10908</v>
      </c>
    </row>
    <row r="3228" spans="1:5">
      <c r="A3228" s="11" t="s">
        <v>10909</v>
      </c>
      <c r="B3228">
        <v>8087061</v>
      </c>
      <c r="D3228" s="11" t="s">
        <v>10910</v>
      </c>
      <c r="E3228" s="11" t="s">
        <v>10911</v>
      </c>
    </row>
    <row r="3229" spans="1:5">
      <c r="A3229" s="11" t="s">
        <v>10912</v>
      </c>
      <c r="B3229">
        <v>8003003</v>
      </c>
      <c r="D3229" s="11" t="s">
        <v>10913</v>
      </c>
      <c r="E3229" s="11" t="s">
        <v>10914</v>
      </c>
    </row>
    <row r="3230" spans="1:5">
      <c r="A3230" s="11" t="s">
        <v>10915</v>
      </c>
      <c r="B3230">
        <v>8002915</v>
      </c>
      <c r="D3230" s="11" t="s">
        <v>10916</v>
      </c>
      <c r="E3230" s="11" t="s">
        <v>10917</v>
      </c>
    </row>
    <row r="3231" spans="1:5">
      <c r="A3231" s="11" t="s">
        <v>10918</v>
      </c>
      <c r="B3231">
        <v>8002916</v>
      </c>
      <c r="D3231" s="11" t="s">
        <v>10919</v>
      </c>
      <c r="E3231" s="11" t="s">
        <v>10920</v>
      </c>
    </row>
    <row r="3232" spans="1:5">
      <c r="A3232" s="11" t="s">
        <v>10921</v>
      </c>
      <c r="B3232">
        <v>8002918</v>
      </c>
      <c r="D3232" s="11" t="s">
        <v>10922</v>
      </c>
      <c r="E3232" s="11" t="s">
        <v>10923</v>
      </c>
    </row>
    <row r="3233" spans="1:5">
      <c r="A3233" s="11" t="s">
        <v>10924</v>
      </c>
      <c r="B3233">
        <v>8002919</v>
      </c>
      <c r="D3233" s="11" t="s">
        <v>10925</v>
      </c>
      <c r="E3233" s="11" t="s">
        <v>10926</v>
      </c>
    </row>
    <row r="3234" spans="1:5">
      <c r="A3234" s="11" t="s">
        <v>10927</v>
      </c>
      <c r="B3234">
        <v>8010171</v>
      </c>
      <c r="D3234" s="11" t="s">
        <v>10928</v>
      </c>
      <c r="E3234" s="11" t="s">
        <v>10929</v>
      </c>
    </row>
    <row r="3235" spans="1:5">
      <c r="A3235" s="11" t="s">
        <v>10930</v>
      </c>
      <c r="B3235">
        <v>8003004</v>
      </c>
      <c r="D3235" s="11" t="s">
        <v>10931</v>
      </c>
      <c r="E3235" s="11" t="s">
        <v>10932</v>
      </c>
    </row>
    <row r="3236" spans="1:5">
      <c r="A3236" s="11" t="s">
        <v>10933</v>
      </c>
      <c r="B3236">
        <v>8070884</v>
      </c>
      <c r="D3236" s="11" t="s">
        <v>10934</v>
      </c>
      <c r="E3236" s="11" t="s">
        <v>10935</v>
      </c>
    </row>
    <row r="3237" spans="1:5">
      <c r="A3237" s="11" t="s">
        <v>10936</v>
      </c>
      <c r="B3237">
        <v>8002920</v>
      </c>
      <c r="D3237" s="11" t="s">
        <v>10937</v>
      </c>
      <c r="E3237" s="11" t="s">
        <v>10938</v>
      </c>
    </row>
    <row r="3238" spans="1:5">
      <c r="A3238" s="11" t="s">
        <v>10939</v>
      </c>
      <c r="B3238">
        <v>8002921</v>
      </c>
      <c r="D3238" s="11" t="s">
        <v>10940</v>
      </c>
      <c r="E3238" s="11" t="s">
        <v>10941</v>
      </c>
    </row>
    <row r="3239" spans="1:5">
      <c r="A3239" s="11" t="s">
        <v>10942</v>
      </c>
      <c r="B3239">
        <v>8002923</v>
      </c>
      <c r="D3239" s="11" t="s">
        <v>10943</v>
      </c>
      <c r="E3239" s="11" t="s">
        <v>10944</v>
      </c>
    </row>
    <row r="3240" spans="1:5">
      <c r="A3240" s="11" t="s">
        <v>10945</v>
      </c>
      <c r="B3240">
        <v>8071704</v>
      </c>
      <c r="D3240" s="11" t="s">
        <v>10946</v>
      </c>
      <c r="E3240" s="11" t="s">
        <v>10947</v>
      </c>
    </row>
    <row r="3241" spans="1:5">
      <c r="A3241" s="11" t="s">
        <v>10948</v>
      </c>
      <c r="B3241">
        <v>8002299</v>
      </c>
      <c r="D3241" s="11" t="s">
        <v>10949</v>
      </c>
      <c r="E3241" s="11" t="s">
        <v>10950</v>
      </c>
    </row>
    <row r="3242" spans="1:5">
      <c r="A3242" s="11" t="s">
        <v>10951</v>
      </c>
      <c r="B3242">
        <v>8003780</v>
      </c>
      <c r="D3242" s="11" t="s">
        <v>10952</v>
      </c>
      <c r="E3242" s="11" t="s">
        <v>10953</v>
      </c>
    </row>
    <row r="3243" spans="1:5">
      <c r="A3243" s="11" t="s">
        <v>10954</v>
      </c>
      <c r="B3243">
        <v>8004720</v>
      </c>
      <c r="D3243" s="11" t="s">
        <v>10955</v>
      </c>
      <c r="E3243" s="11" t="s">
        <v>10956</v>
      </c>
    </row>
    <row r="3244" spans="1:5">
      <c r="A3244" s="11" t="s">
        <v>10957</v>
      </c>
      <c r="B3244">
        <v>8010177</v>
      </c>
      <c r="D3244" s="11" t="s">
        <v>10958</v>
      </c>
      <c r="E3244" s="11" t="s">
        <v>10959</v>
      </c>
    </row>
    <row r="3245" spans="1:5">
      <c r="A3245" s="11" t="s">
        <v>10960</v>
      </c>
      <c r="B3245">
        <v>8071012</v>
      </c>
      <c r="D3245" s="11" t="s">
        <v>10961</v>
      </c>
      <c r="E3245" s="11" t="s">
        <v>10962</v>
      </c>
    </row>
    <row r="3246" spans="1:5">
      <c r="A3246" s="11" t="s">
        <v>10963</v>
      </c>
      <c r="B3246">
        <v>8011922</v>
      </c>
      <c r="D3246" s="11" t="s">
        <v>10964</v>
      </c>
      <c r="E3246" s="11" t="s">
        <v>10965</v>
      </c>
    </row>
    <row r="3247" spans="1:5">
      <c r="A3247" s="11" t="s">
        <v>10966</v>
      </c>
      <c r="B3247">
        <v>8003008</v>
      </c>
      <c r="D3247" s="11" t="s">
        <v>10967</v>
      </c>
      <c r="E3247" s="11" t="s">
        <v>10968</v>
      </c>
    </row>
    <row r="3248" spans="1:5">
      <c r="A3248" s="11" t="s">
        <v>10969</v>
      </c>
      <c r="B3248">
        <v>8003010</v>
      </c>
      <c r="D3248" s="11" t="s">
        <v>10970</v>
      </c>
      <c r="E3248" s="11" t="s">
        <v>10971</v>
      </c>
    </row>
    <row r="3249" spans="1:5">
      <c r="A3249" s="11" t="s">
        <v>10972</v>
      </c>
      <c r="B3249">
        <v>8011923</v>
      </c>
      <c r="D3249" s="11" t="s">
        <v>10973</v>
      </c>
      <c r="E3249" s="11" t="s">
        <v>10974</v>
      </c>
    </row>
    <row r="3250" spans="1:5">
      <c r="A3250" s="11" t="s">
        <v>10975</v>
      </c>
      <c r="B3250">
        <v>8007817</v>
      </c>
      <c r="D3250" s="11" t="s">
        <v>10976</v>
      </c>
      <c r="E3250" s="11" t="s">
        <v>10977</v>
      </c>
    </row>
    <row r="3251" spans="1:5">
      <c r="A3251" s="11" t="s">
        <v>10978</v>
      </c>
      <c r="B3251">
        <v>8000677</v>
      </c>
      <c r="D3251" s="11" t="s">
        <v>10979</v>
      </c>
      <c r="E3251" s="11" t="s">
        <v>10980</v>
      </c>
    </row>
    <row r="3252" spans="1:5">
      <c r="A3252" s="11" t="s">
        <v>10981</v>
      </c>
      <c r="B3252">
        <v>8011924</v>
      </c>
      <c r="D3252" s="11" t="s">
        <v>10982</v>
      </c>
      <c r="E3252" s="11" t="s">
        <v>10983</v>
      </c>
    </row>
    <row r="3253" spans="1:5">
      <c r="A3253" s="11" t="s">
        <v>10984</v>
      </c>
      <c r="B3253">
        <v>8079735</v>
      </c>
      <c r="D3253" s="11" t="s">
        <v>10985</v>
      </c>
      <c r="E3253" s="11" t="s">
        <v>10986</v>
      </c>
    </row>
    <row r="3254" spans="1:5">
      <c r="A3254" s="11" t="s">
        <v>10987</v>
      </c>
      <c r="B3254">
        <v>8000522</v>
      </c>
      <c r="D3254" s="11" t="s">
        <v>10988</v>
      </c>
      <c r="E3254" s="11" t="s">
        <v>10989</v>
      </c>
    </row>
    <row r="3255" spans="1:5">
      <c r="A3255" s="11" t="s">
        <v>10990</v>
      </c>
      <c r="B3255">
        <v>8007439</v>
      </c>
      <c r="D3255" s="11" t="s">
        <v>10991</v>
      </c>
      <c r="E3255" s="11" t="s">
        <v>10992</v>
      </c>
    </row>
    <row r="3256" spans="1:5">
      <c r="A3256" s="11" t="s">
        <v>10993</v>
      </c>
      <c r="B3256">
        <v>8003014</v>
      </c>
      <c r="D3256" s="11" t="s">
        <v>10994</v>
      </c>
      <c r="E3256" s="11" t="s">
        <v>10995</v>
      </c>
    </row>
    <row r="3257" spans="1:5">
      <c r="A3257" s="11" t="s">
        <v>10996</v>
      </c>
      <c r="B3257">
        <v>8003023</v>
      </c>
      <c r="D3257" s="11" t="s">
        <v>10997</v>
      </c>
      <c r="E3257" s="11" t="s">
        <v>10998</v>
      </c>
    </row>
    <row r="3258" spans="1:5">
      <c r="A3258" s="11" t="s">
        <v>10999</v>
      </c>
      <c r="B3258">
        <v>8003024</v>
      </c>
      <c r="D3258" s="11" t="s">
        <v>11000</v>
      </c>
      <c r="E3258" s="11" t="s">
        <v>11001</v>
      </c>
    </row>
    <row r="3259" spans="1:5">
      <c r="A3259" s="11" t="s">
        <v>11002</v>
      </c>
      <c r="B3259">
        <v>8003025</v>
      </c>
      <c r="D3259" s="11" t="s">
        <v>11003</v>
      </c>
      <c r="E3259" s="11" t="s">
        <v>11004</v>
      </c>
    </row>
    <row r="3260" spans="1:5">
      <c r="A3260" s="11" t="s">
        <v>11005</v>
      </c>
      <c r="B3260">
        <v>8003022</v>
      </c>
      <c r="D3260" s="11" t="s">
        <v>11006</v>
      </c>
      <c r="E3260" s="11" t="s">
        <v>11007</v>
      </c>
    </row>
    <row r="3261" spans="1:5">
      <c r="A3261" s="11" t="s">
        <v>11008</v>
      </c>
      <c r="B3261">
        <v>8070445</v>
      </c>
      <c r="D3261" s="11" t="s">
        <v>11009</v>
      </c>
      <c r="E3261" s="11" t="s">
        <v>11010</v>
      </c>
    </row>
    <row r="3262" spans="1:5">
      <c r="A3262" s="11" t="s">
        <v>11011</v>
      </c>
      <c r="B3262">
        <v>8011928</v>
      </c>
      <c r="D3262" s="11" t="s">
        <v>11012</v>
      </c>
      <c r="E3262" s="11" t="s">
        <v>11013</v>
      </c>
    </row>
    <row r="3263" spans="1:5">
      <c r="A3263" s="11" t="s">
        <v>11014</v>
      </c>
      <c r="B3263">
        <v>8007848</v>
      </c>
      <c r="D3263" s="11" t="s">
        <v>11015</v>
      </c>
      <c r="E3263" s="11" t="s">
        <v>11016</v>
      </c>
    </row>
    <row r="3264" spans="1:5">
      <c r="A3264" s="11" t="s">
        <v>11017</v>
      </c>
      <c r="B3264">
        <v>8003016</v>
      </c>
      <c r="D3264" s="11" t="s">
        <v>11018</v>
      </c>
      <c r="E3264" s="11" t="s">
        <v>11019</v>
      </c>
    </row>
    <row r="3265" spans="1:5">
      <c r="A3265" s="11" t="s">
        <v>11020</v>
      </c>
      <c r="B3265">
        <v>8000400</v>
      </c>
      <c r="D3265" s="11" t="s">
        <v>11021</v>
      </c>
      <c r="E3265" s="11" t="s">
        <v>11022</v>
      </c>
    </row>
    <row r="3266" spans="1:5">
      <c r="A3266" s="11" t="s">
        <v>11023</v>
      </c>
      <c r="B3266">
        <v>8003030</v>
      </c>
      <c r="D3266" s="11" t="s">
        <v>11024</v>
      </c>
      <c r="E3266" s="11" t="s">
        <v>11025</v>
      </c>
    </row>
    <row r="3267" spans="1:5">
      <c r="A3267" s="11" t="s">
        <v>11026</v>
      </c>
      <c r="B3267">
        <v>8003160</v>
      </c>
      <c r="D3267" s="11" t="s">
        <v>11027</v>
      </c>
      <c r="E3267" s="11" t="s">
        <v>11028</v>
      </c>
    </row>
    <row r="3268" spans="1:5">
      <c r="A3268" s="11" t="s">
        <v>11029</v>
      </c>
      <c r="B3268">
        <v>8003032</v>
      </c>
      <c r="D3268" s="11" t="s">
        <v>11030</v>
      </c>
      <c r="E3268" s="11" t="s">
        <v>11031</v>
      </c>
    </row>
    <row r="3269" spans="1:5">
      <c r="A3269" s="11" t="s">
        <v>11032</v>
      </c>
      <c r="B3269">
        <v>8000181</v>
      </c>
      <c r="D3269" s="11" t="s">
        <v>11033</v>
      </c>
      <c r="E3269" s="11" t="s">
        <v>11034</v>
      </c>
    </row>
    <row r="3270" spans="1:5">
      <c r="A3270" s="11" t="s">
        <v>11035</v>
      </c>
      <c r="B3270">
        <v>8070180</v>
      </c>
      <c r="D3270" s="11" t="s">
        <v>1539</v>
      </c>
      <c r="E3270" s="11" t="s">
        <v>1539</v>
      </c>
    </row>
    <row r="3271" spans="1:5">
      <c r="A3271" s="11" t="s">
        <v>11036</v>
      </c>
      <c r="B3271">
        <v>8070219</v>
      </c>
      <c r="D3271" s="11" t="s">
        <v>11037</v>
      </c>
      <c r="E3271" s="11" t="s">
        <v>11038</v>
      </c>
    </row>
    <row r="3272" spans="1:5">
      <c r="A3272" s="11" t="s">
        <v>11039</v>
      </c>
      <c r="B3272">
        <v>8011925</v>
      </c>
      <c r="D3272" s="11" t="s">
        <v>11040</v>
      </c>
      <c r="E3272" s="11" t="s">
        <v>11041</v>
      </c>
    </row>
    <row r="3273" spans="1:5">
      <c r="A3273" s="11" t="s">
        <v>11042</v>
      </c>
      <c r="B3273">
        <v>8003033</v>
      </c>
      <c r="D3273" s="11" t="s">
        <v>11043</v>
      </c>
      <c r="E3273" s="11" t="s">
        <v>11044</v>
      </c>
    </row>
    <row r="3274" spans="1:5">
      <c r="A3274" s="11" t="s">
        <v>11045</v>
      </c>
      <c r="B3274">
        <v>8070891</v>
      </c>
      <c r="D3274" s="11" t="s">
        <v>11046</v>
      </c>
      <c r="E3274" s="11" t="s">
        <v>11047</v>
      </c>
    </row>
    <row r="3275" spans="1:5">
      <c r="A3275" s="11" t="s">
        <v>11048</v>
      </c>
      <c r="B3275">
        <v>8070850</v>
      </c>
      <c r="D3275" s="11" t="s">
        <v>11049</v>
      </c>
      <c r="E3275" s="11" t="s">
        <v>11050</v>
      </c>
    </row>
    <row r="3276" spans="1:5">
      <c r="A3276" s="11" t="s">
        <v>11051</v>
      </c>
      <c r="B3276">
        <v>8003021</v>
      </c>
      <c r="D3276" s="11" t="s">
        <v>11052</v>
      </c>
      <c r="E3276" s="11" t="s">
        <v>11053</v>
      </c>
    </row>
    <row r="3277" spans="1:5">
      <c r="A3277" s="11" t="s">
        <v>11054</v>
      </c>
      <c r="B3277">
        <v>8003034</v>
      </c>
      <c r="D3277" s="11" t="s">
        <v>11055</v>
      </c>
      <c r="E3277" s="11" t="s">
        <v>11056</v>
      </c>
    </row>
    <row r="3278" spans="1:5">
      <c r="A3278" s="11" t="s">
        <v>11057</v>
      </c>
      <c r="B3278">
        <v>8003035</v>
      </c>
      <c r="D3278" s="11" t="s">
        <v>11058</v>
      </c>
      <c r="E3278" s="11" t="s">
        <v>11059</v>
      </c>
    </row>
    <row r="3279" spans="1:5">
      <c r="A3279" s="11" t="s">
        <v>11060</v>
      </c>
      <c r="B3279">
        <v>8003036</v>
      </c>
      <c r="D3279" s="11" t="s">
        <v>11061</v>
      </c>
      <c r="E3279" s="11" t="s">
        <v>11062</v>
      </c>
    </row>
    <row r="3280" spans="1:5">
      <c r="A3280" s="11" t="s">
        <v>11063</v>
      </c>
      <c r="B3280">
        <v>8070448</v>
      </c>
      <c r="D3280" s="11" t="s">
        <v>1539</v>
      </c>
      <c r="E3280" s="11" t="s">
        <v>1539</v>
      </c>
    </row>
    <row r="3281" spans="1:5">
      <c r="A3281" s="11" t="s">
        <v>11064</v>
      </c>
      <c r="B3281">
        <v>8001867</v>
      </c>
      <c r="D3281" s="11" t="s">
        <v>11065</v>
      </c>
      <c r="E3281" s="11" t="s">
        <v>11066</v>
      </c>
    </row>
    <row r="3282" spans="1:5">
      <c r="A3282" s="11" t="s">
        <v>11067</v>
      </c>
      <c r="B3282">
        <v>8003491</v>
      </c>
      <c r="D3282" s="11" t="s">
        <v>11068</v>
      </c>
      <c r="E3282" s="11" t="s">
        <v>11069</v>
      </c>
    </row>
    <row r="3283" spans="1:5">
      <c r="A3283" s="11" t="s">
        <v>11070</v>
      </c>
      <c r="B3283">
        <v>8003038</v>
      </c>
      <c r="D3283" s="11" t="s">
        <v>11071</v>
      </c>
      <c r="E3283" s="11" t="s">
        <v>11072</v>
      </c>
    </row>
    <row r="3284" spans="1:5">
      <c r="A3284" s="11" t="s">
        <v>11073</v>
      </c>
      <c r="B3284">
        <v>8003039</v>
      </c>
      <c r="D3284" s="11" t="s">
        <v>11074</v>
      </c>
      <c r="E3284" s="11" t="s">
        <v>11075</v>
      </c>
    </row>
    <row r="3285" spans="1:5">
      <c r="A3285" s="11" t="s">
        <v>11076</v>
      </c>
      <c r="B3285">
        <v>8003040</v>
      </c>
      <c r="D3285" s="11" t="s">
        <v>11077</v>
      </c>
      <c r="E3285" s="11" t="s">
        <v>11078</v>
      </c>
    </row>
    <row r="3286" spans="1:5">
      <c r="A3286" s="11" t="s">
        <v>1302</v>
      </c>
      <c r="B3286">
        <v>8003041</v>
      </c>
      <c r="D3286" s="11" t="s">
        <v>11079</v>
      </c>
      <c r="E3286" s="11" t="s">
        <v>11080</v>
      </c>
    </row>
    <row r="3287" spans="1:5">
      <c r="A3287" s="11" t="s">
        <v>11081</v>
      </c>
      <c r="B3287">
        <v>8005672</v>
      </c>
      <c r="D3287" s="11" t="s">
        <v>11082</v>
      </c>
      <c r="E3287" s="11" t="s">
        <v>11083</v>
      </c>
    </row>
    <row r="3288" spans="1:5">
      <c r="A3288" s="11" t="s">
        <v>11084</v>
      </c>
      <c r="B3288">
        <v>8003042</v>
      </c>
      <c r="D3288" s="11" t="s">
        <v>11085</v>
      </c>
      <c r="E3288" s="11" t="s">
        <v>11086</v>
      </c>
    </row>
    <row r="3289" spans="1:5">
      <c r="A3289" s="11" t="s">
        <v>11087</v>
      </c>
      <c r="B3289">
        <v>8000303</v>
      </c>
      <c r="D3289" s="11" t="s">
        <v>1539</v>
      </c>
      <c r="E3289" s="11" t="s">
        <v>1539</v>
      </c>
    </row>
    <row r="3290" spans="1:5">
      <c r="A3290" s="11" t="s">
        <v>11088</v>
      </c>
      <c r="B3290">
        <v>8003044</v>
      </c>
      <c r="D3290" s="11" t="s">
        <v>11089</v>
      </c>
      <c r="E3290" s="11" t="s">
        <v>11090</v>
      </c>
    </row>
    <row r="3291" spans="1:5">
      <c r="A3291" s="11" t="s">
        <v>11091</v>
      </c>
      <c r="B3291">
        <v>8003045</v>
      </c>
      <c r="D3291" s="11" t="s">
        <v>11092</v>
      </c>
      <c r="E3291" s="11" t="s">
        <v>11093</v>
      </c>
    </row>
    <row r="3292" spans="1:5">
      <c r="A3292" s="11" t="s">
        <v>11094</v>
      </c>
      <c r="B3292">
        <v>8003052</v>
      </c>
      <c r="D3292" s="11" t="s">
        <v>11095</v>
      </c>
      <c r="E3292" s="11" t="s">
        <v>11096</v>
      </c>
    </row>
    <row r="3293" spans="1:5">
      <c r="A3293" s="11" t="s">
        <v>11097</v>
      </c>
      <c r="B3293">
        <v>8011929</v>
      </c>
      <c r="D3293" s="11" t="s">
        <v>11098</v>
      </c>
      <c r="E3293" s="11" t="s">
        <v>11099</v>
      </c>
    </row>
    <row r="3294" spans="1:5">
      <c r="A3294" s="11" t="s">
        <v>11100</v>
      </c>
      <c r="B3294">
        <v>8017014</v>
      </c>
      <c r="D3294" s="11" t="s">
        <v>11101</v>
      </c>
      <c r="E3294" s="11" t="s">
        <v>11102</v>
      </c>
    </row>
    <row r="3295" spans="1:5">
      <c r="A3295" s="11" t="s">
        <v>11103</v>
      </c>
      <c r="B3295">
        <v>8080998</v>
      </c>
      <c r="D3295" s="11" t="s">
        <v>11104</v>
      </c>
      <c r="E3295" s="11" t="s">
        <v>11105</v>
      </c>
    </row>
    <row r="3296" spans="1:5">
      <c r="A3296" s="11" t="s">
        <v>11106</v>
      </c>
      <c r="B3296">
        <v>8070776</v>
      </c>
      <c r="D3296" s="11" t="s">
        <v>11107</v>
      </c>
      <c r="E3296" s="11" t="s">
        <v>11108</v>
      </c>
    </row>
    <row r="3297" spans="1:5">
      <c r="A3297" s="11" t="s">
        <v>11109</v>
      </c>
      <c r="B3297">
        <v>8080990</v>
      </c>
      <c r="D3297" s="11" t="s">
        <v>11110</v>
      </c>
      <c r="E3297" s="11" t="s">
        <v>11111</v>
      </c>
    </row>
    <row r="3298" spans="1:5">
      <c r="A3298" s="11" t="s">
        <v>11112</v>
      </c>
      <c r="B3298">
        <v>8003057</v>
      </c>
      <c r="D3298" s="11" t="s">
        <v>11113</v>
      </c>
      <c r="E3298" s="11" t="s">
        <v>11114</v>
      </c>
    </row>
    <row r="3299" spans="1:5">
      <c r="A3299" s="11" t="s">
        <v>11115</v>
      </c>
      <c r="B3299">
        <v>8003058</v>
      </c>
      <c r="D3299" s="11" t="s">
        <v>11116</v>
      </c>
      <c r="E3299" s="11" t="s">
        <v>11117</v>
      </c>
    </row>
    <row r="3300" spans="1:5">
      <c r="A3300" s="11" t="s">
        <v>11118</v>
      </c>
      <c r="B3300">
        <v>8003059</v>
      </c>
      <c r="D3300" s="11" t="s">
        <v>11119</v>
      </c>
      <c r="E3300" s="11" t="s">
        <v>11120</v>
      </c>
    </row>
    <row r="3301" spans="1:5">
      <c r="A3301" s="11" t="s">
        <v>11121</v>
      </c>
      <c r="B3301">
        <v>8003060</v>
      </c>
      <c r="D3301" s="11" t="s">
        <v>11122</v>
      </c>
      <c r="E3301" s="11" t="s">
        <v>11123</v>
      </c>
    </row>
    <row r="3302" spans="1:5">
      <c r="A3302" s="11" t="s">
        <v>11124</v>
      </c>
      <c r="B3302">
        <v>8010178</v>
      </c>
      <c r="D3302" s="11" t="s">
        <v>11125</v>
      </c>
      <c r="E3302" s="11" t="s">
        <v>11126</v>
      </c>
    </row>
    <row r="3303" spans="1:5">
      <c r="A3303" s="11" t="s">
        <v>11127</v>
      </c>
      <c r="B3303">
        <v>8011931</v>
      </c>
      <c r="D3303" s="11" t="s">
        <v>11128</v>
      </c>
      <c r="E3303" s="11" t="s">
        <v>11129</v>
      </c>
    </row>
    <row r="3304" spans="1:5">
      <c r="A3304" s="11" t="s">
        <v>11130</v>
      </c>
      <c r="B3304">
        <v>8011935</v>
      </c>
      <c r="D3304" s="11" t="s">
        <v>11131</v>
      </c>
      <c r="E3304" s="11" t="s">
        <v>11132</v>
      </c>
    </row>
    <row r="3305" spans="1:5">
      <c r="A3305" s="11" t="s">
        <v>11133</v>
      </c>
      <c r="B3305">
        <v>8011932</v>
      </c>
      <c r="D3305" s="11" t="s">
        <v>11134</v>
      </c>
      <c r="E3305" s="11" t="s">
        <v>11135</v>
      </c>
    </row>
    <row r="3306" spans="1:5">
      <c r="A3306" s="11" t="s">
        <v>11136</v>
      </c>
      <c r="B3306">
        <v>8011933</v>
      </c>
      <c r="D3306" s="11" t="s">
        <v>11137</v>
      </c>
      <c r="E3306" s="11" t="s">
        <v>11138</v>
      </c>
    </row>
    <row r="3307" spans="1:5">
      <c r="A3307" s="11" t="s">
        <v>11139</v>
      </c>
      <c r="B3307">
        <v>711849</v>
      </c>
      <c r="D3307" s="11" t="s">
        <v>11140</v>
      </c>
      <c r="E3307" s="11" t="s">
        <v>11141</v>
      </c>
    </row>
    <row r="3308" spans="1:5">
      <c r="A3308" s="11" t="s">
        <v>11142</v>
      </c>
      <c r="B3308">
        <v>711072</v>
      </c>
      <c r="D3308" s="11" t="s">
        <v>11143</v>
      </c>
      <c r="E3308" s="11" t="s">
        <v>11144</v>
      </c>
    </row>
    <row r="3309" spans="1:5">
      <c r="A3309" s="11" t="s">
        <v>11145</v>
      </c>
      <c r="B3309">
        <v>8011934</v>
      </c>
      <c r="D3309" s="11" t="s">
        <v>11146</v>
      </c>
      <c r="E3309" s="11" t="s">
        <v>11147</v>
      </c>
    </row>
    <row r="3310" spans="1:5">
      <c r="A3310" s="11" t="s">
        <v>11148</v>
      </c>
      <c r="B3310">
        <v>8000182</v>
      </c>
      <c r="D3310" s="11" t="s">
        <v>11149</v>
      </c>
      <c r="E3310" s="11" t="s">
        <v>11150</v>
      </c>
    </row>
    <row r="3311" spans="1:5">
      <c r="A3311" s="11" t="s">
        <v>11151</v>
      </c>
      <c r="B3311">
        <v>8003061</v>
      </c>
      <c r="D3311" s="11" t="s">
        <v>11152</v>
      </c>
      <c r="E3311" s="11" t="s">
        <v>11153</v>
      </c>
    </row>
    <row r="3312" spans="1:5">
      <c r="A3312" s="11" t="s">
        <v>11154</v>
      </c>
      <c r="B3312">
        <v>8003066</v>
      </c>
      <c r="D3312" s="11" t="s">
        <v>11155</v>
      </c>
      <c r="E3312" s="11" t="s">
        <v>11156</v>
      </c>
    </row>
    <row r="3313" spans="1:5">
      <c r="A3313" s="11" t="s">
        <v>11157</v>
      </c>
      <c r="B3313">
        <v>8003062</v>
      </c>
      <c r="D3313" s="11" t="s">
        <v>11158</v>
      </c>
      <c r="E3313" s="11" t="s">
        <v>11159</v>
      </c>
    </row>
    <row r="3314" spans="1:5">
      <c r="A3314" s="11" t="s">
        <v>11160</v>
      </c>
      <c r="B3314">
        <v>8003063</v>
      </c>
      <c r="D3314" s="11" t="s">
        <v>11161</v>
      </c>
      <c r="E3314" s="11" t="s">
        <v>11162</v>
      </c>
    </row>
    <row r="3315" spans="1:5">
      <c r="A3315" s="11" t="s">
        <v>11163</v>
      </c>
      <c r="B3315">
        <v>8003064</v>
      </c>
      <c r="D3315" s="11" t="s">
        <v>11164</v>
      </c>
      <c r="E3315" s="11" t="s">
        <v>11165</v>
      </c>
    </row>
    <row r="3316" spans="1:5">
      <c r="A3316" s="11" t="s">
        <v>11166</v>
      </c>
      <c r="B3316">
        <v>8006822</v>
      </c>
      <c r="D3316" s="11" t="s">
        <v>11167</v>
      </c>
      <c r="E3316" s="11" t="s">
        <v>11168</v>
      </c>
    </row>
    <row r="3317" spans="1:5">
      <c r="A3317" s="11" t="s">
        <v>11169</v>
      </c>
      <c r="B3317">
        <v>8003065</v>
      </c>
      <c r="D3317" s="11" t="s">
        <v>11170</v>
      </c>
      <c r="E3317" s="11" t="s">
        <v>11171</v>
      </c>
    </row>
    <row r="3318" spans="1:5">
      <c r="A3318" s="11" t="s">
        <v>11172</v>
      </c>
      <c r="B3318">
        <v>8003070</v>
      </c>
      <c r="D3318" s="11" t="s">
        <v>11173</v>
      </c>
      <c r="E3318" s="11" t="s">
        <v>11174</v>
      </c>
    </row>
    <row r="3319" spans="1:5">
      <c r="A3319" s="11" t="s">
        <v>11175</v>
      </c>
      <c r="B3319">
        <v>8003073</v>
      </c>
      <c r="D3319" s="11" t="s">
        <v>11176</v>
      </c>
      <c r="E3319" s="11" t="s">
        <v>11177</v>
      </c>
    </row>
    <row r="3320" spans="1:5">
      <c r="A3320" s="11" t="s">
        <v>11178</v>
      </c>
      <c r="B3320">
        <v>8003075</v>
      </c>
      <c r="D3320" s="11" t="s">
        <v>11179</v>
      </c>
      <c r="E3320" s="11" t="s">
        <v>11180</v>
      </c>
    </row>
    <row r="3321" spans="1:5">
      <c r="A3321" s="11" t="s">
        <v>11181</v>
      </c>
      <c r="B3321">
        <v>8003074</v>
      </c>
      <c r="D3321" s="11" t="s">
        <v>11182</v>
      </c>
      <c r="E3321" s="11" t="s">
        <v>11183</v>
      </c>
    </row>
    <row r="3322" spans="1:5">
      <c r="A3322" s="11" t="s">
        <v>716</v>
      </c>
      <c r="B3322">
        <v>8000183</v>
      </c>
      <c r="D3322" s="11" t="s">
        <v>718</v>
      </c>
      <c r="E3322" s="11" t="s">
        <v>719</v>
      </c>
    </row>
    <row r="3323" spans="1:5">
      <c r="A3323" s="11" t="s">
        <v>11184</v>
      </c>
      <c r="B3323">
        <v>8003076</v>
      </c>
      <c r="D3323" s="11" t="s">
        <v>11185</v>
      </c>
      <c r="E3323" s="11" t="s">
        <v>11186</v>
      </c>
    </row>
    <row r="3324" spans="1:5">
      <c r="A3324" s="11" t="s">
        <v>11187</v>
      </c>
      <c r="B3324">
        <v>8003079</v>
      </c>
      <c r="D3324" s="11" t="s">
        <v>11188</v>
      </c>
      <c r="E3324" s="11" t="s">
        <v>11189</v>
      </c>
    </row>
    <row r="3325" spans="1:5">
      <c r="A3325" s="11" t="s">
        <v>11190</v>
      </c>
      <c r="B3325">
        <v>8079132</v>
      </c>
      <c r="D3325" s="11" t="s">
        <v>11191</v>
      </c>
      <c r="E3325" s="11" t="s">
        <v>11192</v>
      </c>
    </row>
    <row r="3326" spans="1:5">
      <c r="A3326" s="11" t="s">
        <v>11193</v>
      </c>
      <c r="B3326">
        <v>8012296</v>
      </c>
      <c r="D3326" s="11" t="s">
        <v>11194</v>
      </c>
      <c r="E3326" s="11" t="s">
        <v>11195</v>
      </c>
    </row>
    <row r="3327" spans="1:5">
      <c r="A3327" s="11" t="s">
        <v>11196</v>
      </c>
      <c r="B3327">
        <v>8003080</v>
      </c>
      <c r="D3327" s="11" t="s">
        <v>11197</v>
      </c>
      <c r="E3327" s="11" t="s">
        <v>11198</v>
      </c>
    </row>
    <row r="3328" spans="1:5">
      <c r="A3328" s="11" t="s">
        <v>11199</v>
      </c>
      <c r="B3328">
        <v>8003081</v>
      </c>
      <c r="D3328" s="11" t="s">
        <v>11200</v>
      </c>
      <c r="E3328" s="11" t="s">
        <v>11201</v>
      </c>
    </row>
    <row r="3329" spans="1:5">
      <c r="A3329" s="11" t="s">
        <v>11202</v>
      </c>
      <c r="B3329">
        <v>8003083</v>
      </c>
      <c r="D3329" s="11" t="s">
        <v>11203</v>
      </c>
      <c r="E3329" s="11" t="s">
        <v>11204</v>
      </c>
    </row>
    <row r="3330" spans="1:5">
      <c r="A3330" s="11" t="s">
        <v>11205</v>
      </c>
      <c r="B3330">
        <v>8011937</v>
      </c>
      <c r="D3330" s="11" t="s">
        <v>11206</v>
      </c>
      <c r="E3330" s="11" t="s">
        <v>11207</v>
      </c>
    </row>
    <row r="3331" spans="1:5">
      <c r="A3331" s="11" t="s">
        <v>11208</v>
      </c>
      <c r="B3331">
        <v>8003086</v>
      </c>
      <c r="D3331" s="11" t="s">
        <v>11209</v>
      </c>
      <c r="E3331" s="11" t="s">
        <v>11210</v>
      </c>
    </row>
    <row r="3332" spans="1:5">
      <c r="A3332" s="11" t="s">
        <v>11211</v>
      </c>
      <c r="B3332">
        <v>8000186</v>
      </c>
      <c r="D3332" s="11" t="s">
        <v>11212</v>
      </c>
      <c r="E3332" s="11" t="s">
        <v>11213</v>
      </c>
    </row>
    <row r="3333" spans="1:5">
      <c r="A3333" s="11" t="s">
        <v>11214</v>
      </c>
      <c r="B3333">
        <v>8003090</v>
      </c>
      <c r="D3333" s="11" t="s">
        <v>11215</v>
      </c>
      <c r="E3333" s="11" t="s">
        <v>11216</v>
      </c>
    </row>
    <row r="3334" spans="1:5">
      <c r="A3334" s="11" t="s">
        <v>11217</v>
      </c>
      <c r="B3334">
        <v>8003091</v>
      </c>
      <c r="D3334" s="11" t="s">
        <v>11218</v>
      </c>
      <c r="E3334" s="11" t="s">
        <v>11219</v>
      </c>
    </row>
    <row r="3335" spans="1:5">
      <c r="A3335" s="11" t="s">
        <v>11220</v>
      </c>
      <c r="B3335">
        <v>8003092</v>
      </c>
      <c r="D3335" s="11" t="s">
        <v>11221</v>
      </c>
      <c r="E3335" s="11" t="s">
        <v>11222</v>
      </c>
    </row>
    <row r="3336" spans="1:5">
      <c r="A3336" s="11" t="s">
        <v>11223</v>
      </c>
      <c r="B3336">
        <v>8003094</v>
      </c>
      <c r="D3336" s="11" t="s">
        <v>11224</v>
      </c>
      <c r="E3336" s="11" t="s">
        <v>11225</v>
      </c>
    </row>
    <row r="3337" spans="1:5">
      <c r="A3337" s="11" t="s">
        <v>11226</v>
      </c>
      <c r="B3337">
        <v>8003096</v>
      </c>
      <c r="D3337" s="11" t="s">
        <v>11227</v>
      </c>
      <c r="E3337" s="11" t="s">
        <v>11228</v>
      </c>
    </row>
    <row r="3338" spans="1:5">
      <c r="A3338" s="11" t="s">
        <v>11229</v>
      </c>
      <c r="B3338">
        <v>8003098</v>
      </c>
      <c r="D3338" s="11" t="s">
        <v>11230</v>
      </c>
      <c r="E3338" s="11" t="s">
        <v>11231</v>
      </c>
    </row>
    <row r="3339" spans="1:5">
      <c r="A3339" s="11" t="s">
        <v>11232</v>
      </c>
      <c r="B3339">
        <v>8007014</v>
      </c>
      <c r="D3339" s="11" t="s">
        <v>11233</v>
      </c>
      <c r="E3339" s="11" t="s">
        <v>11234</v>
      </c>
    </row>
    <row r="3340" spans="1:5">
      <c r="A3340" s="11" t="s">
        <v>11235</v>
      </c>
      <c r="B3340">
        <v>8090001</v>
      </c>
      <c r="D3340" s="11" t="s">
        <v>11236</v>
      </c>
      <c r="E3340" s="11" t="s">
        <v>11237</v>
      </c>
    </row>
    <row r="3341" spans="1:5">
      <c r="A3341" s="11" t="s">
        <v>11238</v>
      </c>
      <c r="B3341">
        <v>8003100</v>
      </c>
      <c r="D3341" s="11" t="s">
        <v>11239</v>
      </c>
      <c r="E3341" s="11" t="s">
        <v>11240</v>
      </c>
    </row>
    <row r="3342" spans="1:5">
      <c r="A3342" s="11" t="s">
        <v>11241</v>
      </c>
      <c r="B3342">
        <v>8003101</v>
      </c>
      <c r="D3342" s="11" t="s">
        <v>11242</v>
      </c>
      <c r="E3342" s="11" t="s">
        <v>11243</v>
      </c>
    </row>
    <row r="3343" spans="1:5">
      <c r="A3343" s="11" t="s">
        <v>11244</v>
      </c>
      <c r="B3343">
        <v>8003102</v>
      </c>
      <c r="D3343" s="11" t="s">
        <v>11245</v>
      </c>
      <c r="E3343" s="11" t="s">
        <v>11246</v>
      </c>
    </row>
    <row r="3344" spans="1:5">
      <c r="A3344" s="11" t="s">
        <v>11247</v>
      </c>
      <c r="B3344">
        <v>8071767</v>
      </c>
      <c r="D3344" s="11" t="s">
        <v>1539</v>
      </c>
      <c r="E3344" s="11" t="s">
        <v>1539</v>
      </c>
    </row>
    <row r="3345" spans="1:5">
      <c r="A3345" s="11" t="s">
        <v>11248</v>
      </c>
      <c r="B3345">
        <v>8003103</v>
      </c>
      <c r="D3345" s="11" t="s">
        <v>11249</v>
      </c>
      <c r="E3345" s="11" t="s">
        <v>11250</v>
      </c>
    </row>
    <row r="3346" spans="1:5">
      <c r="A3346" s="11" t="s">
        <v>11251</v>
      </c>
      <c r="B3346">
        <v>8085575</v>
      </c>
      <c r="D3346" s="11" t="s">
        <v>11252</v>
      </c>
      <c r="E3346" s="11" t="s">
        <v>11253</v>
      </c>
    </row>
    <row r="3347" spans="1:5">
      <c r="A3347" s="11" t="s">
        <v>11254</v>
      </c>
      <c r="B3347">
        <v>8011939</v>
      </c>
      <c r="D3347" s="11" t="s">
        <v>11255</v>
      </c>
      <c r="E3347" s="11" t="s">
        <v>11256</v>
      </c>
    </row>
    <row r="3348" spans="1:5">
      <c r="A3348" s="11" t="s">
        <v>11257</v>
      </c>
      <c r="B3348">
        <v>8011940</v>
      </c>
      <c r="D3348" s="11" t="s">
        <v>11258</v>
      </c>
      <c r="E3348" s="11" t="s">
        <v>11259</v>
      </c>
    </row>
    <row r="3349" spans="1:5">
      <c r="A3349" s="11" t="s">
        <v>11260</v>
      </c>
      <c r="B3349">
        <v>8003105</v>
      </c>
      <c r="D3349" s="11" t="s">
        <v>11261</v>
      </c>
      <c r="E3349" s="11" t="s">
        <v>11262</v>
      </c>
    </row>
    <row r="3350" spans="1:5">
      <c r="A3350" s="11" t="s">
        <v>11263</v>
      </c>
      <c r="B3350">
        <v>8011947</v>
      </c>
      <c r="D3350" s="11" t="s">
        <v>11264</v>
      </c>
      <c r="E3350" s="11" t="s">
        <v>11265</v>
      </c>
    </row>
    <row r="3351" spans="1:5">
      <c r="A3351" s="11" t="s">
        <v>11266</v>
      </c>
      <c r="B3351">
        <v>8003108</v>
      </c>
      <c r="D3351" s="11" t="s">
        <v>11267</v>
      </c>
      <c r="E3351" s="11" t="s">
        <v>11268</v>
      </c>
    </row>
    <row r="3352" spans="1:5">
      <c r="A3352" s="11" t="s">
        <v>11269</v>
      </c>
      <c r="B3352">
        <v>8003111</v>
      </c>
      <c r="D3352" s="11" t="s">
        <v>11270</v>
      </c>
      <c r="E3352" s="11" t="s">
        <v>11271</v>
      </c>
    </row>
    <row r="3353" spans="1:5">
      <c r="A3353" s="11" t="s">
        <v>11272</v>
      </c>
      <c r="B3353">
        <v>8071800</v>
      </c>
      <c r="D3353" s="11" t="s">
        <v>11273</v>
      </c>
      <c r="E3353" s="11" t="s">
        <v>11274</v>
      </c>
    </row>
    <row r="3354" spans="1:5">
      <c r="A3354" s="11" t="s">
        <v>11275</v>
      </c>
      <c r="B3354">
        <v>8011948</v>
      </c>
      <c r="D3354" s="11" t="s">
        <v>11276</v>
      </c>
      <c r="E3354" s="11" t="s">
        <v>11277</v>
      </c>
    </row>
    <row r="3355" spans="1:5">
      <c r="A3355" s="11" t="s">
        <v>11278</v>
      </c>
      <c r="B3355">
        <v>8011944</v>
      </c>
      <c r="D3355" s="11" t="s">
        <v>11279</v>
      </c>
      <c r="E3355" s="11" t="s">
        <v>11280</v>
      </c>
    </row>
    <row r="3356" spans="1:5">
      <c r="A3356" s="11" t="s">
        <v>11281</v>
      </c>
      <c r="B3356">
        <v>8079737</v>
      </c>
      <c r="D3356" s="11" t="s">
        <v>11282</v>
      </c>
      <c r="E3356" s="11" t="s">
        <v>11283</v>
      </c>
    </row>
    <row r="3357" spans="1:5">
      <c r="A3357" s="11" t="s">
        <v>11284</v>
      </c>
      <c r="B3357">
        <v>8011945</v>
      </c>
      <c r="D3357" s="11" t="s">
        <v>11285</v>
      </c>
      <c r="E3357" s="11" t="s">
        <v>11286</v>
      </c>
    </row>
    <row r="3358" spans="1:5">
      <c r="A3358" s="11" t="s">
        <v>11287</v>
      </c>
      <c r="B3358">
        <v>8003115</v>
      </c>
      <c r="D3358" s="11" t="s">
        <v>11288</v>
      </c>
      <c r="E3358" s="11" t="s">
        <v>11289</v>
      </c>
    </row>
    <row r="3359" spans="1:5">
      <c r="A3359" s="11" t="s">
        <v>11290</v>
      </c>
      <c r="B3359">
        <v>8011951</v>
      </c>
      <c r="D3359" s="11" t="s">
        <v>11291</v>
      </c>
      <c r="E3359" s="11" t="s">
        <v>11292</v>
      </c>
    </row>
    <row r="3360" spans="1:5">
      <c r="A3360" s="11" t="s">
        <v>11293</v>
      </c>
      <c r="B3360">
        <v>8010179</v>
      </c>
      <c r="D3360" s="11" t="s">
        <v>11294</v>
      </c>
      <c r="E3360" s="11" t="s">
        <v>11295</v>
      </c>
    </row>
    <row r="3361" spans="1:5">
      <c r="A3361" s="11" t="s">
        <v>11296</v>
      </c>
      <c r="B3361">
        <v>8079736</v>
      </c>
      <c r="D3361" s="11" t="s">
        <v>11297</v>
      </c>
      <c r="E3361" s="11" t="s">
        <v>11298</v>
      </c>
    </row>
    <row r="3362" spans="1:5">
      <c r="A3362" s="11" t="s">
        <v>11299</v>
      </c>
      <c r="B3362">
        <v>8011946</v>
      </c>
      <c r="D3362" s="11" t="s">
        <v>11300</v>
      </c>
      <c r="E3362" s="11" t="s">
        <v>11301</v>
      </c>
    </row>
    <row r="3363" spans="1:5">
      <c r="A3363" s="11" t="s">
        <v>11302</v>
      </c>
      <c r="B3363">
        <v>8011952</v>
      </c>
      <c r="D3363" s="11" t="s">
        <v>11303</v>
      </c>
      <c r="E3363" s="11" t="s">
        <v>11304</v>
      </c>
    </row>
    <row r="3364" spans="1:5">
      <c r="A3364" s="11" t="s">
        <v>11305</v>
      </c>
      <c r="B3364">
        <v>8007288</v>
      </c>
      <c r="D3364" s="11" t="s">
        <v>11306</v>
      </c>
      <c r="E3364" s="11" t="s">
        <v>11307</v>
      </c>
    </row>
    <row r="3365" spans="1:5">
      <c r="A3365" s="11" t="s">
        <v>11308</v>
      </c>
      <c r="B3365">
        <v>8011953</v>
      </c>
      <c r="D3365" s="11" t="s">
        <v>11309</v>
      </c>
      <c r="E3365" s="11" t="s">
        <v>11310</v>
      </c>
    </row>
    <row r="3366" spans="1:5">
      <c r="A3366" s="11" t="s">
        <v>944</v>
      </c>
      <c r="B3366">
        <v>8011956</v>
      </c>
      <c r="D3366" s="11" t="s">
        <v>946</v>
      </c>
      <c r="E3366" s="11" t="s">
        <v>947</v>
      </c>
    </row>
    <row r="3367" spans="1:5">
      <c r="A3367" s="11" t="s">
        <v>11311</v>
      </c>
      <c r="B3367">
        <v>8011058</v>
      </c>
      <c r="D3367" s="11" t="s">
        <v>11312</v>
      </c>
      <c r="E3367" s="11" t="s">
        <v>11313</v>
      </c>
    </row>
    <row r="3368" spans="1:5">
      <c r="A3368" s="11" t="s">
        <v>11314</v>
      </c>
      <c r="B3368">
        <v>8011957</v>
      </c>
      <c r="D3368" s="11" t="s">
        <v>11315</v>
      </c>
      <c r="E3368" s="11" t="s">
        <v>11316</v>
      </c>
    </row>
    <row r="3369" spans="1:5">
      <c r="A3369" s="11" t="s">
        <v>11317</v>
      </c>
      <c r="B3369">
        <v>8010133</v>
      </c>
      <c r="D3369" s="11" t="s">
        <v>11318</v>
      </c>
      <c r="E3369" s="11" t="s">
        <v>11319</v>
      </c>
    </row>
    <row r="3370" spans="1:5">
      <c r="A3370" s="11" t="s">
        <v>11320</v>
      </c>
      <c r="B3370">
        <v>8011958</v>
      </c>
      <c r="D3370" s="11" t="s">
        <v>11321</v>
      </c>
      <c r="E3370" s="11" t="s">
        <v>2967</v>
      </c>
    </row>
    <row r="3371" spans="1:5">
      <c r="A3371" s="11" t="s">
        <v>11322</v>
      </c>
      <c r="B3371">
        <v>8010181</v>
      </c>
      <c r="D3371" s="11" t="s">
        <v>11323</v>
      </c>
      <c r="E3371" s="11" t="s">
        <v>11324</v>
      </c>
    </row>
    <row r="3372" spans="1:5">
      <c r="A3372" s="11" t="s">
        <v>11325</v>
      </c>
      <c r="B3372">
        <v>8003118</v>
      </c>
      <c r="D3372" s="11" t="s">
        <v>11326</v>
      </c>
      <c r="E3372" s="11" t="s">
        <v>11327</v>
      </c>
    </row>
    <row r="3373" spans="1:5">
      <c r="A3373" s="11" t="s">
        <v>11328</v>
      </c>
      <c r="B3373">
        <v>8011959</v>
      </c>
      <c r="D3373" s="11" t="s">
        <v>11329</v>
      </c>
      <c r="E3373" s="11" t="s">
        <v>11330</v>
      </c>
    </row>
    <row r="3374" spans="1:5">
      <c r="A3374" s="11" t="s">
        <v>11331</v>
      </c>
      <c r="B3374">
        <v>8011960</v>
      </c>
      <c r="D3374" s="11" t="s">
        <v>11332</v>
      </c>
      <c r="E3374" s="11" t="s">
        <v>11333</v>
      </c>
    </row>
    <row r="3375" spans="1:5">
      <c r="A3375" s="11" t="s">
        <v>11334</v>
      </c>
      <c r="B3375">
        <v>8011961</v>
      </c>
      <c r="D3375" s="11" t="s">
        <v>11335</v>
      </c>
      <c r="E3375" s="11" t="s">
        <v>11336</v>
      </c>
    </row>
    <row r="3376" spans="1:5">
      <c r="A3376" s="11" t="s">
        <v>11337</v>
      </c>
      <c r="B3376">
        <v>8003122</v>
      </c>
      <c r="D3376" s="11" t="s">
        <v>11338</v>
      </c>
      <c r="E3376" s="11" t="s">
        <v>11339</v>
      </c>
    </row>
    <row r="3377" spans="1:5">
      <c r="A3377" s="11" t="s">
        <v>11340</v>
      </c>
      <c r="B3377">
        <v>8003123</v>
      </c>
      <c r="D3377" s="11" t="s">
        <v>11341</v>
      </c>
      <c r="E3377" s="11" t="s">
        <v>11342</v>
      </c>
    </row>
    <row r="3378" spans="1:5">
      <c r="A3378" s="11" t="s">
        <v>11343</v>
      </c>
      <c r="B3378">
        <v>8003124</v>
      </c>
      <c r="D3378" s="11" t="s">
        <v>11344</v>
      </c>
      <c r="E3378" s="11" t="s">
        <v>11345</v>
      </c>
    </row>
    <row r="3379" spans="1:5">
      <c r="A3379" s="11" t="s">
        <v>11346</v>
      </c>
      <c r="B3379">
        <v>8011962</v>
      </c>
      <c r="D3379" s="11" t="s">
        <v>11347</v>
      </c>
      <c r="E3379" s="11" t="s">
        <v>11348</v>
      </c>
    </row>
    <row r="3380" spans="1:5">
      <c r="A3380" s="11" t="s">
        <v>11349</v>
      </c>
      <c r="B3380">
        <v>8013279</v>
      </c>
      <c r="D3380" s="11" t="s">
        <v>11350</v>
      </c>
      <c r="E3380" s="11" t="s">
        <v>11351</v>
      </c>
    </row>
    <row r="3381" spans="1:5">
      <c r="A3381" s="11" t="s">
        <v>11352</v>
      </c>
      <c r="B3381">
        <v>8011963</v>
      </c>
      <c r="D3381" s="11" t="s">
        <v>11353</v>
      </c>
      <c r="E3381" s="11" t="s">
        <v>11354</v>
      </c>
    </row>
    <row r="3382" spans="1:5">
      <c r="A3382" s="11" t="s">
        <v>11355</v>
      </c>
      <c r="B3382">
        <v>8003125</v>
      </c>
      <c r="D3382" s="11" t="s">
        <v>11356</v>
      </c>
      <c r="E3382" s="11" t="s">
        <v>11357</v>
      </c>
    </row>
    <row r="3383" spans="1:5">
      <c r="A3383" s="11" t="s">
        <v>11358</v>
      </c>
      <c r="B3383">
        <v>8011967</v>
      </c>
      <c r="D3383" s="11" t="s">
        <v>11359</v>
      </c>
      <c r="E3383" s="11" t="s">
        <v>11360</v>
      </c>
    </row>
    <row r="3384" spans="1:5">
      <c r="A3384" s="11" t="s">
        <v>11361</v>
      </c>
      <c r="B3384">
        <v>8003127</v>
      </c>
      <c r="D3384" s="11" t="s">
        <v>11362</v>
      </c>
      <c r="E3384" s="11" t="s">
        <v>11363</v>
      </c>
    </row>
    <row r="3385" spans="1:5">
      <c r="A3385" s="11" t="s">
        <v>11364</v>
      </c>
      <c r="B3385">
        <v>8079058</v>
      </c>
      <c r="D3385" s="11" t="s">
        <v>11365</v>
      </c>
      <c r="E3385" s="11" t="s">
        <v>11366</v>
      </c>
    </row>
    <row r="3386" spans="1:5">
      <c r="A3386" s="11" t="s">
        <v>11367</v>
      </c>
      <c r="B3386">
        <v>8079134</v>
      </c>
      <c r="D3386" s="11" t="s">
        <v>11368</v>
      </c>
      <c r="E3386" s="11" t="s">
        <v>11369</v>
      </c>
    </row>
    <row r="3387" spans="1:5">
      <c r="A3387" s="11" t="s">
        <v>11370</v>
      </c>
      <c r="B3387">
        <v>8003129</v>
      </c>
      <c r="D3387" s="11" t="s">
        <v>11371</v>
      </c>
      <c r="E3387" s="11" t="s">
        <v>11372</v>
      </c>
    </row>
    <row r="3388" spans="1:5">
      <c r="A3388" s="11" t="s">
        <v>11373</v>
      </c>
      <c r="B3388">
        <v>8011966</v>
      </c>
      <c r="D3388" s="11" t="s">
        <v>11374</v>
      </c>
      <c r="E3388" s="11" t="s">
        <v>11375</v>
      </c>
    </row>
    <row r="3389" spans="1:5">
      <c r="A3389" s="11" t="s">
        <v>11376</v>
      </c>
      <c r="B3389">
        <v>8000334</v>
      </c>
      <c r="D3389" s="11" t="s">
        <v>11377</v>
      </c>
      <c r="E3389" s="11" t="s">
        <v>11378</v>
      </c>
    </row>
    <row r="3390" spans="1:5">
      <c r="A3390" s="11" t="s">
        <v>11379</v>
      </c>
      <c r="B3390">
        <v>8003130</v>
      </c>
      <c r="D3390" s="11" t="s">
        <v>11380</v>
      </c>
      <c r="E3390" s="11" t="s">
        <v>11381</v>
      </c>
    </row>
    <row r="3391" spans="1:5">
      <c r="A3391" s="11" t="s">
        <v>11382</v>
      </c>
      <c r="B3391">
        <v>8007763</v>
      </c>
      <c r="D3391" s="11" t="s">
        <v>11383</v>
      </c>
      <c r="E3391" s="11" t="s">
        <v>11384</v>
      </c>
    </row>
    <row r="3392" spans="1:5">
      <c r="A3392" s="11" t="s">
        <v>11385</v>
      </c>
      <c r="B3392">
        <v>8003136</v>
      </c>
      <c r="D3392" s="11" t="s">
        <v>11386</v>
      </c>
      <c r="E3392" s="11" t="s">
        <v>11387</v>
      </c>
    </row>
    <row r="3393" spans="1:5">
      <c r="A3393" s="11" t="s">
        <v>11388</v>
      </c>
      <c r="B3393">
        <v>8000188</v>
      </c>
      <c r="D3393" s="11" t="s">
        <v>11389</v>
      </c>
      <c r="E3393" s="11" t="s">
        <v>11390</v>
      </c>
    </row>
    <row r="3394" spans="1:5">
      <c r="A3394" s="11" t="s">
        <v>11391</v>
      </c>
      <c r="B3394">
        <v>8003114</v>
      </c>
      <c r="D3394" s="11" t="s">
        <v>11392</v>
      </c>
      <c r="E3394" s="11" t="s">
        <v>11393</v>
      </c>
    </row>
    <row r="3395" spans="1:5">
      <c r="A3395" s="11" t="s">
        <v>11394</v>
      </c>
      <c r="B3395">
        <v>8007815</v>
      </c>
      <c r="D3395" s="11" t="s">
        <v>11395</v>
      </c>
      <c r="E3395" s="11" t="s">
        <v>11396</v>
      </c>
    </row>
    <row r="3396" spans="1:5">
      <c r="A3396" s="11" t="s">
        <v>11397</v>
      </c>
      <c r="B3396">
        <v>8007801</v>
      </c>
      <c r="D3396" s="11" t="s">
        <v>11398</v>
      </c>
      <c r="E3396" s="11" t="s">
        <v>11399</v>
      </c>
    </row>
    <row r="3397" spans="1:5">
      <c r="A3397" s="11" t="s">
        <v>11400</v>
      </c>
      <c r="B3397">
        <v>8007802</v>
      </c>
      <c r="D3397" s="11" t="s">
        <v>11401</v>
      </c>
      <c r="E3397" s="11" t="s">
        <v>11402</v>
      </c>
    </row>
    <row r="3398" spans="1:5">
      <c r="A3398" s="11" t="s">
        <v>11403</v>
      </c>
      <c r="B3398">
        <v>8007814</v>
      </c>
      <c r="D3398" s="11" t="s">
        <v>11404</v>
      </c>
      <c r="E3398" s="11" t="s">
        <v>11405</v>
      </c>
    </row>
    <row r="3399" spans="1:5">
      <c r="A3399" s="11" t="s">
        <v>11406</v>
      </c>
      <c r="B3399">
        <v>8007223</v>
      </c>
      <c r="D3399" s="11" t="s">
        <v>11407</v>
      </c>
      <c r="E3399" s="11" t="s">
        <v>11408</v>
      </c>
    </row>
    <row r="3400" spans="1:5">
      <c r="A3400" s="11" t="s">
        <v>11409</v>
      </c>
      <c r="B3400">
        <v>8007234</v>
      </c>
      <c r="D3400" s="11" t="s">
        <v>11410</v>
      </c>
      <c r="E3400" s="11" t="s">
        <v>11411</v>
      </c>
    </row>
    <row r="3401" spans="1:5">
      <c r="A3401" s="11" t="s">
        <v>11412</v>
      </c>
      <c r="B3401">
        <v>8003135</v>
      </c>
      <c r="D3401" s="11" t="s">
        <v>11413</v>
      </c>
      <c r="E3401" s="11" t="s">
        <v>11414</v>
      </c>
    </row>
    <row r="3402" spans="1:5">
      <c r="A3402" s="11" t="s">
        <v>11415</v>
      </c>
      <c r="B3402">
        <v>8010182</v>
      </c>
      <c r="D3402" s="11" t="s">
        <v>11416</v>
      </c>
      <c r="E3402" s="11" t="s">
        <v>11417</v>
      </c>
    </row>
    <row r="3403" spans="1:5">
      <c r="A3403" s="11" t="s">
        <v>11418</v>
      </c>
      <c r="B3403">
        <v>8011969</v>
      </c>
      <c r="D3403" s="11" t="s">
        <v>11419</v>
      </c>
      <c r="E3403" s="11" t="s">
        <v>11420</v>
      </c>
    </row>
    <row r="3404" spans="1:5">
      <c r="A3404" s="11" t="s">
        <v>11421</v>
      </c>
      <c r="B3404">
        <v>8000438</v>
      </c>
      <c r="D3404" s="11" t="s">
        <v>11422</v>
      </c>
      <c r="E3404" s="11" t="s">
        <v>11423</v>
      </c>
    </row>
    <row r="3405" spans="1:5">
      <c r="A3405" s="11" t="s">
        <v>11424</v>
      </c>
      <c r="B3405">
        <v>8071234</v>
      </c>
      <c r="D3405" s="11" t="s">
        <v>11425</v>
      </c>
      <c r="E3405" s="11" t="s">
        <v>11426</v>
      </c>
    </row>
    <row r="3406" spans="1:5">
      <c r="A3406" s="11" t="s">
        <v>11427</v>
      </c>
      <c r="B3406">
        <v>8000432</v>
      </c>
      <c r="D3406" s="11" t="s">
        <v>11428</v>
      </c>
      <c r="E3406" s="11" t="s">
        <v>11429</v>
      </c>
    </row>
    <row r="3407" spans="1:5">
      <c r="A3407" s="11" t="s">
        <v>11430</v>
      </c>
      <c r="B3407">
        <v>8071232</v>
      </c>
      <c r="D3407" s="11" t="s">
        <v>11431</v>
      </c>
      <c r="E3407" s="11" t="s">
        <v>11432</v>
      </c>
    </row>
    <row r="3408" spans="1:5">
      <c r="A3408" s="11" t="s">
        <v>11433</v>
      </c>
      <c r="B3408">
        <v>8003141</v>
      </c>
      <c r="D3408" s="11" t="s">
        <v>11434</v>
      </c>
      <c r="E3408" s="11" t="s">
        <v>11435</v>
      </c>
    </row>
    <row r="3409" spans="1:5">
      <c r="A3409" s="11" t="s">
        <v>11436</v>
      </c>
      <c r="B3409">
        <v>8000430</v>
      </c>
      <c r="D3409" s="11" t="s">
        <v>11437</v>
      </c>
      <c r="E3409" s="11" t="s">
        <v>11438</v>
      </c>
    </row>
    <row r="3410" spans="1:5">
      <c r="A3410" s="11" t="s">
        <v>11439</v>
      </c>
      <c r="B3410">
        <v>8011981</v>
      </c>
      <c r="D3410" s="11" t="s">
        <v>11440</v>
      </c>
      <c r="E3410" s="11" t="s">
        <v>11441</v>
      </c>
    </row>
    <row r="3411" spans="1:5">
      <c r="A3411" s="11" t="s">
        <v>11442</v>
      </c>
      <c r="B3411">
        <v>8070164</v>
      </c>
      <c r="D3411" s="11" t="s">
        <v>11443</v>
      </c>
      <c r="E3411" s="11" t="s">
        <v>11444</v>
      </c>
    </row>
    <row r="3412" spans="1:5">
      <c r="A3412" s="11" t="s">
        <v>11445</v>
      </c>
      <c r="B3412">
        <v>8003143</v>
      </c>
      <c r="D3412" s="11" t="s">
        <v>11446</v>
      </c>
      <c r="E3412" s="11" t="s">
        <v>11447</v>
      </c>
    </row>
    <row r="3413" spans="1:5">
      <c r="A3413" s="11" t="s">
        <v>11448</v>
      </c>
      <c r="B3413">
        <v>8011985</v>
      </c>
      <c r="D3413" s="11" t="s">
        <v>11449</v>
      </c>
      <c r="E3413" s="11" t="s">
        <v>11450</v>
      </c>
    </row>
    <row r="3414" spans="1:5">
      <c r="A3414" s="11" t="s">
        <v>11451</v>
      </c>
      <c r="B3414">
        <v>8003146</v>
      </c>
      <c r="D3414" s="11" t="s">
        <v>1539</v>
      </c>
      <c r="E3414" s="11" t="s">
        <v>1539</v>
      </c>
    </row>
    <row r="3415" spans="1:5">
      <c r="A3415" s="11" t="s">
        <v>11452</v>
      </c>
      <c r="B3415">
        <v>8003148</v>
      </c>
      <c r="D3415" s="11" t="s">
        <v>11453</v>
      </c>
      <c r="E3415" s="11" t="s">
        <v>11454</v>
      </c>
    </row>
    <row r="3416" spans="1:5">
      <c r="A3416" s="11" t="s">
        <v>11455</v>
      </c>
      <c r="B3416">
        <v>8070889</v>
      </c>
      <c r="D3416" s="11" t="s">
        <v>11456</v>
      </c>
      <c r="E3416" s="11" t="s">
        <v>11457</v>
      </c>
    </row>
    <row r="3417" spans="1:5">
      <c r="A3417" s="11" t="s">
        <v>11458</v>
      </c>
      <c r="B3417">
        <v>8002175</v>
      </c>
      <c r="D3417" s="11" t="s">
        <v>11459</v>
      </c>
      <c r="E3417" s="11" t="s">
        <v>11460</v>
      </c>
    </row>
    <row r="3418" spans="1:5">
      <c r="A3418" s="11" t="s">
        <v>11461</v>
      </c>
      <c r="B3418">
        <v>8000189</v>
      </c>
      <c r="D3418" s="11" t="s">
        <v>11462</v>
      </c>
      <c r="E3418" s="11" t="s">
        <v>11463</v>
      </c>
    </row>
    <row r="3419" spans="1:5">
      <c r="A3419" s="11" t="s">
        <v>11464</v>
      </c>
      <c r="B3419">
        <v>8003150</v>
      </c>
      <c r="D3419" s="11" t="s">
        <v>11465</v>
      </c>
      <c r="E3419" s="11" t="s">
        <v>11466</v>
      </c>
    </row>
    <row r="3420" spans="1:5">
      <c r="A3420" s="11" t="s">
        <v>11467</v>
      </c>
      <c r="B3420">
        <v>8003151</v>
      </c>
      <c r="D3420" s="11" t="s">
        <v>11468</v>
      </c>
      <c r="E3420" s="11" t="s">
        <v>11469</v>
      </c>
    </row>
    <row r="3421" spans="1:5">
      <c r="A3421" s="11" t="s">
        <v>11470</v>
      </c>
      <c r="B3421">
        <v>8002943</v>
      </c>
      <c r="D3421" s="11" t="s">
        <v>11471</v>
      </c>
      <c r="E3421" s="11" t="s">
        <v>11472</v>
      </c>
    </row>
    <row r="3422" spans="1:5">
      <c r="A3422" s="11" t="s">
        <v>11473</v>
      </c>
      <c r="B3422">
        <v>8007276</v>
      </c>
      <c r="D3422" s="11" t="s">
        <v>11474</v>
      </c>
      <c r="E3422" s="11" t="s">
        <v>11475</v>
      </c>
    </row>
    <row r="3423" spans="1:5">
      <c r="A3423" s="11" t="s">
        <v>11476</v>
      </c>
      <c r="B3423">
        <v>8003154</v>
      </c>
      <c r="D3423" s="11" t="s">
        <v>11477</v>
      </c>
      <c r="E3423" s="11" t="s">
        <v>11478</v>
      </c>
    </row>
    <row r="3424" spans="1:5">
      <c r="A3424" s="11" t="s">
        <v>11479</v>
      </c>
      <c r="B3424">
        <v>8000190</v>
      </c>
      <c r="D3424" s="11" t="s">
        <v>11480</v>
      </c>
      <c r="E3424" s="11" t="s">
        <v>11481</v>
      </c>
    </row>
    <row r="3425" spans="1:5">
      <c r="A3425" s="11" t="s">
        <v>11482</v>
      </c>
      <c r="B3425">
        <v>8070018</v>
      </c>
      <c r="D3425" s="11" t="s">
        <v>11483</v>
      </c>
      <c r="E3425" s="11" t="s">
        <v>11484</v>
      </c>
    </row>
    <row r="3426" spans="1:5">
      <c r="A3426" s="11" t="s">
        <v>11485</v>
      </c>
      <c r="B3426">
        <v>8003158</v>
      </c>
      <c r="D3426" s="11" t="s">
        <v>11486</v>
      </c>
      <c r="E3426" s="11" t="s">
        <v>11487</v>
      </c>
    </row>
    <row r="3427" spans="1:5">
      <c r="A3427" s="11" t="s">
        <v>11488</v>
      </c>
      <c r="B3427">
        <v>8011995</v>
      </c>
      <c r="D3427" s="11" t="s">
        <v>11489</v>
      </c>
      <c r="E3427" s="11" t="s">
        <v>11490</v>
      </c>
    </row>
    <row r="3428" spans="1:5">
      <c r="A3428" s="11" t="s">
        <v>11491</v>
      </c>
      <c r="B3428">
        <v>8079739</v>
      </c>
      <c r="D3428" s="11" t="s">
        <v>11492</v>
      </c>
      <c r="E3428" s="11" t="s">
        <v>11493</v>
      </c>
    </row>
    <row r="3429" spans="1:5">
      <c r="A3429" s="11" t="s">
        <v>11494</v>
      </c>
      <c r="B3429">
        <v>8070807</v>
      </c>
      <c r="D3429" s="11" t="s">
        <v>11495</v>
      </c>
      <c r="E3429" s="11" t="s">
        <v>11496</v>
      </c>
    </row>
    <row r="3430" spans="1:5">
      <c r="A3430" s="11" t="s">
        <v>11497</v>
      </c>
      <c r="B3430">
        <v>8007204</v>
      </c>
      <c r="D3430" s="11" t="s">
        <v>11498</v>
      </c>
      <c r="E3430" s="11" t="s">
        <v>11499</v>
      </c>
    </row>
    <row r="3431" spans="1:5">
      <c r="A3431" s="11" t="s">
        <v>11500</v>
      </c>
      <c r="B3431">
        <v>8007054</v>
      </c>
      <c r="D3431" s="11" t="s">
        <v>11501</v>
      </c>
      <c r="E3431" s="11" t="s">
        <v>11502</v>
      </c>
    </row>
    <row r="3432" spans="1:5">
      <c r="A3432" s="11" t="s">
        <v>11503</v>
      </c>
      <c r="B3432">
        <v>8079068</v>
      </c>
      <c r="D3432" s="11" t="s">
        <v>11504</v>
      </c>
      <c r="E3432" s="11" t="s">
        <v>11505</v>
      </c>
    </row>
    <row r="3433" spans="1:5">
      <c r="A3433" s="11" t="s">
        <v>11506</v>
      </c>
      <c r="B3433">
        <v>8003166</v>
      </c>
      <c r="D3433" s="11" t="s">
        <v>11507</v>
      </c>
      <c r="E3433" s="11" t="s">
        <v>11508</v>
      </c>
    </row>
    <row r="3434" spans="1:5">
      <c r="A3434" s="11" t="s">
        <v>11509</v>
      </c>
      <c r="B3434">
        <v>8003168</v>
      </c>
      <c r="D3434" s="11" t="s">
        <v>11510</v>
      </c>
      <c r="E3434" s="11" t="s">
        <v>11511</v>
      </c>
    </row>
    <row r="3435" spans="1:5">
      <c r="A3435" s="11" t="s">
        <v>11512</v>
      </c>
      <c r="B3435">
        <v>8003169</v>
      </c>
      <c r="D3435" s="11" t="s">
        <v>11513</v>
      </c>
      <c r="E3435" s="11" t="s">
        <v>11514</v>
      </c>
    </row>
    <row r="3436" spans="1:5">
      <c r="A3436" s="11" t="s">
        <v>11515</v>
      </c>
      <c r="B3436">
        <v>8011988</v>
      </c>
      <c r="D3436" s="11" t="s">
        <v>11516</v>
      </c>
      <c r="E3436" s="11" t="s">
        <v>11517</v>
      </c>
    </row>
    <row r="3437" spans="1:5">
      <c r="A3437" s="11" t="s">
        <v>11518</v>
      </c>
      <c r="B3437">
        <v>8011983</v>
      </c>
      <c r="D3437" s="11" t="s">
        <v>11519</v>
      </c>
      <c r="E3437" s="11" t="s">
        <v>11520</v>
      </c>
    </row>
    <row r="3438" spans="1:5">
      <c r="A3438" s="11" t="s">
        <v>11521</v>
      </c>
      <c r="B3438">
        <v>8003170</v>
      </c>
      <c r="D3438" s="11" t="s">
        <v>11522</v>
      </c>
      <c r="E3438" s="11" t="s">
        <v>11523</v>
      </c>
    </row>
    <row r="3439" spans="1:5">
      <c r="A3439" s="11" t="s">
        <v>11524</v>
      </c>
      <c r="B3439">
        <v>8075958</v>
      </c>
      <c r="D3439" s="11" t="s">
        <v>1539</v>
      </c>
      <c r="E3439" s="11" t="s">
        <v>1539</v>
      </c>
    </row>
    <row r="3440" spans="1:5">
      <c r="A3440" s="11" t="s">
        <v>11525</v>
      </c>
      <c r="B3440">
        <v>8003172</v>
      </c>
      <c r="D3440" s="11" t="s">
        <v>11526</v>
      </c>
      <c r="E3440" s="11" t="s">
        <v>11527</v>
      </c>
    </row>
    <row r="3441" spans="1:5">
      <c r="A3441" s="11" t="s">
        <v>11528</v>
      </c>
      <c r="B3441">
        <v>8070450</v>
      </c>
      <c r="D3441" s="11" t="s">
        <v>11529</v>
      </c>
      <c r="E3441" s="11" t="s">
        <v>11530</v>
      </c>
    </row>
    <row r="3442" spans="1:5">
      <c r="A3442" s="11" t="s">
        <v>11531</v>
      </c>
      <c r="B3442">
        <v>8070452</v>
      </c>
      <c r="D3442" s="11" t="s">
        <v>11532</v>
      </c>
      <c r="E3442" s="11" t="s">
        <v>11533</v>
      </c>
    </row>
    <row r="3443" spans="1:5">
      <c r="A3443" s="11" t="s">
        <v>11534</v>
      </c>
      <c r="B3443">
        <v>8003173</v>
      </c>
      <c r="D3443" s="11" t="s">
        <v>11535</v>
      </c>
      <c r="E3443" s="11" t="s">
        <v>11536</v>
      </c>
    </row>
    <row r="3444" spans="1:5">
      <c r="A3444" s="11" t="s">
        <v>11537</v>
      </c>
      <c r="B3444">
        <v>8003175</v>
      </c>
      <c r="D3444" s="11" t="s">
        <v>11538</v>
      </c>
      <c r="E3444" s="11" t="s">
        <v>11539</v>
      </c>
    </row>
    <row r="3445" spans="1:5">
      <c r="A3445" s="11" t="s">
        <v>11540</v>
      </c>
      <c r="B3445">
        <v>8003174</v>
      </c>
      <c r="D3445" s="11" t="s">
        <v>11541</v>
      </c>
      <c r="E3445" s="11" t="s">
        <v>11542</v>
      </c>
    </row>
    <row r="3446" spans="1:5">
      <c r="A3446" s="11" t="s">
        <v>11543</v>
      </c>
      <c r="B3446">
        <v>8070260</v>
      </c>
      <c r="D3446" s="11" t="s">
        <v>5342</v>
      </c>
      <c r="E3446" s="11" t="s">
        <v>11544</v>
      </c>
    </row>
    <row r="3447" spans="1:5">
      <c r="A3447" s="11" t="s">
        <v>11545</v>
      </c>
      <c r="B3447">
        <v>8007004</v>
      </c>
      <c r="D3447" s="11" t="s">
        <v>11546</v>
      </c>
      <c r="E3447" s="11" t="s">
        <v>11547</v>
      </c>
    </row>
    <row r="3448" spans="1:5">
      <c r="A3448" s="11" t="s">
        <v>11548</v>
      </c>
      <c r="B3448">
        <v>8077004</v>
      </c>
      <c r="D3448" s="11" t="s">
        <v>11549</v>
      </c>
      <c r="E3448" s="11" t="s">
        <v>11550</v>
      </c>
    </row>
    <row r="3449" spans="1:5">
      <c r="A3449" s="11" t="s">
        <v>11551</v>
      </c>
      <c r="B3449">
        <v>8007859</v>
      </c>
      <c r="D3449" s="11" t="s">
        <v>11552</v>
      </c>
      <c r="E3449" s="11" t="s">
        <v>11553</v>
      </c>
    </row>
    <row r="3450" spans="1:5">
      <c r="A3450" s="11" t="s">
        <v>11554</v>
      </c>
      <c r="B3450">
        <v>8011989</v>
      </c>
      <c r="D3450" s="11" t="s">
        <v>11555</v>
      </c>
      <c r="E3450" s="11" t="s">
        <v>11556</v>
      </c>
    </row>
    <row r="3451" spans="1:5">
      <c r="A3451" s="11" t="s">
        <v>11557</v>
      </c>
      <c r="B3451">
        <v>8011991</v>
      </c>
      <c r="D3451" s="11" t="s">
        <v>11558</v>
      </c>
      <c r="E3451" s="11" t="s">
        <v>11559</v>
      </c>
    </row>
    <row r="3452" spans="1:5">
      <c r="A3452" s="11" t="s">
        <v>11560</v>
      </c>
      <c r="B3452">
        <v>8003181</v>
      </c>
      <c r="D3452" s="11" t="s">
        <v>11561</v>
      </c>
      <c r="E3452" s="11" t="s">
        <v>11562</v>
      </c>
    </row>
    <row r="3453" spans="1:5">
      <c r="A3453" s="11" t="s">
        <v>11563</v>
      </c>
      <c r="B3453">
        <v>8011992</v>
      </c>
      <c r="D3453" s="11" t="s">
        <v>11564</v>
      </c>
      <c r="E3453" s="11" t="s">
        <v>11565</v>
      </c>
    </row>
    <row r="3454" spans="1:5">
      <c r="A3454" s="11" t="s">
        <v>11566</v>
      </c>
      <c r="B3454">
        <v>8079045</v>
      </c>
      <c r="D3454" s="11" t="s">
        <v>11567</v>
      </c>
      <c r="E3454" s="11" t="s">
        <v>11568</v>
      </c>
    </row>
    <row r="3455" spans="1:5">
      <c r="A3455" s="11" t="s">
        <v>11569</v>
      </c>
      <c r="B3455">
        <v>8079125</v>
      </c>
      <c r="D3455" s="11" t="s">
        <v>11570</v>
      </c>
      <c r="E3455" s="11" t="s">
        <v>11571</v>
      </c>
    </row>
    <row r="3456" spans="1:5">
      <c r="A3456" s="11" t="s">
        <v>11572</v>
      </c>
      <c r="B3456">
        <v>8079126</v>
      </c>
      <c r="D3456" s="11" t="s">
        <v>11573</v>
      </c>
      <c r="E3456" s="11" t="s">
        <v>11574</v>
      </c>
    </row>
    <row r="3457" spans="1:5">
      <c r="A3457" s="11" t="s">
        <v>42</v>
      </c>
      <c r="B3457">
        <v>8000191</v>
      </c>
      <c r="D3457" s="11" t="s">
        <v>974</v>
      </c>
      <c r="E3457" s="11" t="s">
        <v>975</v>
      </c>
    </row>
    <row r="3458" spans="1:5">
      <c r="A3458" s="11" t="s">
        <v>558</v>
      </c>
      <c r="B3458">
        <v>8079046</v>
      </c>
      <c r="D3458" s="11" t="s">
        <v>560</v>
      </c>
      <c r="E3458" s="11" t="s">
        <v>561</v>
      </c>
    </row>
    <row r="3459" spans="1:5">
      <c r="A3459" s="11" t="s">
        <v>11575</v>
      </c>
      <c r="B3459">
        <v>8079144</v>
      </c>
      <c r="D3459" s="11" t="s">
        <v>11576</v>
      </c>
      <c r="E3459" s="11" t="s">
        <v>11577</v>
      </c>
    </row>
    <row r="3460" spans="1:5">
      <c r="A3460" s="11" t="s">
        <v>11578</v>
      </c>
      <c r="B3460">
        <v>8003183</v>
      </c>
      <c r="D3460" s="11" t="s">
        <v>11579</v>
      </c>
      <c r="E3460" s="11" t="s">
        <v>11580</v>
      </c>
    </row>
    <row r="3461" spans="1:5">
      <c r="A3461" s="11" t="s">
        <v>11581</v>
      </c>
      <c r="B3461">
        <v>8003184</v>
      </c>
      <c r="D3461" s="11" t="s">
        <v>11582</v>
      </c>
      <c r="E3461" s="11" t="s">
        <v>11583</v>
      </c>
    </row>
    <row r="3462" spans="1:5">
      <c r="A3462" s="11" t="s">
        <v>11584</v>
      </c>
      <c r="B3462">
        <v>8003185</v>
      </c>
      <c r="D3462" s="11" t="s">
        <v>11585</v>
      </c>
      <c r="E3462" s="11" t="s">
        <v>11586</v>
      </c>
    </row>
    <row r="3463" spans="1:5">
      <c r="A3463" s="11" t="s">
        <v>11587</v>
      </c>
      <c r="B3463">
        <v>8079128</v>
      </c>
      <c r="D3463" s="11" t="s">
        <v>11588</v>
      </c>
      <c r="E3463" s="11" t="s">
        <v>11589</v>
      </c>
    </row>
    <row r="3464" spans="1:5">
      <c r="A3464" s="11" t="s">
        <v>11590</v>
      </c>
      <c r="B3464">
        <v>8003186</v>
      </c>
      <c r="D3464" s="11" t="s">
        <v>11591</v>
      </c>
      <c r="E3464" s="11" t="s">
        <v>11592</v>
      </c>
    </row>
    <row r="3465" spans="1:5">
      <c r="A3465" s="11" t="s">
        <v>11593</v>
      </c>
      <c r="B3465">
        <v>8003187</v>
      </c>
      <c r="D3465" s="11" t="s">
        <v>11594</v>
      </c>
      <c r="E3465" s="11" t="s">
        <v>11595</v>
      </c>
    </row>
    <row r="3466" spans="1:5">
      <c r="A3466" s="11" t="s">
        <v>11596</v>
      </c>
      <c r="B3466">
        <v>8079047</v>
      </c>
      <c r="D3466" s="11" t="s">
        <v>11597</v>
      </c>
      <c r="E3466" s="11" t="s">
        <v>11598</v>
      </c>
    </row>
    <row r="3467" spans="1:5">
      <c r="A3467" s="11" t="s">
        <v>11599</v>
      </c>
      <c r="B3467">
        <v>8003189</v>
      </c>
      <c r="D3467" s="11" t="s">
        <v>11600</v>
      </c>
      <c r="E3467" s="11" t="s">
        <v>11601</v>
      </c>
    </row>
    <row r="3468" spans="1:5">
      <c r="A3468" s="11" t="s">
        <v>11602</v>
      </c>
      <c r="B3468">
        <v>8010188</v>
      </c>
      <c r="D3468" s="11" t="s">
        <v>11603</v>
      </c>
      <c r="E3468" s="11" t="s">
        <v>11604</v>
      </c>
    </row>
    <row r="3469" spans="1:5">
      <c r="A3469" s="11" t="s">
        <v>11605</v>
      </c>
      <c r="B3469">
        <v>8003191</v>
      </c>
      <c r="D3469" s="11" t="s">
        <v>11606</v>
      </c>
      <c r="E3469" s="11" t="s">
        <v>11607</v>
      </c>
    </row>
    <row r="3470" spans="1:5">
      <c r="A3470" s="11" t="s">
        <v>11608</v>
      </c>
      <c r="B3470">
        <v>8011993</v>
      </c>
      <c r="D3470" s="11" t="s">
        <v>11609</v>
      </c>
      <c r="E3470" s="11" t="s">
        <v>11610</v>
      </c>
    </row>
    <row r="3471" spans="1:5">
      <c r="A3471" s="11" t="s">
        <v>11611</v>
      </c>
      <c r="B3471">
        <v>8011994</v>
      </c>
      <c r="D3471" s="11" t="s">
        <v>11612</v>
      </c>
      <c r="E3471" s="11" t="s">
        <v>11613</v>
      </c>
    </row>
    <row r="3472" spans="1:5">
      <c r="A3472" s="11" t="s">
        <v>11614</v>
      </c>
      <c r="B3472">
        <v>8000402</v>
      </c>
      <c r="D3472" s="11" t="s">
        <v>11615</v>
      </c>
      <c r="E3472" s="11" t="s">
        <v>11616</v>
      </c>
    </row>
    <row r="3473" spans="1:5">
      <c r="A3473" s="11" t="s">
        <v>11617</v>
      </c>
      <c r="B3473">
        <v>8070019</v>
      </c>
      <c r="D3473" s="11" t="s">
        <v>11618</v>
      </c>
      <c r="E3473" s="11" t="s">
        <v>11619</v>
      </c>
    </row>
    <row r="3474" spans="1:5">
      <c r="A3474" s="11" t="s">
        <v>11620</v>
      </c>
      <c r="B3474">
        <v>8070021</v>
      </c>
      <c r="D3474" s="11" t="s">
        <v>11621</v>
      </c>
      <c r="E3474" s="11" t="s">
        <v>11622</v>
      </c>
    </row>
    <row r="3475" spans="1:5">
      <c r="A3475" s="11" t="s">
        <v>11623</v>
      </c>
      <c r="B3475">
        <v>8071215</v>
      </c>
      <c r="D3475" s="11" t="s">
        <v>11624</v>
      </c>
      <c r="E3475" s="11" t="s">
        <v>11625</v>
      </c>
    </row>
    <row r="3476" spans="1:5">
      <c r="A3476" s="11" t="s">
        <v>11626</v>
      </c>
      <c r="B3476">
        <v>8000193</v>
      </c>
      <c r="D3476" s="11" t="s">
        <v>11627</v>
      </c>
      <c r="E3476" s="11" t="s">
        <v>11628</v>
      </c>
    </row>
    <row r="3477" spans="1:5">
      <c r="A3477" s="11" t="s">
        <v>11629</v>
      </c>
      <c r="B3477">
        <v>8003196</v>
      </c>
      <c r="D3477" s="11" t="s">
        <v>11630</v>
      </c>
      <c r="E3477" s="11" t="s">
        <v>11631</v>
      </c>
    </row>
    <row r="3478" spans="1:5">
      <c r="A3478" s="11" t="s">
        <v>11632</v>
      </c>
      <c r="B3478">
        <v>8003197</v>
      </c>
      <c r="D3478" s="11" t="s">
        <v>11633</v>
      </c>
      <c r="E3478" s="11" t="s">
        <v>11634</v>
      </c>
    </row>
    <row r="3479" spans="1:5">
      <c r="A3479" s="11" t="s">
        <v>11635</v>
      </c>
      <c r="B3479">
        <v>8003198</v>
      </c>
      <c r="D3479" s="11" t="s">
        <v>11636</v>
      </c>
      <c r="E3479" s="11" t="s">
        <v>11637</v>
      </c>
    </row>
    <row r="3480" spans="1:5">
      <c r="A3480" s="11" t="s">
        <v>11638</v>
      </c>
      <c r="B3480">
        <v>8003199</v>
      </c>
      <c r="D3480" s="11" t="s">
        <v>11639</v>
      </c>
      <c r="E3480" s="11" t="s">
        <v>11640</v>
      </c>
    </row>
    <row r="3481" spans="1:5">
      <c r="A3481" s="11" t="s">
        <v>1076</v>
      </c>
      <c r="B3481">
        <v>8003200</v>
      </c>
      <c r="D3481" s="11" t="s">
        <v>1078</v>
      </c>
      <c r="E3481" s="11" t="s">
        <v>1079</v>
      </c>
    </row>
    <row r="3482" spans="1:5">
      <c r="A3482" s="11" t="s">
        <v>11641</v>
      </c>
      <c r="B3482">
        <v>8003205</v>
      </c>
      <c r="D3482" s="11" t="s">
        <v>11642</v>
      </c>
      <c r="E3482" s="11" t="s">
        <v>11643</v>
      </c>
    </row>
    <row r="3483" spans="1:5">
      <c r="A3483" s="11" t="s">
        <v>11644</v>
      </c>
      <c r="B3483">
        <v>8003207</v>
      </c>
      <c r="D3483" s="11" t="s">
        <v>11645</v>
      </c>
      <c r="E3483" s="11" t="s">
        <v>11646</v>
      </c>
    </row>
    <row r="3484" spans="1:5">
      <c r="A3484" s="11" t="s">
        <v>11647</v>
      </c>
      <c r="B3484">
        <v>8071062</v>
      </c>
      <c r="D3484" s="11" t="s">
        <v>1539</v>
      </c>
      <c r="E3484" s="11" t="s">
        <v>1539</v>
      </c>
    </row>
    <row r="3485" spans="1:5">
      <c r="A3485" s="11" t="s">
        <v>11648</v>
      </c>
      <c r="B3485">
        <v>8003208</v>
      </c>
      <c r="D3485" s="11" t="s">
        <v>11649</v>
      </c>
      <c r="E3485" s="11" t="s">
        <v>11650</v>
      </c>
    </row>
    <row r="3486" spans="1:5">
      <c r="A3486" s="11" t="s">
        <v>11651</v>
      </c>
      <c r="B3486">
        <v>8003209</v>
      </c>
      <c r="D3486" s="11" t="s">
        <v>11652</v>
      </c>
      <c r="E3486" s="11" t="s">
        <v>11653</v>
      </c>
    </row>
    <row r="3487" spans="1:5">
      <c r="A3487" s="11" t="s">
        <v>11654</v>
      </c>
      <c r="B3487">
        <v>8003211</v>
      </c>
      <c r="D3487" s="11" t="s">
        <v>11655</v>
      </c>
      <c r="E3487" s="11" t="s">
        <v>11656</v>
      </c>
    </row>
    <row r="3488" spans="1:5">
      <c r="A3488" s="11" t="s">
        <v>11657</v>
      </c>
      <c r="B3488">
        <v>8003212</v>
      </c>
      <c r="D3488" s="11" t="s">
        <v>11658</v>
      </c>
      <c r="E3488" s="11" t="s">
        <v>11659</v>
      </c>
    </row>
    <row r="3489" spans="1:5">
      <c r="A3489" s="11" t="s">
        <v>11660</v>
      </c>
      <c r="B3489">
        <v>8003213</v>
      </c>
      <c r="D3489" s="11" t="s">
        <v>11661</v>
      </c>
      <c r="E3489" s="11" t="s">
        <v>11662</v>
      </c>
    </row>
    <row r="3490" spans="1:5">
      <c r="A3490" s="11" t="s">
        <v>11663</v>
      </c>
      <c r="B3490">
        <v>8011999</v>
      </c>
      <c r="D3490" s="11" t="s">
        <v>11664</v>
      </c>
      <c r="E3490" s="11" t="s">
        <v>11665</v>
      </c>
    </row>
    <row r="3491" spans="1:5">
      <c r="A3491" s="11" t="s">
        <v>11666</v>
      </c>
      <c r="B3491">
        <v>8003214</v>
      </c>
      <c r="D3491" s="11" t="s">
        <v>11667</v>
      </c>
      <c r="E3491" s="11" t="s">
        <v>11668</v>
      </c>
    </row>
    <row r="3492" spans="1:5">
      <c r="A3492" s="11" t="s">
        <v>11669</v>
      </c>
      <c r="B3492">
        <v>8003215</v>
      </c>
      <c r="D3492" s="11" t="s">
        <v>11670</v>
      </c>
      <c r="E3492" s="11" t="s">
        <v>11671</v>
      </c>
    </row>
    <row r="3493" spans="1:5">
      <c r="A3493" s="11" t="s">
        <v>11672</v>
      </c>
      <c r="B3493">
        <v>8003216</v>
      </c>
      <c r="D3493" s="11" t="s">
        <v>11673</v>
      </c>
      <c r="E3493" s="11" t="s">
        <v>11674</v>
      </c>
    </row>
    <row r="3494" spans="1:5">
      <c r="A3494" s="11" t="s">
        <v>11675</v>
      </c>
      <c r="B3494">
        <v>8075963</v>
      </c>
      <c r="D3494" s="11" t="s">
        <v>1539</v>
      </c>
      <c r="E3494" s="11" t="s">
        <v>1539</v>
      </c>
    </row>
    <row r="3495" spans="1:5">
      <c r="A3495" s="11" t="s">
        <v>11676</v>
      </c>
      <c r="B3495">
        <v>8000194</v>
      </c>
      <c r="D3495" s="11" t="s">
        <v>11677</v>
      </c>
      <c r="E3495" s="11" t="s">
        <v>11678</v>
      </c>
    </row>
    <row r="3496" spans="1:5">
      <c r="A3496" s="11" t="s">
        <v>11679</v>
      </c>
      <c r="B3496">
        <v>8000195</v>
      </c>
      <c r="D3496" s="11" t="s">
        <v>11680</v>
      </c>
      <c r="E3496" s="11" t="s">
        <v>11681</v>
      </c>
    </row>
    <row r="3497" spans="1:5">
      <c r="A3497" s="11" t="s">
        <v>11682</v>
      </c>
      <c r="B3497">
        <v>8012000</v>
      </c>
      <c r="D3497" s="11" t="s">
        <v>11683</v>
      </c>
      <c r="E3497" s="11" t="s">
        <v>11684</v>
      </c>
    </row>
    <row r="3498" spans="1:5">
      <c r="A3498" s="11" t="s">
        <v>11685</v>
      </c>
      <c r="B3498">
        <v>8012002</v>
      </c>
      <c r="D3498" s="11" t="s">
        <v>11686</v>
      </c>
      <c r="E3498" s="11" t="s">
        <v>11687</v>
      </c>
    </row>
    <row r="3499" spans="1:5">
      <c r="A3499" s="11" t="s">
        <v>11688</v>
      </c>
      <c r="B3499">
        <v>8071256</v>
      </c>
      <c r="D3499" s="11" t="s">
        <v>11689</v>
      </c>
      <c r="E3499" s="11" t="s">
        <v>11690</v>
      </c>
    </row>
    <row r="3500" spans="1:5">
      <c r="A3500" s="11" t="s">
        <v>11691</v>
      </c>
      <c r="B3500">
        <v>8003218</v>
      </c>
      <c r="D3500" s="11" t="s">
        <v>11692</v>
      </c>
      <c r="E3500" s="11" t="s">
        <v>11693</v>
      </c>
    </row>
    <row r="3501" spans="1:5">
      <c r="A3501" s="11" t="s">
        <v>11694</v>
      </c>
      <c r="B3501">
        <v>8000008</v>
      </c>
      <c r="D3501" s="11" t="s">
        <v>1539</v>
      </c>
      <c r="E3501" s="11" t="s">
        <v>1539</v>
      </c>
    </row>
    <row r="3502" spans="1:5">
      <c r="A3502" s="11" t="s">
        <v>11695</v>
      </c>
      <c r="B3502">
        <v>8003220</v>
      </c>
      <c r="D3502" s="11" t="s">
        <v>11696</v>
      </c>
      <c r="E3502" s="11" t="s">
        <v>11697</v>
      </c>
    </row>
    <row r="3503" spans="1:5">
      <c r="A3503" s="11" t="s">
        <v>11698</v>
      </c>
      <c r="B3503">
        <v>8003222</v>
      </c>
      <c r="D3503" s="11" t="s">
        <v>11699</v>
      </c>
      <c r="E3503" s="11" t="s">
        <v>11700</v>
      </c>
    </row>
    <row r="3504" spans="1:5">
      <c r="A3504" s="11" t="s">
        <v>11701</v>
      </c>
      <c r="B3504">
        <v>8079216</v>
      </c>
      <c r="D3504" s="11" t="s">
        <v>11702</v>
      </c>
      <c r="E3504" s="11" t="s">
        <v>11703</v>
      </c>
    </row>
    <row r="3505" spans="1:5">
      <c r="A3505" s="11" t="s">
        <v>11704</v>
      </c>
      <c r="B3505">
        <v>8007161</v>
      </c>
      <c r="D3505" s="11" t="s">
        <v>11705</v>
      </c>
      <c r="E3505" s="11" t="s">
        <v>11706</v>
      </c>
    </row>
    <row r="3506" spans="1:5">
      <c r="A3506" s="11" t="s">
        <v>11707</v>
      </c>
      <c r="B3506">
        <v>8007162</v>
      </c>
      <c r="D3506" s="11" t="s">
        <v>11708</v>
      </c>
      <c r="E3506" s="11" t="s">
        <v>11709</v>
      </c>
    </row>
    <row r="3507" spans="1:5">
      <c r="A3507" s="11" t="s">
        <v>11710</v>
      </c>
      <c r="B3507">
        <v>8007160</v>
      </c>
      <c r="D3507" s="11" t="s">
        <v>11711</v>
      </c>
      <c r="E3507" s="11" t="s">
        <v>11712</v>
      </c>
    </row>
    <row r="3508" spans="1:5">
      <c r="A3508" s="11" t="s">
        <v>11713</v>
      </c>
      <c r="B3508">
        <v>8003227</v>
      </c>
      <c r="D3508" s="11" t="s">
        <v>11714</v>
      </c>
      <c r="E3508" s="11" t="s">
        <v>11715</v>
      </c>
    </row>
    <row r="3509" spans="1:5">
      <c r="A3509" s="11" t="s">
        <v>11716</v>
      </c>
      <c r="B3509">
        <v>8003228</v>
      </c>
      <c r="D3509" s="11" t="s">
        <v>11717</v>
      </c>
      <c r="E3509" s="11" t="s">
        <v>11718</v>
      </c>
    </row>
    <row r="3510" spans="1:5">
      <c r="A3510" s="11" t="s">
        <v>11719</v>
      </c>
      <c r="B3510">
        <v>8003229</v>
      </c>
      <c r="D3510" s="11" t="s">
        <v>11720</v>
      </c>
      <c r="E3510" s="11" t="s">
        <v>11721</v>
      </c>
    </row>
    <row r="3511" spans="1:5">
      <c r="A3511" s="11" t="s">
        <v>11722</v>
      </c>
      <c r="B3511">
        <v>8000409</v>
      </c>
      <c r="D3511" s="11" t="s">
        <v>11723</v>
      </c>
      <c r="E3511" s="11" t="s">
        <v>11724</v>
      </c>
    </row>
    <row r="3512" spans="1:5">
      <c r="A3512" s="11" t="s">
        <v>11725</v>
      </c>
      <c r="B3512">
        <v>8000197</v>
      </c>
      <c r="D3512" s="11" t="s">
        <v>11726</v>
      </c>
      <c r="E3512" s="11" t="s">
        <v>11727</v>
      </c>
    </row>
    <row r="3513" spans="1:5">
      <c r="A3513" s="11" t="s">
        <v>11728</v>
      </c>
      <c r="B3513">
        <v>8003230</v>
      </c>
      <c r="D3513" s="11" t="s">
        <v>11729</v>
      </c>
      <c r="E3513" s="11" t="s">
        <v>11730</v>
      </c>
    </row>
    <row r="3514" spans="1:5">
      <c r="A3514" s="11" t="s">
        <v>11731</v>
      </c>
      <c r="B3514">
        <v>8012004</v>
      </c>
      <c r="D3514" s="11" t="s">
        <v>11732</v>
      </c>
      <c r="E3514" s="11" t="s">
        <v>11733</v>
      </c>
    </row>
    <row r="3515" spans="1:5">
      <c r="A3515" s="11" t="s">
        <v>11734</v>
      </c>
      <c r="B3515">
        <v>8003232</v>
      </c>
      <c r="D3515" s="11" t="s">
        <v>11735</v>
      </c>
      <c r="E3515" s="11" t="s">
        <v>11736</v>
      </c>
    </row>
    <row r="3516" spans="1:5">
      <c r="A3516" s="11" t="s">
        <v>11737</v>
      </c>
      <c r="B3516">
        <v>8012005</v>
      </c>
      <c r="D3516" s="11" t="s">
        <v>11738</v>
      </c>
      <c r="E3516" s="11" t="s">
        <v>11739</v>
      </c>
    </row>
    <row r="3517" spans="1:5">
      <c r="A3517" s="11" t="s">
        <v>11740</v>
      </c>
      <c r="B3517">
        <v>8003233</v>
      </c>
      <c r="D3517" s="11" t="s">
        <v>11741</v>
      </c>
      <c r="E3517" s="11" t="s">
        <v>11742</v>
      </c>
    </row>
    <row r="3518" spans="1:5">
      <c r="A3518" s="11" t="s">
        <v>11743</v>
      </c>
      <c r="B3518">
        <v>8003235</v>
      </c>
      <c r="D3518" s="11" t="s">
        <v>11744</v>
      </c>
      <c r="E3518" s="11" t="s">
        <v>11745</v>
      </c>
    </row>
    <row r="3519" spans="1:5">
      <c r="A3519" s="11" t="s">
        <v>11746</v>
      </c>
      <c r="B3519">
        <v>8012006</v>
      </c>
      <c r="D3519" s="11" t="s">
        <v>11747</v>
      </c>
      <c r="E3519" s="11" t="s">
        <v>11748</v>
      </c>
    </row>
    <row r="3520" spans="1:5">
      <c r="A3520" s="11" t="s">
        <v>11749</v>
      </c>
      <c r="B3520">
        <v>8003238</v>
      </c>
      <c r="D3520" s="11" t="s">
        <v>11750</v>
      </c>
      <c r="E3520" s="11" t="s">
        <v>11751</v>
      </c>
    </row>
    <row r="3521" spans="1:5">
      <c r="A3521" s="11" t="s">
        <v>11752</v>
      </c>
      <c r="B3521">
        <v>8003241</v>
      </c>
      <c r="D3521" s="11" t="s">
        <v>11753</v>
      </c>
      <c r="E3521" s="11" t="s">
        <v>11754</v>
      </c>
    </row>
    <row r="3522" spans="1:5">
      <c r="A3522" s="11" t="s">
        <v>11755</v>
      </c>
      <c r="B3522">
        <v>8000198</v>
      </c>
      <c r="D3522" s="11" t="s">
        <v>11756</v>
      </c>
      <c r="E3522" s="11" t="s">
        <v>11757</v>
      </c>
    </row>
    <row r="3523" spans="1:5">
      <c r="A3523" s="11" t="s">
        <v>11758</v>
      </c>
      <c r="B3523">
        <v>8003245</v>
      </c>
      <c r="D3523" s="11" t="s">
        <v>11759</v>
      </c>
      <c r="E3523" s="11" t="s">
        <v>11760</v>
      </c>
    </row>
    <row r="3524" spans="1:5">
      <c r="A3524" s="11" t="s">
        <v>11761</v>
      </c>
      <c r="B3524">
        <v>8003247</v>
      </c>
      <c r="D3524" s="11" t="s">
        <v>11762</v>
      </c>
      <c r="E3524" s="11" t="s">
        <v>11763</v>
      </c>
    </row>
    <row r="3525" spans="1:5">
      <c r="A3525" s="11" t="s">
        <v>11764</v>
      </c>
      <c r="B3525">
        <v>8003248</v>
      </c>
      <c r="D3525" s="11" t="s">
        <v>11765</v>
      </c>
      <c r="E3525" s="11" t="s">
        <v>11766</v>
      </c>
    </row>
    <row r="3526" spans="1:5">
      <c r="A3526" s="11" t="s">
        <v>11767</v>
      </c>
      <c r="B3526">
        <v>8012007</v>
      </c>
      <c r="D3526" s="11" t="s">
        <v>11768</v>
      </c>
      <c r="E3526" s="11" t="s">
        <v>11769</v>
      </c>
    </row>
    <row r="3527" spans="1:5">
      <c r="A3527" s="11" t="s">
        <v>11770</v>
      </c>
      <c r="B3527">
        <v>8003249</v>
      </c>
      <c r="D3527" s="11" t="s">
        <v>11771</v>
      </c>
      <c r="E3527" s="11" t="s">
        <v>11772</v>
      </c>
    </row>
    <row r="3528" spans="1:5">
      <c r="A3528" s="11" t="s">
        <v>11773</v>
      </c>
      <c r="B3528">
        <v>8071985</v>
      </c>
      <c r="D3528" s="11" t="s">
        <v>11774</v>
      </c>
      <c r="E3528" s="11" t="s">
        <v>11775</v>
      </c>
    </row>
    <row r="3529" spans="1:5">
      <c r="A3529" s="11" t="s">
        <v>11776</v>
      </c>
      <c r="B3529">
        <v>8000199</v>
      </c>
      <c r="D3529" s="11" t="s">
        <v>11777</v>
      </c>
      <c r="E3529" s="11" t="s">
        <v>11778</v>
      </c>
    </row>
    <row r="3530" spans="1:5">
      <c r="A3530" s="11" t="s">
        <v>11779</v>
      </c>
      <c r="B3530">
        <v>8003251</v>
      </c>
      <c r="D3530" s="11" t="s">
        <v>11780</v>
      </c>
      <c r="E3530" s="11" t="s">
        <v>11781</v>
      </c>
    </row>
    <row r="3531" spans="1:5">
      <c r="A3531" s="11" t="s">
        <v>11782</v>
      </c>
      <c r="B3531">
        <v>8070840</v>
      </c>
      <c r="D3531" s="11" t="s">
        <v>11783</v>
      </c>
      <c r="E3531" s="11" t="s">
        <v>11784</v>
      </c>
    </row>
    <row r="3532" spans="1:5">
      <c r="A3532" s="11" t="s">
        <v>11785</v>
      </c>
      <c r="B3532">
        <v>8003259</v>
      </c>
      <c r="D3532" s="11" t="s">
        <v>11786</v>
      </c>
      <c r="E3532" s="11" t="s">
        <v>11787</v>
      </c>
    </row>
    <row r="3533" spans="1:5">
      <c r="A3533" s="11" t="s">
        <v>11788</v>
      </c>
      <c r="B3533">
        <v>8003477</v>
      </c>
      <c r="D3533" s="11" t="s">
        <v>11789</v>
      </c>
      <c r="E3533" s="11" t="s">
        <v>11790</v>
      </c>
    </row>
    <row r="3534" spans="1:5">
      <c r="A3534" s="11" t="s">
        <v>11791</v>
      </c>
      <c r="B3534">
        <v>8003474</v>
      </c>
      <c r="D3534" s="11" t="s">
        <v>11792</v>
      </c>
      <c r="E3534" s="11" t="s">
        <v>11793</v>
      </c>
    </row>
    <row r="3535" spans="1:5">
      <c r="A3535" s="11" t="s">
        <v>11794</v>
      </c>
      <c r="B3535">
        <v>8003260</v>
      </c>
      <c r="D3535" s="11" t="s">
        <v>11795</v>
      </c>
      <c r="E3535" s="11" t="s">
        <v>11796</v>
      </c>
    </row>
    <row r="3536" spans="1:5">
      <c r="A3536" s="11" t="s">
        <v>11797</v>
      </c>
      <c r="B3536">
        <v>8003253</v>
      </c>
      <c r="D3536" s="11" t="s">
        <v>11798</v>
      </c>
      <c r="E3536" s="11" t="s">
        <v>11799</v>
      </c>
    </row>
    <row r="3537" spans="1:5">
      <c r="A3537" s="11" t="s">
        <v>11800</v>
      </c>
      <c r="B3537">
        <v>8003297</v>
      </c>
      <c r="D3537" s="11" t="s">
        <v>11801</v>
      </c>
      <c r="E3537" s="11" t="s">
        <v>11802</v>
      </c>
    </row>
    <row r="3538" spans="1:5">
      <c r="A3538" s="11" t="s">
        <v>458</v>
      </c>
      <c r="B3538">
        <v>8007224</v>
      </c>
      <c r="D3538" s="11" t="s">
        <v>460</v>
      </c>
      <c r="E3538" s="11" t="s">
        <v>461</v>
      </c>
    </row>
    <row r="3539" spans="1:5">
      <c r="A3539" s="11" t="s">
        <v>11803</v>
      </c>
      <c r="B3539">
        <v>8003256</v>
      </c>
      <c r="D3539" s="11" t="s">
        <v>11804</v>
      </c>
      <c r="E3539" s="11" t="s">
        <v>11805</v>
      </c>
    </row>
    <row r="3540" spans="1:5">
      <c r="A3540" s="11" t="s">
        <v>11806</v>
      </c>
      <c r="B3540">
        <v>8003257</v>
      </c>
      <c r="D3540" s="11" t="s">
        <v>11807</v>
      </c>
      <c r="E3540" s="11" t="s">
        <v>11808</v>
      </c>
    </row>
    <row r="3541" spans="1:5">
      <c r="A3541" s="11" t="s">
        <v>11809</v>
      </c>
      <c r="B3541">
        <v>8003262</v>
      </c>
      <c r="D3541" s="11" t="s">
        <v>11810</v>
      </c>
      <c r="E3541" s="11" t="s">
        <v>11811</v>
      </c>
    </row>
    <row r="3542" spans="1:5">
      <c r="A3542" s="11" t="s">
        <v>11812</v>
      </c>
      <c r="B3542">
        <v>8003263</v>
      </c>
      <c r="D3542" s="11" t="s">
        <v>11813</v>
      </c>
      <c r="E3542" s="11" t="s">
        <v>11814</v>
      </c>
    </row>
    <row r="3543" spans="1:5">
      <c r="A3543" s="11" t="s">
        <v>11815</v>
      </c>
      <c r="B3543">
        <v>8003266</v>
      </c>
      <c r="D3543" s="11" t="s">
        <v>11816</v>
      </c>
      <c r="E3543" s="11" t="s">
        <v>11817</v>
      </c>
    </row>
    <row r="3544" spans="1:5">
      <c r="A3544" s="11" t="s">
        <v>11818</v>
      </c>
      <c r="B3544">
        <v>8003267</v>
      </c>
      <c r="D3544" s="11" t="s">
        <v>11819</v>
      </c>
      <c r="E3544" s="11" t="s">
        <v>11820</v>
      </c>
    </row>
    <row r="3545" spans="1:5">
      <c r="A3545" s="11" t="s">
        <v>11821</v>
      </c>
      <c r="B3545">
        <v>8003268</v>
      </c>
      <c r="D3545" s="11" t="s">
        <v>11822</v>
      </c>
      <c r="E3545" s="11" t="s">
        <v>11823</v>
      </c>
    </row>
    <row r="3546" spans="1:5">
      <c r="A3546" s="11" t="s">
        <v>11824</v>
      </c>
      <c r="B3546">
        <v>8071080</v>
      </c>
      <c r="D3546" s="11" t="s">
        <v>11825</v>
      </c>
      <c r="E3546" s="11" t="s">
        <v>11826</v>
      </c>
    </row>
    <row r="3547" spans="1:5">
      <c r="A3547" s="11" t="s">
        <v>11827</v>
      </c>
      <c r="B3547">
        <v>8000427</v>
      </c>
      <c r="D3547" s="11" t="s">
        <v>11828</v>
      </c>
      <c r="E3547" s="11" t="s">
        <v>11829</v>
      </c>
    </row>
    <row r="3548" spans="1:5">
      <c r="A3548" s="11" t="s">
        <v>11830</v>
      </c>
      <c r="B3548">
        <v>8000201</v>
      </c>
      <c r="D3548" s="11" t="s">
        <v>11831</v>
      </c>
      <c r="E3548" s="11" t="s">
        <v>11832</v>
      </c>
    </row>
    <row r="3549" spans="1:5">
      <c r="A3549" s="11" t="s">
        <v>11833</v>
      </c>
      <c r="B3549">
        <v>8003270</v>
      </c>
      <c r="D3549" s="11" t="s">
        <v>11834</v>
      </c>
      <c r="E3549" s="11" t="s">
        <v>11835</v>
      </c>
    </row>
    <row r="3550" spans="1:5">
      <c r="A3550" s="11" t="s">
        <v>11836</v>
      </c>
      <c r="B3550">
        <v>8003272</v>
      </c>
      <c r="D3550" s="11" t="s">
        <v>11837</v>
      </c>
      <c r="E3550" s="11" t="s">
        <v>11838</v>
      </c>
    </row>
    <row r="3551" spans="1:5">
      <c r="A3551" s="11" t="s">
        <v>11839</v>
      </c>
      <c r="B3551">
        <v>8000435</v>
      </c>
      <c r="D3551" s="11" t="s">
        <v>11840</v>
      </c>
      <c r="E3551" s="11" t="s">
        <v>11841</v>
      </c>
    </row>
    <row r="3552" spans="1:5">
      <c r="A3552" s="11" t="s">
        <v>11842</v>
      </c>
      <c r="B3552">
        <v>8003276</v>
      </c>
      <c r="D3552" s="11" t="s">
        <v>11843</v>
      </c>
      <c r="E3552" s="11" t="s">
        <v>11844</v>
      </c>
    </row>
    <row r="3553" spans="1:5">
      <c r="A3553" s="11" t="s">
        <v>11845</v>
      </c>
      <c r="B3553">
        <v>8003278</v>
      </c>
      <c r="D3553" s="11" t="s">
        <v>11846</v>
      </c>
      <c r="E3553" s="11" t="s">
        <v>11847</v>
      </c>
    </row>
    <row r="3554" spans="1:5">
      <c r="A3554" s="11" t="s">
        <v>11848</v>
      </c>
      <c r="B3554">
        <v>8003280</v>
      </c>
      <c r="D3554" s="11" t="s">
        <v>11849</v>
      </c>
      <c r="E3554" s="11" t="s">
        <v>11850</v>
      </c>
    </row>
    <row r="3555" spans="1:5">
      <c r="A3555" s="11" t="s">
        <v>11851</v>
      </c>
      <c r="B3555">
        <v>8003282</v>
      </c>
      <c r="D3555" s="11" t="s">
        <v>11852</v>
      </c>
      <c r="E3555" s="11" t="s">
        <v>11853</v>
      </c>
    </row>
    <row r="3556" spans="1:5">
      <c r="A3556" s="11" t="s">
        <v>11854</v>
      </c>
      <c r="B3556">
        <v>8003283</v>
      </c>
      <c r="D3556" s="11" t="s">
        <v>11855</v>
      </c>
      <c r="E3556" s="11" t="s">
        <v>11856</v>
      </c>
    </row>
    <row r="3557" spans="1:5">
      <c r="A3557" s="11" t="s">
        <v>11857</v>
      </c>
      <c r="B3557">
        <v>8003284</v>
      </c>
      <c r="D3557" s="11" t="s">
        <v>11858</v>
      </c>
      <c r="E3557" s="11" t="s">
        <v>11859</v>
      </c>
    </row>
    <row r="3558" spans="1:5">
      <c r="A3558" s="11" t="s">
        <v>11860</v>
      </c>
      <c r="B3558">
        <v>8003285</v>
      </c>
      <c r="D3558" s="11" t="s">
        <v>11861</v>
      </c>
      <c r="E3558" s="11" t="s">
        <v>11862</v>
      </c>
    </row>
    <row r="3559" spans="1:5">
      <c r="A3559" s="11" t="s">
        <v>11863</v>
      </c>
      <c r="B3559">
        <v>8000652</v>
      </c>
      <c r="D3559" s="11" t="s">
        <v>11864</v>
      </c>
      <c r="E3559" s="11" t="s">
        <v>11865</v>
      </c>
    </row>
    <row r="3560" spans="1:5">
      <c r="A3560" s="11" t="s">
        <v>11866</v>
      </c>
      <c r="B3560">
        <v>8003286</v>
      </c>
      <c r="D3560" s="11" t="s">
        <v>11867</v>
      </c>
      <c r="E3560" s="11" t="s">
        <v>11868</v>
      </c>
    </row>
    <row r="3561" spans="1:5">
      <c r="A3561" s="11" t="s">
        <v>11869</v>
      </c>
      <c r="B3561">
        <v>8003287</v>
      </c>
      <c r="D3561" s="11" t="s">
        <v>11870</v>
      </c>
      <c r="E3561" s="11" t="s">
        <v>11871</v>
      </c>
    </row>
    <row r="3562" spans="1:5">
      <c r="A3562" s="11" t="s">
        <v>11872</v>
      </c>
      <c r="B3562">
        <v>8012009</v>
      </c>
      <c r="D3562" s="11" t="s">
        <v>11873</v>
      </c>
      <c r="E3562" s="11" t="s">
        <v>11874</v>
      </c>
    </row>
    <row r="3563" spans="1:5">
      <c r="A3563" s="11" t="s">
        <v>11875</v>
      </c>
      <c r="B3563">
        <v>8003288</v>
      </c>
      <c r="D3563" s="11" t="s">
        <v>11876</v>
      </c>
      <c r="E3563" s="11" t="s">
        <v>11877</v>
      </c>
    </row>
    <row r="3564" spans="1:5">
      <c r="A3564" s="11" t="s">
        <v>11878</v>
      </c>
      <c r="B3564">
        <v>8012011</v>
      </c>
      <c r="D3564" s="11" t="s">
        <v>11879</v>
      </c>
      <c r="E3564" s="11" t="s">
        <v>11880</v>
      </c>
    </row>
    <row r="3565" spans="1:5">
      <c r="A3565" s="11" t="s">
        <v>11881</v>
      </c>
      <c r="B3565">
        <v>8012012</v>
      </c>
      <c r="D3565" s="11" t="s">
        <v>11882</v>
      </c>
      <c r="E3565" s="11" t="s">
        <v>11883</v>
      </c>
    </row>
    <row r="3566" spans="1:5">
      <c r="A3566" s="11" t="s">
        <v>11884</v>
      </c>
      <c r="B3566">
        <v>8070454</v>
      </c>
      <c r="D3566" s="11" t="s">
        <v>11885</v>
      </c>
      <c r="E3566" s="11" t="s">
        <v>11886</v>
      </c>
    </row>
    <row r="3567" spans="1:5">
      <c r="A3567" s="11" t="s">
        <v>11887</v>
      </c>
      <c r="B3567">
        <v>8003290</v>
      </c>
      <c r="D3567" s="11" t="s">
        <v>11888</v>
      </c>
      <c r="E3567" s="11" t="s">
        <v>11889</v>
      </c>
    </row>
    <row r="3568" spans="1:5">
      <c r="A3568" s="11" t="s">
        <v>11890</v>
      </c>
      <c r="B3568">
        <v>8084066</v>
      </c>
      <c r="D3568" s="11" t="s">
        <v>11891</v>
      </c>
      <c r="E3568" s="11" t="s">
        <v>11892</v>
      </c>
    </row>
    <row r="3569" spans="1:5">
      <c r="A3569" s="11" t="s">
        <v>11893</v>
      </c>
      <c r="B3569">
        <v>8003292</v>
      </c>
      <c r="D3569" s="11" t="s">
        <v>11894</v>
      </c>
      <c r="E3569" s="11" t="s">
        <v>11895</v>
      </c>
    </row>
    <row r="3570" spans="1:5">
      <c r="A3570" s="11" t="s">
        <v>11896</v>
      </c>
      <c r="B3570">
        <v>8003293</v>
      </c>
      <c r="D3570" s="11" t="s">
        <v>11897</v>
      </c>
      <c r="E3570" s="11" t="s">
        <v>11898</v>
      </c>
    </row>
    <row r="3571" spans="1:5">
      <c r="A3571" s="11" t="s">
        <v>11899</v>
      </c>
      <c r="B3571">
        <v>8003294</v>
      </c>
      <c r="D3571" s="11" t="s">
        <v>11900</v>
      </c>
      <c r="E3571" s="11" t="s">
        <v>11901</v>
      </c>
    </row>
    <row r="3572" spans="1:5">
      <c r="A3572" s="11" t="s">
        <v>11902</v>
      </c>
      <c r="B3572">
        <v>8003295</v>
      </c>
      <c r="D3572" s="11" t="s">
        <v>11903</v>
      </c>
      <c r="E3572" s="11" t="s">
        <v>11904</v>
      </c>
    </row>
    <row r="3573" spans="1:5">
      <c r="A3573" s="11" t="s">
        <v>11905</v>
      </c>
      <c r="B3573">
        <v>8007104</v>
      </c>
      <c r="D3573" s="11" t="s">
        <v>11906</v>
      </c>
      <c r="E3573" s="11" t="s">
        <v>11907</v>
      </c>
    </row>
    <row r="3574" spans="1:5">
      <c r="A3574" s="11" t="s">
        <v>11908</v>
      </c>
      <c r="B3574">
        <v>8003298</v>
      </c>
      <c r="D3574" s="11" t="s">
        <v>11909</v>
      </c>
      <c r="E3574" s="11" t="s">
        <v>11910</v>
      </c>
    </row>
    <row r="3575" spans="1:5">
      <c r="A3575" s="11" t="s">
        <v>11911</v>
      </c>
      <c r="B3575">
        <v>8003289</v>
      </c>
      <c r="D3575" s="11" t="s">
        <v>11912</v>
      </c>
      <c r="E3575" s="11" t="s">
        <v>11913</v>
      </c>
    </row>
    <row r="3576" spans="1:5">
      <c r="A3576" s="11" t="s">
        <v>11914</v>
      </c>
      <c r="B3576">
        <v>8003299</v>
      </c>
      <c r="D3576" s="11" t="s">
        <v>11915</v>
      </c>
      <c r="E3576" s="11" t="s">
        <v>11916</v>
      </c>
    </row>
    <row r="3577" spans="1:5">
      <c r="A3577" s="11" t="s">
        <v>11917</v>
      </c>
      <c r="B3577">
        <v>8000203</v>
      </c>
      <c r="D3577" s="11" t="s">
        <v>11918</v>
      </c>
      <c r="E3577" s="11" t="s">
        <v>11919</v>
      </c>
    </row>
    <row r="3578" spans="1:5">
      <c r="A3578" s="11" t="s">
        <v>11920</v>
      </c>
      <c r="B3578">
        <v>8000479</v>
      </c>
      <c r="D3578" s="11" t="s">
        <v>11921</v>
      </c>
      <c r="E3578" s="11" t="s">
        <v>11922</v>
      </c>
    </row>
    <row r="3579" spans="1:5">
      <c r="A3579" s="11" t="s">
        <v>11923</v>
      </c>
      <c r="B3579">
        <v>8012014</v>
      </c>
      <c r="D3579" s="11" t="s">
        <v>11924</v>
      </c>
      <c r="E3579" s="11" t="s">
        <v>11925</v>
      </c>
    </row>
    <row r="3580" spans="1:5">
      <c r="A3580" s="11" t="s">
        <v>11926</v>
      </c>
      <c r="B3580">
        <v>8017421</v>
      </c>
      <c r="D3580" s="11" t="s">
        <v>11927</v>
      </c>
      <c r="E3580" s="11" t="s">
        <v>11928</v>
      </c>
    </row>
    <row r="3581" spans="1:5">
      <c r="A3581" s="11" t="s">
        <v>11929</v>
      </c>
      <c r="B3581">
        <v>8003302</v>
      </c>
      <c r="D3581" s="11" t="s">
        <v>11930</v>
      </c>
      <c r="E3581" s="11" t="s">
        <v>11931</v>
      </c>
    </row>
    <row r="3582" spans="1:5">
      <c r="A3582" s="11" t="s">
        <v>11932</v>
      </c>
      <c r="B3582">
        <v>8012015</v>
      </c>
      <c r="D3582" s="11" t="s">
        <v>11933</v>
      </c>
      <c r="E3582" s="11" t="s">
        <v>11934</v>
      </c>
    </row>
    <row r="3583" spans="1:5">
      <c r="A3583" s="11" t="s">
        <v>11935</v>
      </c>
      <c r="B3583">
        <v>8003303</v>
      </c>
      <c r="D3583" s="11" t="s">
        <v>11936</v>
      </c>
      <c r="E3583" s="11" t="s">
        <v>11937</v>
      </c>
    </row>
    <row r="3584" spans="1:5">
      <c r="A3584" s="11" t="s">
        <v>11938</v>
      </c>
      <c r="B3584">
        <v>8012016</v>
      </c>
      <c r="D3584" s="11" t="s">
        <v>11939</v>
      </c>
      <c r="E3584" s="11" t="s">
        <v>11940</v>
      </c>
    </row>
    <row r="3585" spans="1:5">
      <c r="A3585" s="11" t="s">
        <v>11941</v>
      </c>
      <c r="B3585">
        <v>8003309</v>
      </c>
      <c r="D3585" s="11" t="s">
        <v>11942</v>
      </c>
      <c r="E3585" s="11" t="s">
        <v>11943</v>
      </c>
    </row>
    <row r="3586" spans="1:5">
      <c r="A3586" s="11" t="s">
        <v>11944</v>
      </c>
      <c r="B3586">
        <v>8070781</v>
      </c>
      <c r="D3586" s="11" t="s">
        <v>11945</v>
      </c>
      <c r="E3586" s="11" t="s">
        <v>11946</v>
      </c>
    </row>
    <row r="3587" spans="1:5">
      <c r="A3587" s="11" t="s">
        <v>11947</v>
      </c>
      <c r="B3587">
        <v>8012020</v>
      </c>
      <c r="D3587" s="11" t="s">
        <v>11948</v>
      </c>
      <c r="E3587" s="11" t="s">
        <v>11949</v>
      </c>
    </row>
    <row r="3588" spans="1:5">
      <c r="A3588" s="11" t="s">
        <v>11950</v>
      </c>
      <c r="B3588">
        <v>8012021</v>
      </c>
      <c r="D3588" s="11" t="s">
        <v>11951</v>
      </c>
      <c r="E3588" s="11" t="s">
        <v>11952</v>
      </c>
    </row>
    <row r="3589" spans="1:5">
      <c r="A3589" s="11" t="s">
        <v>11953</v>
      </c>
      <c r="B3589">
        <v>8003313</v>
      </c>
      <c r="D3589" s="11" t="s">
        <v>11954</v>
      </c>
      <c r="E3589" s="11" t="s">
        <v>11955</v>
      </c>
    </row>
    <row r="3590" spans="1:5">
      <c r="A3590" s="11" t="s">
        <v>11956</v>
      </c>
      <c r="B3590">
        <v>8003316</v>
      </c>
      <c r="D3590" s="11" t="s">
        <v>11957</v>
      </c>
      <c r="E3590" s="11" t="s">
        <v>11958</v>
      </c>
    </row>
    <row r="3591" spans="1:5">
      <c r="A3591" s="11" t="s">
        <v>11959</v>
      </c>
      <c r="B3591">
        <v>8003317</v>
      </c>
      <c r="D3591" s="11" t="s">
        <v>11960</v>
      </c>
      <c r="E3591" s="11" t="s">
        <v>11961</v>
      </c>
    </row>
    <row r="3592" spans="1:5">
      <c r="A3592" s="11" t="s">
        <v>11962</v>
      </c>
      <c r="B3592">
        <v>8003318</v>
      </c>
      <c r="D3592" s="11" t="s">
        <v>11963</v>
      </c>
      <c r="E3592" s="11" t="s">
        <v>11964</v>
      </c>
    </row>
    <row r="3593" spans="1:5">
      <c r="A3593" s="11" t="s">
        <v>11965</v>
      </c>
      <c r="B3593">
        <v>8003321</v>
      </c>
      <c r="D3593" s="11" t="s">
        <v>11966</v>
      </c>
      <c r="E3593" s="11" t="s">
        <v>11967</v>
      </c>
    </row>
    <row r="3594" spans="1:5">
      <c r="A3594" s="11" t="s">
        <v>11968</v>
      </c>
      <c r="B3594">
        <v>8003323</v>
      </c>
      <c r="D3594" s="11" t="s">
        <v>11969</v>
      </c>
      <c r="E3594" s="11" t="s">
        <v>11970</v>
      </c>
    </row>
    <row r="3595" spans="1:5">
      <c r="A3595" s="11" t="s">
        <v>11971</v>
      </c>
      <c r="B3595">
        <v>8012033</v>
      </c>
      <c r="D3595" s="11" t="s">
        <v>11972</v>
      </c>
      <c r="E3595" s="11" t="s">
        <v>11973</v>
      </c>
    </row>
    <row r="3596" spans="1:5">
      <c r="A3596" s="11" t="s">
        <v>11974</v>
      </c>
      <c r="B3596">
        <v>8003329</v>
      </c>
      <c r="D3596" s="11" t="s">
        <v>11975</v>
      </c>
      <c r="E3596" s="11" t="s">
        <v>11976</v>
      </c>
    </row>
    <row r="3597" spans="1:5">
      <c r="A3597" s="11" t="s">
        <v>11977</v>
      </c>
      <c r="B3597">
        <v>8003324</v>
      </c>
      <c r="D3597" s="11" t="s">
        <v>11978</v>
      </c>
      <c r="E3597" s="11" t="s">
        <v>11979</v>
      </c>
    </row>
    <row r="3598" spans="1:5">
      <c r="A3598" s="11" t="s">
        <v>11980</v>
      </c>
      <c r="B3598">
        <v>8012034</v>
      </c>
      <c r="D3598" s="11" t="s">
        <v>11981</v>
      </c>
      <c r="E3598" s="11" t="s">
        <v>11982</v>
      </c>
    </row>
    <row r="3599" spans="1:5">
      <c r="A3599" s="11" t="s">
        <v>11983</v>
      </c>
      <c r="B3599">
        <v>8003325</v>
      </c>
      <c r="D3599" s="11" t="s">
        <v>11984</v>
      </c>
      <c r="E3599" s="11" t="s">
        <v>11985</v>
      </c>
    </row>
    <row r="3600" spans="1:5">
      <c r="A3600" s="11" t="s">
        <v>11986</v>
      </c>
      <c r="B3600">
        <v>8003326</v>
      </c>
      <c r="D3600" s="11" t="s">
        <v>11987</v>
      </c>
      <c r="E3600" s="11" t="s">
        <v>11988</v>
      </c>
    </row>
    <row r="3601" spans="1:5">
      <c r="A3601" s="11" t="s">
        <v>11989</v>
      </c>
      <c r="B3601">
        <v>8003314</v>
      </c>
      <c r="D3601" s="11" t="s">
        <v>11990</v>
      </c>
      <c r="E3601" s="11" t="s">
        <v>11991</v>
      </c>
    </row>
    <row r="3602" spans="1:5">
      <c r="A3602" s="11" t="s">
        <v>11992</v>
      </c>
      <c r="B3602">
        <v>8012036</v>
      </c>
      <c r="D3602" s="11" t="s">
        <v>11993</v>
      </c>
      <c r="E3602" s="11" t="s">
        <v>11994</v>
      </c>
    </row>
    <row r="3603" spans="1:5">
      <c r="A3603" s="11" t="s">
        <v>11995</v>
      </c>
      <c r="B3603">
        <v>8012037</v>
      </c>
      <c r="D3603" s="11" t="s">
        <v>11996</v>
      </c>
      <c r="E3603" s="11" t="s">
        <v>11997</v>
      </c>
    </row>
    <row r="3604" spans="1:5">
      <c r="A3604" s="11" t="s">
        <v>11998</v>
      </c>
      <c r="B3604">
        <v>8003331</v>
      </c>
      <c r="D3604" s="11" t="s">
        <v>11999</v>
      </c>
      <c r="E3604" s="11" t="s">
        <v>12000</v>
      </c>
    </row>
    <row r="3605" spans="1:5">
      <c r="A3605" s="11" t="s">
        <v>12001</v>
      </c>
      <c r="B3605">
        <v>8003334</v>
      </c>
      <c r="D3605" s="11" t="s">
        <v>12002</v>
      </c>
      <c r="E3605" s="11" t="s">
        <v>12003</v>
      </c>
    </row>
    <row r="3606" spans="1:5">
      <c r="A3606" s="11" t="s">
        <v>12004</v>
      </c>
      <c r="B3606">
        <v>8000205</v>
      </c>
      <c r="D3606" s="11" t="s">
        <v>12005</v>
      </c>
      <c r="E3606" s="11" t="s">
        <v>12006</v>
      </c>
    </row>
    <row r="3607" spans="1:5">
      <c r="A3607" s="11" t="s">
        <v>12007</v>
      </c>
      <c r="B3607">
        <v>8012040</v>
      </c>
      <c r="D3607" s="11" t="s">
        <v>12008</v>
      </c>
      <c r="E3607" s="11" t="s">
        <v>12009</v>
      </c>
    </row>
    <row r="3608" spans="1:5">
      <c r="A3608" s="11" t="s">
        <v>12010</v>
      </c>
      <c r="B3608">
        <v>8012043</v>
      </c>
      <c r="D3608" s="11" t="s">
        <v>12011</v>
      </c>
      <c r="E3608" s="11" t="s">
        <v>12012</v>
      </c>
    </row>
    <row r="3609" spans="1:5">
      <c r="A3609" s="11" t="s">
        <v>378</v>
      </c>
      <c r="B3609">
        <v>8003337</v>
      </c>
      <c r="D3609" s="11" t="s">
        <v>380</v>
      </c>
      <c r="E3609" s="11" t="s">
        <v>381</v>
      </c>
    </row>
    <row r="3610" spans="1:5">
      <c r="A3610" s="11" t="s">
        <v>12013</v>
      </c>
      <c r="B3610">
        <v>8012044</v>
      </c>
      <c r="D3610" s="11" t="s">
        <v>12014</v>
      </c>
      <c r="E3610" s="11" t="s">
        <v>12015</v>
      </c>
    </row>
    <row r="3611" spans="1:5">
      <c r="A3611" s="11" t="s">
        <v>12016</v>
      </c>
      <c r="B3611">
        <v>8003338</v>
      </c>
      <c r="D3611" s="11" t="s">
        <v>12017</v>
      </c>
      <c r="E3611" s="11" t="s">
        <v>12018</v>
      </c>
    </row>
    <row r="3612" spans="1:5">
      <c r="A3612" s="11" t="s">
        <v>12019</v>
      </c>
      <c r="B3612">
        <v>8012045</v>
      </c>
      <c r="D3612" s="11" t="s">
        <v>12020</v>
      </c>
      <c r="E3612" s="11" t="s">
        <v>12021</v>
      </c>
    </row>
    <row r="3613" spans="1:5">
      <c r="A3613" s="11" t="s">
        <v>12022</v>
      </c>
      <c r="B3613">
        <v>8007893</v>
      </c>
      <c r="D3613" s="11" t="s">
        <v>12023</v>
      </c>
      <c r="E3613" s="11" t="s">
        <v>12024</v>
      </c>
    </row>
    <row r="3614" spans="1:5">
      <c r="A3614" s="11" t="s">
        <v>12025</v>
      </c>
      <c r="B3614">
        <v>8012046</v>
      </c>
      <c r="D3614" s="11" t="s">
        <v>12026</v>
      </c>
      <c r="E3614" s="11" t="s">
        <v>12027</v>
      </c>
    </row>
    <row r="3615" spans="1:5">
      <c r="A3615" s="11" t="s">
        <v>12028</v>
      </c>
      <c r="B3615">
        <v>8012047</v>
      </c>
      <c r="D3615" s="11" t="s">
        <v>12029</v>
      </c>
      <c r="E3615" s="11" t="s">
        <v>12030</v>
      </c>
    </row>
    <row r="3616" spans="1:5">
      <c r="A3616" s="11" t="s">
        <v>12031</v>
      </c>
      <c r="B3616">
        <v>8071044</v>
      </c>
      <c r="D3616" s="11" t="s">
        <v>12032</v>
      </c>
      <c r="E3616" s="11" t="s">
        <v>12033</v>
      </c>
    </row>
    <row r="3617" spans="1:5">
      <c r="A3617" s="11" t="s">
        <v>12034</v>
      </c>
      <c r="B3617">
        <v>8012049</v>
      </c>
      <c r="D3617" s="11" t="s">
        <v>12035</v>
      </c>
      <c r="E3617" s="11" t="s">
        <v>12036</v>
      </c>
    </row>
    <row r="3618" spans="1:5">
      <c r="A3618" s="11" t="s">
        <v>12037</v>
      </c>
      <c r="B3618">
        <v>8001193</v>
      </c>
      <c r="D3618" s="11" t="s">
        <v>12038</v>
      </c>
      <c r="E3618" s="11" t="s">
        <v>12039</v>
      </c>
    </row>
    <row r="3619" spans="1:5">
      <c r="A3619" s="11" t="s">
        <v>12040</v>
      </c>
      <c r="B3619">
        <v>8003340</v>
      </c>
      <c r="D3619" s="11" t="s">
        <v>12041</v>
      </c>
      <c r="E3619" s="11" t="s">
        <v>12042</v>
      </c>
    </row>
    <row r="3620" spans="1:5">
      <c r="A3620" s="11" t="s">
        <v>12043</v>
      </c>
      <c r="B3620">
        <v>8004627</v>
      </c>
      <c r="D3620" s="11" t="s">
        <v>12044</v>
      </c>
      <c r="E3620" s="11" t="s">
        <v>12045</v>
      </c>
    </row>
    <row r="3621" spans="1:5">
      <c r="A3621" s="11" t="s">
        <v>12046</v>
      </c>
      <c r="B3621">
        <v>8080810</v>
      </c>
      <c r="D3621" s="11" t="s">
        <v>12047</v>
      </c>
      <c r="E3621" s="11" t="s">
        <v>12048</v>
      </c>
    </row>
    <row r="3622" spans="1:5">
      <c r="A3622" s="11" t="s">
        <v>12049</v>
      </c>
      <c r="B3622">
        <v>8012053</v>
      </c>
      <c r="D3622" s="11" t="s">
        <v>12050</v>
      </c>
      <c r="E3622" s="11" t="s">
        <v>12051</v>
      </c>
    </row>
    <row r="3623" spans="1:5">
      <c r="A3623" s="11" t="s">
        <v>12052</v>
      </c>
      <c r="B3623">
        <v>8070775</v>
      </c>
      <c r="D3623" s="11" t="s">
        <v>12053</v>
      </c>
      <c r="E3623" s="11" t="s">
        <v>12054</v>
      </c>
    </row>
    <row r="3624" spans="1:5">
      <c r="A3624" s="11" t="s">
        <v>12055</v>
      </c>
      <c r="B3624">
        <v>8072053</v>
      </c>
      <c r="D3624" s="11" t="s">
        <v>12056</v>
      </c>
      <c r="E3624" s="11" t="s">
        <v>12057</v>
      </c>
    </row>
    <row r="3625" spans="1:5">
      <c r="A3625" s="11" t="s">
        <v>12058</v>
      </c>
      <c r="B3625">
        <v>8012054</v>
      </c>
      <c r="D3625" s="11" t="s">
        <v>12059</v>
      </c>
      <c r="E3625" s="11" t="s">
        <v>12060</v>
      </c>
    </row>
    <row r="3626" spans="1:5">
      <c r="A3626" s="11" t="s">
        <v>12061</v>
      </c>
      <c r="B3626">
        <v>8003342</v>
      </c>
      <c r="D3626" s="11" t="s">
        <v>12062</v>
      </c>
      <c r="E3626" s="11" t="s">
        <v>12063</v>
      </c>
    </row>
    <row r="3627" spans="1:5">
      <c r="A3627" s="11" t="s">
        <v>12064</v>
      </c>
      <c r="B3627">
        <v>8010191</v>
      </c>
      <c r="D3627" s="11" t="s">
        <v>12065</v>
      </c>
      <c r="E3627" s="11" t="s">
        <v>12066</v>
      </c>
    </row>
    <row r="3628" spans="1:5">
      <c r="A3628" s="11" t="s">
        <v>12067</v>
      </c>
      <c r="B3628">
        <v>8010204</v>
      </c>
      <c r="D3628" s="11" t="s">
        <v>12068</v>
      </c>
      <c r="E3628" s="11" t="s">
        <v>12069</v>
      </c>
    </row>
    <row r="3629" spans="1:5">
      <c r="A3629" s="11" t="s">
        <v>12070</v>
      </c>
      <c r="B3629">
        <v>8003343</v>
      </c>
      <c r="D3629" s="11" t="s">
        <v>12071</v>
      </c>
      <c r="E3629" s="11" t="s">
        <v>12072</v>
      </c>
    </row>
    <row r="3630" spans="1:5">
      <c r="A3630" s="11" t="s">
        <v>12073</v>
      </c>
      <c r="B3630">
        <v>8003344</v>
      </c>
      <c r="D3630" s="11" t="s">
        <v>12074</v>
      </c>
      <c r="E3630" s="11" t="s">
        <v>12075</v>
      </c>
    </row>
    <row r="3631" spans="1:5">
      <c r="A3631" s="11" t="s">
        <v>12076</v>
      </c>
      <c r="B3631">
        <v>8003348</v>
      </c>
      <c r="D3631" s="11" t="s">
        <v>12077</v>
      </c>
      <c r="E3631" s="11" t="s">
        <v>12078</v>
      </c>
    </row>
    <row r="3632" spans="1:5">
      <c r="A3632" s="11" t="s">
        <v>12079</v>
      </c>
      <c r="B3632">
        <v>8003332</v>
      </c>
      <c r="D3632" s="11" t="s">
        <v>12080</v>
      </c>
      <c r="E3632" s="11" t="s">
        <v>12081</v>
      </c>
    </row>
    <row r="3633" spans="1:5">
      <c r="A3633" s="11" t="s">
        <v>12082</v>
      </c>
      <c r="B3633">
        <v>8003349</v>
      </c>
      <c r="D3633" s="11" t="s">
        <v>12083</v>
      </c>
      <c r="E3633" s="11" t="s">
        <v>12084</v>
      </c>
    </row>
    <row r="3634" spans="1:5">
      <c r="A3634" s="11" t="s">
        <v>12085</v>
      </c>
      <c r="B3634">
        <v>8003350</v>
      </c>
      <c r="D3634" s="11" t="s">
        <v>12086</v>
      </c>
      <c r="E3634" s="11" t="s">
        <v>12087</v>
      </c>
    </row>
    <row r="3635" spans="1:5">
      <c r="A3635" s="11" t="s">
        <v>12088</v>
      </c>
      <c r="B3635">
        <v>8000206</v>
      </c>
      <c r="D3635" s="11" t="s">
        <v>12089</v>
      </c>
      <c r="E3635" s="11" t="s">
        <v>12090</v>
      </c>
    </row>
    <row r="3636" spans="1:5">
      <c r="A3636" s="11" t="s">
        <v>12091</v>
      </c>
      <c r="B3636">
        <v>8075952</v>
      </c>
      <c r="D3636" s="11" t="s">
        <v>1539</v>
      </c>
      <c r="E3636" s="11" t="s">
        <v>1539</v>
      </c>
    </row>
    <row r="3637" spans="1:5">
      <c r="A3637" s="11" t="s">
        <v>12092</v>
      </c>
      <c r="B3637">
        <v>8003341</v>
      </c>
      <c r="D3637" s="11" t="s">
        <v>12093</v>
      </c>
      <c r="E3637" s="11" t="s">
        <v>12094</v>
      </c>
    </row>
    <row r="3638" spans="1:5">
      <c r="A3638" s="11" t="s">
        <v>12095</v>
      </c>
      <c r="B3638">
        <v>8071774</v>
      </c>
      <c r="D3638" s="11" t="s">
        <v>1539</v>
      </c>
      <c r="E3638" s="11" t="s">
        <v>1539</v>
      </c>
    </row>
    <row r="3639" spans="1:5">
      <c r="A3639" s="11" t="s">
        <v>12096</v>
      </c>
      <c r="B3639">
        <v>8003351</v>
      </c>
      <c r="D3639" s="11" t="s">
        <v>12097</v>
      </c>
      <c r="E3639" s="11" t="s">
        <v>12098</v>
      </c>
    </row>
    <row r="3640" spans="1:5">
      <c r="A3640" s="11" t="s">
        <v>12099</v>
      </c>
      <c r="B3640">
        <v>8002454</v>
      </c>
      <c r="D3640" s="11" t="s">
        <v>12100</v>
      </c>
      <c r="E3640" s="11" t="s">
        <v>12101</v>
      </c>
    </row>
    <row r="3641" spans="1:5">
      <c r="A3641" s="11" t="s">
        <v>12102</v>
      </c>
      <c r="B3641">
        <v>8003352</v>
      </c>
      <c r="D3641" s="11" t="s">
        <v>12103</v>
      </c>
      <c r="E3641" s="11" t="s">
        <v>12104</v>
      </c>
    </row>
    <row r="3642" spans="1:5">
      <c r="A3642" s="11" t="s">
        <v>12105</v>
      </c>
      <c r="B3642">
        <v>8071773</v>
      </c>
      <c r="D3642" s="11" t="s">
        <v>12106</v>
      </c>
      <c r="E3642" s="11" t="s">
        <v>12107</v>
      </c>
    </row>
    <row r="3643" spans="1:5">
      <c r="A3643" s="11" t="s">
        <v>12108</v>
      </c>
      <c r="B3643">
        <v>8003354</v>
      </c>
      <c r="D3643" s="11" t="s">
        <v>12109</v>
      </c>
      <c r="E3643" s="11" t="s">
        <v>12110</v>
      </c>
    </row>
    <row r="3644" spans="1:5">
      <c r="A3644" s="11" t="s">
        <v>12111</v>
      </c>
      <c r="B3644">
        <v>8003355</v>
      </c>
      <c r="D3644" s="11" t="s">
        <v>12112</v>
      </c>
      <c r="E3644" s="11" t="s">
        <v>12113</v>
      </c>
    </row>
    <row r="3645" spans="1:5">
      <c r="A3645" s="11" t="s">
        <v>12114</v>
      </c>
      <c r="B3645">
        <v>8012061</v>
      </c>
      <c r="D3645" s="11" t="s">
        <v>12115</v>
      </c>
      <c r="E3645" s="11" t="s">
        <v>12116</v>
      </c>
    </row>
    <row r="3646" spans="1:5">
      <c r="A3646" s="11" t="s">
        <v>12117</v>
      </c>
      <c r="B3646">
        <v>8003356</v>
      </c>
      <c r="D3646" s="11" t="s">
        <v>12118</v>
      </c>
      <c r="E3646" s="11" t="s">
        <v>12119</v>
      </c>
    </row>
    <row r="3647" spans="1:5">
      <c r="A3647" s="11" t="s">
        <v>12120</v>
      </c>
      <c r="B3647">
        <v>8003357</v>
      </c>
      <c r="D3647" s="11" t="s">
        <v>12121</v>
      </c>
      <c r="E3647" s="11" t="s">
        <v>12122</v>
      </c>
    </row>
    <row r="3648" spans="1:5">
      <c r="A3648" s="11" t="s">
        <v>12123</v>
      </c>
      <c r="B3648">
        <v>8003395</v>
      </c>
      <c r="D3648" s="11" t="s">
        <v>12124</v>
      </c>
      <c r="E3648" s="11" t="s">
        <v>12125</v>
      </c>
    </row>
    <row r="3649" spans="1:5">
      <c r="A3649" s="11" t="s">
        <v>12126</v>
      </c>
      <c r="B3649">
        <v>8070458</v>
      </c>
      <c r="D3649" s="11" t="s">
        <v>12127</v>
      </c>
      <c r="E3649" s="11" t="s">
        <v>12128</v>
      </c>
    </row>
    <row r="3650" spans="1:5">
      <c r="A3650" s="11" t="s">
        <v>12129</v>
      </c>
      <c r="B3650">
        <v>8003397</v>
      </c>
      <c r="D3650" s="11" t="s">
        <v>12130</v>
      </c>
      <c r="E3650" s="11" t="s">
        <v>12131</v>
      </c>
    </row>
    <row r="3651" spans="1:5">
      <c r="A3651" s="11" t="s">
        <v>12132</v>
      </c>
      <c r="B3651">
        <v>8012083</v>
      </c>
      <c r="D3651" s="11" t="s">
        <v>12133</v>
      </c>
      <c r="E3651" s="11" t="s">
        <v>12134</v>
      </c>
    </row>
    <row r="3652" spans="1:5">
      <c r="A3652" s="11" t="s">
        <v>12135</v>
      </c>
      <c r="B3652">
        <v>8012084</v>
      </c>
      <c r="D3652" s="11" t="s">
        <v>12136</v>
      </c>
      <c r="E3652" s="11" t="s">
        <v>12137</v>
      </c>
    </row>
    <row r="3653" spans="1:5">
      <c r="A3653" s="11" t="s">
        <v>12138</v>
      </c>
      <c r="B3653">
        <v>8012064</v>
      </c>
      <c r="D3653" s="11" t="s">
        <v>12139</v>
      </c>
      <c r="E3653" s="11" t="s">
        <v>12140</v>
      </c>
    </row>
    <row r="3654" spans="1:5">
      <c r="A3654" s="11" t="s">
        <v>12141</v>
      </c>
      <c r="B3654">
        <v>8003398</v>
      </c>
      <c r="D3654" s="11" t="s">
        <v>12142</v>
      </c>
      <c r="E3654" s="11" t="s">
        <v>12143</v>
      </c>
    </row>
    <row r="3655" spans="1:5">
      <c r="A3655" s="11" t="s">
        <v>12144</v>
      </c>
      <c r="B3655">
        <v>8003399</v>
      </c>
      <c r="D3655" s="11" t="s">
        <v>12145</v>
      </c>
      <c r="E3655" s="11" t="s">
        <v>12146</v>
      </c>
    </row>
    <row r="3656" spans="1:5">
      <c r="A3656" s="11" t="s">
        <v>12147</v>
      </c>
      <c r="B3656">
        <v>8003370</v>
      </c>
      <c r="D3656" s="11" t="s">
        <v>12148</v>
      </c>
      <c r="E3656" s="11" t="s">
        <v>12149</v>
      </c>
    </row>
    <row r="3657" spans="1:5">
      <c r="A3657" s="11" t="s">
        <v>12150</v>
      </c>
      <c r="B3657">
        <v>8003358</v>
      </c>
      <c r="D3657" s="11" t="s">
        <v>12151</v>
      </c>
      <c r="E3657" s="11" t="s">
        <v>12152</v>
      </c>
    </row>
    <row r="3658" spans="1:5">
      <c r="A3658" s="11" t="s">
        <v>12153</v>
      </c>
      <c r="B3658">
        <v>8003360</v>
      </c>
      <c r="D3658" s="11" t="s">
        <v>12154</v>
      </c>
      <c r="E3658" s="11" t="s">
        <v>12155</v>
      </c>
    </row>
    <row r="3659" spans="1:5">
      <c r="A3659" s="11" t="s">
        <v>12156</v>
      </c>
      <c r="B3659">
        <v>8003392</v>
      </c>
      <c r="D3659" s="11" t="s">
        <v>12157</v>
      </c>
      <c r="E3659" s="11" t="s">
        <v>12158</v>
      </c>
    </row>
    <row r="3660" spans="1:5">
      <c r="A3660" s="11" t="s">
        <v>12159</v>
      </c>
      <c r="B3660">
        <v>8000207</v>
      </c>
      <c r="D3660" s="11" t="s">
        <v>12160</v>
      </c>
      <c r="E3660" s="11" t="s">
        <v>12161</v>
      </c>
    </row>
    <row r="3661" spans="1:5">
      <c r="A3661" s="11" t="s">
        <v>12162</v>
      </c>
      <c r="B3661">
        <v>8089322</v>
      </c>
      <c r="D3661" s="11" t="s">
        <v>12163</v>
      </c>
      <c r="E3661" s="11" t="s">
        <v>12164</v>
      </c>
    </row>
    <row r="3662" spans="1:5">
      <c r="A3662" s="11" t="s">
        <v>12165</v>
      </c>
      <c r="B3662">
        <v>8075938</v>
      </c>
      <c r="D3662" s="11" t="s">
        <v>1539</v>
      </c>
      <c r="E3662" s="11" t="s">
        <v>1539</v>
      </c>
    </row>
    <row r="3663" spans="1:5">
      <c r="A3663" s="11" t="s">
        <v>12166</v>
      </c>
      <c r="B3663">
        <v>8003368</v>
      </c>
      <c r="D3663" s="11" t="s">
        <v>12167</v>
      </c>
      <c r="E3663" s="11" t="s">
        <v>12168</v>
      </c>
    </row>
    <row r="3664" spans="1:5">
      <c r="A3664" s="11" t="s">
        <v>12169</v>
      </c>
      <c r="B3664">
        <v>8073368</v>
      </c>
      <c r="D3664" s="11" t="s">
        <v>12170</v>
      </c>
      <c r="E3664" s="11" t="s">
        <v>12171</v>
      </c>
    </row>
    <row r="3665" spans="1:5">
      <c r="A3665" s="11" t="s">
        <v>12172</v>
      </c>
      <c r="B3665">
        <v>8003379</v>
      </c>
      <c r="D3665" s="11" t="s">
        <v>12173</v>
      </c>
      <c r="E3665" s="11" t="s">
        <v>12174</v>
      </c>
    </row>
    <row r="3666" spans="1:5">
      <c r="A3666" s="11" t="s">
        <v>12175</v>
      </c>
      <c r="B3666">
        <v>8003361</v>
      </c>
      <c r="D3666" s="11" t="s">
        <v>12176</v>
      </c>
      <c r="E3666" s="11" t="s">
        <v>12177</v>
      </c>
    </row>
    <row r="3667" spans="1:5">
      <c r="A3667" s="11" t="s">
        <v>12178</v>
      </c>
      <c r="B3667">
        <v>8003320</v>
      </c>
      <c r="D3667" s="11" t="s">
        <v>12179</v>
      </c>
      <c r="E3667" s="11" t="s">
        <v>12180</v>
      </c>
    </row>
    <row r="3668" spans="1:5">
      <c r="A3668" s="11" t="s">
        <v>12181</v>
      </c>
      <c r="B3668">
        <v>8003362</v>
      </c>
      <c r="D3668" s="11" t="s">
        <v>12182</v>
      </c>
      <c r="E3668" s="11" t="s">
        <v>12183</v>
      </c>
    </row>
    <row r="3669" spans="1:5">
      <c r="A3669" s="11" t="s">
        <v>12184</v>
      </c>
      <c r="B3669">
        <v>8003363</v>
      </c>
      <c r="D3669" s="11" t="s">
        <v>12185</v>
      </c>
      <c r="E3669" s="11" t="s">
        <v>12186</v>
      </c>
    </row>
    <row r="3670" spans="1:5">
      <c r="A3670" s="11" t="s">
        <v>12187</v>
      </c>
      <c r="B3670">
        <v>8003330</v>
      </c>
      <c r="D3670" s="11" t="s">
        <v>12188</v>
      </c>
      <c r="E3670" s="11" t="s">
        <v>12189</v>
      </c>
    </row>
    <row r="3671" spans="1:5">
      <c r="A3671" s="11" t="s">
        <v>12190</v>
      </c>
      <c r="B3671">
        <v>8079140</v>
      </c>
      <c r="D3671" s="11" t="s">
        <v>12191</v>
      </c>
      <c r="E3671" s="11" t="s">
        <v>12192</v>
      </c>
    </row>
    <row r="3672" spans="1:5">
      <c r="A3672" s="11" t="s">
        <v>12193</v>
      </c>
      <c r="B3672">
        <v>8003364</v>
      </c>
      <c r="D3672" s="11" t="s">
        <v>12194</v>
      </c>
      <c r="E3672" s="11" t="s">
        <v>12195</v>
      </c>
    </row>
    <row r="3673" spans="1:5">
      <c r="A3673" s="11" t="s">
        <v>12196</v>
      </c>
      <c r="B3673">
        <v>8003365</v>
      </c>
      <c r="D3673" s="11" t="s">
        <v>12197</v>
      </c>
      <c r="E3673" s="11" t="s">
        <v>12198</v>
      </c>
    </row>
    <row r="3674" spans="1:5">
      <c r="A3674" s="11" t="s">
        <v>12199</v>
      </c>
      <c r="B3674">
        <v>8003366</v>
      </c>
      <c r="D3674" s="11" t="s">
        <v>12200</v>
      </c>
      <c r="E3674" s="11" t="s">
        <v>12201</v>
      </c>
    </row>
    <row r="3675" spans="1:5">
      <c r="A3675" s="11" t="s">
        <v>12202</v>
      </c>
      <c r="B3675">
        <v>8003367</v>
      </c>
      <c r="D3675" s="11" t="s">
        <v>12203</v>
      </c>
      <c r="E3675" s="11" t="s">
        <v>12204</v>
      </c>
    </row>
    <row r="3676" spans="1:5">
      <c r="A3676" s="11" t="s">
        <v>12205</v>
      </c>
      <c r="B3676">
        <v>8000208</v>
      </c>
      <c r="D3676" s="11" t="s">
        <v>12206</v>
      </c>
      <c r="E3676" s="11" t="s">
        <v>12207</v>
      </c>
    </row>
    <row r="3677" spans="1:5">
      <c r="A3677" s="11" t="s">
        <v>12208</v>
      </c>
      <c r="B3677">
        <v>8003369</v>
      </c>
      <c r="D3677" s="11" t="s">
        <v>12209</v>
      </c>
      <c r="E3677" s="11" t="s">
        <v>12210</v>
      </c>
    </row>
    <row r="3678" spans="1:5">
      <c r="A3678" s="11" t="s">
        <v>12211</v>
      </c>
      <c r="B3678">
        <v>8003371</v>
      </c>
      <c r="D3678" s="11" t="s">
        <v>12212</v>
      </c>
      <c r="E3678" s="11" t="s">
        <v>12213</v>
      </c>
    </row>
    <row r="3679" spans="1:5">
      <c r="A3679" s="11" t="s">
        <v>12214</v>
      </c>
      <c r="B3679">
        <v>8000209</v>
      </c>
      <c r="D3679" s="11" t="s">
        <v>12215</v>
      </c>
      <c r="E3679" s="11" t="s">
        <v>12216</v>
      </c>
    </row>
    <row r="3680" spans="1:5">
      <c r="A3680" s="11" t="s">
        <v>12217</v>
      </c>
      <c r="B3680">
        <v>8003375</v>
      </c>
      <c r="D3680" s="11" t="s">
        <v>12218</v>
      </c>
      <c r="E3680" s="11" t="s">
        <v>12219</v>
      </c>
    </row>
    <row r="3681" spans="1:5">
      <c r="A3681" s="11" t="s">
        <v>12220</v>
      </c>
      <c r="B3681">
        <v>8003372</v>
      </c>
      <c r="D3681" s="11" t="s">
        <v>12221</v>
      </c>
      <c r="E3681" s="11" t="s">
        <v>12222</v>
      </c>
    </row>
    <row r="3682" spans="1:5">
      <c r="A3682" s="11" t="s">
        <v>12223</v>
      </c>
      <c r="B3682">
        <v>8003310</v>
      </c>
      <c r="D3682" s="11" t="s">
        <v>12224</v>
      </c>
      <c r="E3682" s="11" t="s">
        <v>12225</v>
      </c>
    </row>
    <row r="3683" spans="1:5">
      <c r="A3683" s="11" t="s">
        <v>12226</v>
      </c>
      <c r="B3683">
        <v>8003383</v>
      </c>
      <c r="D3683" s="11" t="s">
        <v>12227</v>
      </c>
      <c r="E3683" s="11" t="s">
        <v>12228</v>
      </c>
    </row>
    <row r="3684" spans="1:5">
      <c r="A3684" s="11" t="s">
        <v>12229</v>
      </c>
      <c r="B3684">
        <v>8003373</v>
      </c>
      <c r="D3684" s="11" t="s">
        <v>12230</v>
      </c>
      <c r="E3684" s="11" t="s">
        <v>12231</v>
      </c>
    </row>
    <row r="3685" spans="1:5">
      <c r="A3685" s="11" t="s">
        <v>12232</v>
      </c>
      <c r="B3685">
        <v>8012065</v>
      </c>
      <c r="D3685" s="11" t="s">
        <v>12233</v>
      </c>
      <c r="E3685" s="11" t="s">
        <v>12234</v>
      </c>
    </row>
    <row r="3686" spans="1:5">
      <c r="A3686" s="11" t="s">
        <v>12235</v>
      </c>
      <c r="B3686">
        <v>8003374</v>
      </c>
      <c r="D3686" s="11" t="s">
        <v>12236</v>
      </c>
      <c r="E3686" s="11" t="s">
        <v>12237</v>
      </c>
    </row>
    <row r="3687" spans="1:5">
      <c r="A3687" s="11" t="s">
        <v>12238</v>
      </c>
      <c r="B3687">
        <v>8010193</v>
      </c>
      <c r="D3687" s="11" t="s">
        <v>12239</v>
      </c>
      <c r="E3687" s="11" t="s">
        <v>12240</v>
      </c>
    </row>
    <row r="3688" spans="1:5">
      <c r="A3688" s="11" t="s">
        <v>12241</v>
      </c>
      <c r="B3688">
        <v>8003376</v>
      </c>
      <c r="D3688" s="11" t="s">
        <v>12242</v>
      </c>
      <c r="E3688" s="11" t="s">
        <v>12243</v>
      </c>
    </row>
    <row r="3689" spans="1:5">
      <c r="A3689" s="11" t="s">
        <v>12244</v>
      </c>
      <c r="B3689">
        <v>8012066</v>
      </c>
      <c r="D3689" s="11" t="s">
        <v>12245</v>
      </c>
      <c r="E3689" s="11" t="s">
        <v>12246</v>
      </c>
    </row>
    <row r="3690" spans="1:5">
      <c r="A3690" s="11" t="s">
        <v>12247</v>
      </c>
      <c r="B3690">
        <v>8003378</v>
      </c>
      <c r="D3690" s="11" t="s">
        <v>12248</v>
      </c>
      <c r="E3690" s="11" t="s">
        <v>12249</v>
      </c>
    </row>
    <row r="3691" spans="1:5">
      <c r="A3691" s="11" t="s">
        <v>12250</v>
      </c>
      <c r="B3691">
        <v>8012067</v>
      </c>
      <c r="D3691" s="11" t="s">
        <v>12251</v>
      </c>
      <c r="E3691" s="11" t="s">
        <v>12252</v>
      </c>
    </row>
    <row r="3692" spans="1:5">
      <c r="A3692" s="11" t="s">
        <v>12253</v>
      </c>
      <c r="B3692">
        <v>8007286</v>
      </c>
      <c r="D3692" s="11" t="s">
        <v>12254</v>
      </c>
      <c r="E3692" s="11" t="s">
        <v>12255</v>
      </c>
    </row>
    <row r="3693" spans="1:5">
      <c r="A3693" s="11" t="s">
        <v>12256</v>
      </c>
      <c r="B3693">
        <v>8003381</v>
      </c>
      <c r="D3693" s="11" t="s">
        <v>12257</v>
      </c>
      <c r="E3693" s="11" t="s">
        <v>12258</v>
      </c>
    </row>
    <row r="3694" spans="1:5">
      <c r="A3694" s="11" t="s">
        <v>12259</v>
      </c>
      <c r="B3694">
        <v>8007281</v>
      </c>
      <c r="D3694" s="11" t="s">
        <v>12260</v>
      </c>
      <c r="E3694" s="11" t="s">
        <v>12261</v>
      </c>
    </row>
    <row r="3695" spans="1:5">
      <c r="A3695" s="11" t="s">
        <v>12262</v>
      </c>
      <c r="B3695">
        <v>8003382</v>
      </c>
      <c r="D3695" s="11" t="s">
        <v>12263</v>
      </c>
      <c r="E3695" s="11" t="s">
        <v>12264</v>
      </c>
    </row>
    <row r="3696" spans="1:5">
      <c r="A3696" s="11" t="s">
        <v>12265</v>
      </c>
      <c r="B3696">
        <v>8003385</v>
      </c>
      <c r="D3696" s="11" t="s">
        <v>12266</v>
      </c>
      <c r="E3696" s="11" t="s">
        <v>12267</v>
      </c>
    </row>
    <row r="3697" spans="1:5">
      <c r="A3697" s="11" t="s">
        <v>418</v>
      </c>
      <c r="B3697">
        <v>8012072</v>
      </c>
      <c r="D3697" s="11" t="s">
        <v>420</v>
      </c>
      <c r="E3697" s="11" t="s">
        <v>421</v>
      </c>
    </row>
    <row r="3698" spans="1:5">
      <c r="A3698" s="11" t="s">
        <v>12268</v>
      </c>
      <c r="B3698">
        <v>8007164</v>
      </c>
      <c r="D3698" s="11" t="s">
        <v>12269</v>
      </c>
      <c r="E3698" s="11" t="s">
        <v>12270</v>
      </c>
    </row>
    <row r="3699" spans="1:5">
      <c r="A3699" s="11" t="s">
        <v>12271</v>
      </c>
      <c r="B3699">
        <v>8003386</v>
      </c>
      <c r="D3699" s="11" t="s">
        <v>12272</v>
      </c>
      <c r="E3699" s="11" t="s">
        <v>12273</v>
      </c>
    </row>
    <row r="3700" spans="1:5">
      <c r="A3700" s="11" t="s">
        <v>12274</v>
      </c>
      <c r="B3700">
        <v>8012075</v>
      </c>
      <c r="D3700" s="11" t="s">
        <v>12275</v>
      </c>
      <c r="E3700" s="11" t="s">
        <v>12276</v>
      </c>
    </row>
    <row r="3701" spans="1:5">
      <c r="A3701" s="11" t="s">
        <v>12277</v>
      </c>
      <c r="B3701">
        <v>8010194</v>
      </c>
      <c r="D3701" s="11" t="s">
        <v>12278</v>
      </c>
      <c r="E3701" s="11" t="s">
        <v>12279</v>
      </c>
    </row>
    <row r="3702" spans="1:5">
      <c r="A3702" s="11" t="s">
        <v>12280</v>
      </c>
      <c r="B3702">
        <v>8003400</v>
      </c>
      <c r="D3702" s="11" t="s">
        <v>12281</v>
      </c>
      <c r="E3702" s="11" t="s">
        <v>12282</v>
      </c>
    </row>
    <row r="3703" spans="1:5">
      <c r="A3703" s="11" t="s">
        <v>12283</v>
      </c>
      <c r="B3703">
        <v>8003404</v>
      </c>
      <c r="D3703" s="11" t="s">
        <v>12284</v>
      </c>
      <c r="E3703" s="11" t="s">
        <v>12285</v>
      </c>
    </row>
    <row r="3704" spans="1:5">
      <c r="A3704" s="11" t="s">
        <v>12286</v>
      </c>
      <c r="B3704">
        <v>8003401</v>
      </c>
      <c r="D3704" s="11" t="s">
        <v>12287</v>
      </c>
      <c r="E3704" s="11" t="s">
        <v>12288</v>
      </c>
    </row>
    <row r="3705" spans="1:5">
      <c r="A3705" s="11" t="s">
        <v>12289</v>
      </c>
      <c r="B3705">
        <v>8003416</v>
      </c>
      <c r="D3705" s="11" t="s">
        <v>12290</v>
      </c>
      <c r="E3705" s="11" t="s">
        <v>12291</v>
      </c>
    </row>
    <row r="3706" spans="1:5">
      <c r="A3706" s="11" t="s">
        <v>12292</v>
      </c>
      <c r="B3706">
        <v>8003402</v>
      </c>
      <c r="D3706" s="11" t="s">
        <v>12293</v>
      </c>
      <c r="E3706" s="11" t="s">
        <v>12294</v>
      </c>
    </row>
    <row r="3707" spans="1:5">
      <c r="A3707" s="11" t="s">
        <v>12295</v>
      </c>
      <c r="B3707">
        <v>8003403</v>
      </c>
      <c r="D3707" s="11" t="s">
        <v>12296</v>
      </c>
      <c r="E3707" s="11" t="s">
        <v>12297</v>
      </c>
    </row>
    <row r="3708" spans="1:5">
      <c r="A3708" s="11" t="s">
        <v>12298</v>
      </c>
      <c r="B3708">
        <v>8007849</v>
      </c>
      <c r="D3708" s="11" t="s">
        <v>12299</v>
      </c>
      <c r="E3708" s="11" t="s">
        <v>12300</v>
      </c>
    </row>
    <row r="3709" spans="1:5">
      <c r="A3709" s="11" t="s">
        <v>12301</v>
      </c>
      <c r="B3709">
        <v>8000210</v>
      </c>
      <c r="D3709" s="11" t="s">
        <v>12302</v>
      </c>
      <c r="E3709" s="11" t="s">
        <v>12303</v>
      </c>
    </row>
    <row r="3710" spans="1:5">
      <c r="A3710" s="11" t="s">
        <v>12304</v>
      </c>
      <c r="B3710">
        <v>8003406</v>
      </c>
      <c r="D3710" s="11" t="s">
        <v>12305</v>
      </c>
      <c r="E3710" s="11" t="s">
        <v>12306</v>
      </c>
    </row>
    <row r="3711" spans="1:5">
      <c r="A3711" s="11" t="s">
        <v>12307</v>
      </c>
      <c r="B3711">
        <v>8003407</v>
      </c>
      <c r="D3711" s="11" t="s">
        <v>12308</v>
      </c>
      <c r="E3711" s="11" t="s">
        <v>12309</v>
      </c>
    </row>
    <row r="3712" spans="1:5">
      <c r="A3712" s="11" t="s">
        <v>12310</v>
      </c>
      <c r="B3712">
        <v>8071238</v>
      </c>
      <c r="D3712" s="11" t="s">
        <v>12311</v>
      </c>
      <c r="E3712" s="11" t="s">
        <v>12312</v>
      </c>
    </row>
    <row r="3713" spans="1:5">
      <c r="A3713" s="11" t="s">
        <v>12313</v>
      </c>
      <c r="B3713">
        <v>8003408</v>
      </c>
      <c r="D3713" s="11" t="s">
        <v>12314</v>
      </c>
      <c r="E3713" s="11" t="s">
        <v>12315</v>
      </c>
    </row>
    <row r="3714" spans="1:5">
      <c r="A3714" s="11" t="s">
        <v>12316</v>
      </c>
      <c r="B3714">
        <v>8003388</v>
      </c>
      <c r="D3714" s="11" t="s">
        <v>12317</v>
      </c>
      <c r="E3714" s="11" t="s">
        <v>12318</v>
      </c>
    </row>
    <row r="3715" spans="1:5">
      <c r="A3715" s="11" t="s">
        <v>12319</v>
      </c>
      <c r="B3715">
        <v>8071217</v>
      </c>
      <c r="D3715" s="11" t="s">
        <v>12320</v>
      </c>
      <c r="E3715" s="11" t="s">
        <v>12321</v>
      </c>
    </row>
    <row r="3716" spans="1:5">
      <c r="A3716" s="11" t="s">
        <v>12322</v>
      </c>
      <c r="B3716">
        <v>8003409</v>
      </c>
      <c r="D3716" s="11" t="s">
        <v>12323</v>
      </c>
      <c r="E3716" s="11" t="s">
        <v>12324</v>
      </c>
    </row>
    <row r="3717" spans="1:5">
      <c r="A3717" s="11" t="s">
        <v>12325</v>
      </c>
      <c r="B3717">
        <v>8007855</v>
      </c>
      <c r="D3717" s="11" t="s">
        <v>12326</v>
      </c>
      <c r="E3717" s="11" t="s">
        <v>12327</v>
      </c>
    </row>
    <row r="3718" spans="1:5">
      <c r="A3718" s="11" t="s">
        <v>12328</v>
      </c>
      <c r="B3718">
        <v>8003411</v>
      </c>
      <c r="D3718" s="11" t="s">
        <v>12329</v>
      </c>
      <c r="E3718" s="11" t="s">
        <v>12330</v>
      </c>
    </row>
    <row r="3719" spans="1:5">
      <c r="A3719" s="11" t="s">
        <v>12331</v>
      </c>
      <c r="B3719">
        <v>8003412</v>
      </c>
      <c r="D3719" s="11" t="s">
        <v>12332</v>
      </c>
      <c r="E3719" s="11" t="s">
        <v>12333</v>
      </c>
    </row>
    <row r="3720" spans="1:5">
      <c r="A3720" s="11" t="s">
        <v>12334</v>
      </c>
      <c r="B3720">
        <v>8012086</v>
      </c>
      <c r="D3720" s="11" t="s">
        <v>12335</v>
      </c>
      <c r="E3720" s="11" t="s">
        <v>12336</v>
      </c>
    </row>
    <row r="3721" spans="1:5">
      <c r="A3721" s="11" t="s">
        <v>12337</v>
      </c>
      <c r="B3721">
        <v>8010195</v>
      </c>
      <c r="D3721" s="11" t="s">
        <v>12338</v>
      </c>
      <c r="E3721" s="11" t="s">
        <v>12339</v>
      </c>
    </row>
    <row r="3722" spans="1:5">
      <c r="A3722" s="11" t="s">
        <v>12340</v>
      </c>
      <c r="B3722">
        <v>8003413</v>
      </c>
      <c r="D3722" s="11" t="s">
        <v>12341</v>
      </c>
      <c r="E3722" s="11" t="s">
        <v>12342</v>
      </c>
    </row>
    <row r="3723" spans="1:5">
      <c r="A3723" s="11" t="s">
        <v>12343</v>
      </c>
      <c r="B3723">
        <v>8003415</v>
      </c>
      <c r="D3723" s="11" t="s">
        <v>12344</v>
      </c>
      <c r="E3723" s="11" t="s">
        <v>12345</v>
      </c>
    </row>
    <row r="3724" spans="1:5">
      <c r="A3724" s="11" t="s">
        <v>12346</v>
      </c>
      <c r="B3724">
        <v>8012079</v>
      </c>
      <c r="D3724" s="11" t="s">
        <v>12347</v>
      </c>
      <c r="E3724" s="11" t="s">
        <v>12348</v>
      </c>
    </row>
    <row r="3725" spans="1:5">
      <c r="A3725" s="11" t="s">
        <v>12349</v>
      </c>
      <c r="B3725">
        <v>8012080</v>
      </c>
      <c r="D3725" s="11" t="s">
        <v>12350</v>
      </c>
      <c r="E3725" s="11" t="s">
        <v>12351</v>
      </c>
    </row>
    <row r="3726" spans="1:5">
      <c r="A3726" s="11" t="s">
        <v>12352</v>
      </c>
      <c r="B3726">
        <v>8003394</v>
      </c>
      <c r="D3726" s="11" t="s">
        <v>12353</v>
      </c>
      <c r="E3726" s="11" t="s">
        <v>12354</v>
      </c>
    </row>
    <row r="3727" spans="1:5">
      <c r="A3727" s="11" t="s">
        <v>12355</v>
      </c>
      <c r="B3727">
        <v>8012088</v>
      </c>
      <c r="D3727" s="11" t="s">
        <v>12356</v>
      </c>
      <c r="E3727" s="11" t="s">
        <v>12357</v>
      </c>
    </row>
    <row r="3728" spans="1:5">
      <c r="A3728" s="11" t="s">
        <v>12358</v>
      </c>
      <c r="B3728">
        <v>8012089</v>
      </c>
      <c r="D3728" s="11" t="s">
        <v>12359</v>
      </c>
      <c r="E3728" s="11" t="s">
        <v>12360</v>
      </c>
    </row>
    <row r="3729" spans="1:5">
      <c r="A3729" s="11" t="s">
        <v>12361</v>
      </c>
      <c r="B3729">
        <v>8003420</v>
      </c>
      <c r="D3729" s="11" t="s">
        <v>12362</v>
      </c>
      <c r="E3729" s="11" t="s">
        <v>12363</v>
      </c>
    </row>
    <row r="3730" spans="1:5">
      <c r="A3730" s="11" t="s">
        <v>12364</v>
      </c>
      <c r="B3730">
        <v>8012091</v>
      </c>
      <c r="D3730" s="11" t="s">
        <v>12365</v>
      </c>
      <c r="E3730" s="11" t="s">
        <v>12366</v>
      </c>
    </row>
    <row r="3731" spans="1:5">
      <c r="A3731" s="11" t="s">
        <v>12367</v>
      </c>
      <c r="B3731">
        <v>8012092</v>
      </c>
      <c r="D3731" s="11" t="s">
        <v>12368</v>
      </c>
      <c r="E3731" s="11" t="s">
        <v>12369</v>
      </c>
    </row>
    <row r="3732" spans="1:5">
      <c r="A3732" s="11" t="s">
        <v>12370</v>
      </c>
      <c r="B3732">
        <v>8017189</v>
      </c>
      <c r="D3732" s="11" t="s">
        <v>1539</v>
      </c>
      <c r="E3732" s="11" t="s">
        <v>1539</v>
      </c>
    </row>
    <row r="3733" spans="1:5">
      <c r="A3733" s="11" t="s">
        <v>12371</v>
      </c>
      <c r="B3733">
        <v>8012093</v>
      </c>
      <c r="D3733" s="11" t="s">
        <v>12372</v>
      </c>
      <c r="E3733" s="11" t="s">
        <v>12373</v>
      </c>
    </row>
    <row r="3734" spans="1:5">
      <c r="A3734" s="11" t="s">
        <v>12374</v>
      </c>
      <c r="B3734">
        <v>8007816</v>
      </c>
      <c r="D3734" s="11" t="s">
        <v>12375</v>
      </c>
      <c r="E3734" s="11" t="s">
        <v>12376</v>
      </c>
    </row>
    <row r="3735" spans="1:5">
      <c r="A3735" s="11" t="s">
        <v>12377</v>
      </c>
      <c r="B3735">
        <v>8003424</v>
      </c>
      <c r="D3735" s="11" t="s">
        <v>12378</v>
      </c>
      <c r="E3735" s="11" t="s">
        <v>12379</v>
      </c>
    </row>
    <row r="3736" spans="1:5">
      <c r="A3736" s="11" t="s">
        <v>12380</v>
      </c>
      <c r="B3736">
        <v>8000211</v>
      </c>
      <c r="D3736" s="11" t="s">
        <v>12381</v>
      </c>
      <c r="E3736" s="11" t="s">
        <v>12382</v>
      </c>
    </row>
    <row r="3737" spans="1:5">
      <c r="A3737" s="11" t="s">
        <v>12383</v>
      </c>
      <c r="B3737">
        <v>8002941</v>
      </c>
      <c r="D3737" s="11" t="s">
        <v>12384</v>
      </c>
      <c r="E3737" s="11" t="s">
        <v>12385</v>
      </c>
    </row>
    <row r="3738" spans="1:5">
      <c r="A3738" s="11" t="s">
        <v>12386</v>
      </c>
      <c r="B3738">
        <v>8003426</v>
      </c>
      <c r="D3738" s="11" t="s">
        <v>12387</v>
      </c>
      <c r="E3738" s="11" t="s">
        <v>12388</v>
      </c>
    </row>
    <row r="3739" spans="1:5">
      <c r="A3739" s="11" t="s">
        <v>12389</v>
      </c>
      <c r="B3739">
        <v>8000212</v>
      </c>
      <c r="D3739" s="11" t="s">
        <v>12390</v>
      </c>
      <c r="E3739" s="11" t="s">
        <v>12391</v>
      </c>
    </row>
    <row r="3740" spans="1:5">
      <c r="A3740" s="11" t="s">
        <v>12392</v>
      </c>
      <c r="B3740">
        <v>8003427</v>
      </c>
      <c r="D3740" s="11" t="s">
        <v>12393</v>
      </c>
      <c r="E3740" s="11" t="s">
        <v>12394</v>
      </c>
    </row>
    <row r="3741" spans="1:5">
      <c r="A3741" s="11" t="s">
        <v>12395</v>
      </c>
      <c r="B3741">
        <v>8000213</v>
      </c>
      <c r="D3741" s="11" t="s">
        <v>12396</v>
      </c>
      <c r="E3741" s="11" t="s">
        <v>12397</v>
      </c>
    </row>
    <row r="3742" spans="1:5">
      <c r="A3742" s="11" t="s">
        <v>12398</v>
      </c>
      <c r="B3742">
        <v>8003429</v>
      </c>
      <c r="D3742" s="11" t="s">
        <v>12399</v>
      </c>
      <c r="E3742" s="11" t="s">
        <v>12400</v>
      </c>
    </row>
    <row r="3743" spans="1:5">
      <c r="A3743" s="11" t="s">
        <v>12401</v>
      </c>
      <c r="B3743">
        <v>8012096</v>
      </c>
      <c r="D3743" s="11" t="s">
        <v>12402</v>
      </c>
      <c r="E3743" s="11" t="s">
        <v>12403</v>
      </c>
    </row>
    <row r="3744" spans="1:5">
      <c r="A3744" s="11" t="s">
        <v>12404</v>
      </c>
      <c r="B3744">
        <v>8003430</v>
      </c>
      <c r="D3744" s="11" t="s">
        <v>12405</v>
      </c>
      <c r="E3744" s="11" t="s">
        <v>12406</v>
      </c>
    </row>
    <row r="3745" spans="1:5">
      <c r="A3745" s="11" t="s">
        <v>12407</v>
      </c>
      <c r="B3745">
        <v>8003431</v>
      </c>
      <c r="D3745" s="11" t="s">
        <v>12408</v>
      </c>
      <c r="E3745" s="11" t="s">
        <v>12409</v>
      </c>
    </row>
    <row r="3746" spans="1:5">
      <c r="A3746" s="11" t="s">
        <v>12410</v>
      </c>
      <c r="B3746">
        <v>8012097</v>
      </c>
      <c r="D3746" s="11" t="s">
        <v>12411</v>
      </c>
      <c r="E3746" s="11" t="s">
        <v>12412</v>
      </c>
    </row>
    <row r="3747" spans="1:5">
      <c r="A3747" s="11" t="s">
        <v>12413</v>
      </c>
      <c r="B3747">
        <v>8003432</v>
      </c>
      <c r="D3747" s="11" t="s">
        <v>12414</v>
      </c>
      <c r="E3747" s="11" t="s">
        <v>12415</v>
      </c>
    </row>
    <row r="3748" spans="1:5">
      <c r="A3748" s="11" t="s">
        <v>12416</v>
      </c>
      <c r="B3748">
        <v>8073432</v>
      </c>
      <c r="D3748" s="11" t="s">
        <v>12417</v>
      </c>
      <c r="E3748" s="11" t="s">
        <v>12418</v>
      </c>
    </row>
    <row r="3749" spans="1:5">
      <c r="A3749" s="11" t="s">
        <v>12419</v>
      </c>
      <c r="B3749">
        <v>8012098</v>
      </c>
      <c r="D3749" s="11" t="s">
        <v>12420</v>
      </c>
      <c r="E3749" s="11" t="s">
        <v>12421</v>
      </c>
    </row>
    <row r="3750" spans="1:5">
      <c r="A3750" s="11" t="s">
        <v>12422</v>
      </c>
      <c r="B3750">
        <v>8003434</v>
      </c>
      <c r="D3750" s="11" t="s">
        <v>12423</v>
      </c>
      <c r="E3750" s="11" t="s">
        <v>12424</v>
      </c>
    </row>
    <row r="3751" spans="1:5">
      <c r="A3751" s="11" t="s">
        <v>12425</v>
      </c>
      <c r="B3751">
        <v>8007820</v>
      </c>
      <c r="D3751" s="11" t="s">
        <v>12426</v>
      </c>
      <c r="E3751" s="11" t="s">
        <v>12427</v>
      </c>
    </row>
    <row r="3752" spans="1:5">
      <c r="A3752" s="11" t="s">
        <v>12428</v>
      </c>
      <c r="B3752">
        <v>8007830</v>
      </c>
      <c r="D3752" s="11" t="s">
        <v>12429</v>
      </c>
      <c r="E3752" s="11" t="s">
        <v>12430</v>
      </c>
    </row>
    <row r="3753" spans="1:5">
      <c r="A3753" s="11" t="s">
        <v>12431</v>
      </c>
      <c r="B3753">
        <v>8003436</v>
      </c>
      <c r="D3753" s="11" t="s">
        <v>12432</v>
      </c>
      <c r="E3753" s="11" t="s">
        <v>12433</v>
      </c>
    </row>
    <row r="3754" spans="1:5">
      <c r="A3754" s="11" t="s">
        <v>12434</v>
      </c>
      <c r="B3754">
        <v>8003438</v>
      </c>
      <c r="D3754" s="11" t="s">
        <v>12435</v>
      </c>
      <c r="E3754" s="11" t="s">
        <v>12436</v>
      </c>
    </row>
    <row r="3755" spans="1:5">
      <c r="A3755" s="11" t="s">
        <v>724</v>
      </c>
      <c r="B3755">
        <v>8000214</v>
      </c>
      <c r="D3755" s="11" t="s">
        <v>726</v>
      </c>
      <c r="E3755" s="11" t="s">
        <v>727</v>
      </c>
    </row>
    <row r="3756" spans="1:5">
      <c r="A3756" s="11" t="s">
        <v>12437</v>
      </c>
      <c r="B3756">
        <v>8003716</v>
      </c>
      <c r="D3756" s="11" t="s">
        <v>12438</v>
      </c>
      <c r="E3756" s="11" t="s">
        <v>12439</v>
      </c>
    </row>
    <row r="3757" spans="1:5">
      <c r="A3757" s="11" t="s">
        <v>12440</v>
      </c>
      <c r="B3757">
        <v>8003442</v>
      </c>
      <c r="D3757" s="11" t="s">
        <v>12441</v>
      </c>
      <c r="E3757" s="11" t="s">
        <v>12442</v>
      </c>
    </row>
    <row r="3758" spans="1:5">
      <c r="A3758" s="11" t="s">
        <v>12443</v>
      </c>
      <c r="B3758">
        <v>8012105</v>
      </c>
      <c r="D3758" s="11" t="s">
        <v>12444</v>
      </c>
      <c r="E3758" s="11" t="s">
        <v>12445</v>
      </c>
    </row>
    <row r="3759" spans="1:5">
      <c r="A3759" s="11" t="s">
        <v>12446</v>
      </c>
      <c r="B3759">
        <v>8012107</v>
      </c>
      <c r="D3759" s="11" t="s">
        <v>12447</v>
      </c>
      <c r="E3759" s="11" t="s">
        <v>12448</v>
      </c>
    </row>
    <row r="3760" spans="1:5">
      <c r="A3760" s="11" t="s">
        <v>12449</v>
      </c>
      <c r="B3760">
        <v>8003446</v>
      </c>
      <c r="D3760" s="11" t="s">
        <v>12450</v>
      </c>
      <c r="E3760" s="11" t="s">
        <v>12451</v>
      </c>
    </row>
    <row r="3761" spans="1:5">
      <c r="A3761" s="11" t="s">
        <v>12452</v>
      </c>
      <c r="B3761">
        <v>8087063</v>
      </c>
      <c r="D3761" s="11" t="s">
        <v>12453</v>
      </c>
      <c r="E3761" s="11" t="s">
        <v>12454</v>
      </c>
    </row>
    <row r="3762" spans="1:5">
      <c r="A3762" s="11" t="s">
        <v>12455</v>
      </c>
      <c r="B3762">
        <v>8003447</v>
      </c>
      <c r="D3762" s="11" t="s">
        <v>12456</v>
      </c>
      <c r="E3762" s="11" t="s">
        <v>12457</v>
      </c>
    </row>
    <row r="3763" spans="1:5">
      <c r="A3763" s="11" t="s">
        <v>12458</v>
      </c>
      <c r="B3763">
        <v>8003479</v>
      </c>
      <c r="D3763" s="11" t="s">
        <v>12459</v>
      </c>
      <c r="E3763" s="11" t="s">
        <v>12460</v>
      </c>
    </row>
    <row r="3764" spans="1:5">
      <c r="A3764" s="11" t="s">
        <v>12461</v>
      </c>
      <c r="B3764">
        <v>8012109</v>
      </c>
      <c r="D3764" s="11" t="s">
        <v>12462</v>
      </c>
      <c r="E3764" s="11" t="s">
        <v>12463</v>
      </c>
    </row>
    <row r="3765" spans="1:5">
      <c r="A3765" s="11" t="s">
        <v>12464</v>
      </c>
      <c r="B3765">
        <v>8003452</v>
      </c>
      <c r="D3765" s="11" t="s">
        <v>12465</v>
      </c>
      <c r="E3765" s="11" t="s">
        <v>12466</v>
      </c>
    </row>
    <row r="3766" spans="1:5">
      <c r="A3766" s="11" t="s">
        <v>12467</v>
      </c>
      <c r="B3766">
        <v>8012108</v>
      </c>
      <c r="D3766" s="11" t="s">
        <v>12468</v>
      </c>
      <c r="E3766" s="11" t="s">
        <v>12469</v>
      </c>
    </row>
    <row r="3767" spans="1:5">
      <c r="A3767" s="11" t="s">
        <v>12470</v>
      </c>
      <c r="B3767">
        <v>8003455</v>
      </c>
      <c r="D3767" s="11" t="s">
        <v>12471</v>
      </c>
      <c r="E3767" s="11" t="s">
        <v>12472</v>
      </c>
    </row>
    <row r="3768" spans="1:5">
      <c r="A3768" s="11" t="s">
        <v>12473</v>
      </c>
      <c r="B3768">
        <v>8003457</v>
      </c>
      <c r="D3768" s="11" t="s">
        <v>12474</v>
      </c>
      <c r="E3768" s="11" t="s">
        <v>12475</v>
      </c>
    </row>
    <row r="3769" spans="1:5">
      <c r="A3769" s="11" t="s">
        <v>12476</v>
      </c>
      <c r="B3769">
        <v>8001179</v>
      </c>
      <c r="D3769" s="11" t="s">
        <v>12477</v>
      </c>
      <c r="E3769" s="11" t="s">
        <v>12478</v>
      </c>
    </row>
    <row r="3770" spans="1:5">
      <c r="A3770" s="11" t="s">
        <v>12479</v>
      </c>
      <c r="B3770">
        <v>8012113</v>
      </c>
      <c r="D3770" s="11" t="s">
        <v>12480</v>
      </c>
      <c r="E3770" s="11" t="s">
        <v>12481</v>
      </c>
    </row>
    <row r="3771" spans="1:5">
      <c r="A3771" s="11" t="s">
        <v>12482</v>
      </c>
      <c r="B3771">
        <v>8012114</v>
      </c>
      <c r="D3771" s="11" t="s">
        <v>12483</v>
      </c>
      <c r="E3771" s="11" t="s">
        <v>12484</v>
      </c>
    </row>
    <row r="3772" spans="1:5">
      <c r="A3772" s="11" t="s">
        <v>12485</v>
      </c>
      <c r="B3772">
        <v>8071883</v>
      </c>
      <c r="D3772" s="11" t="s">
        <v>12486</v>
      </c>
      <c r="E3772" s="11" t="s">
        <v>12487</v>
      </c>
    </row>
    <row r="3773" spans="1:5">
      <c r="A3773" s="11" t="s">
        <v>12488</v>
      </c>
      <c r="B3773">
        <v>8003460</v>
      </c>
      <c r="D3773" s="11" t="s">
        <v>12489</v>
      </c>
      <c r="E3773" s="11" t="s">
        <v>12490</v>
      </c>
    </row>
    <row r="3774" spans="1:5">
      <c r="A3774" s="11" t="s">
        <v>12491</v>
      </c>
      <c r="B3774">
        <v>8012115</v>
      </c>
      <c r="D3774" s="11" t="s">
        <v>12492</v>
      </c>
      <c r="E3774" s="11" t="s">
        <v>12493</v>
      </c>
    </row>
    <row r="3775" spans="1:5">
      <c r="A3775" s="11" t="s">
        <v>12494</v>
      </c>
      <c r="B3775">
        <v>8003461</v>
      </c>
      <c r="D3775" s="11" t="s">
        <v>12495</v>
      </c>
      <c r="E3775" s="11" t="s">
        <v>12496</v>
      </c>
    </row>
    <row r="3776" spans="1:5">
      <c r="A3776" s="11" t="s">
        <v>12497</v>
      </c>
      <c r="B3776">
        <v>8080820</v>
      </c>
      <c r="D3776" s="11" t="s">
        <v>12498</v>
      </c>
      <c r="E3776" s="11" t="s">
        <v>12499</v>
      </c>
    </row>
    <row r="3777" spans="1:5">
      <c r="A3777" s="11" t="s">
        <v>12500</v>
      </c>
      <c r="B3777">
        <v>8010198</v>
      </c>
      <c r="D3777" s="11" t="s">
        <v>12501</v>
      </c>
      <c r="E3777" s="11" t="s">
        <v>12502</v>
      </c>
    </row>
    <row r="3778" spans="1:5">
      <c r="A3778" s="11" t="s">
        <v>12503</v>
      </c>
      <c r="B3778">
        <v>8012117</v>
      </c>
      <c r="D3778" s="11" t="s">
        <v>12504</v>
      </c>
      <c r="E3778" s="11" t="s">
        <v>12505</v>
      </c>
    </row>
    <row r="3779" spans="1:5">
      <c r="A3779" s="11" t="s">
        <v>242</v>
      </c>
      <c r="B3779">
        <v>8003476</v>
      </c>
      <c r="D3779" s="11" t="s">
        <v>244</v>
      </c>
      <c r="E3779" s="11" t="s">
        <v>245</v>
      </c>
    </row>
    <row r="3780" spans="1:5">
      <c r="A3780" s="11" t="s">
        <v>12506</v>
      </c>
      <c r="B3780">
        <v>8003467</v>
      </c>
      <c r="D3780" s="11" t="s">
        <v>12507</v>
      </c>
      <c r="E3780" s="11" t="s">
        <v>12508</v>
      </c>
    </row>
    <row r="3781" spans="1:5">
      <c r="A3781" s="11" t="s">
        <v>12509</v>
      </c>
      <c r="B3781">
        <v>8012127</v>
      </c>
      <c r="D3781" s="11" t="s">
        <v>12510</v>
      </c>
      <c r="E3781" s="11" t="s">
        <v>12511</v>
      </c>
    </row>
    <row r="3782" spans="1:5">
      <c r="A3782" s="11" t="s">
        <v>12512</v>
      </c>
      <c r="B3782">
        <v>8012129</v>
      </c>
      <c r="D3782" s="11" t="s">
        <v>12513</v>
      </c>
      <c r="E3782" s="11" t="s">
        <v>12514</v>
      </c>
    </row>
    <row r="3783" spans="1:5">
      <c r="A3783" s="11" t="s">
        <v>12515</v>
      </c>
      <c r="B3783">
        <v>8012605</v>
      </c>
      <c r="D3783" s="11" t="s">
        <v>12516</v>
      </c>
      <c r="E3783" s="11" t="s">
        <v>12517</v>
      </c>
    </row>
    <row r="3784" spans="1:5">
      <c r="A3784" s="11" t="s">
        <v>12518</v>
      </c>
      <c r="B3784">
        <v>8003469</v>
      </c>
      <c r="D3784" s="11" t="s">
        <v>12519</v>
      </c>
      <c r="E3784" s="11" t="s">
        <v>12520</v>
      </c>
    </row>
    <row r="3785" spans="1:5">
      <c r="A3785" s="11" t="s">
        <v>12521</v>
      </c>
      <c r="B3785">
        <v>8003470</v>
      </c>
      <c r="D3785" s="11" t="s">
        <v>12522</v>
      </c>
      <c r="E3785" s="11" t="s">
        <v>12523</v>
      </c>
    </row>
    <row r="3786" spans="1:5">
      <c r="A3786" s="11" t="s">
        <v>12524</v>
      </c>
      <c r="B3786">
        <v>8087022</v>
      </c>
      <c r="D3786" s="11" t="s">
        <v>12525</v>
      </c>
      <c r="E3786" s="11" t="s">
        <v>12526</v>
      </c>
    </row>
    <row r="3787" spans="1:5">
      <c r="A3787" s="11" t="s">
        <v>12527</v>
      </c>
      <c r="B3787">
        <v>8003478</v>
      </c>
      <c r="D3787" s="11" t="s">
        <v>12528</v>
      </c>
      <c r="E3787" s="11" t="s">
        <v>12529</v>
      </c>
    </row>
    <row r="3788" spans="1:5">
      <c r="A3788" s="11" t="s">
        <v>12530</v>
      </c>
      <c r="B3788">
        <v>8003480</v>
      </c>
      <c r="D3788" s="11" t="s">
        <v>12531</v>
      </c>
      <c r="E3788" s="11" t="s">
        <v>12532</v>
      </c>
    </row>
    <row r="3789" spans="1:5">
      <c r="A3789" s="11" t="s">
        <v>12533</v>
      </c>
      <c r="B3789">
        <v>8003472</v>
      </c>
      <c r="D3789" s="11" t="s">
        <v>12534</v>
      </c>
      <c r="E3789" s="11" t="s">
        <v>12535</v>
      </c>
    </row>
    <row r="3790" spans="1:5">
      <c r="A3790" s="11" t="s">
        <v>12536</v>
      </c>
      <c r="B3790">
        <v>8010040</v>
      </c>
      <c r="D3790" s="11" t="s">
        <v>12537</v>
      </c>
      <c r="E3790" s="11" t="s">
        <v>12538</v>
      </c>
    </row>
    <row r="3791" spans="1:5">
      <c r="A3791" s="11" t="s">
        <v>12539</v>
      </c>
      <c r="B3791">
        <v>8011019</v>
      </c>
      <c r="D3791" s="11" t="s">
        <v>12540</v>
      </c>
      <c r="E3791" s="11" t="s">
        <v>12541</v>
      </c>
    </row>
    <row r="3792" spans="1:5">
      <c r="A3792" s="11" t="s">
        <v>12542</v>
      </c>
      <c r="B3792">
        <v>8012131</v>
      </c>
      <c r="D3792" s="11" t="s">
        <v>12543</v>
      </c>
      <c r="E3792" s="11" t="s">
        <v>12544</v>
      </c>
    </row>
    <row r="3793" spans="1:5">
      <c r="A3793" s="11" t="s">
        <v>12545</v>
      </c>
      <c r="B3793">
        <v>8012132</v>
      </c>
      <c r="D3793" s="11" t="s">
        <v>7892</v>
      </c>
      <c r="E3793" s="11" t="s">
        <v>12546</v>
      </c>
    </row>
    <row r="3794" spans="1:5">
      <c r="A3794" s="11" t="s">
        <v>12547</v>
      </c>
      <c r="B3794">
        <v>8012133</v>
      </c>
      <c r="D3794" s="11" t="s">
        <v>12548</v>
      </c>
      <c r="E3794" s="11" t="s">
        <v>12549</v>
      </c>
    </row>
    <row r="3795" spans="1:5">
      <c r="A3795" s="11" t="s">
        <v>12550</v>
      </c>
      <c r="B3795">
        <v>8012134</v>
      </c>
      <c r="D3795" s="11" t="s">
        <v>12551</v>
      </c>
      <c r="E3795" s="11" t="s">
        <v>12552</v>
      </c>
    </row>
    <row r="3796" spans="1:5">
      <c r="A3796" s="11" t="s">
        <v>12553</v>
      </c>
      <c r="B3796">
        <v>8012135</v>
      </c>
      <c r="D3796" s="11" t="s">
        <v>12554</v>
      </c>
      <c r="E3796" s="11" t="s">
        <v>12555</v>
      </c>
    </row>
    <row r="3797" spans="1:5">
      <c r="A3797" s="11" t="s">
        <v>12556</v>
      </c>
      <c r="B3797">
        <v>8012136</v>
      </c>
      <c r="D3797" s="11" t="s">
        <v>12557</v>
      </c>
      <c r="E3797" s="11" t="s">
        <v>12558</v>
      </c>
    </row>
    <row r="3798" spans="1:5">
      <c r="A3798" s="11" t="s">
        <v>12559</v>
      </c>
      <c r="B3798">
        <v>8012138</v>
      </c>
      <c r="D3798" s="11" t="s">
        <v>12560</v>
      </c>
      <c r="E3798" s="11" t="s">
        <v>12561</v>
      </c>
    </row>
    <row r="3799" spans="1:5">
      <c r="A3799" s="11" t="s">
        <v>12562</v>
      </c>
      <c r="B3799">
        <v>8003481</v>
      </c>
      <c r="D3799" s="11" t="s">
        <v>12563</v>
      </c>
      <c r="E3799" s="11" t="s">
        <v>12564</v>
      </c>
    </row>
    <row r="3800" spans="1:5">
      <c r="A3800" s="11" t="s">
        <v>12565</v>
      </c>
      <c r="B3800">
        <v>8010189</v>
      </c>
      <c r="D3800" s="11" t="s">
        <v>12566</v>
      </c>
      <c r="E3800" s="11" t="s">
        <v>12567</v>
      </c>
    </row>
    <row r="3801" spans="1:5">
      <c r="A3801" s="11" t="s">
        <v>12568</v>
      </c>
      <c r="B3801">
        <v>8007844</v>
      </c>
      <c r="D3801" s="11" t="s">
        <v>12569</v>
      </c>
      <c r="E3801" s="11" t="s">
        <v>12570</v>
      </c>
    </row>
    <row r="3802" spans="1:5">
      <c r="A3802" s="11" t="s">
        <v>12571</v>
      </c>
      <c r="B3802">
        <v>8003483</v>
      </c>
      <c r="D3802" s="11" t="s">
        <v>12572</v>
      </c>
      <c r="E3802" s="11" t="s">
        <v>12573</v>
      </c>
    </row>
    <row r="3803" spans="1:5">
      <c r="A3803" s="11" t="s">
        <v>12574</v>
      </c>
      <c r="B3803">
        <v>8012141</v>
      </c>
      <c r="D3803" s="11" t="s">
        <v>12575</v>
      </c>
      <c r="E3803" s="11" t="s">
        <v>12576</v>
      </c>
    </row>
    <row r="3804" spans="1:5">
      <c r="A3804" s="11" t="s">
        <v>12577</v>
      </c>
      <c r="B3804">
        <v>8003484</v>
      </c>
      <c r="D3804" s="11" t="s">
        <v>12578</v>
      </c>
      <c r="E3804" s="11" t="s">
        <v>12579</v>
      </c>
    </row>
    <row r="3805" spans="1:5">
      <c r="A3805" s="11" t="s">
        <v>12580</v>
      </c>
      <c r="B3805">
        <v>8012142</v>
      </c>
      <c r="D3805" s="11" t="s">
        <v>12581</v>
      </c>
      <c r="E3805" s="11" t="s">
        <v>12582</v>
      </c>
    </row>
    <row r="3806" spans="1:5">
      <c r="A3806" s="11" t="s">
        <v>12583</v>
      </c>
      <c r="B3806">
        <v>8017159</v>
      </c>
      <c r="D3806" s="11" t="s">
        <v>12584</v>
      </c>
      <c r="E3806" s="11" t="s">
        <v>12585</v>
      </c>
    </row>
    <row r="3807" spans="1:5">
      <c r="A3807" s="11" t="s">
        <v>12586</v>
      </c>
      <c r="B3807">
        <v>8003485</v>
      </c>
      <c r="D3807" s="11" t="s">
        <v>12587</v>
      </c>
      <c r="E3807" s="11" t="s">
        <v>12588</v>
      </c>
    </row>
    <row r="3808" spans="1:5">
      <c r="A3808" s="11" t="s">
        <v>12589</v>
      </c>
      <c r="B3808">
        <v>8072970</v>
      </c>
      <c r="D3808" s="11" t="s">
        <v>12590</v>
      </c>
      <c r="E3808" s="11" t="s">
        <v>12591</v>
      </c>
    </row>
    <row r="3809" spans="1:5">
      <c r="A3809" s="11" t="s">
        <v>12592</v>
      </c>
      <c r="B3809">
        <v>8012143</v>
      </c>
      <c r="D3809" s="11" t="s">
        <v>12593</v>
      </c>
      <c r="E3809" s="11" t="s">
        <v>12594</v>
      </c>
    </row>
    <row r="3810" spans="1:5">
      <c r="A3810" s="11" t="s">
        <v>12595</v>
      </c>
      <c r="B3810">
        <v>8003488</v>
      </c>
      <c r="D3810" s="11" t="s">
        <v>12596</v>
      </c>
      <c r="E3810" s="11" t="s">
        <v>12597</v>
      </c>
    </row>
    <row r="3811" spans="1:5">
      <c r="A3811" s="11" t="s">
        <v>12598</v>
      </c>
      <c r="B3811">
        <v>8003489</v>
      </c>
      <c r="D3811" s="11" t="s">
        <v>12599</v>
      </c>
      <c r="E3811" s="11" t="s">
        <v>12600</v>
      </c>
    </row>
    <row r="3812" spans="1:5">
      <c r="A3812" s="11" t="s">
        <v>12601</v>
      </c>
      <c r="B3812">
        <v>8000215</v>
      </c>
      <c r="D3812" s="11" t="s">
        <v>12602</v>
      </c>
      <c r="E3812" s="11" t="s">
        <v>12603</v>
      </c>
    </row>
    <row r="3813" spans="1:5">
      <c r="A3813" s="11" t="s">
        <v>12604</v>
      </c>
      <c r="B3813">
        <v>8003490</v>
      </c>
      <c r="D3813" s="11" t="s">
        <v>12605</v>
      </c>
      <c r="E3813" s="11" t="s">
        <v>12606</v>
      </c>
    </row>
    <row r="3814" spans="1:5">
      <c r="A3814" s="11" t="s">
        <v>12607</v>
      </c>
      <c r="B3814">
        <v>8005291</v>
      </c>
      <c r="D3814" s="11" t="s">
        <v>12608</v>
      </c>
      <c r="E3814" s="11" t="s">
        <v>12609</v>
      </c>
    </row>
    <row r="3815" spans="1:5">
      <c r="A3815" s="11" t="s">
        <v>12610</v>
      </c>
      <c r="B3815">
        <v>8003494</v>
      </c>
      <c r="D3815" s="11" t="s">
        <v>12611</v>
      </c>
      <c r="E3815" s="11" t="s">
        <v>12612</v>
      </c>
    </row>
    <row r="3816" spans="1:5">
      <c r="A3816" s="11" t="s">
        <v>12613</v>
      </c>
      <c r="B3816">
        <v>8003495</v>
      </c>
      <c r="D3816" s="11" t="s">
        <v>12614</v>
      </c>
      <c r="E3816" s="11" t="s">
        <v>12615</v>
      </c>
    </row>
    <row r="3817" spans="1:5">
      <c r="A3817" s="11" t="s">
        <v>12616</v>
      </c>
      <c r="B3817">
        <v>8010199</v>
      </c>
      <c r="D3817" s="11" t="s">
        <v>12617</v>
      </c>
      <c r="E3817" s="11" t="s">
        <v>12618</v>
      </c>
    </row>
    <row r="3818" spans="1:5">
      <c r="A3818" s="11" t="s">
        <v>12619</v>
      </c>
      <c r="B3818">
        <v>8079740</v>
      </c>
      <c r="D3818" s="11" t="s">
        <v>12620</v>
      </c>
      <c r="E3818" s="11" t="s">
        <v>12621</v>
      </c>
    </row>
    <row r="3819" spans="1:5">
      <c r="A3819" s="11" t="s">
        <v>12622</v>
      </c>
      <c r="B3819">
        <v>8007345</v>
      </c>
      <c r="D3819" s="11" t="s">
        <v>12623</v>
      </c>
      <c r="E3819" s="11" t="s">
        <v>12624</v>
      </c>
    </row>
    <row r="3820" spans="1:5">
      <c r="A3820" s="11" t="s">
        <v>12625</v>
      </c>
      <c r="B3820">
        <v>8003497</v>
      </c>
      <c r="D3820" s="11" t="s">
        <v>12626</v>
      </c>
      <c r="E3820" s="11" t="s">
        <v>12627</v>
      </c>
    </row>
    <row r="3821" spans="1:5">
      <c r="A3821" s="11" t="s">
        <v>12628</v>
      </c>
      <c r="B3821">
        <v>8003498</v>
      </c>
      <c r="D3821" s="11" t="s">
        <v>12629</v>
      </c>
      <c r="E3821" s="11" t="s">
        <v>12630</v>
      </c>
    </row>
    <row r="3822" spans="1:5">
      <c r="A3822" s="11" t="s">
        <v>12631</v>
      </c>
      <c r="B3822">
        <v>8079065</v>
      </c>
      <c r="D3822" s="11" t="s">
        <v>12632</v>
      </c>
      <c r="E3822" s="11" t="s">
        <v>12633</v>
      </c>
    </row>
    <row r="3823" spans="1:5">
      <c r="A3823" s="11" t="s">
        <v>12634</v>
      </c>
      <c r="B3823">
        <v>8003503</v>
      </c>
      <c r="D3823" s="11" t="s">
        <v>12635</v>
      </c>
      <c r="E3823" s="11" t="s">
        <v>12636</v>
      </c>
    </row>
    <row r="3824" spans="1:5">
      <c r="A3824" s="11" t="s">
        <v>12637</v>
      </c>
      <c r="B3824">
        <v>8003504</v>
      </c>
      <c r="D3824" s="11" t="s">
        <v>12638</v>
      </c>
      <c r="E3824" s="11" t="s">
        <v>12639</v>
      </c>
    </row>
    <row r="3825" spans="1:5">
      <c r="A3825" s="11" t="s">
        <v>12640</v>
      </c>
      <c r="B3825">
        <v>8012145</v>
      </c>
      <c r="D3825" s="11" t="s">
        <v>12641</v>
      </c>
      <c r="E3825" s="11" t="s">
        <v>12642</v>
      </c>
    </row>
    <row r="3826" spans="1:5">
      <c r="A3826" s="11" t="s">
        <v>12643</v>
      </c>
      <c r="B3826">
        <v>8012146</v>
      </c>
      <c r="D3826" s="11" t="s">
        <v>12644</v>
      </c>
      <c r="E3826" s="11" t="s">
        <v>12645</v>
      </c>
    </row>
    <row r="3827" spans="1:5">
      <c r="A3827" s="11" t="s">
        <v>12646</v>
      </c>
      <c r="B3827">
        <v>8071175</v>
      </c>
      <c r="D3827" s="11" t="s">
        <v>12647</v>
      </c>
      <c r="E3827" s="11" t="s">
        <v>12648</v>
      </c>
    </row>
    <row r="3828" spans="1:5">
      <c r="A3828" s="11" t="s">
        <v>12649</v>
      </c>
      <c r="B3828">
        <v>8003506</v>
      </c>
      <c r="D3828" s="11" t="s">
        <v>12650</v>
      </c>
      <c r="E3828" s="11" t="s">
        <v>12651</v>
      </c>
    </row>
    <row r="3829" spans="1:5">
      <c r="A3829" s="11" t="s">
        <v>12652</v>
      </c>
      <c r="B3829">
        <v>8000216</v>
      </c>
      <c r="D3829" s="11" t="s">
        <v>12653</v>
      </c>
      <c r="E3829" s="11" t="s">
        <v>12654</v>
      </c>
    </row>
    <row r="3830" spans="1:5">
      <c r="A3830" s="11" t="s">
        <v>12655</v>
      </c>
      <c r="B3830">
        <v>8003507</v>
      </c>
      <c r="D3830" s="11" t="s">
        <v>12656</v>
      </c>
      <c r="E3830" s="11" t="s">
        <v>12657</v>
      </c>
    </row>
    <row r="3831" spans="1:5">
      <c r="A3831" s="11" t="s">
        <v>12658</v>
      </c>
      <c r="B3831">
        <v>8003508</v>
      </c>
      <c r="D3831" s="11" t="s">
        <v>12659</v>
      </c>
      <c r="E3831" s="11" t="s">
        <v>12660</v>
      </c>
    </row>
    <row r="3832" spans="1:5">
      <c r="A3832" s="11" t="s">
        <v>12661</v>
      </c>
      <c r="B3832">
        <v>8012147</v>
      </c>
      <c r="D3832" s="11" t="s">
        <v>12662</v>
      </c>
      <c r="E3832" s="11" t="s">
        <v>12663</v>
      </c>
    </row>
    <row r="3833" spans="1:5">
      <c r="A3833" s="11" t="s">
        <v>12664</v>
      </c>
      <c r="B3833">
        <v>8012148</v>
      </c>
      <c r="D3833" s="11" t="s">
        <v>12665</v>
      </c>
      <c r="E3833" s="11" t="s">
        <v>12666</v>
      </c>
    </row>
    <row r="3834" spans="1:5">
      <c r="A3834" s="11" t="s">
        <v>12667</v>
      </c>
      <c r="B3834">
        <v>8005389</v>
      </c>
      <c r="D3834" s="11" t="s">
        <v>12668</v>
      </c>
      <c r="E3834" s="11" t="s">
        <v>12669</v>
      </c>
    </row>
    <row r="3835" spans="1:5">
      <c r="A3835" s="11" t="s">
        <v>12670</v>
      </c>
      <c r="B3835">
        <v>8003512</v>
      </c>
      <c r="D3835" s="11" t="s">
        <v>12671</v>
      </c>
      <c r="E3835" s="11" t="s">
        <v>12672</v>
      </c>
    </row>
    <row r="3836" spans="1:5">
      <c r="A3836" s="11" t="s">
        <v>12673</v>
      </c>
      <c r="B3836">
        <v>8000217</v>
      </c>
      <c r="D3836" s="11" t="s">
        <v>12674</v>
      </c>
      <c r="E3836" s="11" t="s">
        <v>12675</v>
      </c>
    </row>
    <row r="3837" spans="1:5">
      <c r="A3837" s="11" t="s">
        <v>12676</v>
      </c>
      <c r="B3837">
        <v>8003514</v>
      </c>
      <c r="D3837" s="11" t="s">
        <v>12677</v>
      </c>
      <c r="E3837" s="11" t="s">
        <v>12678</v>
      </c>
    </row>
    <row r="3838" spans="1:5">
      <c r="A3838" s="11" t="s">
        <v>12679</v>
      </c>
      <c r="B3838">
        <v>8003515</v>
      </c>
      <c r="D3838" s="11" t="s">
        <v>12680</v>
      </c>
      <c r="E3838" s="11" t="s">
        <v>12681</v>
      </c>
    </row>
    <row r="3839" spans="1:5">
      <c r="A3839" s="11" t="s">
        <v>12682</v>
      </c>
      <c r="B3839">
        <v>8003516</v>
      </c>
      <c r="D3839" s="11" t="s">
        <v>12683</v>
      </c>
      <c r="E3839" s="11" t="s">
        <v>12684</v>
      </c>
    </row>
    <row r="3840" spans="1:5">
      <c r="A3840" s="11" t="s">
        <v>12685</v>
      </c>
      <c r="B3840">
        <v>8003520</v>
      </c>
      <c r="D3840" s="11" t="s">
        <v>12686</v>
      </c>
      <c r="E3840" s="11" t="s">
        <v>12687</v>
      </c>
    </row>
    <row r="3841" spans="1:5">
      <c r="A3841" s="11" t="s">
        <v>12688</v>
      </c>
      <c r="B3841">
        <v>8003521</v>
      </c>
      <c r="D3841" s="11" t="s">
        <v>12689</v>
      </c>
      <c r="E3841" s="11" t="s">
        <v>12690</v>
      </c>
    </row>
    <row r="3842" spans="1:5">
      <c r="A3842" s="11" t="s">
        <v>12691</v>
      </c>
      <c r="B3842">
        <v>8012150</v>
      </c>
      <c r="D3842" s="11" t="s">
        <v>12692</v>
      </c>
      <c r="E3842" s="11" t="s">
        <v>12693</v>
      </c>
    </row>
    <row r="3843" spans="1:5">
      <c r="A3843" s="11" t="s">
        <v>12694</v>
      </c>
      <c r="B3843">
        <v>8007137</v>
      </c>
      <c r="D3843" s="11" t="s">
        <v>12695</v>
      </c>
      <c r="E3843" s="11" t="s">
        <v>12696</v>
      </c>
    </row>
    <row r="3844" spans="1:5">
      <c r="A3844" s="11" t="s">
        <v>12697</v>
      </c>
      <c r="B3844">
        <v>8003522</v>
      </c>
      <c r="D3844" s="11" t="s">
        <v>12698</v>
      </c>
      <c r="E3844" s="11" t="s">
        <v>12699</v>
      </c>
    </row>
    <row r="3845" spans="1:5">
      <c r="A3845" s="11" t="s">
        <v>12700</v>
      </c>
      <c r="B3845">
        <v>8070798</v>
      </c>
      <c r="D3845" s="11" t="s">
        <v>12701</v>
      </c>
      <c r="E3845" s="11" t="s">
        <v>12702</v>
      </c>
    </row>
    <row r="3846" spans="1:5">
      <c r="A3846" s="11" t="s">
        <v>12703</v>
      </c>
      <c r="B3846">
        <v>8003523</v>
      </c>
      <c r="D3846" s="11" t="s">
        <v>12704</v>
      </c>
      <c r="E3846" s="11" t="s">
        <v>12705</v>
      </c>
    </row>
    <row r="3847" spans="1:5">
      <c r="A3847" s="11" t="s">
        <v>12706</v>
      </c>
      <c r="B3847">
        <v>8003524</v>
      </c>
      <c r="D3847" s="11" t="s">
        <v>12707</v>
      </c>
      <c r="E3847" s="11" t="s">
        <v>12708</v>
      </c>
    </row>
    <row r="3848" spans="1:5">
      <c r="A3848" s="11" t="s">
        <v>12709</v>
      </c>
      <c r="B3848">
        <v>8073524</v>
      </c>
      <c r="D3848" s="11" t="s">
        <v>12710</v>
      </c>
      <c r="E3848" s="11" t="s">
        <v>12711</v>
      </c>
    </row>
    <row r="3849" spans="1:5">
      <c r="A3849" s="11" t="s">
        <v>12712</v>
      </c>
      <c r="B3849">
        <v>8003525</v>
      </c>
      <c r="D3849" s="11" t="s">
        <v>12713</v>
      </c>
      <c r="E3849" s="11" t="s">
        <v>12714</v>
      </c>
    </row>
    <row r="3850" spans="1:5">
      <c r="A3850" s="11" t="s">
        <v>12715</v>
      </c>
      <c r="B3850">
        <v>8003528</v>
      </c>
      <c r="D3850" s="11" t="s">
        <v>12716</v>
      </c>
      <c r="E3850" s="11" t="s">
        <v>12717</v>
      </c>
    </row>
    <row r="3851" spans="1:5">
      <c r="A3851" s="11" t="s">
        <v>12718</v>
      </c>
      <c r="B3851">
        <v>8003532</v>
      </c>
      <c r="D3851" s="11" t="s">
        <v>12719</v>
      </c>
      <c r="E3851" s="11" t="s">
        <v>12720</v>
      </c>
    </row>
    <row r="3852" spans="1:5">
      <c r="A3852" s="11" t="s">
        <v>12721</v>
      </c>
      <c r="B3852">
        <v>8012155</v>
      </c>
      <c r="D3852" s="11" t="s">
        <v>12722</v>
      </c>
      <c r="E3852" s="11" t="s">
        <v>12723</v>
      </c>
    </row>
    <row r="3853" spans="1:5">
      <c r="A3853" s="11" t="s">
        <v>12724</v>
      </c>
      <c r="B3853">
        <v>8012156</v>
      </c>
      <c r="D3853" s="11" t="s">
        <v>12725</v>
      </c>
      <c r="E3853" s="11" t="s">
        <v>12726</v>
      </c>
    </row>
    <row r="3854" spans="1:5">
      <c r="A3854" s="11" t="s">
        <v>12727</v>
      </c>
      <c r="B3854">
        <v>8003540</v>
      </c>
      <c r="D3854" s="11" t="s">
        <v>12728</v>
      </c>
      <c r="E3854" s="11" t="s">
        <v>12729</v>
      </c>
    </row>
    <row r="3855" spans="1:5">
      <c r="A3855" s="11" t="s">
        <v>12730</v>
      </c>
      <c r="B3855">
        <v>8003539</v>
      </c>
      <c r="D3855" s="11" t="s">
        <v>12731</v>
      </c>
      <c r="E3855" s="11" t="s">
        <v>12732</v>
      </c>
    </row>
    <row r="3856" spans="1:5">
      <c r="A3856" s="11" t="s">
        <v>12733</v>
      </c>
      <c r="B3856">
        <v>8003526</v>
      </c>
      <c r="D3856" s="11" t="s">
        <v>12734</v>
      </c>
      <c r="E3856" s="11" t="s">
        <v>12735</v>
      </c>
    </row>
    <row r="3857" spans="1:5">
      <c r="A3857" s="11" t="s">
        <v>12736</v>
      </c>
      <c r="B3857">
        <v>8003545</v>
      </c>
      <c r="D3857" s="11" t="s">
        <v>12737</v>
      </c>
      <c r="E3857" s="11" t="s">
        <v>12738</v>
      </c>
    </row>
    <row r="3858" spans="1:5">
      <c r="A3858" s="11" t="s">
        <v>12739</v>
      </c>
      <c r="B3858">
        <v>8003542</v>
      </c>
      <c r="D3858" s="11" t="s">
        <v>12740</v>
      </c>
      <c r="E3858" s="11" t="s">
        <v>12741</v>
      </c>
    </row>
    <row r="3859" spans="1:5">
      <c r="A3859" s="11" t="s">
        <v>12742</v>
      </c>
      <c r="B3859">
        <v>8003165</v>
      </c>
      <c r="D3859" s="11" t="s">
        <v>12743</v>
      </c>
      <c r="E3859" s="11" t="s">
        <v>12744</v>
      </c>
    </row>
    <row r="3860" spans="1:5">
      <c r="A3860" s="11" t="s">
        <v>12745</v>
      </c>
      <c r="B3860">
        <v>8003543</v>
      </c>
      <c r="D3860" s="11" t="s">
        <v>12746</v>
      </c>
      <c r="E3860" s="11" t="s">
        <v>12747</v>
      </c>
    </row>
    <row r="3861" spans="1:5">
      <c r="A3861" s="11" t="s">
        <v>12748</v>
      </c>
      <c r="B3861">
        <v>8003544</v>
      </c>
      <c r="D3861" s="11" t="s">
        <v>12749</v>
      </c>
      <c r="E3861" s="11" t="s">
        <v>12750</v>
      </c>
    </row>
    <row r="3862" spans="1:5">
      <c r="A3862" s="11" t="s">
        <v>12751</v>
      </c>
      <c r="B3862">
        <v>8000585</v>
      </c>
      <c r="D3862" s="11" t="s">
        <v>12752</v>
      </c>
      <c r="E3862" s="11" t="s">
        <v>12753</v>
      </c>
    </row>
    <row r="3863" spans="1:5">
      <c r="A3863" s="11" t="s">
        <v>12754</v>
      </c>
      <c r="B3863">
        <v>8007065</v>
      </c>
      <c r="D3863" s="11" t="s">
        <v>12755</v>
      </c>
      <c r="E3863" s="11" t="s">
        <v>12756</v>
      </c>
    </row>
    <row r="3864" spans="1:5">
      <c r="A3864" s="11" t="s">
        <v>12757</v>
      </c>
      <c r="B3864">
        <v>8012159</v>
      </c>
      <c r="D3864" s="11" t="s">
        <v>12758</v>
      </c>
      <c r="E3864" s="11" t="s">
        <v>12759</v>
      </c>
    </row>
    <row r="3865" spans="1:5">
      <c r="A3865" s="11" t="s">
        <v>12760</v>
      </c>
      <c r="B3865">
        <v>8012160</v>
      </c>
      <c r="D3865" s="11" t="s">
        <v>12761</v>
      </c>
      <c r="E3865" s="11" t="s">
        <v>12762</v>
      </c>
    </row>
    <row r="3866" spans="1:5">
      <c r="A3866" s="11" t="s">
        <v>12763</v>
      </c>
      <c r="B3866">
        <v>8003548</v>
      </c>
      <c r="D3866" s="11" t="s">
        <v>12764</v>
      </c>
      <c r="E3866" s="11" t="s">
        <v>12765</v>
      </c>
    </row>
    <row r="3867" spans="1:5">
      <c r="A3867" s="11" t="s">
        <v>12766</v>
      </c>
      <c r="B3867">
        <v>8003550</v>
      </c>
      <c r="D3867" s="11" t="s">
        <v>12767</v>
      </c>
      <c r="E3867" s="11" t="s">
        <v>12768</v>
      </c>
    </row>
    <row r="3868" spans="1:5">
      <c r="A3868" s="11" t="s">
        <v>12769</v>
      </c>
      <c r="B3868">
        <v>8012161</v>
      </c>
      <c r="D3868" s="11" t="s">
        <v>12770</v>
      </c>
      <c r="E3868" s="11" t="s">
        <v>12771</v>
      </c>
    </row>
    <row r="3869" spans="1:5">
      <c r="A3869" s="11" t="s">
        <v>12772</v>
      </c>
      <c r="B3869">
        <v>8007013</v>
      </c>
      <c r="D3869" s="11" t="s">
        <v>12773</v>
      </c>
      <c r="E3869" s="11" t="s">
        <v>12774</v>
      </c>
    </row>
    <row r="3870" spans="1:5">
      <c r="A3870" s="11" t="s">
        <v>12775</v>
      </c>
      <c r="B3870">
        <v>8003551</v>
      </c>
      <c r="D3870" s="11" t="s">
        <v>12776</v>
      </c>
      <c r="E3870" s="11" t="s">
        <v>12777</v>
      </c>
    </row>
    <row r="3871" spans="1:5">
      <c r="A3871" s="11" t="s">
        <v>12778</v>
      </c>
      <c r="B3871">
        <v>8012162</v>
      </c>
      <c r="D3871" s="11" t="s">
        <v>12779</v>
      </c>
      <c r="E3871" s="11" t="s">
        <v>12780</v>
      </c>
    </row>
    <row r="3872" spans="1:5">
      <c r="A3872" s="11" t="s">
        <v>12781</v>
      </c>
      <c r="B3872">
        <v>8012163</v>
      </c>
      <c r="D3872" s="11" t="s">
        <v>12782</v>
      </c>
      <c r="E3872" s="11" t="s">
        <v>12783</v>
      </c>
    </row>
    <row r="3873" spans="1:5">
      <c r="A3873" s="11" t="s">
        <v>12784</v>
      </c>
      <c r="B3873">
        <v>8012164</v>
      </c>
      <c r="D3873" s="11" t="s">
        <v>12785</v>
      </c>
      <c r="E3873" s="11" t="s">
        <v>12786</v>
      </c>
    </row>
    <row r="3874" spans="1:5">
      <c r="A3874" s="11" t="s">
        <v>12787</v>
      </c>
      <c r="B3874">
        <v>8003552</v>
      </c>
      <c r="D3874" s="11" t="s">
        <v>12788</v>
      </c>
      <c r="E3874" s="11" t="s">
        <v>12789</v>
      </c>
    </row>
    <row r="3875" spans="1:5">
      <c r="A3875" s="11" t="s">
        <v>12790</v>
      </c>
      <c r="B3875">
        <v>8007765</v>
      </c>
      <c r="D3875" s="11" t="s">
        <v>12791</v>
      </c>
      <c r="E3875" s="11" t="s">
        <v>12792</v>
      </c>
    </row>
    <row r="3876" spans="1:5">
      <c r="A3876" s="11" t="s">
        <v>12793</v>
      </c>
      <c r="B3876">
        <v>8003553</v>
      </c>
      <c r="D3876" s="11" t="s">
        <v>12794</v>
      </c>
      <c r="E3876" s="11" t="s">
        <v>12795</v>
      </c>
    </row>
    <row r="3877" spans="1:5">
      <c r="A3877" s="11" t="s">
        <v>12796</v>
      </c>
      <c r="B3877">
        <v>8010201</v>
      </c>
      <c r="D3877" s="11" t="s">
        <v>12797</v>
      </c>
      <c r="E3877" s="11" t="s">
        <v>12798</v>
      </c>
    </row>
    <row r="3878" spans="1:5">
      <c r="A3878" s="11" t="s">
        <v>12799</v>
      </c>
      <c r="B3878">
        <v>8003554</v>
      </c>
      <c r="D3878" s="11" t="s">
        <v>12800</v>
      </c>
      <c r="E3878" s="11" t="s">
        <v>12801</v>
      </c>
    </row>
    <row r="3879" spans="1:5">
      <c r="A3879" s="11" t="s">
        <v>12802</v>
      </c>
      <c r="B3879">
        <v>8003558</v>
      </c>
      <c r="D3879" s="11" t="s">
        <v>12803</v>
      </c>
      <c r="E3879" s="11" t="s">
        <v>12804</v>
      </c>
    </row>
    <row r="3880" spans="1:5">
      <c r="A3880" s="11" t="s">
        <v>12805</v>
      </c>
      <c r="B3880">
        <v>8000586</v>
      </c>
      <c r="D3880" s="11" t="s">
        <v>12806</v>
      </c>
      <c r="E3880" s="11" t="s">
        <v>12807</v>
      </c>
    </row>
    <row r="3881" spans="1:5">
      <c r="A3881" s="11" t="s">
        <v>12808</v>
      </c>
      <c r="B3881">
        <v>8003560</v>
      </c>
      <c r="D3881" s="11" t="s">
        <v>12809</v>
      </c>
      <c r="E3881" s="11" t="s">
        <v>12810</v>
      </c>
    </row>
    <row r="3882" spans="1:5">
      <c r="A3882" s="11" t="s">
        <v>12811</v>
      </c>
      <c r="B3882">
        <v>8003563</v>
      </c>
      <c r="D3882" s="11" t="s">
        <v>12812</v>
      </c>
      <c r="E3882" s="11" t="s">
        <v>12813</v>
      </c>
    </row>
    <row r="3883" spans="1:5">
      <c r="A3883" s="11" t="s">
        <v>12814</v>
      </c>
      <c r="B3883">
        <v>8003567</v>
      </c>
      <c r="D3883" s="11" t="s">
        <v>12815</v>
      </c>
      <c r="E3883" s="11" t="s">
        <v>12816</v>
      </c>
    </row>
    <row r="3884" spans="1:5">
      <c r="A3884" s="11" t="s">
        <v>12817</v>
      </c>
      <c r="B3884">
        <v>8003568</v>
      </c>
      <c r="D3884" s="11" t="s">
        <v>12818</v>
      </c>
      <c r="E3884" s="11" t="s">
        <v>12819</v>
      </c>
    </row>
    <row r="3885" spans="1:5">
      <c r="A3885" s="11" t="s">
        <v>12820</v>
      </c>
      <c r="B3885">
        <v>8012167</v>
      </c>
      <c r="D3885" s="11" t="s">
        <v>12821</v>
      </c>
      <c r="E3885" s="11" t="s">
        <v>12822</v>
      </c>
    </row>
    <row r="3886" spans="1:5">
      <c r="A3886" s="11" t="s">
        <v>12823</v>
      </c>
      <c r="B3886">
        <v>8012169</v>
      </c>
      <c r="D3886" s="11" t="s">
        <v>12824</v>
      </c>
      <c r="E3886" s="11" t="s">
        <v>12825</v>
      </c>
    </row>
    <row r="3887" spans="1:5">
      <c r="A3887" s="11" t="s">
        <v>12826</v>
      </c>
      <c r="B3887">
        <v>8003569</v>
      </c>
      <c r="D3887" s="11" t="s">
        <v>12827</v>
      </c>
      <c r="E3887" s="11" t="s">
        <v>12828</v>
      </c>
    </row>
    <row r="3888" spans="1:5">
      <c r="A3888" s="11" t="s">
        <v>12829</v>
      </c>
      <c r="B3888">
        <v>8004552</v>
      </c>
      <c r="D3888" s="11" t="s">
        <v>12830</v>
      </c>
      <c r="E3888" s="11" t="s">
        <v>12831</v>
      </c>
    </row>
    <row r="3889" spans="1:5">
      <c r="A3889" s="11" t="s">
        <v>12832</v>
      </c>
      <c r="B3889">
        <v>8003562</v>
      </c>
      <c r="D3889" s="11" t="s">
        <v>12833</v>
      </c>
      <c r="E3889" s="11" t="s">
        <v>12834</v>
      </c>
    </row>
    <row r="3890" spans="1:5">
      <c r="A3890" s="11" t="s">
        <v>12835</v>
      </c>
      <c r="B3890">
        <v>8000221</v>
      </c>
      <c r="D3890" s="11" t="s">
        <v>12836</v>
      </c>
      <c r="E3890" s="11" t="s">
        <v>12837</v>
      </c>
    </row>
    <row r="3891" spans="1:5">
      <c r="A3891" s="11" t="s">
        <v>12838</v>
      </c>
      <c r="B3891">
        <v>8003573</v>
      </c>
      <c r="D3891" s="11" t="s">
        <v>12839</v>
      </c>
      <c r="E3891" s="11" t="s">
        <v>12840</v>
      </c>
    </row>
    <row r="3892" spans="1:5">
      <c r="A3892" s="11" t="s">
        <v>12841</v>
      </c>
      <c r="B3892">
        <v>8003571</v>
      </c>
      <c r="D3892" s="11" t="s">
        <v>12842</v>
      </c>
      <c r="E3892" s="11" t="s">
        <v>12843</v>
      </c>
    </row>
    <row r="3893" spans="1:5">
      <c r="A3893" s="11" t="s">
        <v>12844</v>
      </c>
      <c r="B3893">
        <v>8003572</v>
      </c>
      <c r="D3893" s="11" t="s">
        <v>12845</v>
      </c>
      <c r="E3893" s="11" t="s">
        <v>12846</v>
      </c>
    </row>
    <row r="3894" spans="1:5">
      <c r="A3894" s="11" t="s">
        <v>12847</v>
      </c>
      <c r="B3894">
        <v>8003576</v>
      </c>
      <c r="D3894" s="11" t="s">
        <v>12848</v>
      </c>
      <c r="E3894" s="11" t="s">
        <v>12849</v>
      </c>
    </row>
    <row r="3895" spans="1:5">
      <c r="A3895" s="11" t="s">
        <v>12850</v>
      </c>
      <c r="B3895">
        <v>8003577</v>
      </c>
      <c r="D3895" s="11" t="s">
        <v>12851</v>
      </c>
      <c r="E3895" s="11" t="s">
        <v>12852</v>
      </c>
    </row>
    <row r="3896" spans="1:5">
      <c r="A3896" s="11" t="s">
        <v>12853</v>
      </c>
      <c r="B3896">
        <v>8003578</v>
      </c>
      <c r="D3896" s="11" t="s">
        <v>12854</v>
      </c>
      <c r="E3896" s="11" t="s">
        <v>12855</v>
      </c>
    </row>
    <row r="3897" spans="1:5">
      <c r="A3897" s="11" t="s">
        <v>12856</v>
      </c>
      <c r="B3897">
        <v>8012170</v>
      </c>
      <c r="D3897" s="11" t="s">
        <v>12857</v>
      </c>
      <c r="E3897" s="11" t="s">
        <v>12858</v>
      </c>
    </row>
    <row r="3898" spans="1:5">
      <c r="A3898" s="11" t="s">
        <v>12859</v>
      </c>
      <c r="B3898">
        <v>8003587</v>
      </c>
      <c r="D3898" s="11" t="s">
        <v>12860</v>
      </c>
      <c r="E3898" s="11" t="s">
        <v>12861</v>
      </c>
    </row>
    <row r="3899" spans="1:5">
      <c r="A3899" s="11" t="s">
        <v>12862</v>
      </c>
      <c r="B3899">
        <v>8003580</v>
      </c>
      <c r="D3899" s="11" t="s">
        <v>12863</v>
      </c>
      <c r="E3899" s="11" t="s">
        <v>12864</v>
      </c>
    </row>
    <row r="3900" spans="1:5">
      <c r="A3900" s="11" t="s">
        <v>12865</v>
      </c>
      <c r="B3900">
        <v>8003581</v>
      </c>
      <c r="D3900" s="11" t="s">
        <v>12866</v>
      </c>
      <c r="E3900" s="11" t="s">
        <v>12867</v>
      </c>
    </row>
    <row r="3901" spans="1:5">
      <c r="A3901" s="11" t="s">
        <v>12868</v>
      </c>
      <c r="B3901">
        <v>8003582</v>
      </c>
      <c r="D3901" s="11" t="s">
        <v>12869</v>
      </c>
      <c r="E3901" s="11" t="s">
        <v>12870</v>
      </c>
    </row>
    <row r="3902" spans="1:5">
      <c r="A3902" s="11" t="s">
        <v>12871</v>
      </c>
      <c r="B3902">
        <v>8003584</v>
      </c>
      <c r="D3902" s="11" t="s">
        <v>12872</v>
      </c>
      <c r="E3902" s="11" t="s">
        <v>12873</v>
      </c>
    </row>
    <row r="3903" spans="1:5">
      <c r="A3903" s="11" t="s">
        <v>12874</v>
      </c>
      <c r="B3903">
        <v>8081932</v>
      </c>
      <c r="D3903" s="11" t="s">
        <v>12875</v>
      </c>
      <c r="E3903" s="11" t="s">
        <v>12876</v>
      </c>
    </row>
    <row r="3904" spans="1:5">
      <c r="A3904" s="11" t="s">
        <v>12877</v>
      </c>
      <c r="B3904">
        <v>8081934</v>
      </c>
      <c r="D3904" s="11" t="s">
        <v>12878</v>
      </c>
      <c r="E3904" s="11" t="s">
        <v>12879</v>
      </c>
    </row>
    <row r="3905" spans="1:5">
      <c r="A3905" s="11" t="s">
        <v>12880</v>
      </c>
      <c r="B3905">
        <v>8003585</v>
      </c>
      <c r="D3905" s="11" t="s">
        <v>12881</v>
      </c>
      <c r="E3905" s="11" t="s">
        <v>12882</v>
      </c>
    </row>
    <row r="3906" spans="1:5">
      <c r="A3906" s="11" t="s">
        <v>12883</v>
      </c>
      <c r="B3906">
        <v>8003586</v>
      </c>
      <c r="D3906" s="11" t="s">
        <v>12884</v>
      </c>
      <c r="E3906" s="11" t="s">
        <v>12885</v>
      </c>
    </row>
    <row r="3907" spans="1:5">
      <c r="A3907" s="11" t="s">
        <v>12886</v>
      </c>
      <c r="B3907">
        <v>8003588</v>
      </c>
      <c r="D3907" s="11" t="s">
        <v>12887</v>
      </c>
      <c r="E3907" s="11" t="s">
        <v>12888</v>
      </c>
    </row>
    <row r="3908" spans="1:5">
      <c r="A3908" s="11" t="s">
        <v>12889</v>
      </c>
      <c r="B3908">
        <v>8003589</v>
      </c>
      <c r="D3908" s="11" t="s">
        <v>12890</v>
      </c>
      <c r="E3908" s="11" t="s">
        <v>12891</v>
      </c>
    </row>
    <row r="3909" spans="1:5">
      <c r="A3909" s="11" t="s">
        <v>12892</v>
      </c>
      <c r="B3909">
        <v>8003591</v>
      </c>
      <c r="D3909" s="11" t="s">
        <v>12893</v>
      </c>
      <c r="E3909" s="11" t="s">
        <v>12894</v>
      </c>
    </row>
    <row r="3910" spans="1:5">
      <c r="A3910" s="11" t="s">
        <v>12895</v>
      </c>
      <c r="B3910">
        <v>8003592</v>
      </c>
      <c r="D3910" s="11" t="s">
        <v>12896</v>
      </c>
      <c r="E3910" s="11" t="s">
        <v>12897</v>
      </c>
    </row>
    <row r="3911" spans="1:5">
      <c r="A3911" s="11" t="s">
        <v>12898</v>
      </c>
      <c r="B3911">
        <v>8003593</v>
      </c>
      <c r="D3911" s="11" t="s">
        <v>12899</v>
      </c>
      <c r="E3911" s="11" t="s">
        <v>12900</v>
      </c>
    </row>
    <row r="3912" spans="1:5">
      <c r="A3912" s="11" t="s">
        <v>12901</v>
      </c>
      <c r="B3912">
        <v>8012171</v>
      </c>
      <c r="D3912" s="11" t="s">
        <v>12902</v>
      </c>
      <c r="E3912" s="11" t="s">
        <v>12903</v>
      </c>
    </row>
    <row r="3913" spans="1:5">
      <c r="A3913" s="11" t="s">
        <v>12904</v>
      </c>
      <c r="B3913">
        <v>8070467</v>
      </c>
      <c r="D3913" s="11" t="s">
        <v>12905</v>
      </c>
      <c r="E3913" s="11" t="s">
        <v>12906</v>
      </c>
    </row>
    <row r="3914" spans="1:5">
      <c r="A3914" s="11" t="s">
        <v>12907</v>
      </c>
      <c r="B3914">
        <v>8012174</v>
      </c>
      <c r="D3914" s="11" t="s">
        <v>12908</v>
      </c>
      <c r="E3914" s="11" t="s">
        <v>12909</v>
      </c>
    </row>
    <row r="3915" spans="1:5">
      <c r="A3915" s="11" t="s">
        <v>12910</v>
      </c>
      <c r="B3915">
        <v>8012175</v>
      </c>
      <c r="D3915" s="11" t="s">
        <v>12911</v>
      </c>
      <c r="E3915" s="11" t="s">
        <v>12912</v>
      </c>
    </row>
    <row r="3916" spans="1:5">
      <c r="A3916" s="11" t="s">
        <v>12913</v>
      </c>
      <c r="B3916">
        <v>8003594</v>
      </c>
      <c r="D3916" s="11" t="s">
        <v>12914</v>
      </c>
      <c r="E3916" s="11" t="s">
        <v>12915</v>
      </c>
    </row>
    <row r="3917" spans="1:5">
      <c r="A3917" s="11" t="s">
        <v>12916</v>
      </c>
      <c r="B3917">
        <v>8012176</v>
      </c>
      <c r="D3917" s="11" t="s">
        <v>12917</v>
      </c>
      <c r="E3917" s="11" t="s">
        <v>12918</v>
      </c>
    </row>
    <row r="3918" spans="1:5">
      <c r="A3918" s="11" t="s">
        <v>12919</v>
      </c>
      <c r="B3918">
        <v>8012177</v>
      </c>
      <c r="D3918" s="11" t="s">
        <v>12920</v>
      </c>
      <c r="E3918" s="11" t="s">
        <v>12921</v>
      </c>
    </row>
    <row r="3919" spans="1:5">
      <c r="A3919" s="11" t="s">
        <v>12922</v>
      </c>
      <c r="B3919">
        <v>8000222</v>
      </c>
      <c r="D3919" s="11" t="s">
        <v>12923</v>
      </c>
      <c r="E3919" s="11" t="s">
        <v>12924</v>
      </c>
    </row>
    <row r="3920" spans="1:5">
      <c r="A3920" s="11" t="s">
        <v>12925</v>
      </c>
      <c r="B3920">
        <v>8017345</v>
      </c>
      <c r="D3920" s="11" t="s">
        <v>12926</v>
      </c>
      <c r="E3920" s="11" t="s">
        <v>12927</v>
      </c>
    </row>
    <row r="3921" spans="1:5">
      <c r="A3921" s="11" t="s">
        <v>12928</v>
      </c>
      <c r="B3921">
        <v>8012178</v>
      </c>
      <c r="D3921" s="11" t="s">
        <v>12929</v>
      </c>
      <c r="E3921" s="11" t="s">
        <v>12930</v>
      </c>
    </row>
    <row r="3922" spans="1:5">
      <c r="A3922" s="11" t="s">
        <v>12931</v>
      </c>
      <c r="B3922">
        <v>8003597</v>
      </c>
      <c r="D3922" s="11" t="s">
        <v>12932</v>
      </c>
      <c r="E3922" s="11" t="s">
        <v>12933</v>
      </c>
    </row>
    <row r="3923" spans="1:5">
      <c r="A3923" s="11" t="s">
        <v>12934</v>
      </c>
      <c r="B3923">
        <v>8000547</v>
      </c>
      <c r="D3923" s="11" t="s">
        <v>12935</v>
      </c>
      <c r="E3923" s="11" t="s">
        <v>12936</v>
      </c>
    </row>
    <row r="3924" spans="1:5">
      <c r="A3924" s="11" t="s">
        <v>12937</v>
      </c>
      <c r="B3924">
        <v>8000563</v>
      </c>
      <c r="D3924" s="11" t="s">
        <v>12938</v>
      </c>
      <c r="E3924" s="11" t="s">
        <v>12939</v>
      </c>
    </row>
    <row r="3925" spans="1:5">
      <c r="A3925" s="11" t="s">
        <v>12940</v>
      </c>
      <c r="B3925">
        <v>8007868</v>
      </c>
      <c r="D3925" s="11" t="s">
        <v>12941</v>
      </c>
      <c r="E3925" s="11" t="s">
        <v>12942</v>
      </c>
    </row>
    <row r="3926" spans="1:5">
      <c r="A3926" s="11" t="s">
        <v>12943</v>
      </c>
      <c r="B3926">
        <v>8000225</v>
      </c>
      <c r="D3926" s="11" t="s">
        <v>12944</v>
      </c>
      <c r="E3926" s="11" t="s">
        <v>12945</v>
      </c>
    </row>
    <row r="3927" spans="1:5">
      <c r="A3927" s="11" t="s">
        <v>12946</v>
      </c>
      <c r="B3927">
        <v>8000335</v>
      </c>
      <c r="D3927" s="11" t="s">
        <v>12947</v>
      </c>
      <c r="E3927" s="11" t="s">
        <v>12948</v>
      </c>
    </row>
    <row r="3928" spans="1:5">
      <c r="A3928" s="11" t="s">
        <v>12949</v>
      </c>
      <c r="B3928">
        <v>8003608</v>
      </c>
      <c r="D3928" s="11" t="s">
        <v>12950</v>
      </c>
      <c r="E3928" s="11" t="s">
        <v>12951</v>
      </c>
    </row>
    <row r="3929" spans="1:5">
      <c r="A3929" s="11" t="s">
        <v>12952</v>
      </c>
      <c r="B3929">
        <v>8012180</v>
      </c>
      <c r="D3929" s="11" t="s">
        <v>12953</v>
      </c>
      <c r="E3929" s="11" t="s">
        <v>12954</v>
      </c>
    </row>
    <row r="3930" spans="1:5">
      <c r="A3930" s="11" t="s">
        <v>12955</v>
      </c>
      <c r="B3930">
        <v>8003609</v>
      </c>
      <c r="D3930" s="11" t="s">
        <v>12956</v>
      </c>
      <c r="E3930" s="11" t="s">
        <v>12957</v>
      </c>
    </row>
    <row r="3931" spans="1:5">
      <c r="A3931" s="11" t="s">
        <v>12958</v>
      </c>
      <c r="B3931">
        <v>8003611</v>
      </c>
      <c r="D3931" s="11" t="s">
        <v>12959</v>
      </c>
      <c r="E3931" s="11" t="s">
        <v>12960</v>
      </c>
    </row>
    <row r="3932" spans="1:5">
      <c r="A3932" s="11" t="s">
        <v>12961</v>
      </c>
      <c r="B3932">
        <v>8010202</v>
      </c>
      <c r="D3932" s="11" t="s">
        <v>12962</v>
      </c>
      <c r="E3932" s="11" t="s">
        <v>12963</v>
      </c>
    </row>
    <row r="3933" spans="1:5">
      <c r="A3933" s="11" t="s">
        <v>12964</v>
      </c>
      <c r="B3933">
        <v>8003612</v>
      </c>
      <c r="D3933" s="11" t="s">
        <v>12965</v>
      </c>
      <c r="E3933" s="11" t="s">
        <v>12966</v>
      </c>
    </row>
    <row r="3934" spans="1:5">
      <c r="A3934" s="11" t="s">
        <v>12967</v>
      </c>
      <c r="B3934">
        <v>8081722</v>
      </c>
      <c r="D3934" s="11" t="s">
        <v>12968</v>
      </c>
      <c r="E3934" s="11" t="s">
        <v>12969</v>
      </c>
    </row>
    <row r="3935" spans="1:5">
      <c r="A3935" s="11" t="s">
        <v>12970</v>
      </c>
      <c r="B3935">
        <v>8000226</v>
      </c>
      <c r="D3935" s="11" t="s">
        <v>12971</v>
      </c>
      <c r="E3935" s="11" t="s">
        <v>12972</v>
      </c>
    </row>
    <row r="3936" spans="1:5">
      <c r="A3936" s="11" t="s">
        <v>12973</v>
      </c>
      <c r="B3936">
        <v>8070912</v>
      </c>
      <c r="D3936" s="11" t="s">
        <v>12974</v>
      </c>
      <c r="E3936" s="11" t="s">
        <v>12975</v>
      </c>
    </row>
    <row r="3937" spans="1:5">
      <c r="A3937" s="11" t="s">
        <v>12976</v>
      </c>
      <c r="B3937">
        <v>8003616</v>
      </c>
      <c r="D3937" s="11" t="s">
        <v>12977</v>
      </c>
      <c r="E3937" s="11" t="s">
        <v>12978</v>
      </c>
    </row>
    <row r="3938" spans="1:5">
      <c r="A3938" s="11" t="s">
        <v>12979</v>
      </c>
      <c r="B3938">
        <v>8003617</v>
      </c>
      <c r="D3938" s="11" t="s">
        <v>12980</v>
      </c>
      <c r="E3938" s="11" t="s">
        <v>12981</v>
      </c>
    </row>
    <row r="3939" spans="1:5">
      <c r="A3939" s="11" t="s">
        <v>12982</v>
      </c>
      <c r="B3939">
        <v>8003621</v>
      </c>
      <c r="D3939" s="11" t="s">
        <v>12983</v>
      </c>
      <c r="E3939" s="11" t="s">
        <v>12984</v>
      </c>
    </row>
    <row r="3940" spans="1:5">
      <c r="A3940" s="11" t="s">
        <v>12985</v>
      </c>
      <c r="B3940">
        <v>8010203</v>
      </c>
      <c r="D3940" s="11" t="s">
        <v>12986</v>
      </c>
      <c r="E3940" s="11" t="s">
        <v>12987</v>
      </c>
    </row>
    <row r="3941" spans="1:5">
      <c r="A3941" s="11" t="s">
        <v>12988</v>
      </c>
      <c r="B3941">
        <v>8003622</v>
      </c>
      <c r="D3941" s="11" t="s">
        <v>12989</v>
      </c>
      <c r="E3941" s="11" t="s">
        <v>12990</v>
      </c>
    </row>
    <row r="3942" spans="1:5">
      <c r="A3942" s="11" t="s">
        <v>12991</v>
      </c>
      <c r="B3942">
        <v>8003623</v>
      </c>
      <c r="D3942" s="11" t="s">
        <v>12992</v>
      </c>
      <c r="E3942" s="11" t="s">
        <v>12993</v>
      </c>
    </row>
    <row r="3943" spans="1:5">
      <c r="A3943" s="11" t="s">
        <v>12994</v>
      </c>
      <c r="B3943">
        <v>8071003</v>
      </c>
      <c r="D3943" s="11" t="s">
        <v>12995</v>
      </c>
      <c r="E3943" s="11" t="s">
        <v>12996</v>
      </c>
    </row>
    <row r="3944" spans="1:5">
      <c r="A3944" s="11" t="s">
        <v>12997</v>
      </c>
      <c r="B3944">
        <v>8070157</v>
      </c>
      <c r="D3944" s="11" t="s">
        <v>12998</v>
      </c>
      <c r="E3944" s="11" t="s">
        <v>12999</v>
      </c>
    </row>
    <row r="3945" spans="1:5">
      <c r="A3945" s="11" t="s">
        <v>13000</v>
      </c>
      <c r="B3945">
        <v>8003624</v>
      </c>
      <c r="D3945" s="11" t="s">
        <v>13001</v>
      </c>
      <c r="E3945" s="11" t="s">
        <v>13002</v>
      </c>
    </row>
    <row r="3946" spans="1:5">
      <c r="A3946" s="11" t="s">
        <v>13003</v>
      </c>
      <c r="B3946">
        <v>8003627</v>
      </c>
      <c r="D3946" s="11" t="s">
        <v>13004</v>
      </c>
      <c r="E3946" s="11" t="s">
        <v>13005</v>
      </c>
    </row>
    <row r="3947" spans="1:5">
      <c r="A3947" s="11" t="s">
        <v>13006</v>
      </c>
      <c r="B3947">
        <v>8013070</v>
      </c>
      <c r="D3947" s="11" t="s">
        <v>13007</v>
      </c>
      <c r="E3947" s="11" t="s">
        <v>13008</v>
      </c>
    </row>
    <row r="3948" spans="1:5">
      <c r="A3948" s="11" t="s">
        <v>13009</v>
      </c>
      <c r="B3948">
        <v>8010008</v>
      </c>
      <c r="D3948" s="11" t="s">
        <v>13010</v>
      </c>
      <c r="E3948" s="11" t="s">
        <v>13011</v>
      </c>
    </row>
    <row r="3949" spans="1:5">
      <c r="A3949" s="11" t="s">
        <v>13012</v>
      </c>
      <c r="B3949">
        <v>8071464</v>
      </c>
      <c r="D3949" s="11" t="s">
        <v>1539</v>
      </c>
      <c r="E3949" s="11" t="s">
        <v>1539</v>
      </c>
    </row>
    <row r="3950" spans="1:5">
      <c r="A3950" s="11" t="s">
        <v>13013</v>
      </c>
      <c r="B3950">
        <v>8071459</v>
      </c>
      <c r="D3950" s="11" t="s">
        <v>13014</v>
      </c>
      <c r="E3950" s="11" t="s">
        <v>13015</v>
      </c>
    </row>
    <row r="3951" spans="1:5">
      <c r="A3951" s="11" t="s">
        <v>44</v>
      </c>
      <c r="B3951">
        <v>8012184</v>
      </c>
      <c r="D3951" s="11" t="s">
        <v>900</v>
      </c>
      <c r="E3951" s="11" t="s">
        <v>901</v>
      </c>
    </row>
    <row r="3952" spans="1:5">
      <c r="A3952" s="11" t="s">
        <v>13016</v>
      </c>
      <c r="B3952">
        <v>8080840</v>
      </c>
      <c r="D3952" s="11" t="s">
        <v>13017</v>
      </c>
      <c r="E3952" s="11" t="s">
        <v>13018</v>
      </c>
    </row>
    <row r="3953" spans="1:5">
      <c r="A3953" s="11" t="s">
        <v>13019</v>
      </c>
      <c r="B3953">
        <v>8071461</v>
      </c>
      <c r="D3953" s="11" t="s">
        <v>13020</v>
      </c>
      <c r="E3953" s="11" t="s">
        <v>13021</v>
      </c>
    </row>
    <row r="3954" spans="1:5">
      <c r="A3954" s="11" t="s">
        <v>13022</v>
      </c>
      <c r="B3954">
        <v>8012200</v>
      </c>
      <c r="D3954" s="11" t="s">
        <v>13023</v>
      </c>
      <c r="E3954" s="11" t="s">
        <v>13024</v>
      </c>
    </row>
    <row r="3955" spans="1:5">
      <c r="A3955" s="11" t="s">
        <v>13025</v>
      </c>
      <c r="B3955">
        <v>8011771</v>
      </c>
      <c r="D3955" s="11" t="s">
        <v>13026</v>
      </c>
      <c r="E3955" s="11" t="s">
        <v>13027</v>
      </c>
    </row>
    <row r="3956" spans="1:5">
      <c r="A3956" s="11" t="s">
        <v>142</v>
      </c>
      <c r="B3956">
        <v>8010205</v>
      </c>
      <c r="D3956" s="11" t="s">
        <v>13028</v>
      </c>
      <c r="E3956" s="11" t="s">
        <v>13029</v>
      </c>
    </row>
    <row r="3957" spans="1:5">
      <c r="A3957" s="11" t="s">
        <v>13030</v>
      </c>
      <c r="B3957">
        <v>8071472</v>
      </c>
      <c r="D3957" s="11" t="s">
        <v>13031</v>
      </c>
      <c r="E3957" s="11" t="s">
        <v>13032</v>
      </c>
    </row>
    <row r="3958" spans="1:5">
      <c r="A3958" s="11" t="s">
        <v>13033</v>
      </c>
      <c r="B3958">
        <v>8010186</v>
      </c>
      <c r="D3958" s="11" t="s">
        <v>13034</v>
      </c>
      <c r="E3958" s="11" t="s">
        <v>13035</v>
      </c>
    </row>
    <row r="3959" spans="1:5">
      <c r="A3959" s="11" t="s">
        <v>13036</v>
      </c>
      <c r="B3959">
        <v>8012186</v>
      </c>
      <c r="D3959" s="11" t="s">
        <v>13037</v>
      </c>
      <c r="E3959" s="11" t="s">
        <v>13038</v>
      </c>
    </row>
    <row r="3960" spans="1:5">
      <c r="A3960" s="11" t="s">
        <v>13039</v>
      </c>
      <c r="B3960">
        <v>8012187</v>
      </c>
      <c r="D3960" s="11" t="s">
        <v>13040</v>
      </c>
      <c r="E3960" s="11" t="s">
        <v>13041</v>
      </c>
    </row>
    <row r="3961" spans="1:5">
      <c r="A3961" s="11" t="s">
        <v>13042</v>
      </c>
      <c r="B3961">
        <v>8012478</v>
      </c>
      <c r="D3961" s="11" t="s">
        <v>13043</v>
      </c>
      <c r="E3961" s="11" t="s">
        <v>13044</v>
      </c>
    </row>
    <row r="3962" spans="1:5">
      <c r="A3962" s="11" t="s">
        <v>13045</v>
      </c>
      <c r="B3962">
        <v>8071074</v>
      </c>
      <c r="D3962" s="11" t="s">
        <v>1539</v>
      </c>
      <c r="E3962" s="11" t="s">
        <v>1539</v>
      </c>
    </row>
    <row r="3963" spans="1:5">
      <c r="A3963" s="11" t="s">
        <v>13046</v>
      </c>
      <c r="B3963">
        <v>8012344</v>
      </c>
      <c r="D3963" s="11" t="s">
        <v>13047</v>
      </c>
      <c r="E3963" s="11" t="s">
        <v>13048</v>
      </c>
    </row>
    <row r="3964" spans="1:5">
      <c r="A3964" s="11" t="s">
        <v>13049</v>
      </c>
      <c r="B3964">
        <v>8071786</v>
      </c>
      <c r="D3964" s="11" t="s">
        <v>13050</v>
      </c>
      <c r="E3964" s="11" t="s">
        <v>13051</v>
      </c>
    </row>
    <row r="3965" spans="1:5">
      <c r="A3965" s="11" t="s">
        <v>13052</v>
      </c>
      <c r="B3965">
        <v>8012273</v>
      </c>
      <c r="D3965" s="11" t="s">
        <v>13053</v>
      </c>
      <c r="E3965" s="11" t="s">
        <v>13054</v>
      </c>
    </row>
    <row r="3966" spans="1:5">
      <c r="A3966" s="11" t="s">
        <v>13055</v>
      </c>
      <c r="B3966">
        <v>8071468</v>
      </c>
      <c r="D3966" s="11" t="s">
        <v>13056</v>
      </c>
      <c r="E3966" s="11" t="s">
        <v>13057</v>
      </c>
    </row>
    <row r="3967" spans="1:5">
      <c r="A3967" s="11" t="s">
        <v>13058</v>
      </c>
      <c r="B3967">
        <v>8012196</v>
      </c>
      <c r="D3967" s="11" t="s">
        <v>13059</v>
      </c>
      <c r="E3967" s="11" t="s">
        <v>13060</v>
      </c>
    </row>
    <row r="3968" spans="1:5">
      <c r="A3968" s="11" t="s">
        <v>13061</v>
      </c>
      <c r="B3968">
        <v>8012181</v>
      </c>
      <c r="D3968" s="11" t="s">
        <v>13062</v>
      </c>
      <c r="E3968" s="11" t="s">
        <v>13063</v>
      </c>
    </row>
    <row r="3969" spans="1:5">
      <c r="A3969" s="11" t="s">
        <v>13064</v>
      </c>
      <c r="B3969">
        <v>8071460</v>
      </c>
      <c r="D3969" s="11" t="s">
        <v>13065</v>
      </c>
      <c r="E3969" s="11" t="s">
        <v>13066</v>
      </c>
    </row>
    <row r="3970" spans="1:5">
      <c r="A3970" s="11" t="s">
        <v>13067</v>
      </c>
      <c r="B3970">
        <v>8071462</v>
      </c>
      <c r="D3970" s="11" t="s">
        <v>13068</v>
      </c>
      <c r="E3970" s="11" t="s">
        <v>13069</v>
      </c>
    </row>
    <row r="3971" spans="1:5">
      <c r="A3971" s="11" t="s">
        <v>13070</v>
      </c>
      <c r="B3971">
        <v>8012204</v>
      </c>
      <c r="D3971" s="11" t="s">
        <v>13071</v>
      </c>
      <c r="E3971" s="11" t="s">
        <v>13072</v>
      </c>
    </row>
    <row r="3972" spans="1:5">
      <c r="A3972" s="11" t="s">
        <v>13073</v>
      </c>
      <c r="B3972">
        <v>8071179</v>
      </c>
      <c r="D3972" s="11" t="s">
        <v>13074</v>
      </c>
      <c r="E3972" s="11" t="s">
        <v>13075</v>
      </c>
    </row>
    <row r="3973" spans="1:5">
      <c r="A3973" s="11" t="s">
        <v>914</v>
      </c>
      <c r="B3973">
        <v>8012343</v>
      </c>
      <c r="D3973" s="11" t="s">
        <v>916</v>
      </c>
      <c r="E3973" s="11" t="s">
        <v>917</v>
      </c>
    </row>
    <row r="3974" spans="1:5">
      <c r="A3974" s="11" t="s">
        <v>13076</v>
      </c>
      <c r="B3974">
        <v>8011495</v>
      </c>
      <c r="D3974" s="11" t="s">
        <v>13077</v>
      </c>
      <c r="E3974" s="11" t="s">
        <v>13078</v>
      </c>
    </row>
    <row r="3975" spans="1:5">
      <c r="A3975" s="11" t="s">
        <v>13079</v>
      </c>
      <c r="B3975">
        <v>8012202</v>
      </c>
      <c r="D3975" s="11" t="s">
        <v>13080</v>
      </c>
      <c r="E3975" s="11" t="s">
        <v>13081</v>
      </c>
    </row>
    <row r="3976" spans="1:5">
      <c r="A3976" s="11" t="s">
        <v>13082</v>
      </c>
      <c r="B3976">
        <v>8012183</v>
      </c>
      <c r="D3976" s="11" t="s">
        <v>13083</v>
      </c>
      <c r="E3976" s="11" t="s">
        <v>13084</v>
      </c>
    </row>
    <row r="3977" spans="1:5">
      <c r="A3977" s="11" t="s">
        <v>13085</v>
      </c>
      <c r="B3977">
        <v>8010206</v>
      </c>
      <c r="D3977" s="11" t="s">
        <v>13086</v>
      </c>
      <c r="E3977" s="11" t="s">
        <v>13087</v>
      </c>
    </row>
    <row r="3978" spans="1:5">
      <c r="A3978" s="11" t="s">
        <v>13088</v>
      </c>
      <c r="B3978">
        <v>8011491</v>
      </c>
      <c r="D3978" s="11" t="s">
        <v>13089</v>
      </c>
      <c r="E3978" s="11" t="s">
        <v>13090</v>
      </c>
    </row>
    <row r="3979" spans="1:5">
      <c r="A3979" s="11" t="s">
        <v>13091</v>
      </c>
      <c r="B3979">
        <v>8012188</v>
      </c>
      <c r="D3979" s="11" t="s">
        <v>13092</v>
      </c>
      <c r="E3979" s="11" t="s">
        <v>13093</v>
      </c>
    </row>
    <row r="3980" spans="1:5">
      <c r="A3980" s="11" t="s">
        <v>13094</v>
      </c>
      <c r="B3980">
        <v>8012190</v>
      </c>
      <c r="D3980" s="11" t="s">
        <v>13095</v>
      </c>
      <c r="E3980" s="11" t="s">
        <v>13096</v>
      </c>
    </row>
    <row r="3981" spans="1:5">
      <c r="A3981" s="11" t="s">
        <v>13097</v>
      </c>
      <c r="B3981">
        <v>8071785</v>
      </c>
      <c r="D3981" s="11" t="s">
        <v>13098</v>
      </c>
      <c r="E3981" s="11" t="s">
        <v>13099</v>
      </c>
    </row>
    <row r="3982" spans="1:5">
      <c r="A3982" s="11" t="s">
        <v>13100</v>
      </c>
      <c r="B3982">
        <v>8011913</v>
      </c>
      <c r="D3982" s="11" t="s">
        <v>13101</v>
      </c>
      <c r="E3982" s="11" t="s">
        <v>13102</v>
      </c>
    </row>
    <row r="3983" spans="1:5">
      <c r="A3983" s="11" t="s">
        <v>13103</v>
      </c>
      <c r="B3983">
        <v>8012192</v>
      </c>
      <c r="D3983" s="11" t="s">
        <v>13104</v>
      </c>
      <c r="E3983" s="11" t="s">
        <v>13105</v>
      </c>
    </row>
    <row r="3984" spans="1:5">
      <c r="A3984" s="11" t="s">
        <v>13106</v>
      </c>
      <c r="B3984">
        <v>8010207</v>
      </c>
      <c r="D3984" s="11" t="s">
        <v>13107</v>
      </c>
      <c r="E3984" s="11" t="s">
        <v>13108</v>
      </c>
    </row>
    <row r="3985" spans="1:5">
      <c r="A3985" s="11" t="s">
        <v>13109</v>
      </c>
      <c r="B3985">
        <v>8012228</v>
      </c>
      <c r="D3985" s="11" t="s">
        <v>13110</v>
      </c>
      <c r="E3985" s="11" t="s">
        <v>13111</v>
      </c>
    </row>
    <row r="3986" spans="1:5">
      <c r="A3986" s="11" t="s">
        <v>13112</v>
      </c>
      <c r="B3986">
        <v>8012236</v>
      </c>
      <c r="D3986" s="11" t="s">
        <v>13113</v>
      </c>
      <c r="E3986" s="11" t="s">
        <v>13114</v>
      </c>
    </row>
    <row r="3987" spans="1:5">
      <c r="A3987" s="11" t="s">
        <v>13115</v>
      </c>
      <c r="B3987">
        <v>8012285</v>
      </c>
      <c r="D3987" s="11" t="s">
        <v>13116</v>
      </c>
      <c r="E3987" s="11" t="s">
        <v>13117</v>
      </c>
    </row>
    <row r="3988" spans="1:5">
      <c r="A3988" s="11" t="s">
        <v>13118</v>
      </c>
      <c r="B3988">
        <v>8012355</v>
      </c>
      <c r="D3988" s="11" t="s">
        <v>13119</v>
      </c>
      <c r="E3988" s="11" t="s">
        <v>13120</v>
      </c>
    </row>
    <row r="3989" spans="1:5">
      <c r="A3989" s="11" t="s">
        <v>13121</v>
      </c>
      <c r="B3989">
        <v>8012193</v>
      </c>
      <c r="D3989" s="11" t="s">
        <v>13122</v>
      </c>
      <c r="E3989" s="11" t="s">
        <v>13123</v>
      </c>
    </row>
    <row r="3990" spans="1:5">
      <c r="A3990" s="11" t="s">
        <v>13124</v>
      </c>
      <c r="B3990">
        <v>8012375</v>
      </c>
      <c r="D3990" s="11" t="s">
        <v>13125</v>
      </c>
      <c r="E3990" s="11" t="s">
        <v>13126</v>
      </c>
    </row>
    <row r="3991" spans="1:5">
      <c r="A3991" s="11" t="s">
        <v>13127</v>
      </c>
      <c r="B3991">
        <v>8010208</v>
      </c>
      <c r="D3991" s="11" t="s">
        <v>13128</v>
      </c>
      <c r="E3991" s="11" t="s">
        <v>13129</v>
      </c>
    </row>
    <row r="3992" spans="1:5">
      <c r="A3992" s="11" t="s">
        <v>13130</v>
      </c>
      <c r="B3992">
        <v>8010209</v>
      </c>
      <c r="D3992" s="11" t="s">
        <v>13131</v>
      </c>
      <c r="E3992" s="11" t="s">
        <v>13132</v>
      </c>
    </row>
    <row r="3993" spans="1:5">
      <c r="A3993" s="11" t="s">
        <v>13133</v>
      </c>
      <c r="B3993">
        <v>8012817</v>
      </c>
      <c r="D3993" s="11" t="s">
        <v>13134</v>
      </c>
      <c r="E3993" s="11" t="s">
        <v>13135</v>
      </c>
    </row>
    <row r="3994" spans="1:5">
      <c r="A3994" s="11" t="s">
        <v>13136</v>
      </c>
      <c r="B3994">
        <v>8080930</v>
      </c>
      <c r="D3994" s="11" t="s">
        <v>13137</v>
      </c>
      <c r="E3994" s="11" t="s">
        <v>13138</v>
      </c>
    </row>
    <row r="3995" spans="1:5">
      <c r="A3995" s="11" t="s">
        <v>13139</v>
      </c>
      <c r="B3995">
        <v>8012194</v>
      </c>
      <c r="D3995" s="11" t="s">
        <v>13140</v>
      </c>
      <c r="E3995" s="11" t="s">
        <v>13141</v>
      </c>
    </row>
    <row r="3996" spans="1:5">
      <c r="A3996" s="11" t="s">
        <v>13142</v>
      </c>
      <c r="B3996">
        <v>8012195</v>
      </c>
      <c r="D3996" s="11" t="s">
        <v>13143</v>
      </c>
      <c r="E3996" s="11" t="s">
        <v>13144</v>
      </c>
    </row>
    <row r="3997" spans="1:5">
      <c r="A3997" s="11" t="s">
        <v>13145</v>
      </c>
      <c r="B3997">
        <v>8012197</v>
      </c>
      <c r="D3997" s="11" t="s">
        <v>13146</v>
      </c>
      <c r="E3997" s="11" t="s">
        <v>13147</v>
      </c>
    </row>
    <row r="3998" spans="1:5">
      <c r="A3998" s="11" t="s">
        <v>13148</v>
      </c>
      <c r="B3998">
        <v>8012198</v>
      </c>
      <c r="D3998" s="11" t="s">
        <v>13149</v>
      </c>
      <c r="E3998" s="11" t="s">
        <v>13150</v>
      </c>
    </row>
    <row r="3999" spans="1:5">
      <c r="A3999" s="11" t="s">
        <v>13151</v>
      </c>
      <c r="B3999">
        <v>8012199</v>
      </c>
      <c r="D3999" s="11" t="s">
        <v>13152</v>
      </c>
      <c r="E3999" s="11" t="s">
        <v>13153</v>
      </c>
    </row>
    <row r="4000" spans="1:5">
      <c r="A4000" s="11" t="s">
        <v>13154</v>
      </c>
      <c r="B4000">
        <v>8003628</v>
      </c>
      <c r="D4000" s="11" t="s">
        <v>13155</v>
      </c>
      <c r="E4000" s="11" t="s">
        <v>13156</v>
      </c>
    </row>
    <row r="4001" spans="1:5">
      <c r="A4001" s="11" t="s">
        <v>13157</v>
      </c>
      <c r="B4001">
        <v>8003630</v>
      </c>
      <c r="D4001" s="11" t="s">
        <v>13158</v>
      </c>
      <c r="E4001" s="11" t="s">
        <v>13159</v>
      </c>
    </row>
    <row r="4002" spans="1:5">
      <c r="A4002" s="11" t="s">
        <v>13160</v>
      </c>
      <c r="B4002">
        <v>8003632</v>
      </c>
      <c r="D4002" s="11" t="s">
        <v>13161</v>
      </c>
      <c r="E4002" s="11" t="s">
        <v>13162</v>
      </c>
    </row>
    <row r="4003" spans="1:5">
      <c r="A4003" s="11" t="s">
        <v>13163</v>
      </c>
      <c r="B4003">
        <v>8003633</v>
      </c>
      <c r="D4003" s="11" t="s">
        <v>13164</v>
      </c>
      <c r="E4003" s="11" t="s">
        <v>13165</v>
      </c>
    </row>
    <row r="4004" spans="1:5">
      <c r="A4004" s="11" t="s">
        <v>13166</v>
      </c>
      <c r="B4004">
        <v>8003634</v>
      </c>
      <c r="D4004" s="11" t="s">
        <v>13167</v>
      </c>
      <c r="E4004" s="11" t="s">
        <v>13168</v>
      </c>
    </row>
    <row r="4005" spans="1:5">
      <c r="A4005" s="11" t="s">
        <v>13169</v>
      </c>
      <c r="B4005">
        <v>8003635</v>
      </c>
      <c r="D4005" s="11" t="s">
        <v>13170</v>
      </c>
      <c r="E4005" s="11" t="s">
        <v>13171</v>
      </c>
    </row>
    <row r="4006" spans="1:5">
      <c r="A4006" s="11" t="s">
        <v>13172</v>
      </c>
      <c r="B4006">
        <v>8003638</v>
      </c>
      <c r="D4006" s="11" t="s">
        <v>13173</v>
      </c>
      <c r="E4006" s="11" t="s">
        <v>13174</v>
      </c>
    </row>
    <row r="4007" spans="1:5">
      <c r="A4007" s="11" t="s">
        <v>13175</v>
      </c>
      <c r="B4007">
        <v>8001188</v>
      </c>
      <c r="D4007" s="11" t="s">
        <v>13176</v>
      </c>
      <c r="E4007" s="11" t="s">
        <v>13177</v>
      </c>
    </row>
    <row r="4008" spans="1:5">
      <c r="A4008" s="11" t="s">
        <v>13178</v>
      </c>
      <c r="B4008">
        <v>8071094</v>
      </c>
      <c r="D4008" s="11" t="s">
        <v>13179</v>
      </c>
      <c r="E4008" s="11" t="s">
        <v>13180</v>
      </c>
    </row>
    <row r="4009" spans="1:5">
      <c r="A4009" s="11" t="s">
        <v>13181</v>
      </c>
      <c r="B4009">
        <v>8012201</v>
      </c>
      <c r="D4009" s="11" t="s">
        <v>13182</v>
      </c>
      <c r="E4009" s="11" t="s">
        <v>13183</v>
      </c>
    </row>
    <row r="4010" spans="1:5">
      <c r="A4010" s="11" t="s">
        <v>13184</v>
      </c>
      <c r="B4010">
        <v>8012203</v>
      </c>
      <c r="D4010" s="11" t="s">
        <v>13185</v>
      </c>
      <c r="E4010" s="11" t="s">
        <v>13186</v>
      </c>
    </row>
    <row r="4011" spans="1:5">
      <c r="A4011" s="11" t="s">
        <v>13187</v>
      </c>
      <c r="B4011">
        <v>8003639</v>
      </c>
      <c r="D4011" s="11" t="s">
        <v>13188</v>
      </c>
      <c r="E4011" s="11" t="s">
        <v>13189</v>
      </c>
    </row>
    <row r="4012" spans="1:5">
      <c r="A4012" s="11" t="s">
        <v>13190</v>
      </c>
      <c r="B4012">
        <v>8003640</v>
      </c>
      <c r="D4012" s="11" t="s">
        <v>13191</v>
      </c>
      <c r="E4012" s="11" t="s">
        <v>13192</v>
      </c>
    </row>
    <row r="4013" spans="1:5">
      <c r="A4013" s="11" t="s">
        <v>13193</v>
      </c>
      <c r="B4013">
        <v>8003643</v>
      </c>
      <c r="D4013" s="11" t="s">
        <v>13194</v>
      </c>
      <c r="E4013" s="11" t="s">
        <v>13195</v>
      </c>
    </row>
    <row r="4014" spans="1:5">
      <c r="A4014" s="11" t="s">
        <v>13196</v>
      </c>
      <c r="B4014">
        <v>8003644</v>
      </c>
      <c r="D4014" s="11" t="s">
        <v>13197</v>
      </c>
      <c r="E4014" s="11" t="s">
        <v>13198</v>
      </c>
    </row>
    <row r="4015" spans="1:5">
      <c r="A4015" s="11" t="s">
        <v>13199</v>
      </c>
      <c r="B4015">
        <v>8000532</v>
      </c>
      <c r="D4015" s="11" t="s">
        <v>13200</v>
      </c>
      <c r="E4015" s="11" t="s">
        <v>13201</v>
      </c>
    </row>
    <row r="4016" spans="1:5">
      <c r="A4016" s="11" t="s">
        <v>13202</v>
      </c>
      <c r="B4016">
        <v>8002370</v>
      </c>
      <c r="D4016" s="11" t="s">
        <v>13203</v>
      </c>
      <c r="E4016" s="11" t="s">
        <v>13204</v>
      </c>
    </row>
    <row r="4017" spans="1:5">
      <c r="A4017" s="11" t="s">
        <v>13205</v>
      </c>
      <c r="B4017">
        <v>8003939</v>
      </c>
      <c r="D4017" s="11" t="s">
        <v>13206</v>
      </c>
      <c r="E4017" s="11" t="s">
        <v>13207</v>
      </c>
    </row>
    <row r="4018" spans="1:5">
      <c r="A4018" s="11" t="s">
        <v>13208</v>
      </c>
      <c r="B4018">
        <v>8003649</v>
      </c>
      <c r="D4018" s="11" t="s">
        <v>13209</v>
      </c>
      <c r="E4018" s="11" t="s">
        <v>13210</v>
      </c>
    </row>
    <row r="4019" spans="1:5">
      <c r="A4019" s="11" t="s">
        <v>13211</v>
      </c>
      <c r="B4019">
        <v>8007056</v>
      </c>
      <c r="D4019" s="11" t="s">
        <v>13212</v>
      </c>
      <c r="E4019" s="11" t="s">
        <v>13213</v>
      </c>
    </row>
    <row r="4020" spans="1:5">
      <c r="A4020" s="11" t="s">
        <v>13214</v>
      </c>
      <c r="B4020">
        <v>8003652</v>
      </c>
      <c r="D4020" s="11" t="s">
        <v>13215</v>
      </c>
      <c r="E4020" s="11" t="s">
        <v>13216</v>
      </c>
    </row>
    <row r="4021" spans="1:5">
      <c r="A4021" s="11" t="s">
        <v>13217</v>
      </c>
      <c r="B4021">
        <v>8007174</v>
      </c>
      <c r="D4021" s="11" t="s">
        <v>13218</v>
      </c>
      <c r="E4021" s="11" t="s">
        <v>13219</v>
      </c>
    </row>
    <row r="4022" spans="1:5">
      <c r="A4022" s="11" t="s">
        <v>13220</v>
      </c>
      <c r="B4022">
        <v>8003655</v>
      </c>
      <c r="D4022" s="11" t="s">
        <v>13221</v>
      </c>
      <c r="E4022" s="11" t="s">
        <v>13222</v>
      </c>
    </row>
    <row r="4023" spans="1:5">
      <c r="A4023" s="11" t="s">
        <v>13223</v>
      </c>
      <c r="B4023">
        <v>8003656</v>
      </c>
      <c r="D4023" s="11" t="s">
        <v>13224</v>
      </c>
      <c r="E4023" s="11" t="s">
        <v>13225</v>
      </c>
    </row>
    <row r="4024" spans="1:5">
      <c r="A4024" s="11" t="s">
        <v>13226</v>
      </c>
      <c r="B4024">
        <v>8000227</v>
      </c>
      <c r="D4024" s="11" t="s">
        <v>13227</v>
      </c>
      <c r="E4024" s="11" t="s">
        <v>13228</v>
      </c>
    </row>
    <row r="4025" spans="1:5">
      <c r="A4025" s="11" t="s">
        <v>13229</v>
      </c>
      <c r="B4025">
        <v>8003657</v>
      </c>
      <c r="D4025" s="11" t="s">
        <v>13230</v>
      </c>
      <c r="E4025" s="11" t="s">
        <v>13231</v>
      </c>
    </row>
    <row r="4026" spans="1:5">
      <c r="A4026" s="11" t="s">
        <v>13232</v>
      </c>
      <c r="B4026">
        <v>8012205</v>
      </c>
      <c r="D4026" s="11" t="s">
        <v>13233</v>
      </c>
      <c r="E4026" s="11" t="s">
        <v>13234</v>
      </c>
    </row>
    <row r="4027" spans="1:5">
      <c r="A4027" s="11" t="s">
        <v>13235</v>
      </c>
      <c r="B4027">
        <v>8003658</v>
      </c>
      <c r="D4027" s="11" t="s">
        <v>13236</v>
      </c>
      <c r="E4027" s="11" t="s">
        <v>13237</v>
      </c>
    </row>
    <row r="4028" spans="1:5">
      <c r="A4028" s="11" t="s">
        <v>13238</v>
      </c>
      <c r="B4028">
        <v>8003659</v>
      </c>
      <c r="D4028" s="11" t="s">
        <v>13239</v>
      </c>
      <c r="E4028" s="11" t="s">
        <v>13240</v>
      </c>
    </row>
    <row r="4029" spans="1:5">
      <c r="A4029" s="11" t="s">
        <v>13241</v>
      </c>
      <c r="B4029">
        <v>8012207</v>
      </c>
      <c r="D4029" s="11" t="s">
        <v>13242</v>
      </c>
      <c r="E4029" s="11" t="s">
        <v>13243</v>
      </c>
    </row>
    <row r="4030" spans="1:5">
      <c r="A4030" s="11" t="s">
        <v>13244</v>
      </c>
      <c r="B4030">
        <v>8003660</v>
      </c>
      <c r="D4030" s="11" t="s">
        <v>13245</v>
      </c>
      <c r="E4030" s="11" t="s">
        <v>13246</v>
      </c>
    </row>
    <row r="4031" spans="1:5">
      <c r="A4031" s="11" t="s">
        <v>13247</v>
      </c>
      <c r="B4031">
        <v>8012208</v>
      </c>
      <c r="D4031" s="11" t="s">
        <v>13248</v>
      </c>
      <c r="E4031" s="11" t="s">
        <v>13249</v>
      </c>
    </row>
    <row r="4032" spans="1:5">
      <c r="A4032" s="11" t="s">
        <v>13250</v>
      </c>
      <c r="B4032">
        <v>8001132</v>
      </c>
      <c r="D4032" s="11" t="s">
        <v>13251</v>
      </c>
      <c r="E4032" s="11" t="s">
        <v>13252</v>
      </c>
    </row>
    <row r="4033" spans="1:5">
      <c r="A4033" s="11" t="s">
        <v>13253</v>
      </c>
      <c r="B4033">
        <v>8012211</v>
      </c>
      <c r="D4033" s="11" t="s">
        <v>13254</v>
      </c>
      <c r="E4033" s="11" t="s">
        <v>13255</v>
      </c>
    </row>
    <row r="4034" spans="1:5">
      <c r="A4034" s="11" t="s">
        <v>13256</v>
      </c>
      <c r="B4034">
        <v>8012212</v>
      </c>
      <c r="D4034" s="11" t="s">
        <v>13257</v>
      </c>
      <c r="E4034" s="11" t="s">
        <v>13258</v>
      </c>
    </row>
    <row r="4035" spans="1:5">
      <c r="A4035" s="11" t="s">
        <v>13259</v>
      </c>
      <c r="B4035">
        <v>8012213</v>
      </c>
      <c r="D4035" s="11" t="s">
        <v>13260</v>
      </c>
      <c r="E4035" s="11" t="s">
        <v>13261</v>
      </c>
    </row>
    <row r="4036" spans="1:5">
      <c r="A4036" s="11" t="s">
        <v>13262</v>
      </c>
      <c r="B4036">
        <v>8003663</v>
      </c>
      <c r="D4036" s="11" t="s">
        <v>13263</v>
      </c>
      <c r="E4036" s="11" t="s">
        <v>13264</v>
      </c>
    </row>
    <row r="4037" spans="1:5">
      <c r="A4037" s="11" t="s">
        <v>13265</v>
      </c>
      <c r="B4037">
        <v>8003664</v>
      </c>
      <c r="D4037" s="11" t="s">
        <v>13266</v>
      </c>
      <c r="E4037" s="11" t="s">
        <v>13267</v>
      </c>
    </row>
    <row r="4038" spans="1:5">
      <c r="A4038" s="11" t="s">
        <v>13268</v>
      </c>
      <c r="B4038">
        <v>8003665</v>
      </c>
      <c r="D4038" s="11" t="s">
        <v>13269</v>
      </c>
      <c r="E4038" s="11" t="s">
        <v>13270</v>
      </c>
    </row>
    <row r="4039" spans="1:5">
      <c r="A4039" s="11" t="s">
        <v>13271</v>
      </c>
      <c r="B4039">
        <v>8012215</v>
      </c>
      <c r="D4039" s="11" t="s">
        <v>13272</v>
      </c>
      <c r="E4039" s="11" t="s">
        <v>13273</v>
      </c>
    </row>
    <row r="4040" spans="1:5">
      <c r="A4040" s="11" t="s">
        <v>13274</v>
      </c>
      <c r="B4040">
        <v>8000336</v>
      </c>
      <c r="D4040" s="11" t="s">
        <v>13275</v>
      </c>
      <c r="E4040" s="11" t="s">
        <v>13276</v>
      </c>
    </row>
    <row r="4041" spans="1:5">
      <c r="A4041" s="11" t="s">
        <v>13277</v>
      </c>
      <c r="B4041">
        <v>8000832</v>
      </c>
      <c r="D4041" s="11" t="s">
        <v>13278</v>
      </c>
      <c r="E4041" s="11" t="s">
        <v>13279</v>
      </c>
    </row>
    <row r="4042" spans="1:5">
      <c r="A4042" s="11" t="s">
        <v>13280</v>
      </c>
      <c r="B4042">
        <v>8006713</v>
      </c>
      <c r="D4042" s="11" t="s">
        <v>13281</v>
      </c>
      <c r="E4042" s="11" t="s">
        <v>13282</v>
      </c>
    </row>
    <row r="4043" spans="1:5">
      <c r="A4043" s="11" t="s">
        <v>13283</v>
      </c>
      <c r="B4043">
        <v>8003668</v>
      </c>
      <c r="D4043" s="11" t="s">
        <v>13284</v>
      </c>
      <c r="E4043" s="11" t="s">
        <v>13285</v>
      </c>
    </row>
    <row r="4044" spans="1:5">
      <c r="A4044" s="11" t="s">
        <v>13286</v>
      </c>
      <c r="B4044">
        <v>8003669</v>
      </c>
      <c r="D4044" s="11" t="s">
        <v>13287</v>
      </c>
      <c r="E4044" s="11" t="s">
        <v>13288</v>
      </c>
    </row>
    <row r="4045" spans="1:5">
      <c r="A4045" s="11" t="s">
        <v>13289</v>
      </c>
      <c r="B4045">
        <v>8003672</v>
      </c>
      <c r="D4045" s="11" t="s">
        <v>13290</v>
      </c>
      <c r="E4045" s="11" t="s">
        <v>13291</v>
      </c>
    </row>
    <row r="4046" spans="1:5">
      <c r="A4046" s="11" t="s">
        <v>13292</v>
      </c>
      <c r="B4046">
        <v>8003673</v>
      </c>
      <c r="D4046" s="11" t="s">
        <v>13293</v>
      </c>
      <c r="E4046" s="11" t="s">
        <v>13294</v>
      </c>
    </row>
    <row r="4047" spans="1:5">
      <c r="A4047" s="11" t="s">
        <v>13295</v>
      </c>
      <c r="B4047">
        <v>8012220</v>
      </c>
      <c r="D4047" s="11" t="s">
        <v>13296</v>
      </c>
      <c r="E4047" s="11" t="s">
        <v>13297</v>
      </c>
    </row>
    <row r="4048" spans="1:5">
      <c r="A4048" s="11" t="s">
        <v>13298</v>
      </c>
      <c r="B4048">
        <v>8000228</v>
      </c>
      <c r="D4048" s="11" t="s">
        <v>13299</v>
      </c>
      <c r="E4048" s="11" t="s">
        <v>13300</v>
      </c>
    </row>
    <row r="4049" spans="1:5">
      <c r="A4049" s="11" t="s">
        <v>13301</v>
      </c>
      <c r="B4049">
        <v>8012222</v>
      </c>
      <c r="D4049" s="11" t="s">
        <v>13302</v>
      </c>
      <c r="E4049" s="11" t="s">
        <v>13303</v>
      </c>
    </row>
    <row r="4050" spans="1:5">
      <c r="A4050" s="11" t="s">
        <v>13304</v>
      </c>
      <c r="B4050">
        <v>8017404</v>
      </c>
      <c r="D4050" s="11" t="s">
        <v>13305</v>
      </c>
      <c r="E4050" s="11" t="s">
        <v>13306</v>
      </c>
    </row>
    <row r="4051" spans="1:5">
      <c r="A4051" s="11" t="s">
        <v>13307</v>
      </c>
      <c r="B4051">
        <v>8017405</v>
      </c>
      <c r="D4051" s="11" t="s">
        <v>13308</v>
      </c>
      <c r="E4051" s="11" t="s">
        <v>13309</v>
      </c>
    </row>
    <row r="4052" spans="1:5">
      <c r="A4052" s="11" t="s">
        <v>13310</v>
      </c>
      <c r="B4052">
        <v>8017406</v>
      </c>
      <c r="D4052" s="11" t="s">
        <v>13311</v>
      </c>
      <c r="E4052" s="11" t="s">
        <v>13312</v>
      </c>
    </row>
    <row r="4053" spans="1:5">
      <c r="A4053" s="11" t="s">
        <v>13313</v>
      </c>
      <c r="B4053">
        <v>8012223</v>
      </c>
      <c r="D4053" s="11" t="s">
        <v>13314</v>
      </c>
      <c r="E4053" s="11" t="s">
        <v>13315</v>
      </c>
    </row>
    <row r="4054" spans="1:5">
      <c r="A4054" s="11" t="s">
        <v>13316</v>
      </c>
      <c r="B4054">
        <v>8012224</v>
      </c>
      <c r="D4054" s="11" t="s">
        <v>13317</v>
      </c>
      <c r="E4054" s="11" t="s">
        <v>13318</v>
      </c>
    </row>
    <row r="4055" spans="1:5">
      <c r="A4055" s="11" t="s">
        <v>13319</v>
      </c>
      <c r="B4055">
        <v>8012225</v>
      </c>
      <c r="D4055" s="11" t="s">
        <v>13320</v>
      </c>
      <c r="E4055" s="11" t="s">
        <v>13321</v>
      </c>
    </row>
    <row r="4056" spans="1:5">
      <c r="A4056" s="11" t="s">
        <v>13322</v>
      </c>
      <c r="B4056">
        <v>8003676</v>
      </c>
      <c r="D4056" s="11" t="s">
        <v>13323</v>
      </c>
      <c r="E4056" s="11" t="s">
        <v>13324</v>
      </c>
    </row>
    <row r="4057" spans="1:5">
      <c r="A4057" s="11" t="s">
        <v>13325</v>
      </c>
      <c r="B4057">
        <v>8003677</v>
      </c>
      <c r="D4057" s="11" t="s">
        <v>13326</v>
      </c>
      <c r="E4057" s="11" t="s">
        <v>13327</v>
      </c>
    </row>
    <row r="4058" spans="1:5">
      <c r="A4058" s="11" t="s">
        <v>13328</v>
      </c>
      <c r="B4058">
        <v>8012226</v>
      </c>
      <c r="D4058" s="11" t="s">
        <v>13329</v>
      </c>
      <c r="E4058" s="11" t="s">
        <v>13330</v>
      </c>
    </row>
    <row r="4059" spans="1:5">
      <c r="A4059" s="11" t="s">
        <v>13331</v>
      </c>
      <c r="B4059">
        <v>8003681</v>
      </c>
      <c r="D4059" s="11" t="s">
        <v>13332</v>
      </c>
      <c r="E4059" s="11" t="s">
        <v>13333</v>
      </c>
    </row>
    <row r="4060" spans="1:5">
      <c r="A4060" s="11" t="s">
        <v>13334</v>
      </c>
      <c r="B4060">
        <v>8007159</v>
      </c>
      <c r="D4060" s="11" t="s">
        <v>13335</v>
      </c>
      <c r="E4060" s="11" t="s">
        <v>13336</v>
      </c>
    </row>
    <row r="4061" spans="1:5">
      <c r="A4061" s="11" t="s">
        <v>13337</v>
      </c>
      <c r="B4061">
        <v>8070041</v>
      </c>
      <c r="D4061" s="11" t="s">
        <v>13338</v>
      </c>
      <c r="E4061" s="11" t="s">
        <v>13339</v>
      </c>
    </row>
    <row r="4062" spans="1:5">
      <c r="A4062" s="11" t="s">
        <v>13340</v>
      </c>
      <c r="B4062">
        <v>8079273</v>
      </c>
      <c r="D4062" s="11" t="s">
        <v>13341</v>
      </c>
      <c r="E4062" s="11" t="s">
        <v>13342</v>
      </c>
    </row>
    <row r="4063" spans="1:5">
      <c r="A4063" s="11" t="s">
        <v>13343</v>
      </c>
      <c r="B4063">
        <v>8071255</v>
      </c>
      <c r="D4063" s="11" t="s">
        <v>13344</v>
      </c>
      <c r="E4063" s="11" t="s">
        <v>13345</v>
      </c>
    </row>
    <row r="4064" spans="1:5">
      <c r="A4064" s="11" t="s">
        <v>13346</v>
      </c>
      <c r="B4064">
        <v>8079744</v>
      </c>
      <c r="D4064" s="11" t="s">
        <v>13347</v>
      </c>
      <c r="E4064" s="11" t="s">
        <v>13348</v>
      </c>
    </row>
    <row r="4065" spans="1:5">
      <c r="A4065" s="11" t="s">
        <v>13349</v>
      </c>
      <c r="B4065">
        <v>8081053</v>
      </c>
      <c r="D4065" s="11" t="s">
        <v>13350</v>
      </c>
      <c r="E4065" s="11" t="s">
        <v>13351</v>
      </c>
    </row>
    <row r="4066" spans="1:5">
      <c r="A4066" s="11" t="s">
        <v>13352</v>
      </c>
      <c r="B4066">
        <v>8010210</v>
      </c>
      <c r="D4066" s="11" t="s">
        <v>13353</v>
      </c>
      <c r="E4066" s="11" t="s">
        <v>13354</v>
      </c>
    </row>
    <row r="4067" spans="1:5">
      <c r="A4067" s="11" t="s">
        <v>13355</v>
      </c>
      <c r="B4067">
        <v>8003684</v>
      </c>
      <c r="D4067" s="11" t="s">
        <v>13356</v>
      </c>
      <c r="E4067" s="11" t="s">
        <v>13357</v>
      </c>
    </row>
    <row r="4068" spans="1:5">
      <c r="A4068" s="11" t="s">
        <v>13358</v>
      </c>
      <c r="B4068">
        <v>8012231</v>
      </c>
      <c r="D4068" s="11" t="s">
        <v>13359</v>
      </c>
      <c r="E4068" s="11" t="s">
        <v>13360</v>
      </c>
    </row>
    <row r="4069" spans="1:5">
      <c r="A4069" s="11" t="s">
        <v>13361</v>
      </c>
      <c r="B4069">
        <v>8070845</v>
      </c>
      <c r="D4069" s="11" t="s">
        <v>13362</v>
      </c>
      <c r="E4069" s="11" t="s">
        <v>13363</v>
      </c>
    </row>
    <row r="4070" spans="1:5">
      <c r="A4070" s="11" t="s">
        <v>13364</v>
      </c>
      <c r="B4070">
        <v>8003680</v>
      </c>
      <c r="D4070" s="11" t="s">
        <v>13365</v>
      </c>
      <c r="E4070" s="11" t="s">
        <v>13366</v>
      </c>
    </row>
    <row r="4071" spans="1:5">
      <c r="A4071" s="11" t="s">
        <v>13367</v>
      </c>
      <c r="B4071">
        <v>8000229</v>
      </c>
      <c r="D4071" s="11" t="s">
        <v>13368</v>
      </c>
      <c r="E4071" s="11" t="s">
        <v>13369</v>
      </c>
    </row>
    <row r="4072" spans="1:5">
      <c r="A4072" s="11" t="s">
        <v>1307</v>
      </c>
      <c r="B4072">
        <v>8070272</v>
      </c>
      <c r="D4072" s="11" t="s">
        <v>1539</v>
      </c>
      <c r="E4072" s="11" t="s">
        <v>1539</v>
      </c>
    </row>
    <row r="4073" spans="1:5">
      <c r="A4073" s="11" t="s">
        <v>13370</v>
      </c>
      <c r="B4073">
        <v>8003687</v>
      </c>
      <c r="D4073" s="11" t="s">
        <v>13371</v>
      </c>
      <c r="E4073" s="11" t="s">
        <v>13372</v>
      </c>
    </row>
    <row r="4074" spans="1:5">
      <c r="A4074" s="11" t="s">
        <v>13373</v>
      </c>
      <c r="B4074">
        <v>8012232</v>
      </c>
      <c r="D4074" s="11" t="s">
        <v>13374</v>
      </c>
      <c r="E4074" s="11" t="s">
        <v>13375</v>
      </c>
    </row>
    <row r="4075" spans="1:5">
      <c r="A4075" s="11" t="s">
        <v>13376</v>
      </c>
      <c r="B4075">
        <v>8012233</v>
      </c>
      <c r="D4075" s="11" t="s">
        <v>13377</v>
      </c>
      <c r="E4075" s="11" t="s">
        <v>13378</v>
      </c>
    </row>
    <row r="4076" spans="1:5">
      <c r="A4076" s="11" t="s">
        <v>13379</v>
      </c>
      <c r="B4076">
        <v>8071787</v>
      </c>
      <c r="D4076" s="11" t="s">
        <v>13380</v>
      </c>
      <c r="E4076" s="11" t="s">
        <v>13381</v>
      </c>
    </row>
    <row r="4077" spans="1:5">
      <c r="A4077" s="11" t="s">
        <v>13382</v>
      </c>
      <c r="B4077">
        <v>8003690</v>
      </c>
      <c r="D4077" s="11" t="s">
        <v>13383</v>
      </c>
      <c r="E4077" s="11" t="s">
        <v>13384</v>
      </c>
    </row>
    <row r="4078" spans="1:5">
      <c r="A4078" s="11" t="s">
        <v>13385</v>
      </c>
      <c r="B4078">
        <v>8070230</v>
      </c>
      <c r="D4078" s="11" t="s">
        <v>1539</v>
      </c>
      <c r="E4078" s="11" t="s">
        <v>1539</v>
      </c>
    </row>
    <row r="4079" spans="1:5">
      <c r="A4079" s="11" t="s">
        <v>13386</v>
      </c>
      <c r="B4079">
        <v>8081962</v>
      </c>
      <c r="D4079" s="11" t="s">
        <v>1539</v>
      </c>
      <c r="E4079" s="11" t="s">
        <v>1539</v>
      </c>
    </row>
    <row r="4080" spans="1:5">
      <c r="A4080" s="11" t="s">
        <v>13387</v>
      </c>
      <c r="B4080">
        <v>8003692</v>
      </c>
      <c r="D4080" s="11" t="s">
        <v>13388</v>
      </c>
      <c r="E4080" s="11" t="s">
        <v>13389</v>
      </c>
    </row>
    <row r="4081" spans="1:5">
      <c r="A4081" s="11" t="s">
        <v>13390</v>
      </c>
      <c r="B4081">
        <v>8000230</v>
      </c>
      <c r="D4081" s="11" t="s">
        <v>13391</v>
      </c>
      <c r="E4081" s="11" t="s">
        <v>13392</v>
      </c>
    </row>
    <row r="4082" spans="1:5">
      <c r="A4082" s="11" t="s">
        <v>13393</v>
      </c>
      <c r="B4082">
        <v>8003693</v>
      </c>
      <c r="D4082" s="11" t="s">
        <v>13394</v>
      </c>
      <c r="E4082" s="11" t="s">
        <v>13395</v>
      </c>
    </row>
    <row r="4083" spans="1:5">
      <c r="A4083" s="11" t="s">
        <v>13396</v>
      </c>
      <c r="B4083">
        <v>8081061</v>
      </c>
      <c r="D4083" s="11" t="s">
        <v>1539</v>
      </c>
      <c r="E4083" s="11" t="s">
        <v>1539</v>
      </c>
    </row>
    <row r="4084" spans="1:5">
      <c r="A4084" s="11" t="s">
        <v>13397</v>
      </c>
      <c r="B4084">
        <v>8012237</v>
      </c>
      <c r="D4084" s="11" t="s">
        <v>13398</v>
      </c>
      <c r="E4084" s="11" t="s">
        <v>13399</v>
      </c>
    </row>
    <row r="4085" spans="1:5">
      <c r="A4085" s="11" t="s">
        <v>13400</v>
      </c>
      <c r="B4085">
        <v>8003696</v>
      </c>
      <c r="D4085" s="11" t="s">
        <v>13401</v>
      </c>
      <c r="E4085" s="11" t="s">
        <v>13402</v>
      </c>
    </row>
    <row r="4086" spans="1:5">
      <c r="A4086" s="11" t="s">
        <v>13403</v>
      </c>
      <c r="B4086">
        <v>8003697</v>
      </c>
      <c r="D4086" s="11" t="s">
        <v>13404</v>
      </c>
      <c r="E4086" s="11" t="s">
        <v>13405</v>
      </c>
    </row>
    <row r="4087" spans="1:5">
      <c r="A4087" s="11" t="s">
        <v>13406</v>
      </c>
      <c r="B4087">
        <v>8003699</v>
      </c>
      <c r="D4087" s="11" t="s">
        <v>13407</v>
      </c>
      <c r="E4087" s="11" t="s">
        <v>13408</v>
      </c>
    </row>
    <row r="4088" spans="1:5">
      <c r="A4088" s="11" t="s">
        <v>13409</v>
      </c>
      <c r="B4088">
        <v>8012239</v>
      </c>
      <c r="D4088" s="11" t="s">
        <v>13410</v>
      </c>
      <c r="E4088" s="11" t="s">
        <v>13411</v>
      </c>
    </row>
    <row r="4089" spans="1:5">
      <c r="A4089" s="11" t="s">
        <v>13412</v>
      </c>
      <c r="B4089">
        <v>8003700</v>
      </c>
      <c r="D4089" s="11" t="s">
        <v>13413</v>
      </c>
      <c r="E4089" s="11" t="s">
        <v>13414</v>
      </c>
    </row>
    <row r="4090" spans="1:5">
      <c r="A4090" s="11" t="s">
        <v>13415</v>
      </c>
      <c r="B4090">
        <v>8003701</v>
      </c>
      <c r="D4090" s="11" t="s">
        <v>13416</v>
      </c>
      <c r="E4090" s="11" t="s">
        <v>13417</v>
      </c>
    </row>
    <row r="4091" spans="1:5">
      <c r="A4091" s="11" t="s">
        <v>13418</v>
      </c>
      <c r="B4091">
        <v>8003702</v>
      </c>
      <c r="D4091" s="11" t="s">
        <v>13419</v>
      </c>
      <c r="E4091" s="11" t="s">
        <v>13420</v>
      </c>
    </row>
    <row r="4092" spans="1:5">
      <c r="A4092" s="11" t="s">
        <v>13421</v>
      </c>
      <c r="B4092">
        <v>8079018</v>
      </c>
      <c r="D4092" s="11" t="s">
        <v>13422</v>
      </c>
      <c r="E4092" s="11" t="s">
        <v>13423</v>
      </c>
    </row>
    <row r="4093" spans="1:5">
      <c r="A4093" s="11" t="s">
        <v>13424</v>
      </c>
      <c r="B4093">
        <v>8007803</v>
      </c>
      <c r="D4093" s="11" t="s">
        <v>13425</v>
      </c>
      <c r="E4093" s="11" t="s">
        <v>13426</v>
      </c>
    </row>
    <row r="4094" spans="1:5">
      <c r="A4094" s="11" t="s">
        <v>13427</v>
      </c>
      <c r="B4094">
        <v>8007806</v>
      </c>
      <c r="D4094" s="11" t="s">
        <v>13428</v>
      </c>
      <c r="E4094" s="11" t="s">
        <v>13429</v>
      </c>
    </row>
    <row r="4095" spans="1:5">
      <c r="A4095" s="11" t="s">
        <v>13430</v>
      </c>
      <c r="B4095">
        <v>8003705</v>
      </c>
      <c r="D4095" s="11" t="s">
        <v>13431</v>
      </c>
      <c r="E4095" s="11" t="s">
        <v>13432</v>
      </c>
    </row>
    <row r="4096" spans="1:5">
      <c r="A4096" s="11" t="s">
        <v>13433</v>
      </c>
      <c r="B4096">
        <v>8007447</v>
      </c>
      <c r="D4096" s="11" t="s">
        <v>13434</v>
      </c>
      <c r="E4096" s="11" t="s">
        <v>13435</v>
      </c>
    </row>
    <row r="4097" spans="1:5">
      <c r="A4097" s="11" t="s">
        <v>595</v>
      </c>
      <c r="B4097">
        <v>8003708</v>
      </c>
      <c r="D4097" s="11" t="s">
        <v>597</v>
      </c>
      <c r="E4097" s="11" t="s">
        <v>598</v>
      </c>
    </row>
    <row r="4098" spans="1:5">
      <c r="A4098" s="11" t="s">
        <v>13436</v>
      </c>
      <c r="B4098">
        <v>8075947</v>
      </c>
      <c r="D4098" s="11" t="s">
        <v>1539</v>
      </c>
      <c r="E4098" s="11" t="s">
        <v>1539</v>
      </c>
    </row>
    <row r="4099" spans="1:5">
      <c r="A4099" s="11" t="s">
        <v>13437</v>
      </c>
      <c r="B4099">
        <v>8070473</v>
      </c>
      <c r="D4099" s="11" t="s">
        <v>13438</v>
      </c>
      <c r="E4099" s="11" t="s">
        <v>13439</v>
      </c>
    </row>
    <row r="4100" spans="1:5">
      <c r="A4100" s="11" t="s">
        <v>13440</v>
      </c>
      <c r="B4100">
        <v>8071420</v>
      </c>
      <c r="D4100" s="11" t="s">
        <v>13441</v>
      </c>
      <c r="E4100" s="11" t="s">
        <v>13442</v>
      </c>
    </row>
    <row r="4101" spans="1:5">
      <c r="A4101" s="11" t="s">
        <v>13443</v>
      </c>
      <c r="B4101">
        <v>8000571</v>
      </c>
      <c r="D4101" s="11" t="s">
        <v>13444</v>
      </c>
      <c r="E4101" s="11" t="s">
        <v>13445</v>
      </c>
    </row>
    <row r="4102" spans="1:5">
      <c r="A4102" s="11" t="s">
        <v>13446</v>
      </c>
      <c r="B4102">
        <v>8003711</v>
      </c>
      <c r="D4102" s="11" t="s">
        <v>13447</v>
      </c>
      <c r="E4102" s="11" t="s">
        <v>13448</v>
      </c>
    </row>
    <row r="4103" spans="1:5">
      <c r="A4103" s="11" t="s">
        <v>13449</v>
      </c>
      <c r="B4103">
        <v>8071218</v>
      </c>
      <c r="D4103" s="11" t="s">
        <v>13450</v>
      </c>
      <c r="E4103" s="11" t="s">
        <v>13451</v>
      </c>
    </row>
    <row r="4104" spans="1:5">
      <c r="A4104" s="11" t="s">
        <v>13452</v>
      </c>
      <c r="B4104">
        <v>8003713</v>
      </c>
      <c r="D4104" s="11" t="s">
        <v>13453</v>
      </c>
      <c r="E4104" s="11" t="s">
        <v>13454</v>
      </c>
    </row>
    <row r="4105" spans="1:5">
      <c r="A4105" s="11" t="s">
        <v>13455</v>
      </c>
      <c r="B4105">
        <v>8003715</v>
      </c>
      <c r="D4105" s="11" t="s">
        <v>13456</v>
      </c>
      <c r="E4105" s="11" t="s">
        <v>13457</v>
      </c>
    </row>
    <row r="4106" spans="1:5">
      <c r="A4106" s="11" t="s">
        <v>13458</v>
      </c>
      <c r="B4106">
        <v>8010212</v>
      </c>
      <c r="D4106" s="11" t="s">
        <v>13459</v>
      </c>
      <c r="E4106" s="11" t="s">
        <v>13460</v>
      </c>
    </row>
    <row r="4107" spans="1:5">
      <c r="A4107" s="11" t="s">
        <v>13461</v>
      </c>
      <c r="B4107">
        <v>8012241</v>
      </c>
      <c r="D4107" s="11" t="s">
        <v>13462</v>
      </c>
      <c r="E4107" s="11" t="s">
        <v>13463</v>
      </c>
    </row>
    <row r="4108" spans="1:5">
      <c r="A4108" s="11" t="s">
        <v>13464</v>
      </c>
      <c r="B4108">
        <v>8012242</v>
      </c>
      <c r="D4108" s="11" t="s">
        <v>13465</v>
      </c>
      <c r="E4108" s="11" t="s">
        <v>13466</v>
      </c>
    </row>
    <row r="4109" spans="1:5">
      <c r="A4109" s="11" t="s">
        <v>13467</v>
      </c>
      <c r="B4109">
        <v>8003721</v>
      </c>
      <c r="D4109" s="11" t="s">
        <v>13468</v>
      </c>
      <c r="E4109" s="11" t="s">
        <v>13469</v>
      </c>
    </row>
    <row r="4110" spans="1:5">
      <c r="A4110" s="11" t="s">
        <v>13470</v>
      </c>
      <c r="B4110">
        <v>8003720</v>
      </c>
      <c r="D4110" s="11" t="s">
        <v>13471</v>
      </c>
      <c r="E4110" s="11" t="s">
        <v>13472</v>
      </c>
    </row>
    <row r="4111" spans="1:5">
      <c r="A4111" s="11" t="s">
        <v>13473</v>
      </c>
      <c r="B4111">
        <v>8010213</v>
      </c>
      <c r="D4111" s="11" t="s">
        <v>13474</v>
      </c>
      <c r="E4111" s="11" t="s">
        <v>13475</v>
      </c>
    </row>
    <row r="4112" spans="1:5">
      <c r="A4112" s="11" t="s">
        <v>13476</v>
      </c>
      <c r="B4112">
        <v>8003722</v>
      </c>
      <c r="D4112" s="11" t="s">
        <v>13477</v>
      </c>
      <c r="E4112" s="11" t="s">
        <v>13478</v>
      </c>
    </row>
    <row r="4113" spans="1:5">
      <c r="A4113" s="11" t="s">
        <v>13479</v>
      </c>
      <c r="B4113">
        <v>8071872</v>
      </c>
      <c r="D4113" s="11" t="s">
        <v>13480</v>
      </c>
      <c r="E4113" s="11" t="s">
        <v>13481</v>
      </c>
    </row>
    <row r="4114" spans="1:5">
      <c r="A4114" s="11" t="s">
        <v>13482</v>
      </c>
      <c r="B4114">
        <v>8003723</v>
      </c>
      <c r="D4114" s="11" t="s">
        <v>13483</v>
      </c>
      <c r="E4114" s="11" t="s">
        <v>13484</v>
      </c>
    </row>
    <row r="4115" spans="1:5">
      <c r="A4115" s="11" t="s">
        <v>13485</v>
      </c>
      <c r="B4115">
        <v>8003724</v>
      </c>
      <c r="D4115" s="11" t="s">
        <v>13486</v>
      </c>
      <c r="E4115" s="11" t="s">
        <v>13487</v>
      </c>
    </row>
    <row r="4116" spans="1:5">
      <c r="A4116" s="11" t="s">
        <v>13488</v>
      </c>
      <c r="B4116">
        <v>8003734</v>
      </c>
      <c r="D4116" s="11" t="s">
        <v>13489</v>
      </c>
      <c r="E4116" s="11" t="s">
        <v>13490</v>
      </c>
    </row>
    <row r="4117" spans="1:5">
      <c r="A4117" s="11" t="s">
        <v>13491</v>
      </c>
      <c r="B4117">
        <v>8003735</v>
      </c>
      <c r="D4117" s="11" t="s">
        <v>13492</v>
      </c>
      <c r="E4117" s="11" t="s">
        <v>13493</v>
      </c>
    </row>
    <row r="4118" spans="1:5">
      <c r="A4118" s="11" t="s">
        <v>13494</v>
      </c>
      <c r="B4118">
        <v>8012249</v>
      </c>
      <c r="D4118" s="11" t="s">
        <v>13495</v>
      </c>
      <c r="E4118" s="11" t="s">
        <v>13496</v>
      </c>
    </row>
    <row r="4119" spans="1:5">
      <c r="A4119" s="11" t="s">
        <v>13497</v>
      </c>
      <c r="B4119">
        <v>8003726</v>
      </c>
      <c r="D4119" s="11" t="s">
        <v>13498</v>
      </c>
      <c r="E4119" s="11" t="s">
        <v>13499</v>
      </c>
    </row>
    <row r="4120" spans="1:5">
      <c r="A4120" s="11" t="s">
        <v>13500</v>
      </c>
      <c r="B4120">
        <v>8003738</v>
      </c>
      <c r="D4120" s="11" t="s">
        <v>13501</v>
      </c>
      <c r="E4120" s="11" t="s">
        <v>13502</v>
      </c>
    </row>
    <row r="4121" spans="1:5">
      <c r="A4121" s="11" t="s">
        <v>13503</v>
      </c>
      <c r="B4121">
        <v>8000233</v>
      </c>
      <c r="D4121" s="11" t="s">
        <v>13504</v>
      </c>
      <c r="E4121" s="11" t="s">
        <v>13505</v>
      </c>
    </row>
    <row r="4122" spans="1:5">
      <c r="A4122" s="11" t="s">
        <v>13506</v>
      </c>
      <c r="B4122">
        <v>8003739</v>
      </c>
      <c r="D4122" s="11" t="s">
        <v>13507</v>
      </c>
      <c r="E4122" s="11" t="s">
        <v>13508</v>
      </c>
    </row>
    <row r="4123" spans="1:5">
      <c r="A4123" s="11" t="s">
        <v>13509</v>
      </c>
      <c r="B4123">
        <v>8003740</v>
      </c>
      <c r="D4123" s="11" t="s">
        <v>13510</v>
      </c>
      <c r="E4123" s="11" t="s">
        <v>13511</v>
      </c>
    </row>
    <row r="4124" spans="1:5">
      <c r="A4124" s="11" t="s">
        <v>13512</v>
      </c>
      <c r="B4124">
        <v>8012250</v>
      </c>
      <c r="D4124" s="11" t="s">
        <v>13513</v>
      </c>
      <c r="E4124" s="11" t="s">
        <v>13514</v>
      </c>
    </row>
    <row r="4125" spans="1:5">
      <c r="A4125" s="11" t="s">
        <v>13515</v>
      </c>
      <c r="B4125">
        <v>8070835</v>
      </c>
      <c r="D4125" s="11" t="s">
        <v>13516</v>
      </c>
      <c r="E4125" s="11" t="s">
        <v>13517</v>
      </c>
    </row>
    <row r="4126" spans="1:5">
      <c r="A4126" s="11" t="s">
        <v>13518</v>
      </c>
      <c r="B4126">
        <v>8012252</v>
      </c>
      <c r="D4126" s="11" t="s">
        <v>13519</v>
      </c>
      <c r="E4126" s="11" t="s">
        <v>13520</v>
      </c>
    </row>
    <row r="4127" spans="1:5">
      <c r="A4127" s="11" t="s">
        <v>13521</v>
      </c>
      <c r="B4127">
        <v>8000234</v>
      </c>
      <c r="D4127" s="11" t="s">
        <v>13522</v>
      </c>
      <c r="E4127" s="11" t="s">
        <v>13523</v>
      </c>
    </row>
    <row r="4128" spans="1:5">
      <c r="A4128" s="11" t="s">
        <v>13524</v>
      </c>
      <c r="B4128">
        <v>8070474</v>
      </c>
      <c r="D4128" s="11" t="s">
        <v>13525</v>
      </c>
      <c r="E4128" s="11" t="s">
        <v>13526</v>
      </c>
    </row>
    <row r="4129" spans="1:5">
      <c r="A4129" s="11" t="s">
        <v>13527</v>
      </c>
      <c r="B4129">
        <v>8003748</v>
      </c>
      <c r="D4129" s="11" t="s">
        <v>13528</v>
      </c>
      <c r="E4129" s="11" t="s">
        <v>13529</v>
      </c>
    </row>
    <row r="4130" spans="1:5">
      <c r="A4130" s="11" t="s">
        <v>13530</v>
      </c>
      <c r="B4130">
        <v>8003749</v>
      </c>
      <c r="D4130" s="11" t="s">
        <v>13531</v>
      </c>
      <c r="E4130" s="11" t="s">
        <v>13532</v>
      </c>
    </row>
    <row r="4131" spans="1:5">
      <c r="A4131" s="11" t="s">
        <v>13533</v>
      </c>
      <c r="B4131">
        <v>8003751</v>
      </c>
      <c r="D4131" s="11" t="s">
        <v>13534</v>
      </c>
      <c r="E4131" s="11" t="s">
        <v>13535</v>
      </c>
    </row>
    <row r="4132" spans="1:5">
      <c r="A4132" s="11" t="s">
        <v>13536</v>
      </c>
      <c r="B4132">
        <v>8075965</v>
      </c>
      <c r="D4132" s="11" t="s">
        <v>1539</v>
      </c>
      <c r="E4132" s="11" t="s">
        <v>1539</v>
      </c>
    </row>
    <row r="4133" spans="1:5">
      <c r="A4133" s="11" t="s">
        <v>1036</v>
      </c>
      <c r="B4133">
        <v>8003752</v>
      </c>
      <c r="D4133" s="11" t="s">
        <v>1038</v>
      </c>
      <c r="E4133" s="11" t="s">
        <v>1039</v>
      </c>
    </row>
    <row r="4134" spans="1:5">
      <c r="A4134" s="11" t="s">
        <v>13537</v>
      </c>
      <c r="B4134">
        <v>8003753</v>
      </c>
      <c r="D4134" s="11" t="s">
        <v>13538</v>
      </c>
      <c r="E4134" s="11" t="s">
        <v>13539</v>
      </c>
    </row>
    <row r="4135" spans="1:5">
      <c r="A4135" s="11" t="s">
        <v>13540</v>
      </c>
      <c r="B4135">
        <v>8003736</v>
      </c>
      <c r="D4135" s="11" t="s">
        <v>13541</v>
      </c>
      <c r="E4135" s="11" t="s">
        <v>13542</v>
      </c>
    </row>
    <row r="4136" spans="1:5">
      <c r="A4136" s="11" t="s">
        <v>13543</v>
      </c>
      <c r="B4136">
        <v>8003729</v>
      </c>
      <c r="D4136" s="11" t="s">
        <v>13544</v>
      </c>
      <c r="E4136" s="11" t="s">
        <v>13545</v>
      </c>
    </row>
    <row r="4137" spans="1:5">
      <c r="A4137" s="11" t="s">
        <v>13546</v>
      </c>
      <c r="B4137">
        <v>8003737</v>
      </c>
      <c r="D4137" s="11" t="s">
        <v>13547</v>
      </c>
      <c r="E4137" s="11" t="s">
        <v>13548</v>
      </c>
    </row>
    <row r="4138" spans="1:5">
      <c r="A4138" s="11" t="s">
        <v>13549</v>
      </c>
      <c r="B4138">
        <v>8003743</v>
      </c>
      <c r="D4138" s="11" t="s">
        <v>13550</v>
      </c>
      <c r="E4138" s="11" t="s">
        <v>13551</v>
      </c>
    </row>
    <row r="4139" spans="1:5">
      <c r="A4139" s="11" t="s">
        <v>13552</v>
      </c>
      <c r="B4139">
        <v>8001191</v>
      </c>
      <c r="D4139" s="11" t="s">
        <v>13553</v>
      </c>
      <c r="E4139" s="11" t="s">
        <v>13554</v>
      </c>
    </row>
    <row r="4140" spans="1:5">
      <c r="A4140" s="11" t="s">
        <v>13555</v>
      </c>
      <c r="B4140">
        <v>8002489</v>
      </c>
      <c r="D4140" s="11" t="s">
        <v>13556</v>
      </c>
      <c r="E4140" s="11" t="s">
        <v>13557</v>
      </c>
    </row>
    <row r="4141" spans="1:5">
      <c r="A4141" s="11" t="s">
        <v>13558</v>
      </c>
      <c r="B4141">
        <v>8003730</v>
      </c>
      <c r="D4141" s="11" t="s">
        <v>13559</v>
      </c>
      <c r="E4141" s="11" t="s">
        <v>13560</v>
      </c>
    </row>
    <row r="4142" spans="1:5">
      <c r="A4142" s="11" t="s">
        <v>13561</v>
      </c>
      <c r="B4142">
        <v>8003754</v>
      </c>
      <c r="D4142" s="11" t="s">
        <v>13562</v>
      </c>
      <c r="E4142" s="11" t="s">
        <v>13563</v>
      </c>
    </row>
    <row r="4143" spans="1:5">
      <c r="A4143" s="11" t="s">
        <v>13564</v>
      </c>
      <c r="B4143">
        <v>8003755</v>
      </c>
      <c r="D4143" s="11" t="s">
        <v>13565</v>
      </c>
      <c r="E4143" s="11" t="s">
        <v>13566</v>
      </c>
    </row>
    <row r="4144" spans="1:5">
      <c r="A4144" s="11" t="s">
        <v>13567</v>
      </c>
      <c r="B4144">
        <v>8003731</v>
      </c>
      <c r="D4144" s="11" t="s">
        <v>13568</v>
      </c>
      <c r="E4144" s="11" t="s">
        <v>13569</v>
      </c>
    </row>
    <row r="4145" spans="1:5">
      <c r="A4145" s="11" t="s">
        <v>13570</v>
      </c>
      <c r="B4145">
        <v>8000232</v>
      </c>
      <c r="D4145" s="11" t="s">
        <v>13571</v>
      </c>
      <c r="E4145" s="11" t="s">
        <v>13572</v>
      </c>
    </row>
    <row r="4146" spans="1:5">
      <c r="A4146" s="11" t="s">
        <v>13573</v>
      </c>
      <c r="B4146">
        <v>8003758</v>
      </c>
      <c r="D4146" s="11" t="s">
        <v>13574</v>
      </c>
      <c r="E4146" s="11" t="s">
        <v>13575</v>
      </c>
    </row>
    <row r="4147" spans="1:5">
      <c r="A4147" s="11" t="s">
        <v>13576</v>
      </c>
      <c r="B4147">
        <v>8071245</v>
      </c>
      <c r="D4147" s="11" t="s">
        <v>13577</v>
      </c>
      <c r="E4147" s="11" t="s">
        <v>13578</v>
      </c>
    </row>
    <row r="4148" spans="1:5">
      <c r="A4148" s="11" t="s">
        <v>13579</v>
      </c>
      <c r="B4148">
        <v>8012245</v>
      </c>
      <c r="D4148" s="11" t="s">
        <v>13580</v>
      </c>
      <c r="E4148" s="11" t="s">
        <v>13581</v>
      </c>
    </row>
    <row r="4149" spans="1:5">
      <c r="A4149" s="11" t="s">
        <v>13582</v>
      </c>
      <c r="B4149">
        <v>8012246</v>
      </c>
      <c r="D4149" s="11" t="s">
        <v>13583</v>
      </c>
      <c r="E4149" s="11" t="s">
        <v>13584</v>
      </c>
    </row>
    <row r="4150" spans="1:5">
      <c r="A4150" s="11" t="s">
        <v>13585</v>
      </c>
      <c r="B4150">
        <v>8012247</v>
      </c>
      <c r="D4150" s="11" t="s">
        <v>13586</v>
      </c>
      <c r="E4150" s="11" t="s">
        <v>13587</v>
      </c>
    </row>
    <row r="4151" spans="1:5">
      <c r="A4151" s="11" t="s">
        <v>13588</v>
      </c>
      <c r="B4151">
        <v>8012255</v>
      </c>
      <c r="D4151" s="11" t="s">
        <v>13589</v>
      </c>
      <c r="E4151" s="11" t="s">
        <v>13590</v>
      </c>
    </row>
    <row r="4152" spans="1:5">
      <c r="A4152" s="11" t="s">
        <v>13591</v>
      </c>
      <c r="B4152">
        <v>8003732</v>
      </c>
      <c r="D4152" s="11" t="s">
        <v>13592</v>
      </c>
      <c r="E4152" s="11" t="s">
        <v>13593</v>
      </c>
    </row>
    <row r="4153" spans="1:5">
      <c r="A4153" s="11" t="s">
        <v>13594</v>
      </c>
      <c r="B4153">
        <v>8079670</v>
      </c>
      <c r="D4153" s="11" t="s">
        <v>13595</v>
      </c>
      <c r="E4153" s="11" t="s">
        <v>13596</v>
      </c>
    </row>
    <row r="4154" spans="1:5">
      <c r="A4154" s="11" t="s">
        <v>13597</v>
      </c>
      <c r="B4154">
        <v>8079637</v>
      </c>
      <c r="D4154" s="11" t="s">
        <v>13598</v>
      </c>
      <c r="E4154" s="11" t="s">
        <v>13599</v>
      </c>
    </row>
    <row r="4155" spans="1:5">
      <c r="A4155" s="11" t="s">
        <v>13600</v>
      </c>
      <c r="B4155">
        <v>8010214</v>
      </c>
      <c r="D4155" s="11" t="s">
        <v>13601</v>
      </c>
      <c r="E4155" s="11" t="s">
        <v>13602</v>
      </c>
    </row>
    <row r="4156" spans="1:5">
      <c r="A4156" s="11" t="s">
        <v>13603</v>
      </c>
      <c r="B4156">
        <v>8003733</v>
      </c>
      <c r="D4156" s="11" t="s">
        <v>13604</v>
      </c>
      <c r="E4156" s="11" t="s">
        <v>13605</v>
      </c>
    </row>
    <row r="4157" spans="1:5">
      <c r="A4157" s="11" t="s">
        <v>13606</v>
      </c>
      <c r="B4157">
        <v>8003760</v>
      </c>
      <c r="D4157" s="11" t="s">
        <v>13607</v>
      </c>
      <c r="E4157" s="11" t="s">
        <v>13608</v>
      </c>
    </row>
    <row r="4158" spans="1:5">
      <c r="A4158" s="11" t="s">
        <v>13609</v>
      </c>
      <c r="B4158">
        <v>8003772</v>
      </c>
      <c r="D4158" s="11" t="s">
        <v>13610</v>
      </c>
      <c r="E4158" s="11" t="s">
        <v>13611</v>
      </c>
    </row>
    <row r="4159" spans="1:5">
      <c r="A4159" s="11" t="s">
        <v>13612</v>
      </c>
      <c r="B4159">
        <v>8010217</v>
      </c>
      <c r="D4159" s="11" t="s">
        <v>13613</v>
      </c>
      <c r="E4159" s="11" t="s">
        <v>13614</v>
      </c>
    </row>
    <row r="4160" spans="1:5">
      <c r="A4160" s="11" t="s">
        <v>13615</v>
      </c>
      <c r="B4160">
        <v>8010220</v>
      </c>
      <c r="D4160" s="11" t="s">
        <v>13616</v>
      </c>
      <c r="E4160" s="11" t="s">
        <v>13617</v>
      </c>
    </row>
    <row r="4161" spans="1:5">
      <c r="A4161" s="11" t="s">
        <v>13618</v>
      </c>
      <c r="B4161">
        <v>8003773</v>
      </c>
      <c r="D4161" s="11" t="s">
        <v>13619</v>
      </c>
      <c r="E4161" s="11" t="s">
        <v>13620</v>
      </c>
    </row>
    <row r="4162" spans="1:5">
      <c r="A4162" s="11" t="s">
        <v>13621</v>
      </c>
      <c r="B4162">
        <v>8003781</v>
      </c>
      <c r="D4162" s="11" t="s">
        <v>13622</v>
      </c>
      <c r="E4162" s="11" t="s">
        <v>13623</v>
      </c>
    </row>
    <row r="4163" spans="1:5">
      <c r="A4163" s="11" t="s">
        <v>13624</v>
      </c>
      <c r="B4163">
        <v>8000237</v>
      </c>
      <c r="D4163" s="11" t="s">
        <v>13625</v>
      </c>
      <c r="E4163" s="11" t="s">
        <v>13626</v>
      </c>
    </row>
    <row r="4164" spans="1:5">
      <c r="A4164" s="11" t="s">
        <v>13627</v>
      </c>
      <c r="B4164">
        <v>8003785</v>
      </c>
      <c r="D4164" s="11" t="s">
        <v>13628</v>
      </c>
      <c r="E4164" s="11" t="s">
        <v>13629</v>
      </c>
    </row>
    <row r="4165" spans="1:5">
      <c r="A4165" s="11" t="s">
        <v>13630</v>
      </c>
      <c r="B4165">
        <v>8003774</v>
      </c>
      <c r="D4165" s="11" t="s">
        <v>13631</v>
      </c>
      <c r="E4165" s="11" t="s">
        <v>13632</v>
      </c>
    </row>
    <row r="4166" spans="1:5">
      <c r="A4166" s="11" t="s">
        <v>13633</v>
      </c>
      <c r="B4166">
        <v>8070940</v>
      </c>
      <c r="D4166" s="11" t="s">
        <v>13634</v>
      </c>
      <c r="E4166" s="11" t="s">
        <v>13635</v>
      </c>
    </row>
    <row r="4167" spans="1:5">
      <c r="A4167" s="11" t="s">
        <v>13636</v>
      </c>
      <c r="B4167">
        <v>8003786</v>
      </c>
      <c r="D4167" s="11" t="s">
        <v>13637</v>
      </c>
      <c r="E4167" s="11" t="s">
        <v>13638</v>
      </c>
    </row>
    <row r="4168" spans="1:5">
      <c r="A4168" s="11" t="s">
        <v>13639</v>
      </c>
      <c r="B4168">
        <v>8003776</v>
      </c>
      <c r="D4168" s="11" t="s">
        <v>13640</v>
      </c>
      <c r="E4168" s="11" t="s">
        <v>13641</v>
      </c>
    </row>
    <row r="4169" spans="1:5">
      <c r="A4169" s="11" t="s">
        <v>13642</v>
      </c>
      <c r="B4169">
        <v>8003775</v>
      </c>
      <c r="D4169" s="11" t="s">
        <v>13643</v>
      </c>
      <c r="E4169" s="11" t="s">
        <v>13644</v>
      </c>
    </row>
    <row r="4170" spans="1:5">
      <c r="A4170" s="11" t="s">
        <v>13645</v>
      </c>
      <c r="B4170">
        <v>8006704</v>
      </c>
      <c r="D4170" s="11" t="s">
        <v>13646</v>
      </c>
      <c r="E4170" s="11" t="s">
        <v>13647</v>
      </c>
    </row>
    <row r="4171" spans="1:5">
      <c r="A4171" s="11" t="s">
        <v>13648</v>
      </c>
      <c r="B4171">
        <v>8003777</v>
      </c>
      <c r="D4171" s="11" t="s">
        <v>13649</v>
      </c>
      <c r="E4171" s="11" t="s">
        <v>13650</v>
      </c>
    </row>
    <row r="4172" spans="1:5">
      <c r="A4172" s="11" t="s">
        <v>13651</v>
      </c>
      <c r="B4172">
        <v>8003778</v>
      </c>
      <c r="D4172" s="11" t="s">
        <v>13652</v>
      </c>
      <c r="E4172" s="11" t="s">
        <v>13653</v>
      </c>
    </row>
    <row r="4173" spans="1:5">
      <c r="A4173" s="11" t="s">
        <v>13654</v>
      </c>
      <c r="B4173">
        <v>8012262</v>
      </c>
      <c r="D4173" s="11" t="s">
        <v>13655</v>
      </c>
      <c r="E4173" s="11" t="s">
        <v>13656</v>
      </c>
    </row>
    <row r="4174" spans="1:5">
      <c r="A4174" s="11" t="s">
        <v>13657</v>
      </c>
      <c r="B4174">
        <v>8012257</v>
      </c>
      <c r="D4174" s="11" t="s">
        <v>13658</v>
      </c>
      <c r="E4174" s="11" t="s">
        <v>13659</v>
      </c>
    </row>
    <row r="4175" spans="1:5">
      <c r="A4175" s="11" t="s">
        <v>13660</v>
      </c>
      <c r="B4175">
        <v>8012263</v>
      </c>
      <c r="D4175" s="11" t="s">
        <v>13661</v>
      </c>
      <c r="E4175" s="11" t="s">
        <v>13662</v>
      </c>
    </row>
    <row r="4176" spans="1:5">
      <c r="A4176" s="11" t="s">
        <v>13663</v>
      </c>
      <c r="B4176">
        <v>8012264</v>
      </c>
      <c r="D4176" s="11" t="s">
        <v>13664</v>
      </c>
      <c r="E4176" s="11" t="s">
        <v>13665</v>
      </c>
    </row>
    <row r="4177" spans="1:5">
      <c r="A4177" s="11" t="s">
        <v>13666</v>
      </c>
      <c r="B4177">
        <v>8071524</v>
      </c>
      <c r="D4177" s="11" t="s">
        <v>13667</v>
      </c>
      <c r="E4177" s="11" t="s">
        <v>13668</v>
      </c>
    </row>
    <row r="4178" spans="1:5">
      <c r="A4178" s="11" t="s">
        <v>13669</v>
      </c>
      <c r="B4178">
        <v>8012265</v>
      </c>
      <c r="D4178" s="11" t="s">
        <v>13670</v>
      </c>
      <c r="E4178" s="11" t="s">
        <v>13671</v>
      </c>
    </row>
    <row r="4179" spans="1:5">
      <c r="A4179" s="11" t="s">
        <v>13672</v>
      </c>
      <c r="B4179">
        <v>8012897</v>
      </c>
      <c r="D4179" s="11" t="s">
        <v>13673</v>
      </c>
      <c r="E4179" s="11" t="s">
        <v>13674</v>
      </c>
    </row>
    <row r="4180" spans="1:5">
      <c r="A4180" s="11" t="s">
        <v>13675</v>
      </c>
      <c r="B4180">
        <v>8079746</v>
      </c>
      <c r="D4180" s="11" t="s">
        <v>13676</v>
      </c>
      <c r="E4180" s="11" t="s">
        <v>13677</v>
      </c>
    </row>
    <row r="4181" spans="1:5">
      <c r="A4181" s="11" t="s">
        <v>13678</v>
      </c>
      <c r="B4181">
        <v>8079747</v>
      </c>
      <c r="D4181" s="11" t="s">
        <v>13679</v>
      </c>
      <c r="E4181" s="11" t="s">
        <v>13680</v>
      </c>
    </row>
    <row r="4182" spans="1:5">
      <c r="A4182" s="11" t="s">
        <v>13681</v>
      </c>
      <c r="B4182">
        <v>8071047</v>
      </c>
      <c r="D4182" s="11" t="s">
        <v>13682</v>
      </c>
      <c r="E4182" s="11" t="s">
        <v>13683</v>
      </c>
    </row>
    <row r="4183" spans="1:5">
      <c r="A4183" s="11" t="s">
        <v>13684</v>
      </c>
      <c r="B4183">
        <v>8010353</v>
      </c>
      <c r="D4183" s="11" t="s">
        <v>13685</v>
      </c>
      <c r="E4183" s="11" t="s">
        <v>13686</v>
      </c>
    </row>
    <row r="4184" spans="1:5">
      <c r="A4184" s="11" t="s">
        <v>13687</v>
      </c>
      <c r="B4184">
        <v>8012259</v>
      </c>
      <c r="D4184" s="11" t="s">
        <v>13688</v>
      </c>
      <c r="E4184" s="11" t="s">
        <v>13689</v>
      </c>
    </row>
    <row r="4185" spans="1:5">
      <c r="A4185" s="11" t="s">
        <v>13690</v>
      </c>
      <c r="B4185">
        <v>8012260</v>
      </c>
      <c r="D4185" s="11" t="s">
        <v>13691</v>
      </c>
      <c r="E4185" s="11" t="s">
        <v>13692</v>
      </c>
    </row>
    <row r="4186" spans="1:5">
      <c r="A4186" s="11" t="s">
        <v>13693</v>
      </c>
      <c r="B4186">
        <v>8071197</v>
      </c>
      <c r="D4186" s="11" t="s">
        <v>13694</v>
      </c>
      <c r="E4186" s="11" t="s">
        <v>13695</v>
      </c>
    </row>
    <row r="4187" spans="1:5">
      <c r="A4187" s="11" t="s">
        <v>13696</v>
      </c>
      <c r="B4187">
        <v>8003782</v>
      </c>
      <c r="D4187" s="11" t="s">
        <v>13697</v>
      </c>
      <c r="E4187" s="11" t="s">
        <v>13698</v>
      </c>
    </row>
    <row r="4188" spans="1:5">
      <c r="A4188" s="11" t="s">
        <v>13699</v>
      </c>
      <c r="B4188">
        <v>8001213</v>
      </c>
      <c r="D4188" s="11" t="s">
        <v>13700</v>
      </c>
      <c r="E4188" s="11" t="s">
        <v>13701</v>
      </c>
    </row>
    <row r="4189" spans="1:5">
      <c r="A4189" s="11" t="s">
        <v>13702</v>
      </c>
      <c r="B4189">
        <v>8012268</v>
      </c>
      <c r="D4189" s="11" t="s">
        <v>13703</v>
      </c>
      <c r="E4189" s="11" t="s">
        <v>13704</v>
      </c>
    </row>
    <row r="4190" spans="1:5">
      <c r="A4190" s="11" t="s">
        <v>13705</v>
      </c>
      <c r="B4190">
        <v>8003762</v>
      </c>
      <c r="D4190" s="11" t="s">
        <v>13706</v>
      </c>
      <c r="E4190" s="11" t="s">
        <v>13707</v>
      </c>
    </row>
    <row r="4191" spans="1:5">
      <c r="A4191" s="11" t="s">
        <v>13708</v>
      </c>
      <c r="B4191">
        <v>8003783</v>
      </c>
      <c r="D4191" s="11" t="s">
        <v>13709</v>
      </c>
      <c r="E4191" s="11" t="s">
        <v>13710</v>
      </c>
    </row>
    <row r="4192" spans="1:5">
      <c r="A4192" s="11" t="s">
        <v>13711</v>
      </c>
      <c r="B4192">
        <v>8002103</v>
      </c>
      <c r="D4192" s="11" t="s">
        <v>13712</v>
      </c>
      <c r="E4192" s="11" t="s">
        <v>13713</v>
      </c>
    </row>
    <row r="4193" spans="1:5">
      <c r="A4193" s="11" t="s">
        <v>13714</v>
      </c>
      <c r="B4193">
        <v>8071209</v>
      </c>
      <c r="D4193" s="11" t="s">
        <v>13715</v>
      </c>
      <c r="E4193" s="11" t="s">
        <v>13716</v>
      </c>
    </row>
    <row r="4194" spans="1:5">
      <c r="A4194" s="11" t="s">
        <v>13717</v>
      </c>
      <c r="B4194">
        <v>8000235</v>
      </c>
      <c r="D4194" s="11" t="s">
        <v>13718</v>
      </c>
      <c r="E4194" s="11" t="s">
        <v>13719</v>
      </c>
    </row>
    <row r="4195" spans="1:5">
      <c r="A4195" s="11" t="s">
        <v>13720</v>
      </c>
      <c r="B4195">
        <v>8003763</v>
      </c>
      <c r="D4195" s="11" t="s">
        <v>13721</v>
      </c>
      <c r="E4195" s="11" t="s">
        <v>13722</v>
      </c>
    </row>
    <row r="4196" spans="1:5">
      <c r="A4196" s="11" t="s">
        <v>13723</v>
      </c>
      <c r="B4196">
        <v>8010215</v>
      </c>
      <c r="D4196" s="11" t="s">
        <v>13724</v>
      </c>
      <c r="E4196" s="11" t="s">
        <v>13725</v>
      </c>
    </row>
    <row r="4197" spans="1:5">
      <c r="A4197" s="11" t="s">
        <v>13726</v>
      </c>
      <c r="B4197">
        <v>8012253</v>
      </c>
      <c r="D4197" s="11" t="s">
        <v>13727</v>
      </c>
      <c r="E4197" s="11" t="s">
        <v>13728</v>
      </c>
    </row>
    <row r="4198" spans="1:5">
      <c r="A4198" s="11" t="s">
        <v>13729</v>
      </c>
      <c r="B4198">
        <v>8071795</v>
      </c>
      <c r="D4198" s="11" t="s">
        <v>13730</v>
      </c>
      <c r="E4198" s="11" t="s">
        <v>13731</v>
      </c>
    </row>
    <row r="4199" spans="1:5">
      <c r="A4199" s="11" t="s">
        <v>13732</v>
      </c>
      <c r="B4199">
        <v>8077576</v>
      </c>
      <c r="D4199" s="11" t="s">
        <v>13733</v>
      </c>
      <c r="E4199" s="11" t="s">
        <v>13734</v>
      </c>
    </row>
    <row r="4200" spans="1:5">
      <c r="A4200" s="11" t="s">
        <v>13735</v>
      </c>
      <c r="B4200">
        <v>8003764</v>
      </c>
      <c r="D4200" s="11" t="s">
        <v>13736</v>
      </c>
      <c r="E4200" s="11" t="s">
        <v>13737</v>
      </c>
    </row>
    <row r="4201" spans="1:5">
      <c r="A4201" s="11" t="s">
        <v>13738</v>
      </c>
      <c r="B4201">
        <v>8000236</v>
      </c>
      <c r="D4201" s="11" t="s">
        <v>13739</v>
      </c>
      <c r="E4201" s="11" t="s">
        <v>13740</v>
      </c>
    </row>
    <row r="4202" spans="1:5">
      <c r="A4202" s="11" t="s">
        <v>13741</v>
      </c>
      <c r="B4202">
        <v>8000308</v>
      </c>
      <c r="D4202" s="11" t="s">
        <v>13742</v>
      </c>
      <c r="E4202" s="11" t="s">
        <v>13743</v>
      </c>
    </row>
    <row r="4203" spans="1:5">
      <c r="A4203" s="11" t="s">
        <v>13744</v>
      </c>
      <c r="B4203">
        <v>8087060</v>
      </c>
      <c r="D4203" s="11" t="s">
        <v>13745</v>
      </c>
      <c r="E4203" s="11" t="s">
        <v>13746</v>
      </c>
    </row>
    <row r="4204" spans="1:5">
      <c r="A4204" s="11" t="s">
        <v>13747</v>
      </c>
      <c r="B4204">
        <v>8002056</v>
      </c>
      <c r="D4204" s="11" t="s">
        <v>13748</v>
      </c>
      <c r="E4204" s="11" t="s">
        <v>13749</v>
      </c>
    </row>
    <row r="4205" spans="1:5">
      <c r="A4205" s="11" t="s">
        <v>13750</v>
      </c>
      <c r="B4205">
        <v>8003759</v>
      </c>
      <c r="D4205" s="11" t="s">
        <v>13751</v>
      </c>
      <c r="E4205" s="11" t="s">
        <v>13752</v>
      </c>
    </row>
    <row r="4206" spans="1:5">
      <c r="A4206" s="11" t="s">
        <v>13753</v>
      </c>
      <c r="B4206">
        <v>8070167</v>
      </c>
      <c r="D4206" s="11" t="s">
        <v>13754</v>
      </c>
      <c r="E4206" s="11" t="s">
        <v>13755</v>
      </c>
    </row>
    <row r="4207" spans="1:5">
      <c r="A4207" s="11" t="s">
        <v>13756</v>
      </c>
      <c r="B4207">
        <v>8003765</v>
      </c>
      <c r="D4207" s="11" t="s">
        <v>13757</v>
      </c>
      <c r="E4207" s="11" t="s">
        <v>13758</v>
      </c>
    </row>
    <row r="4208" spans="1:5">
      <c r="A4208" s="11" t="s">
        <v>13759</v>
      </c>
      <c r="B4208">
        <v>8003766</v>
      </c>
      <c r="D4208" s="11" t="s">
        <v>13760</v>
      </c>
      <c r="E4208" s="11" t="s">
        <v>13761</v>
      </c>
    </row>
    <row r="4209" spans="1:5">
      <c r="A4209" s="11" t="s">
        <v>13762</v>
      </c>
      <c r="B4209">
        <v>8003767</v>
      </c>
      <c r="D4209" s="11" t="s">
        <v>13763</v>
      </c>
      <c r="E4209" s="11" t="s">
        <v>13764</v>
      </c>
    </row>
    <row r="4210" spans="1:5">
      <c r="A4210" s="11" t="s">
        <v>13765</v>
      </c>
      <c r="B4210">
        <v>8003768</v>
      </c>
      <c r="D4210" s="11" t="s">
        <v>13766</v>
      </c>
      <c r="E4210" s="11" t="s">
        <v>13767</v>
      </c>
    </row>
    <row r="4211" spans="1:5">
      <c r="A4211" s="11" t="s">
        <v>13768</v>
      </c>
      <c r="B4211">
        <v>8010216</v>
      </c>
      <c r="D4211" s="11" t="s">
        <v>13769</v>
      </c>
      <c r="E4211" s="11" t="s">
        <v>13770</v>
      </c>
    </row>
    <row r="4212" spans="1:5">
      <c r="A4212" s="11" t="s">
        <v>13771</v>
      </c>
      <c r="B4212">
        <v>8070095</v>
      </c>
      <c r="D4212" s="11" t="s">
        <v>13772</v>
      </c>
      <c r="E4212" s="11" t="s">
        <v>13773</v>
      </c>
    </row>
    <row r="4213" spans="1:5">
      <c r="A4213" s="11" t="s">
        <v>13774</v>
      </c>
      <c r="B4213">
        <v>8070108</v>
      </c>
      <c r="D4213" s="11" t="s">
        <v>1539</v>
      </c>
      <c r="E4213" s="11" t="s">
        <v>1539</v>
      </c>
    </row>
    <row r="4214" spans="1:5">
      <c r="A4214" s="11" t="s">
        <v>13775</v>
      </c>
      <c r="B4214">
        <v>8003770</v>
      </c>
      <c r="D4214" s="11" t="s">
        <v>13776</v>
      </c>
      <c r="E4214" s="11" t="s">
        <v>13777</v>
      </c>
    </row>
    <row r="4215" spans="1:5">
      <c r="A4215" s="11" t="s">
        <v>13778</v>
      </c>
      <c r="B4215">
        <v>8003771</v>
      </c>
      <c r="D4215" s="11" t="s">
        <v>13779</v>
      </c>
      <c r="E4215" s="11" t="s">
        <v>13780</v>
      </c>
    </row>
    <row r="4216" spans="1:5">
      <c r="A4216" s="11" t="s">
        <v>13781</v>
      </c>
      <c r="B4216">
        <v>8003784</v>
      </c>
      <c r="D4216" s="11" t="s">
        <v>13782</v>
      </c>
      <c r="E4216" s="11" t="s">
        <v>13783</v>
      </c>
    </row>
    <row r="4217" spans="1:5">
      <c r="A4217" s="11" t="s">
        <v>13784</v>
      </c>
      <c r="B4217">
        <v>8003794</v>
      </c>
      <c r="D4217" s="11" t="s">
        <v>13785</v>
      </c>
      <c r="E4217" s="11" t="s">
        <v>13786</v>
      </c>
    </row>
    <row r="4218" spans="1:5">
      <c r="A4218" s="11" t="s">
        <v>13787</v>
      </c>
      <c r="B4218">
        <v>8003795</v>
      </c>
      <c r="D4218" s="11" t="s">
        <v>13788</v>
      </c>
      <c r="E4218" s="11" t="s">
        <v>13789</v>
      </c>
    </row>
    <row r="4219" spans="1:5">
      <c r="A4219" s="11" t="s">
        <v>13790</v>
      </c>
      <c r="B4219">
        <v>8003796</v>
      </c>
      <c r="D4219" s="11" t="s">
        <v>13791</v>
      </c>
      <c r="E4219" s="11" t="s">
        <v>13792</v>
      </c>
    </row>
    <row r="4220" spans="1:5">
      <c r="A4220" s="11" t="s">
        <v>13793</v>
      </c>
      <c r="B4220">
        <v>8003798</v>
      </c>
      <c r="D4220" s="11" t="s">
        <v>13794</v>
      </c>
      <c r="E4220" s="11" t="s">
        <v>13795</v>
      </c>
    </row>
    <row r="4221" spans="1:5">
      <c r="A4221" s="11" t="s">
        <v>13796</v>
      </c>
      <c r="B4221">
        <v>8000238</v>
      </c>
      <c r="D4221" s="11" t="s">
        <v>13797</v>
      </c>
      <c r="E4221" s="11" t="s">
        <v>13798</v>
      </c>
    </row>
    <row r="4222" spans="1:5">
      <c r="A4222" s="11" t="s">
        <v>13799</v>
      </c>
      <c r="B4222">
        <v>8000239</v>
      </c>
      <c r="D4222" s="11" t="s">
        <v>13800</v>
      </c>
      <c r="E4222" s="11" t="s">
        <v>13801</v>
      </c>
    </row>
    <row r="4223" spans="1:5">
      <c r="A4223" s="11" t="s">
        <v>13802</v>
      </c>
      <c r="B4223">
        <v>8004883</v>
      </c>
      <c r="D4223" s="11" t="s">
        <v>13803</v>
      </c>
      <c r="E4223" s="11" t="s">
        <v>13804</v>
      </c>
    </row>
    <row r="4224" spans="1:5">
      <c r="A4224" s="11" t="s">
        <v>13805</v>
      </c>
      <c r="B4224">
        <v>8003788</v>
      </c>
      <c r="D4224" s="11" t="s">
        <v>13806</v>
      </c>
      <c r="E4224" s="11" t="s">
        <v>13807</v>
      </c>
    </row>
    <row r="4225" spans="1:5">
      <c r="A4225" s="11" t="s">
        <v>13808</v>
      </c>
      <c r="B4225">
        <v>8003799</v>
      </c>
      <c r="D4225" s="11" t="s">
        <v>13809</v>
      </c>
      <c r="E4225" s="11" t="s">
        <v>13810</v>
      </c>
    </row>
    <row r="4226" spans="1:5">
      <c r="A4226" s="11" t="s">
        <v>13811</v>
      </c>
      <c r="B4226">
        <v>8079748</v>
      </c>
      <c r="D4226" s="11" t="s">
        <v>13812</v>
      </c>
      <c r="E4226" s="11" t="s">
        <v>13813</v>
      </c>
    </row>
    <row r="4227" spans="1:5">
      <c r="A4227" s="11" t="s">
        <v>13814</v>
      </c>
      <c r="B4227">
        <v>8012269</v>
      </c>
      <c r="D4227" s="11" t="s">
        <v>13815</v>
      </c>
      <c r="E4227" s="11" t="s">
        <v>13816</v>
      </c>
    </row>
    <row r="4228" spans="1:5">
      <c r="A4228" s="11" t="s">
        <v>1445</v>
      </c>
      <c r="B4228">
        <v>8012279</v>
      </c>
      <c r="D4228" s="11" t="s">
        <v>13817</v>
      </c>
      <c r="E4228" s="11" t="s">
        <v>13818</v>
      </c>
    </row>
    <row r="4229" spans="1:5">
      <c r="A4229" s="11" t="s">
        <v>13819</v>
      </c>
      <c r="B4229">
        <v>8012280</v>
      </c>
      <c r="D4229" s="11" t="s">
        <v>13820</v>
      </c>
      <c r="E4229" s="11" t="s">
        <v>13821</v>
      </c>
    </row>
    <row r="4230" spans="1:5">
      <c r="A4230" s="11" t="s">
        <v>13822</v>
      </c>
      <c r="B4230">
        <v>8010222</v>
      </c>
      <c r="D4230" s="11" t="s">
        <v>13823</v>
      </c>
      <c r="E4230" s="11" t="s">
        <v>13824</v>
      </c>
    </row>
    <row r="4231" spans="1:5">
      <c r="A4231" s="11" t="s">
        <v>13825</v>
      </c>
      <c r="B4231">
        <v>8013275</v>
      </c>
      <c r="D4231" s="11" t="s">
        <v>13826</v>
      </c>
      <c r="E4231" s="11" t="s">
        <v>13827</v>
      </c>
    </row>
    <row r="4232" spans="1:5">
      <c r="A4232" s="11" t="s">
        <v>13828</v>
      </c>
      <c r="B4232">
        <v>8012282</v>
      </c>
      <c r="D4232" s="11" t="s">
        <v>13829</v>
      </c>
      <c r="E4232" s="11" t="s">
        <v>13830</v>
      </c>
    </row>
    <row r="4233" spans="1:5">
      <c r="A4233" s="11" t="s">
        <v>13831</v>
      </c>
      <c r="B4233">
        <v>8006929</v>
      </c>
      <c r="D4233" s="11" t="s">
        <v>13832</v>
      </c>
      <c r="E4233" s="11" t="s">
        <v>13833</v>
      </c>
    </row>
    <row r="4234" spans="1:5">
      <c r="A4234" s="11" t="s">
        <v>13834</v>
      </c>
      <c r="B4234">
        <v>8003800</v>
      </c>
      <c r="D4234" s="11" t="s">
        <v>13835</v>
      </c>
      <c r="E4234" s="11" t="s">
        <v>13836</v>
      </c>
    </row>
    <row r="4235" spans="1:5">
      <c r="A4235" s="11" t="s">
        <v>13837</v>
      </c>
      <c r="B4235">
        <v>8003790</v>
      </c>
      <c r="D4235" s="11" t="s">
        <v>13838</v>
      </c>
      <c r="E4235" s="11" t="s">
        <v>13839</v>
      </c>
    </row>
    <row r="4236" spans="1:5">
      <c r="A4236" s="11" t="s">
        <v>13840</v>
      </c>
      <c r="B4236">
        <v>8003804</v>
      </c>
      <c r="D4236" s="11" t="s">
        <v>13841</v>
      </c>
      <c r="E4236" s="11" t="s">
        <v>13842</v>
      </c>
    </row>
    <row r="4237" spans="1:5">
      <c r="A4237" s="11" t="s">
        <v>13843</v>
      </c>
      <c r="B4237">
        <v>8003791</v>
      </c>
      <c r="D4237" s="11" t="s">
        <v>13844</v>
      </c>
      <c r="E4237" s="11" t="s">
        <v>13845</v>
      </c>
    </row>
    <row r="4238" spans="1:5">
      <c r="A4238" s="11" t="s">
        <v>13846</v>
      </c>
      <c r="B4238">
        <v>8012274</v>
      </c>
      <c r="D4238" s="11" t="s">
        <v>13847</v>
      </c>
      <c r="E4238" s="11" t="s">
        <v>13848</v>
      </c>
    </row>
    <row r="4239" spans="1:5">
      <c r="A4239" s="11" t="s">
        <v>13849</v>
      </c>
      <c r="B4239">
        <v>8081009</v>
      </c>
      <c r="D4239" s="11" t="s">
        <v>13850</v>
      </c>
      <c r="E4239" s="11" t="s">
        <v>13851</v>
      </c>
    </row>
    <row r="4240" spans="1:5">
      <c r="A4240" s="11" t="s">
        <v>13852</v>
      </c>
      <c r="B4240">
        <v>8081022</v>
      </c>
      <c r="D4240" s="11" t="s">
        <v>13853</v>
      </c>
      <c r="E4240" s="11" t="s">
        <v>13854</v>
      </c>
    </row>
    <row r="4241" spans="1:5">
      <c r="A4241" s="11" t="s">
        <v>13855</v>
      </c>
      <c r="B4241">
        <v>8081019</v>
      </c>
      <c r="D4241" s="11" t="s">
        <v>13856</v>
      </c>
      <c r="E4241" s="11" t="s">
        <v>13857</v>
      </c>
    </row>
    <row r="4242" spans="1:5">
      <c r="A4242" s="11" t="s">
        <v>13858</v>
      </c>
      <c r="B4242">
        <v>8081018</v>
      </c>
      <c r="D4242" s="11" t="s">
        <v>13859</v>
      </c>
      <c r="E4242" s="11" t="s">
        <v>13860</v>
      </c>
    </row>
    <row r="4243" spans="1:5">
      <c r="A4243" s="11" t="s">
        <v>13861</v>
      </c>
      <c r="B4243">
        <v>8079021</v>
      </c>
      <c r="D4243" s="11" t="s">
        <v>13862</v>
      </c>
      <c r="E4243" s="11" t="s">
        <v>13863</v>
      </c>
    </row>
    <row r="4244" spans="1:5">
      <c r="A4244" s="11" t="s">
        <v>13864</v>
      </c>
      <c r="B4244">
        <v>8012284</v>
      </c>
      <c r="D4244" s="11" t="s">
        <v>13865</v>
      </c>
      <c r="E4244" s="11" t="s">
        <v>13866</v>
      </c>
    </row>
    <row r="4245" spans="1:5">
      <c r="A4245" s="11" t="s">
        <v>13867</v>
      </c>
      <c r="B4245">
        <v>8080660</v>
      </c>
      <c r="D4245" s="11" t="s">
        <v>1539</v>
      </c>
      <c r="E4245" s="11" t="s">
        <v>1539</v>
      </c>
    </row>
    <row r="4246" spans="1:5">
      <c r="A4246" s="11" t="s">
        <v>13868</v>
      </c>
      <c r="B4246">
        <v>8010224</v>
      </c>
      <c r="D4246" s="11" t="s">
        <v>13869</v>
      </c>
      <c r="E4246" s="11" t="s">
        <v>13870</v>
      </c>
    </row>
    <row r="4247" spans="1:5">
      <c r="A4247" s="11" t="s">
        <v>13871</v>
      </c>
      <c r="B4247">
        <v>8013455</v>
      </c>
      <c r="D4247" s="11" t="s">
        <v>13872</v>
      </c>
      <c r="E4247" s="11" t="s">
        <v>13873</v>
      </c>
    </row>
    <row r="4248" spans="1:5">
      <c r="A4248" s="11" t="s">
        <v>13874</v>
      </c>
      <c r="B4248">
        <v>8013485</v>
      </c>
      <c r="D4248" s="11" t="s">
        <v>13875</v>
      </c>
      <c r="E4248" s="11" t="s">
        <v>13876</v>
      </c>
    </row>
    <row r="4249" spans="1:5">
      <c r="A4249" s="11" t="s">
        <v>13877</v>
      </c>
      <c r="B4249">
        <v>8012287</v>
      </c>
      <c r="D4249" s="11" t="s">
        <v>13878</v>
      </c>
      <c r="E4249" s="11" t="s">
        <v>13879</v>
      </c>
    </row>
    <row r="4250" spans="1:5">
      <c r="A4250" s="11" t="s">
        <v>13880</v>
      </c>
      <c r="B4250">
        <v>8013456</v>
      </c>
      <c r="D4250" s="11" t="s">
        <v>13881</v>
      </c>
      <c r="E4250" s="11" t="s">
        <v>13882</v>
      </c>
    </row>
    <row r="4251" spans="1:5">
      <c r="A4251" s="11" t="s">
        <v>13883</v>
      </c>
      <c r="B4251">
        <v>8012289</v>
      </c>
      <c r="D4251" s="11" t="s">
        <v>13884</v>
      </c>
      <c r="E4251" s="11" t="s">
        <v>13885</v>
      </c>
    </row>
    <row r="4252" spans="1:5">
      <c r="A4252" s="11" t="s">
        <v>13886</v>
      </c>
      <c r="B4252">
        <v>8010226</v>
      </c>
      <c r="D4252" s="11" t="s">
        <v>13887</v>
      </c>
      <c r="E4252" s="11" t="s">
        <v>13888</v>
      </c>
    </row>
    <row r="4253" spans="1:5">
      <c r="A4253" s="11" t="s">
        <v>13889</v>
      </c>
      <c r="B4253">
        <v>8010086</v>
      </c>
      <c r="D4253" s="11" t="s">
        <v>13890</v>
      </c>
      <c r="E4253" s="11" t="s">
        <v>13891</v>
      </c>
    </row>
    <row r="4254" spans="1:5">
      <c r="A4254" s="11" t="s">
        <v>13892</v>
      </c>
      <c r="B4254">
        <v>8012291</v>
      </c>
      <c r="D4254" s="11" t="s">
        <v>13893</v>
      </c>
      <c r="E4254" s="11" t="s">
        <v>13894</v>
      </c>
    </row>
    <row r="4255" spans="1:5">
      <c r="A4255" s="11" t="s">
        <v>13895</v>
      </c>
      <c r="B4255">
        <v>8012292</v>
      </c>
      <c r="D4255" s="11" t="s">
        <v>13896</v>
      </c>
      <c r="E4255" s="11" t="s">
        <v>13897</v>
      </c>
    </row>
    <row r="4256" spans="1:5">
      <c r="A4256" s="11" t="s">
        <v>13898</v>
      </c>
      <c r="B4256">
        <v>8017015</v>
      </c>
      <c r="D4256" s="11" t="s">
        <v>13899</v>
      </c>
      <c r="E4256" s="11" t="s">
        <v>13900</v>
      </c>
    </row>
    <row r="4257" spans="1:5">
      <c r="A4257" s="11" t="s">
        <v>13901</v>
      </c>
      <c r="B4257">
        <v>8070480</v>
      </c>
      <c r="D4257" s="11" t="s">
        <v>13902</v>
      </c>
      <c r="E4257" s="11" t="s">
        <v>13903</v>
      </c>
    </row>
    <row r="4258" spans="1:5">
      <c r="A4258" s="11" t="s">
        <v>13904</v>
      </c>
      <c r="B4258">
        <v>8003807</v>
      </c>
      <c r="D4258" s="11" t="s">
        <v>13905</v>
      </c>
      <c r="E4258" s="11" t="s">
        <v>13906</v>
      </c>
    </row>
    <row r="4259" spans="1:5">
      <c r="A4259" s="11" t="s">
        <v>13907</v>
      </c>
      <c r="B4259">
        <v>8080970</v>
      </c>
      <c r="D4259" s="11" t="s">
        <v>13908</v>
      </c>
      <c r="E4259" s="11" t="s">
        <v>13909</v>
      </c>
    </row>
    <row r="4260" spans="1:5">
      <c r="A4260" s="11" t="s">
        <v>13910</v>
      </c>
      <c r="B4260">
        <v>8012295</v>
      </c>
      <c r="D4260" s="11" t="s">
        <v>13911</v>
      </c>
      <c r="E4260" s="11" t="s">
        <v>13912</v>
      </c>
    </row>
    <row r="4261" spans="1:5">
      <c r="A4261" s="11" t="s">
        <v>13913</v>
      </c>
      <c r="B4261">
        <v>8003808</v>
      </c>
      <c r="D4261" s="11" t="s">
        <v>13914</v>
      </c>
      <c r="E4261" s="11" t="s">
        <v>13915</v>
      </c>
    </row>
    <row r="4262" spans="1:5">
      <c r="A4262" s="11" t="s">
        <v>13916</v>
      </c>
      <c r="B4262">
        <v>8003834</v>
      </c>
      <c r="D4262" s="11" t="s">
        <v>13917</v>
      </c>
      <c r="E4262" s="11" t="s">
        <v>13918</v>
      </c>
    </row>
    <row r="4263" spans="1:5">
      <c r="A4263" s="11" t="s">
        <v>13919</v>
      </c>
      <c r="B4263">
        <v>8003809</v>
      </c>
      <c r="D4263" s="11" t="s">
        <v>13920</v>
      </c>
      <c r="E4263" s="11" t="s">
        <v>13921</v>
      </c>
    </row>
    <row r="4264" spans="1:5">
      <c r="A4264" s="11" t="s">
        <v>13922</v>
      </c>
      <c r="B4264">
        <v>8003810</v>
      </c>
      <c r="D4264" s="11" t="s">
        <v>13923</v>
      </c>
      <c r="E4264" s="11" t="s">
        <v>13924</v>
      </c>
    </row>
    <row r="4265" spans="1:5">
      <c r="A4265" s="11" t="s">
        <v>13925</v>
      </c>
      <c r="B4265">
        <v>8079007</v>
      </c>
      <c r="D4265" s="11" t="s">
        <v>13926</v>
      </c>
      <c r="E4265" s="11" t="s">
        <v>13927</v>
      </c>
    </row>
    <row r="4266" spans="1:5">
      <c r="A4266" s="11" t="s">
        <v>13928</v>
      </c>
      <c r="B4266">
        <v>8006646</v>
      </c>
      <c r="D4266" s="11" t="s">
        <v>13929</v>
      </c>
      <c r="E4266" s="11" t="s">
        <v>13930</v>
      </c>
    </row>
    <row r="4267" spans="1:5">
      <c r="A4267" s="11" t="s">
        <v>13931</v>
      </c>
      <c r="B4267">
        <v>8003813</v>
      </c>
      <c r="D4267" s="11" t="s">
        <v>13932</v>
      </c>
      <c r="E4267" s="11" t="s">
        <v>13933</v>
      </c>
    </row>
    <row r="4268" spans="1:5">
      <c r="A4268" s="11" t="s">
        <v>13934</v>
      </c>
      <c r="B4268">
        <v>8003814</v>
      </c>
      <c r="D4268" s="11" t="s">
        <v>13935</v>
      </c>
      <c r="E4268" s="11" t="s">
        <v>13936</v>
      </c>
    </row>
    <row r="4269" spans="1:5">
      <c r="A4269" s="11" t="s">
        <v>13937</v>
      </c>
      <c r="B4269">
        <v>8002877</v>
      </c>
      <c r="D4269" s="11" t="s">
        <v>13938</v>
      </c>
      <c r="E4269" s="11" t="s">
        <v>13939</v>
      </c>
    </row>
    <row r="4270" spans="1:5">
      <c r="A4270" s="11" t="s">
        <v>13940</v>
      </c>
      <c r="B4270">
        <v>8000996</v>
      </c>
      <c r="D4270" s="11" t="s">
        <v>13941</v>
      </c>
      <c r="E4270" s="11" t="s">
        <v>13942</v>
      </c>
    </row>
    <row r="4271" spans="1:5">
      <c r="A4271" s="11" t="s">
        <v>13943</v>
      </c>
      <c r="B4271">
        <v>8000240</v>
      </c>
      <c r="D4271" s="11" t="s">
        <v>13944</v>
      </c>
      <c r="E4271" s="11" t="s">
        <v>13945</v>
      </c>
    </row>
    <row r="4272" spans="1:5">
      <c r="A4272" s="11" t="s">
        <v>13946</v>
      </c>
      <c r="B4272">
        <v>8075972</v>
      </c>
      <c r="D4272" s="11" t="s">
        <v>1539</v>
      </c>
      <c r="E4272" s="11" t="s">
        <v>1539</v>
      </c>
    </row>
    <row r="4273" spans="1:5">
      <c r="A4273" s="11" t="s">
        <v>13947</v>
      </c>
      <c r="B4273">
        <v>8003815</v>
      </c>
      <c r="D4273" s="11" t="s">
        <v>13948</v>
      </c>
      <c r="E4273" s="11" t="s">
        <v>13949</v>
      </c>
    </row>
    <row r="4274" spans="1:5">
      <c r="A4274" s="11" t="s">
        <v>13950</v>
      </c>
      <c r="B4274">
        <v>8003816</v>
      </c>
      <c r="D4274" s="11" t="s">
        <v>13951</v>
      </c>
      <c r="E4274" s="11" t="s">
        <v>13952</v>
      </c>
    </row>
    <row r="4275" spans="1:5">
      <c r="A4275" s="11" t="s">
        <v>13953</v>
      </c>
      <c r="B4275">
        <v>8006136</v>
      </c>
      <c r="D4275" s="11" t="s">
        <v>13954</v>
      </c>
      <c r="E4275" s="11" t="s">
        <v>13955</v>
      </c>
    </row>
    <row r="4276" spans="1:5">
      <c r="A4276" s="11" t="s">
        <v>13956</v>
      </c>
      <c r="B4276">
        <v>8000241</v>
      </c>
      <c r="D4276" s="11" t="s">
        <v>13957</v>
      </c>
      <c r="E4276" s="11" t="s">
        <v>13958</v>
      </c>
    </row>
    <row r="4277" spans="1:5">
      <c r="A4277" s="11" t="s">
        <v>13959</v>
      </c>
      <c r="B4277">
        <v>8003817</v>
      </c>
      <c r="D4277" s="11" t="s">
        <v>13960</v>
      </c>
      <c r="E4277" s="11" t="s">
        <v>13961</v>
      </c>
    </row>
    <row r="4278" spans="1:5">
      <c r="A4278" s="11" t="s">
        <v>13962</v>
      </c>
      <c r="B4278">
        <v>8003818</v>
      </c>
      <c r="D4278" s="11" t="s">
        <v>13963</v>
      </c>
      <c r="E4278" s="11" t="s">
        <v>13964</v>
      </c>
    </row>
    <row r="4279" spans="1:5">
      <c r="A4279" s="11" t="s">
        <v>13965</v>
      </c>
      <c r="B4279">
        <v>8000615</v>
      </c>
      <c r="D4279" s="11" t="s">
        <v>13966</v>
      </c>
      <c r="E4279" s="11" t="s">
        <v>13967</v>
      </c>
    </row>
    <row r="4280" spans="1:5">
      <c r="A4280" s="11" t="s">
        <v>13968</v>
      </c>
      <c r="B4280">
        <v>8003819</v>
      </c>
      <c r="D4280" s="11" t="s">
        <v>13969</v>
      </c>
      <c r="E4280" s="11" t="s">
        <v>13970</v>
      </c>
    </row>
    <row r="4281" spans="1:5">
      <c r="A4281" s="11" t="s">
        <v>13971</v>
      </c>
      <c r="B4281">
        <v>8003820</v>
      </c>
      <c r="D4281" s="11" t="s">
        <v>13972</v>
      </c>
      <c r="E4281" s="11" t="s">
        <v>13973</v>
      </c>
    </row>
    <row r="4282" spans="1:5">
      <c r="A4282" s="11" t="s">
        <v>13974</v>
      </c>
      <c r="B4282">
        <v>8003821</v>
      </c>
      <c r="D4282" s="11" t="s">
        <v>13975</v>
      </c>
      <c r="E4282" s="11" t="s">
        <v>13976</v>
      </c>
    </row>
    <row r="4283" spans="1:5">
      <c r="A4283" s="11" t="s">
        <v>13977</v>
      </c>
      <c r="B4283">
        <v>8003824</v>
      </c>
      <c r="D4283" s="11" t="s">
        <v>13978</v>
      </c>
      <c r="E4283" s="11" t="s">
        <v>13979</v>
      </c>
    </row>
    <row r="4284" spans="1:5">
      <c r="A4284" s="11" t="s">
        <v>13980</v>
      </c>
      <c r="B4284">
        <v>8010227</v>
      </c>
      <c r="D4284" s="11" t="s">
        <v>13981</v>
      </c>
      <c r="E4284" s="11" t="s">
        <v>13982</v>
      </c>
    </row>
    <row r="4285" spans="1:5">
      <c r="A4285" s="11" t="s">
        <v>13983</v>
      </c>
      <c r="B4285">
        <v>8003828</v>
      </c>
      <c r="D4285" s="11" t="s">
        <v>13984</v>
      </c>
      <c r="E4285" s="11" t="s">
        <v>13985</v>
      </c>
    </row>
    <row r="4286" spans="1:5">
      <c r="A4286" s="11" t="s">
        <v>13986</v>
      </c>
      <c r="B4286">
        <v>8087006</v>
      </c>
      <c r="D4286" s="11" t="s">
        <v>13987</v>
      </c>
      <c r="E4286" s="11" t="s">
        <v>13988</v>
      </c>
    </row>
    <row r="4287" spans="1:5">
      <c r="A4287" s="11" t="s">
        <v>13989</v>
      </c>
      <c r="B4287">
        <v>8011650</v>
      </c>
      <c r="D4287" s="11" t="s">
        <v>13990</v>
      </c>
      <c r="E4287" s="11" t="s">
        <v>13991</v>
      </c>
    </row>
    <row r="4288" spans="1:5">
      <c r="A4288" s="11" t="s">
        <v>13992</v>
      </c>
      <c r="B4288">
        <v>8003830</v>
      </c>
      <c r="D4288" s="11" t="s">
        <v>13993</v>
      </c>
      <c r="E4288" s="11" t="s">
        <v>13994</v>
      </c>
    </row>
    <row r="4289" spans="1:5">
      <c r="A4289" s="11" t="s">
        <v>13995</v>
      </c>
      <c r="B4289">
        <v>8012297</v>
      </c>
      <c r="D4289" s="11" t="s">
        <v>13996</v>
      </c>
      <c r="E4289" s="11" t="s">
        <v>13997</v>
      </c>
    </row>
    <row r="4290" spans="1:5">
      <c r="A4290" s="11" t="s">
        <v>13998</v>
      </c>
      <c r="B4290">
        <v>8003831</v>
      </c>
      <c r="D4290" s="11" t="s">
        <v>13999</v>
      </c>
      <c r="E4290" s="11" t="s">
        <v>14000</v>
      </c>
    </row>
    <row r="4291" spans="1:5">
      <c r="A4291" s="11" t="s">
        <v>14001</v>
      </c>
      <c r="B4291">
        <v>8003832</v>
      </c>
      <c r="D4291" s="11" t="s">
        <v>14002</v>
      </c>
      <c r="E4291" s="11" t="s">
        <v>14003</v>
      </c>
    </row>
    <row r="4292" spans="1:5">
      <c r="A4292" s="11" t="s">
        <v>14004</v>
      </c>
      <c r="B4292">
        <v>8003833</v>
      </c>
      <c r="D4292" s="11" t="s">
        <v>14005</v>
      </c>
      <c r="E4292" s="11" t="s">
        <v>14006</v>
      </c>
    </row>
    <row r="4293" spans="1:5">
      <c r="A4293" s="11" t="s">
        <v>14007</v>
      </c>
      <c r="B4293">
        <v>8000243</v>
      </c>
      <c r="D4293" s="11" t="s">
        <v>14008</v>
      </c>
      <c r="E4293" s="11" t="s">
        <v>14009</v>
      </c>
    </row>
    <row r="4294" spans="1:5">
      <c r="A4294" s="11" t="s">
        <v>14010</v>
      </c>
      <c r="B4294">
        <v>8000859</v>
      </c>
      <c r="D4294" s="11" t="s">
        <v>14011</v>
      </c>
      <c r="E4294" s="11" t="s">
        <v>14012</v>
      </c>
    </row>
    <row r="4295" spans="1:5">
      <c r="A4295" s="11" t="s">
        <v>14013</v>
      </c>
      <c r="B4295">
        <v>8071983</v>
      </c>
      <c r="D4295" s="11" t="s">
        <v>14014</v>
      </c>
      <c r="E4295" s="11" t="s">
        <v>14015</v>
      </c>
    </row>
    <row r="4296" spans="1:5">
      <c r="A4296" s="11" t="s">
        <v>14016</v>
      </c>
      <c r="B4296">
        <v>8012298</v>
      </c>
      <c r="D4296" s="11" t="s">
        <v>14017</v>
      </c>
      <c r="E4296" s="11" t="s">
        <v>14018</v>
      </c>
    </row>
    <row r="4297" spans="1:5">
      <c r="A4297" s="11" t="s">
        <v>14019</v>
      </c>
      <c r="B4297">
        <v>8004204</v>
      </c>
      <c r="D4297" s="11" t="s">
        <v>14020</v>
      </c>
      <c r="E4297" s="11" t="s">
        <v>14021</v>
      </c>
    </row>
    <row r="4298" spans="1:5">
      <c r="A4298" s="11" t="s">
        <v>14022</v>
      </c>
      <c r="B4298">
        <v>8003836</v>
      </c>
      <c r="D4298" s="11" t="s">
        <v>14023</v>
      </c>
      <c r="E4298" s="11" t="s">
        <v>14024</v>
      </c>
    </row>
    <row r="4299" spans="1:5">
      <c r="A4299" s="11" t="s">
        <v>14025</v>
      </c>
      <c r="B4299">
        <v>8012299</v>
      </c>
      <c r="D4299" s="11" t="s">
        <v>14026</v>
      </c>
      <c r="E4299" s="11" t="s">
        <v>14027</v>
      </c>
    </row>
    <row r="4300" spans="1:5">
      <c r="A4300" s="11" t="s">
        <v>14028</v>
      </c>
      <c r="B4300">
        <v>8003839</v>
      </c>
      <c r="D4300" s="11" t="s">
        <v>14029</v>
      </c>
      <c r="E4300" s="11" t="s">
        <v>14030</v>
      </c>
    </row>
    <row r="4301" spans="1:5">
      <c r="A4301" s="11" t="s">
        <v>14031</v>
      </c>
      <c r="B4301">
        <v>8003841</v>
      </c>
      <c r="D4301" s="11" t="s">
        <v>14032</v>
      </c>
      <c r="E4301" s="11" t="s">
        <v>14033</v>
      </c>
    </row>
    <row r="4302" spans="1:5">
      <c r="A4302" s="11" t="s">
        <v>14034</v>
      </c>
      <c r="B4302">
        <v>8006508</v>
      </c>
      <c r="D4302" s="11" t="s">
        <v>14035</v>
      </c>
      <c r="E4302" s="11" t="s">
        <v>14036</v>
      </c>
    </row>
    <row r="4303" spans="1:5">
      <c r="A4303" s="11" t="s">
        <v>14037</v>
      </c>
      <c r="B4303">
        <v>8000244</v>
      </c>
      <c r="D4303" s="11" t="s">
        <v>14038</v>
      </c>
      <c r="E4303" s="11" t="s">
        <v>14039</v>
      </c>
    </row>
    <row r="4304" spans="1:5">
      <c r="A4304" s="11" t="s">
        <v>14040</v>
      </c>
      <c r="B4304">
        <v>8072978</v>
      </c>
      <c r="D4304" s="11" t="s">
        <v>1539</v>
      </c>
      <c r="E4304" s="11" t="s">
        <v>1539</v>
      </c>
    </row>
    <row r="4305" spans="1:5">
      <c r="A4305" s="11" t="s">
        <v>14041</v>
      </c>
      <c r="B4305">
        <v>8003842</v>
      </c>
      <c r="D4305" s="11" t="s">
        <v>14042</v>
      </c>
      <c r="E4305" s="11" t="s">
        <v>14043</v>
      </c>
    </row>
    <row r="4306" spans="1:5">
      <c r="A4306" s="11" t="s">
        <v>14044</v>
      </c>
      <c r="B4306">
        <v>8003843</v>
      </c>
      <c r="D4306" s="11" t="s">
        <v>14045</v>
      </c>
      <c r="E4306" s="11" t="s">
        <v>14046</v>
      </c>
    </row>
    <row r="4307" spans="1:5">
      <c r="A4307" s="11" t="s">
        <v>14047</v>
      </c>
      <c r="B4307">
        <v>8006509</v>
      </c>
      <c r="D4307" s="11" t="s">
        <v>14048</v>
      </c>
      <c r="E4307" s="11" t="s">
        <v>14049</v>
      </c>
    </row>
    <row r="4308" spans="1:5">
      <c r="A4308" s="11" t="s">
        <v>14050</v>
      </c>
      <c r="B4308">
        <v>8003844</v>
      </c>
      <c r="D4308" s="11" t="s">
        <v>14051</v>
      </c>
      <c r="E4308" s="11" t="s">
        <v>14052</v>
      </c>
    </row>
    <row r="4309" spans="1:5">
      <c r="A4309" s="11" t="s">
        <v>14053</v>
      </c>
      <c r="B4309">
        <v>8006511</v>
      </c>
      <c r="D4309" s="11" t="s">
        <v>14054</v>
      </c>
      <c r="E4309" s="11" t="s">
        <v>14055</v>
      </c>
    </row>
    <row r="4310" spans="1:5">
      <c r="A4310" s="11" t="s">
        <v>14056</v>
      </c>
      <c r="B4310">
        <v>8003845</v>
      </c>
      <c r="D4310" s="11" t="s">
        <v>14057</v>
      </c>
      <c r="E4310" s="11" t="s">
        <v>14058</v>
      </c>
    </row>
    <row r="4311" spans="1:5">
      <c r="A4311" s="11" t="s">
        <v>686</v>
      </c>
      <c r="B4311">
        <v>8003847</v>
      </c>
      <c r="D4311" s="11" t="s">
        <v>688</v>
      </c>
      <c r="E4311" s="11" t="s">
        <v>689</v>
      </c>
    </row>
    <row r="4312" spans="1:5">
      <c r="A4312" s="11" t="s">
        <v>14059</v>
      </c>
      <c r="B4312">
        <v>8003848</v>
      </c>
      <c r="D4312" s="11" t="s">
        <v>14060</v>
      </c>
      <c r="E4312" s="11" t="s">
        <v>14061</v>
      </c>
    </row>
    <row r="4313" spans="1:5">
      <c r="A4313" s="11" t="s">
        <v>14062</v>
      </c>
      <c r="B4313">
        <v>8012300</v>
      </c>
      <c r="D4313" s="11" t="s">
        <v>14063</v>
      </c>
      <c r="E4313" s="11" t="s">
        <v>14064</v>
      </c>
    </row>
    <row r="4314" spans="1:5">
      <c r="A4314" s="11" t="s">
        <v>14065</v>
      </c>
      <c r="B4314">
        <v>8003857</v>
      </c>
      <c r="D4314" s="11" t="s">
        <v>14066</v>
      </c>
      <c r="E4314" s="11" t="s">
        <v>14067</v>
      </c>
    </row>
    <row r="4315" spans="1:5">
      <c r="A4315" s="11" t="s">
        <v>14068</v>
      </c>
      <c r="B4315">
        <v>8003854</v>
      </c>
      <c r="D4315" s="11" t="s">
        <v>14069</v>
      </c>
      <c r="E4315" s="11" t="s">
        <v>14070</v>
      </c>
    </row>
    <row r="4316" spans="1:5">
      <c r="A4316" s="11" t="s">
        <v>14071</v>
      </c>
      <c r="B4316">
        <v>8070481</v>
      </c>
      <c r="D4316" s="11" t="s">
        <v>14072</v>
      </c>
      <c r="E4316" s="11" t="s">
        <v>14073</v>
      </c>
    </row>
    <row r="4317" spans="1:5">
      <c r="A4317" s="11" t="s">
        <v>1187</v>
      </c>
      <c r="B4317">
        <v>8003853</v>
      </c>
      <c r="D4317" s="11" t="s">
        <v>1189</v>
      </c>
      <c r="E4317" s="11" t="s">
        <v>1190</v>
      </c>
    </row>
    <row r="4318" spans="1:5">
      <c r="A4318" s="11" t="s">
        <v>14074</v>
      </c>
      <c r="B4318">
        <v>8003851</v>
      </c>
      <c r="D4318" s="11" t="s">
        <v>14075</v>
      </c>
      <c r="E4318" s="11" t="s">
        <v>14076</v>
      </c>
    </row>
    <row r="4319" spans="1:5">
      <c r="A4319" s="11" t="s">
        <v>14077</v>
      </c>
      <c r="B4319">
        <v>8003855</v>
      </c>
      <c r="D4319" s="11" t="s">
        <v>14078</v>
      </c>
      <c r="E4319" s="11" t="s">
        <v>14079</v>
      </c>
    </row>
    <row r="4320" spans="1:5">
      <c r="A4320" s="11" t="s">
        <v>14080</v>
      </c>
      <c r="B4320">
        <v>8003856</v>
      </c>
      <c r="D4320" s="11" t="s">
        <v>14081</v>
      </c>
      <c r="E4320" s="11" t="s">
        <v>14082</v>
      </c>
    </row>
    <row r="4321" spans="1:5">
      <c r="A4321" s="11" t="s">
        <v>14083</v>
      </c>
      <c r="B4321">
        <v>8000337</v>
      </c>
      <c r="D4321" s="11" t="s">
        <v>14084</v>
      </c>
      <c r="E4321" s="11" t="s">
        <v>14085</v>
      </c>
    </row>
    <row r="4322" spans="1:5">
      <c r="A4322" s="11" t="s">
        <v>14086</v>
      </c>
      <c r="B4322">
        <v>8003858</v>
      </c>
      <c r="D4322" s="11" t="s">
        <v>14087</v>
      </c>
      <c r="E4322" s="11" t="s">
        <v>14088</v>
      </c>
    </row>
    <row r="4323" spans="1:5">
      <c r="A4323" s="11" t="s">
        <v>14089</v>
      </c>
      <c r="B4323">
        <v>8003859</v>
      </c>
      <c r="D4323" s="11" t="s">
        <v>14090</v>
      </c>
      <c r="E4323" s="11" t="s">
        <v>14091</v>
      </c>
    </row>
    <row r="4324" spans="1:5">
      <c r="A4324" s="11" t="s">
        <v>14092</v>
      </c>
      <c r="B4324">
        <v>8006104</v>
      </c>
      <c r="D4324" s="11" t="s">
        <v>14093</v>
      </c>
      <c r="E4324" s="11" t="s">
        <v>14094</v>
      </c>
    </row>
    <row r="4325" spans="1:5">
      <c r="A4325" s="11" t="s">
        <v>14095</v>
      </c>
      <c r="B4325">
        <v>8012302</v>
      </c>
      <c r="D4325" s="11" t="s">
        <v>14096</v>
      </c>
      <c r="E4325" s="11" t="s">
        <v>14097</v>
      </c>
    </row>
    <row r="4326" spans="1:5">
      <c r="A4326" s="11" t="s">
        <v>14098</v>
      </c>
      <c r="B4326">
        <v>8007636</v>
      </c>
      <c r="D4326" s="11" t="s">
        <v>14099</v>
      </c>
      <c r="E4326" s="11" t="s">
        <v>14100</v>
      </c>
    </row>
    <row r="4327" spans="1:5">
      <c r="A4327" s="11" t="s">
        <v>14101</v>
      </c>
      <c r="B4327">
        <v>8003866</v>
      </c>
      <c r="D4327" s="11" t="s">
        <v>14102</v>
      </c>
      <c r="E4327" s="11" t="s">
        <v>14103</v>
      </c>
    </row>
    <row r="4328" spans="1:5">
      <c r="A4328" s="11" t="s">
        <v>14104</v>
      </c>
      <c r="B4328">
        <v>8073866</v>
      </c>
      <c r="D4328" s="11" t="s">
        <v>14105</v>
      </c>
      <c r="E4328" s="11" t="s">
        <v>14106</v>
      </c>
    </row>
    <row r="4329" spans="1:5">
      <c r="A4329" s="11" t="s">
        <v>14107</v>
      </c>
      <c r="B4329">
        <v>8070483</v>
      </c>
      <c r="D4329" s="11" t="s">
        <v>14108</v>
      </c>
      <c r="E4329" s="11" t="s">
        <v>14109</v>
      </c>
    </row>
    <row r="4330" spans="1:5">
      <c r="A4330" s="11" t="s">
        <v>14110</v>
      </c>
      <c r="B4330">
        <v>8003871</v>
      </c>
      <c r="D4330" s="11" t="s">
        <v>14111</v>
      </c>
      <c r="E4330" s="11" t="s">
        <v>14112</v>
      </c>
    </row>
    <row r="4331" spans="1:5">
      <c r="A4331" s="11" t="s">
        <v>14113</v>
      </c>
      <c r="B4331">
        <v>8012305</v>
      </c>
      <c r="D4331" s="11" t="s">
        <v>14114</v>
      </c>
      <c r="E4331" s="11" t="s">
        <v>14115</v>
      </c>
    </row>
    <row r="4332" spans="1:5">
      <c r="A4332" s="11" t="s">
        <v>14116</v>
      </c>
      <c r="B4332">
        <v>8071178</v>
      </c>
      <c r="D4332" s="11" t="s">
        <v>14117</v>
      </c>
      <c r="E4332" s="11" t="s">
        <v>14118</v>
      </c>
    </row>
    <row r="4333" spans="1:5">
      <c r="A4333" s="11" t="s">
        <v>14119</v>
      </c>
      <c r="B4333">
        <v>8003872</v>
      </c>
      <c r="D4333" s="11" t="s">
        <v>14120</v>
      </c>
      <c r="E4333" s="11" t="s">
        <v>14121</v>
      </c>
    </row>
    <row r="4334" spans="1:5">
      <c r="A4334" s="11" t="s">
        <v>14122</v>
      </c>
      <c r="B4334">
        <v>8003873</v>
      </c>
      <c r="D4334" s="11" t="s">
        <v>14123</v>
      </c>
      <c r="E4334" s="11" t="s">
        <v>14124</v>
      </c>
    </row>
    <row r="4335" spans="1:5">
      <c r="A4335" s="11" t="s">
        <v>14125</v>
      </c>
      <c r="B4335">
        <v>8012306</v>
      </c>
      <c r="D4335" s="11" t="s">
        <v>14126</v>
      </c>
      <c r="E4335" s="11" t="s">
        <v>14127</v>
      </c>
    </row>
    <row r="4336" spans="1:5">
      <c r="A4336" s="11" t="s">
        <v>14128</v>
      </c>
      <c r="B4336">
        <v>8012308</v>
      </c>
      <c r="D4336" s="11" t="s">
        <v>14129</v>
      </c>
      <c r="E4336" s="11" t="s">
        <v>14130</v>
      </c>
    </row>
    <row r="4337" spans="1:5">
      <c r="A4337" s="11" t="s">
        <v>14131</v>
      </c>
      <c r="B4337">
        <v>8012309</v>
      </c>
      <c r="D4337" s="11" t="s">
        <v>14132</v>
      </c>
      <c r="E4337" s="11" t="s">
        <v>14133</v>
      </c>
    </row>
    <row r="4338" spans="1:5">
      <c r="A4338" s="11" t="s">
        <v>14134</v>
      </c>
      <c r="B4338">
        <v>8012304</v>
      </c>
      <c r="D4338" s="11" t="s">
        <v>14135</v>
      </c>
      <c r="E4338" s="11" t="s">
        <v>14136</v>
      </c>
    </row>
    <row r="4339" spans="1:5">
      <c r="A4339" s="11" t="s">
        <v>14137</v>
      </c>
      <c r="B4339">
        <v>8011598</v>
      </c>
      <c r="D4339" s="11" t="s">
        <v>14138</v>
      </c>
      <c r="E4339" s="11" t="s">
        <v>14139</v>
      </c>
    </row>
    <row r="4340" spans="1:5">
      <c r="A4340" s="11" t="s">
        <v>14140</v>
      </c>
      <c r="B4340">
        <v>8010228</v>
      </c>
      <c r="D4340" s="11" t="s">
        <v>14141</v>
      </c>
      <c r="E4340" s="11" t="s">
        <v>14142</v>
      </c>
    </row>
    <row r="4341" spans="1:5">
      <c r="A4341" s="11" t="s">
        <v>14143</v>
      </c>
      <c r="B4341">
        <v>8012311</v>
      </c>
      <c r="D4341" s="11" t="s">
        <v>14144</v>
      </c>
      <c r="E4341" s="11" t="s">
        <v>14145</v>
      </c>
    </row>
    <row r="4342" spans="1:5">
      <c r="A4342" s="11" t="s">
        <v>14146</v>
      </c>
      <c r="B4342">
        <v>8012312</v>
      </c>
      <c r="D4342" s="11" t="s">
        <v>14147</v>
      </c>
      <c r="E4342" s="11" t="s">
        <v>14148</v>
      </c>
    </row>
    <row r="4343" spans="1:5">
      <c r="A4343" s="11" t="s">
        <v>14149</v>
      </c>
      <c r="B4343">
        <v>8003876</v>
      </c>
      <c r="D4343" s="11" t="s">
        <v>14150</v>
      </c>
      <c r="E4343" s="11" t="s">
        <v>14151</v>
      </c>
    </row>
    <row r="4344" spans="1:5">
      <c r="A4344" s="11" t="s">
        <v>14152</v>
      </c>
      <c r="B4344">
        <v>8003878</v>
      </c>
      <c r="D4344" s="11" t="s">
        <v>14153</v>
      </c>
      <c r="E4344" s="11" t="s">
        <v>14154</v>
      </c>
    </row>
    <row r="4345" spans="1:5">
      <c r="A4345" s="11" t="s">
        <v>14155</v>
      </c>
      <c r="B4345">
        <v>8003072</v>
      </c>
      <c r="D4345" s="11" t="s">
        <v>14156</v>
      </c>
      <c r="E4345" s="11" t="s">
        <v>14157</v>
      </c>
    </row>
    <row r="4346" spans="1:5">
      <c r="A4346" s="11" t="s">
        <v>14158</v>
      </c>
      <c r="B4346">
        <v>8003879</v>
      </c>
      <c r="D4346" s="11" t="s">
        <v>14159</v>
      </c>
      <c r="E4346" s="11" t="s">
        <v>14160</v>
      </c>
    </row>
    <row r="4347" spans="1:5">
      <c r="A4347" s="11" t="s">
        <v>14161</v>
      </c>
      <c r="B4347">
        <v>8003880</v>
      </c>
      <c r="D4347" s="11" t="s">
        <v>14162</v>
      </c>
      <c r="E4347" s="11" t="s">
        <v>14163</v>
      </c>
    </row>
    <row r="4348" spans="1:5">
      <c r="A4348" s="11" t="s">
        <v>14164</v>
      </c>
      <c r="B4348">
        <v>8003881</v>
      </c>
      <c r="D4348" s="11" t="s">
        <v>14165</v>
      </c>
      <c r="E4348" s="11" t="s">
        <v>14166</v>
      </c>
    </row>
    <row r="4349" spans="1:5">
      <c r="A4349" s="11" t="s">
        <v>14167</v>
      </c>
      <c r="B4349">
        <v>8003883</v>
      </c>
      <c r="D4349" s="11" t="s">
        <v>14168</v>
      </c>
      <c r="E4349" s="11" t="s">
        <v>14169</v>
      </c>
    </row>
    <row r="4350" spans="1:5">
      <c r="A4350" s="11" t="s">
        <v>14170</v>
      </c>
      <c r="B4350">
        <v>8003884</v>
      </c>
      <c r="D4350" s="11" t="s">
        <v>14171</v>
      </c>
      <c r="E4350" s="11" t="s">
        <v>14172</v>
      </c>
    </row>
    <row r="4351" spans="1:5">
      <c r="A4351" s="11" t="s">
        <v>14173</v>
      </c>
      <c r="B4351">
        <v>8003885</v>
      </c>
      <c r="D4351" s="11" t="s">
        <v>14174</v>
      </c>
      <c r="E4351" s="11" t="s">
        <v>14175</v>
      </c>
    </row>
    <row r="4352" spans="1:5">
      <c r="A4352" s="11" t="s">
        <v>14176</v>
      </c>
      <c r="B4352">
        <v>8003889</v>
      </c>
      <c r="D4352" s="11" t="s">
        <v>14177</v>
      </c>
      <c r="E4352" s="11" t="s">
        <v>14178</v>
      </c>
    </row>
    <row r="4353" spans="1:5">
      <c r="A4353" s="11" t="s">
        <v>14179</v>
      </c>
      <c r="B4353">
        <v>8003877</v>
      </c>
      <c r="D4353" s="11" t="s">
        <v>14180</v>
      </c>
      <c r="E4353" s="11" t="s">
        <v>14181</v>
      </c>
    </row>
    <row r="4354" spans="1:5">
      <c r="A4354" s="11" t="s">
        <v>14182</v>
      </c>
      <c r="B4354">
        <v>8000247</v>
      </c>
      <c r="D4354" s="11" t="s">
        <v>14183</v>
      </c>
      <c r="E4354" s="11" t="s">
        <v>14184</v>
      </c>
    </row>
    <row r="4355" spans="1:5">
      <c r="A4355" s="11" t="s">
        <v>14185</v>
      </c>
      <c r="B4355">
        <v>8003887</v>
      </c>
      <c r="D4355" s="11" t="s">
        <v>14186</v>
      </c>
      <c r="E4355" s="11" t="s">
        <v>14187</v>
      </c>
    </row>
    <row r="4356" spans="1:5">
      <c r="A4356" s="11" t="s">
        <v>14188</v>
      </c>
      <c r="B4356">
        <v>8003888</v>
      </c>
      <c r="D4356" s="11" t="s">
        <v>14189</v>
      </c>
      <c r="E4356" s="11" t="s">
        <v>14190</v>
      </c>
    </row>
    <row r="4357" spans="1:5">
      <c r="A4357" s="11" t="s">
        <v>14191</v>
      </c>
      <c r="B4357">
        <v>8003890</v>
      </c>
      <c r="D4357" s="11" t="s">
        <v>14192</v>
      </c>
      <c r="E4357" s="11" t="s">
        <v>14193</v>
      </c>
    </row>
    <row r="4358" spans="1:5">
      <c r="A4358" s="11" t="s">
        <v>14194</v>
      </c>
      <c r="B4358">
        <v>8012314</v>
      </c>
      <c r="D4358" s="11" t="s">
        <v>14195</v>
      </c>
      <c r="E4358" s="11" t="s">
        <v>14196</v>
      </c>
    </row>
    <row r="4359" spans="1:5">
      <c r="A4359" s="11" t="s">
        <v>14197</v>
      </c>
      <c r="B4359">
        <v>8003891</v>
      </c>
      <c r="D4359" s="11" t="s">
        <v>14198</v>
      </c>
      <c r="E4359" s="11" t="s">
        <v>14199</v>
      </c>
    </row>
    <row r="4360" spans="1:5">
      <c r="A4360" s="11" t="s">
        <v>14200</v>
      </c>
      <c r="B4360">
        <v>8003893</v>
      </c>
      <c r="D4360" s="11" t="s">
        <v>14201</v>
      </c>
      <c r="E4360" s="11" t="s">
        <v>14202</v>
      </c>
    </row>
    <row r="4361" spans="1:5">
      <c r="A4361" s="11" t="s">
        <v>14203</v>
      </c>
      <c r="B4361">
        <v>8012315</v>
      </c>
      <c r="D4361" s="11" t="s">
        <v>14204</v>
      </c>
      <c r="E4361" s="11" t="s">
        <v>14205</v>
      </c>
    </row>
    <row r="4362" spans="1:5">
      <c r="A4362" s="11" t="s">
        <v>14206</v>
      </c>
      <c r="B4362">
        <v>8089143</v>
      </c>
      <c r="D4362" s="11" t="s">
        <v>14207</v>
      </c>
      <c r="E4362" s="11" t="s">
        <v>14208</v>
      </c>
    </row>
    <row r="4363" spans="1:5">
      <c r="A4363" s="11" t="s">
        <v>14209</v>
      </c>
      <c r="B4363">
        <v>8003896</v>
      </c>
      <c r="D4363" s="11" t="s">
        <v>14210</v>
      </c>
      <c r="E4363" s="11" t="s">
        <v>14211</v>
      </c>
    </row>
    <row r="4364" spans="1:5">
      <c r="A4364" s="11" t="s">
        <v>14212</v>
      </c>
      <c r="B4364">
        <v>8003897</v>
      </c>
      <c r="D4364" s="11" t="s">
        <v>14213</v>
      </c>
      <c r="E4364" s="11" t="s">
        <v>14214</v>
      </c>
    </row>
    <row r="4365" spans="1:5">
      <c r="A4365" s="11" t="s">
        <v>14215</v>
      </c>
      <c r="B4365">
        <v>8012316</v>
      </c>
      <c r="D4365" s="11" t="s">
        <v>14216</v>
      </c>
      <c r="E4365" s="11" t="s">
        <v>14217</v>
      </c>
    </row>
    <row r="4366" spans="1:5">
      <c r="A4366" s="11" t="s">
        <v>14218</v>
      </c>
      <c r="B4366">
        <v>8087033</v>
      </c>
      <c r="D4366" s="11" t="s">
        <v>14219</v>
      </c>
      <c r="E4366" s="11" t="s">
        <v>14220</v>
      </c>
    </row>
    <row r="4367" spans="1:5">
      <c r="A4367" s="11" t="s">
        <v>14221</v>
      </c>
      <c r="B4367">
        <v>8003898</v>
      </c>
      <c r="D4367" s="11" t="s">
        <v>14222</v>
      </c>
      <c r="E4367" s="11" t="s">
        <v>14223</v>
      </c>
    </row>
    <row r="4368" spans="1:5">
      <c r="A4368" s="11" t="s">
        <v>14224</v>
      </c>
      <c r="B4368">
        <v>8012317</v>
      </c>
      <c r="D4368" s="11" t="s">
        <v>14225</v>
      </c>
      <c r="E4368" s="11" t="s">
        <v>14226</v>
      </c>
    </row>
    <row r="4369" spans="1:5">
      <c r="A4369" s="11" t="s">
        <v>14227</v>
      </c>
      <c r="B4369">
        <v>8070931</v>
      </c>
      <c r="D4369" s="11" t="s">
        <v>14228</v>
      </c>
      <c r="E4369" s="11" t="s">
        <v>14229</v>
      </c>
    </row>
    <row r="4370" spans="1:5">
      <c r="A4370" s="11" t="s">
        <v>14230</v>
      </c>
      <c r="B4370">
        <v>8003899</v>
      </c>
      <c r="D4370" s="11" t="s">
        <v>14231</v>
      </c>
      <c r="E4370" s="11" t="s">
        <v>14232</v>
      </c>
    </row>
    <row r="4371" spans="1:5">
      <c r="A4371" s="11" t="s">
        <v>14233</v>
      </c>
      <c r="B4371">
        <v>8003901</v>
      </c>
      <c r="D4371" s="11" t="s">
        <v>14234</v>
      </c>
      <c r="E4371" s="11" t="s">
        <v>14235</v>
      </c>
    </row>
    <row r="4372" spans="1:5">
      <c r="A4372" s="11" t="s">
        <v>14236</v>
      </c>
      <c r="B4372">
        <v>8003903</v>
      </c>
      <c r="D4372" s="11" t="s">
        <v>14237</v>
      </c>
      <c r="E4372" s="11" t="s">
        <v>14238</v>
      </c>
    </row>
    <row r="4373" spans="1:5">
      <c r="A4373" s="11" t="s">
        <v>14239</v>
      </c>
      <c r="B4373">
        <v>8007009</v>
      </c>
      <c r="D4373" s="11" t="s">
        <v>14240</v>
      </c>
      <c r="E4373" s="11" t="s">
        <v>14241</v>
      </c>
    </row>
    <row r="4374" spans="1:5">
      <c r="A4374" s="11" t="s">
        <v>14242</v>
      </c>
      <c r="B4374">
        <v>8003905</v>
      </c>
      <c r="D4374" s="11" t="s">
        <v>14243</v>
      </c>
      <c r="E4374" s="11" t="s">
        <v>14244</v>
      </c>
    </row>
    <row r="4375" spans="1:5">
      <c r="A4375" s="11" t="s">
        <v>662</v>
      </c>
      <c r="B4375">
        <v>8003906</v>
      </c>
      <c r="D4375" s="11" t="s">
        <v>664</v>
      </c>
      <c r="E4375" s="11" t="s">
        <v>665</v>
      </c>
    </row>
    <row r="4376" spans="1:5">
      <c r="A4376" s="11" t="s">
        <v>14245</v>
      </c>
      <c r="B4376">
        <v>8079119</v>
      </c>
      <c r="D4376" s="11" t="s">
        <v>14246</v>
      </c>
      <c r="E4376" s="11" t="s">
        <v>14247</v>
      </c>
    </row>
    <row r="4377" spans="1:5">
      <c r="A4377" s="11" t="s">
        <v>14248</v>
      </c>
      <c r="B4377">
        <v>8003909</v>
      </c>
      <c r="D4377" s="11" t="s">
        <v>14249</v>
      </c>
      <c r="E4377" s="11" t="s">
        <v>14250</v>
      </c>
    </row>
    <row r="4378" spans="1:5">
      <c r="A4378" s="11" t="s">
        <v>14251</v>
      </c>
      <c r="B4378">
        <v>8003910</v>
      </c>
      <c r="D4378" s="11" t="s">
        <v>14252</v>
      </c>
      <c r="E4378" s="11" t="s">
        <v>14253</v>
      </c>
    </row>
    <row r="4379" spans="1:5">
      <c r="A4379" s="11" t="s">
        <v>14254</v>
      </c>
      <c r="B4379">
        <v>8001727</v>
      </c>
      <c r="D4379" s="11" t="s">
        <v>14255</v>
      </c>
      <c r="E4379" s="11" t="s">
        <v>14256</v>
      </c>
    </row>
    <row r="4380" spans="1:5">
      <c r="A4380" s="11" t="s">
        <v>14257</v>
      </c>
      <c r="B4380">
        <v>8003912</v>
      </c>
      <c r="D4380" s="11" t="s">
        <v>14258</v>
      </c>
      <c r="E4380" s="11" t="s">
        <v>14259</v>
      </c>
    </row>
    <row r="4381" spans="1:5">
      <c r="A4381" s="11" t="s">
        <v>14260</v>
      </c>
      <c r="B4381">
        <v>8003913</v>
      </c>
      <c r="D4381" s="11" t="s">
        <v>14261</v>
      </c>
      <c r="E4381" s="11" t="s">
        <v>14262</v>
      </c>
    </row>
    <row r="4382" spans="1:5">
      <c r="A4382" s="11" t="s">
        <v>14263</v>
      </c>
      <c r="B4382">
        <v>8003915</v>
      </c>
      <c r="D4382" s="11" t="s">
        <v>14264</v>
      </c>
      <c r="E4382" s="11" t="s">
        <v>14265</v>
      </c>
    </row>
    <row r="4383" spans="1:5">
      <c r="A4383" s="11" t="s">
        <v>1460</v>
      </c>
      <c r="B4383">
        <v>8003918</v>
      </c>
      <c r="D4383" s="11" t="s">
        <v>14266</v>
      </c>
      <c r="E4383" s="11" t="s">
        <v>14267</v>
      </c>
    </row>
    <row r="4384" spans="1:5">
      <c r="A4384" s="11" t="s">
        <v>14268</v>
      </c>
      <c r="B4384">
        <v>8087080</v>
      </c>
      <c r="D4384" s="11" t="s">
        <v>14269</v>
      </c>
      <c r="E4384" s="11" t="s">
        <v>14270</v>
      </c>
    </row>
    <row r="4385" spans="1:5">
      <c r="A4385" s="11" t="s">
        <v>14271</v>
      </c>
      <c r="B4385">
        <v>8003920</v>
      </c>
      <c r="D4385" s="11" t="s">
        <v>14272</v>
      </c>
      <c r="E4385" s="11" t="s">
        <v>14273</v>
      </c>
    </row>
    <row r="4386" spans="1:5">
      <c r="A4386" s="11" t="s">
        <v>14274</v>
      </c>
      <c r="B4386">
        <v>8003921</v>
      </c>
      <c r="D4386" s="11" t="s">
        <v>14275</v>
      </c>
      <c r="E4386" s="11" t="s">
        <v>14276</v>
      </c>
    </row>
    <row r="4387" spans="1:5">
      <c r="A4387" s="11" t="s">
        <v>14277</v>
      </c>
      <c r="B4387">
        <v>8070804</v>
      </c>
      <c r="D4387" s="11" t="s">
        <v>14278</v>
      </c>
      <c r="E4387" s="11" t="s">
        <v>14279</v>
      </c>
    </row>
    <row r="4388" spans="1:5">
      <c r="A4388" s="11" t="s">
        <v>14280</v>
      </c>
      <c r="B4388">
        <v>8084068</v>
      </c>
      <c r="D4388" s="11" t="s">
        <v>14281</v>
      </c>
      <c r="E4388" s="11" t="s">
        <v>14282</v>
      </c>
    </row>
    <row r="4389" spans="1:5">
      <c r="A4389" s="11" t="s">
        <v>14283</v>
      </c>
      <c r="B4389">
        <v>8003922</v>
      </c>
      <c r="D4389" s="11" t="s">
        <v>14284</v>
      </c>
      <c r="E4389" s="11" t="s">
        <v>14285</v>
      </c>
    </row>
    <row r="4390" spans="1:5">
      <c r="A4390" s="11" t="s">
        <v>14286</v>
      </c>
      <c r="B4390">
        <v>8070484</v>
      </c>
      <c r="D4390" s="11" t="s">
        <v>14287</v>
      </c>
      <c r="E4390" s="11" t="s">
        <v>14288</v>
      </c>
    </row>
    <row r="4391" spans="1:5">
      <c r="A4391" s="11" t="s">
        <v>14289</v>
      </c>
      <c r="B4391">
        <v>8003923</v>
      </c>
      <c r="D4391" s="11" t="s">
        <v>14290</v>
      </c>
      <c r="E4391" s="11" t="s">
        <v>14291</v>
      </c>
    </row>
    <row r="4392" spans="1:5">
      <c r="A4392" s="11" t="s">
        <v>14292</v>
      </c>
      <c r="B4392">
        <v>8084067</v>
      </c>
      <c r="D4392" s="11" t="s">
        <v>14293</v>
      </c>
      <c r="E4392" s="11" t="s">
        <v>14294</v>
      </c>
    </row>
    <row r="4393" spans="1:5">
      <c r="A4393" s="11" t="s">
        <v>14295</v>
      </c>
      <c r="B4393">
        <v>8003911</v>
      </c>
      <c r="D4393" s="11" t="s">
        <v>14296</v>
      </c>
      <c r="E4393" s="11" t="s">
        <v>14297</v>
      </c>
    </row>
    <row r="4394" spans="1:5">
      <c r="A4394" s="11" t="s">
        <v>14298</v>
      </c>
      <c r="B4394">
        <v>8071184</v>
      </c>
      <c r="D4394" s="11" t="s">
        <v>14299</v>
      </c>
      <c r="E4394" s="11" t="s">
        <v>14300</v>
      </c>
    </row>
    <row r="4395" spans="1:5">
      <c r="A4395" s="11" t="s">
        <v>14301</v>
      </c>
      <c r="B4395">
        <v>8000248</v>
      </c>
      <c r="D4395" s="11" t="s">
        <v>14302</v>
      </c>
      <c r="E4395" s="11" t="s">
        <v>14303</v>
      </c>
    </row>
    <row r="4396" spans="1:5">
      <c r="A4396" s="11" t="s">
        <v>14304</v>
      </c>
      <c r="B4396">
        <v>8003924</v>
      </c>
      <c r="D4396" s="11" t="s">
        <v>14305</v>
      </c>
      <c r="E4396" s="11" t="s">
        <v>14306</v>
      </c>
    </row>
    <row r="4397" spans="1:5">
      <c r="A4397" s="11" t="s">
        <v>14307</v>
      </c>
      <c r="B4397">
        <v>8003926</v>
      </c>
      <c r="D4397" s="11" t="s">
        <v>14308</v>
      </c>
      <c r="E4397" s="11" t="s">
        <v>14309</v>
      </c>
    </row>
    <row r="4398" spans="1:5">
      <c r="A4398" s="11" t="s">
        <v>14310</v>
      </c>
      <c r="B4398">
        <v>8003927</v>
      </c>
      <c r="D4398" s="11" t="s">
        <v>14311</v>
      </c>
      <c r="E4398" s="11" t="s">
        <v>14312</v>
      </c>
    </row>
    <row r="4399" spans="1:5">
      <c r="A4399" s="11" t="s">
        <v>14313</v>
      </c>
      <c r="B4399">
        <v>8012320</v>
      </c>
      <c r="D4399" s="11" t="s">
        <v>14314</v>
      </c>
      <c r="E4399" s="11" t="s">
        <v>14315</v>
      </c>
    </row>
    <row r="4400" spans="1:5">
      <c r="A4400" s="11" t="s">
        <v>14316</v>
      </c>
      <c r="B4400">
        <v>8003929</v>
      </c>
      <c r="D4400" s="11" t="s">
        <v>14317</v>
      </c>
      <c r="E4400" s="11" t="s">
        <v>14318</v>
      </c>
    </row>
    <row r="4401" spans="1:5">
      <c r="A4401" s="11" t="s">
        <v>14319</v>
      </c>
      <c r="B4401">
        <v>8003930</v>
      </c>
      <c r="D4401" s="11" t="s">
        <v>14320</v>
      </c>
      <c r="E4401" s="11" t="s">
        <v>14321</v>
      </c>
    </row>
    <row r="4402" spans="1:5">
      <c r="A4402" s="11" t="s">
        <v>14322</v>
      </c>
      <c r="B4402">
        <v>8003937</v>
      </c>
      <c r="D4402" s="11" t="s">
        <v>14323</v>
      </c>
      <c r="E4402" s="11" t="s">
        <v>14324</v>
      </c>
    </row>
    <row r="4403" spans="1:5">
      <c r="A4403" s="11" t="s">
        <v>14325</v>
      </c>
      <c r="B4403">
        <v>8003414</v>
      </c>
      <c r="D4403" s="11" t="s">
        <v>14326</v>
      </c>
      <c r="E4403" s="11" t="s">
        <v>14327</v>
      </c>
    </row>
    <row r="4404" spans="1:5">
      <c r="A4404" s="11" t="s">
        <v>14328</v>
      </c>
      <c r="B4404">
        <v>8003931</v>
      </c>
      <c r="D4404" s="11" t="s">
        <v>14329</v>
      </c>
      <c r="E4404" s="11" t="s">
        <v>14330</v>
      </c>
    </row>
    <row r="4405" spans="1:5">
      <c r="A4405" s="11" t="s">
        <v>14331</v>
      </c>
      <c r="B4405">
        <v>8003932</v>
      </c>
      <c r="D4405" s="11" t="s">
        <v>14332</v>
      </c>
      <c r="E4405" s="11" t="s">
        <v>14333</v>
      </c>
    </row>
    <row r="4406" spans="1:5">
      <c r="A4406" s="11" t="s">
        <v>14334</v>
      </c>
      <c r="B4406">
        <v>8012322</v>
      </c>
      <c r="D4406" s="11" t="s">
        <v>14335</v>
      </c>
      <c r="E4406" s="11" t="s">
        <v>14336</v>
      </c>
    </row>
    <row r="4407" spans="1:5">
      <c r="A4407" s="11" t="s">
        <v>14337</v>
      </c>
      <c r="B4407">
        <v>8003938</v>
      </c>
      <c r="D4407" s="11" t="s">
        <v>14338</v>
      </c>
      <c r="E4407" s="11" t="s">
        <v>14339</v>
      </c>
    </row>
    <row r="4408" spans="1:5">
      <c r="A4408" s="11" t="s">
        <v>131</v>
      </c>
      <c r="B4408">
        <v>8012323</v>
      </c>
      <c r="D4408" s="11" t="s">
        <v>14340</v>
      </c>
      <c r="E4408" s="11" t="s">
        <v>14341</v>
      </c>
    </row>
    <row r="4409" spans="1:5">
      <c r="A4409" s="11" t="s">
        <v>14342</v>
      </c>
      <c r="B4409">
        <v>8004694</v>
      </c>
      <c r="D4409" s="11" t="s">
        <v>14343</v>
      </c>
      <c r="E4409" s="11" t="s">
        <v>14344</v>
      </c>
    </row>
    <row r="4410" spans="1:5">
      <c r="A4410" s="11" t="s">
        <v>14345</v>
      </c>
      <c r="B4410">
        <v>8006741</v>
      </c>
      <c r="D4410" s="11" t="s">
        <v>14346</v>
      </c>
      <c r="E4410" s="11" t="s">
        <v>14347</v>
      </c>
    </row>
    <row r="4411" spans="1:5">
      <c r="A4411" s="11" t="s">
        <v>14348</v>
      </c>
      <c r="B4411">
        <v>8079026</v>
      </c>
      <c r="D4411" s="11" t="s">
        <v>14349</v>
      </c>
      <c r="E4411" s="11" t="s">
        <v>14350</v>
      </c>
    </row>
    <row r="4412" spans="1:5">
      <c r="A4412" s="11" t="s">
        <v>14351</v>
      </c>
      <c r="B4412">
        <v>8010229</v>
      </c>
      <c r="D4412" s="11" t="s">
        <v>14352</v>
      </c>
      <c r="E4412" s="11" t="s">
        <v>14353</v>
      </c>
    </row>
    <row r="4413" spans="1:5">
      <c r="A4413" s="11" t="s">
        <v>14354</v>
      </c>
      <c r="B4413">
        <v>8003943</v>
      </c>
      <c r="D4413" s="11" t="s">
        <v>14355</v>
      </c>
      <c r="E4413" s="11" t="s">
        <v>14356</v>
      </c>
    </row>
    <row r="4414" spans="1:5">
      <c r="A4414" s="11" t="s">
        <v>14357</v>
      </c>
      <c r="B4414">
        <v>8003947</v>
      </c>
      <c r="D4414" s="11" t="s">
        <v>14358</v>
      </c>
      <c r="E4414" s="11" t="s">
        <v>14359</v>
      </c>
    </row>
    <row r="4415" spans="1:5">
      <c r="A4415" s="11" t="s">
        <v>14360</v>
      </c>
      <c r="B4415">
        <v>8070972</v>
      </c>
      <c r="D4415" s="11" t="s">
        <v>14361</v>
      </c>
      <c r="E4415" s="11" t="s">
        <v>14362</v>
      </c>
    </row>
    <row r="4416" spans="1:5">
      <c r="A4416" s="11" t="s">
        <v>14363</v>
      </c>
      <c r="B4416">
        <v>8012324</v>
      </c>
      <c r="D4416" s="11" t="s">
        <v>14364</v>
      </c>
      <c r="E4416" s="11" t="s">
        <v>14365</v>
      </c>
    </row>
    <row r="4417" spans="1:5">
      <c r="A4417" s="11" t="s">
        <v>14366</v>
      </c>
      <c r="B4417">
        <v>8003949</v>
      </c>
      <c r="D4417" s="11" t="s">
        <v>14367</v>
      </c>
      <c r="E4417" s="11" t="s">
        <v>14368</v>
      </c>
    </row>
    <row r="4418" spans="1:5">
      <c r="A4418" s="11" t="s">
        <v>14369</v>
      </c>
      <c r="B4418">
        <v>8003950</v>
      </c>
      <c r="D4418" s="11" t="s">
        <v>14370</v>
      </c>
      <c r="E4418" s="11" t="s">
        <v>14371</v>
      </c>
    </row>
    <row r="4419" spans="1:5">
      <c r="A4419" s="11" t="s">
        <v>936</v>
      </c>
      <c r="B4419">
        <v>8010230</v>
      </c>
      <c r="D4419" s="11" t="s">
        <v>938</v>
      </c>
      <c r="E4419" s="11" t="s">
        <v>939</v>
      </c>
    </row>
    <row r="4420" spans="1:5">
      <c r="A4420" s="11" t="s">
        <v>14372</v>
      </c>
      <c r="B4420">
        <v>8010231</v>
      </c>
      <c r="D4420" s="11" t="s">
        <v>14373</v>
      </c>
      <c r="E4420" s="11" t="s">
        <v>14374</v>
      </c>
    </row>
    <row r="4421" spans="1:5">
      <c r="A4421" s="11" t="s">
        <v>14375</v>
      </c>
      <c r="B4421">
        <v>8012325</v>
      </c>
      <c r="D4421" s="11" t="s">
        <v>14376</v>
      </c>
      <c r="E4421" s="11" t="s">
        <v>14377</v>
      </c>
    </row>
    <row r="4422" spans="1:5">
      <c r="A4422" s="11" t="s">
        <v>14378</v>
      </c>
      <c r="B4422">
        <v>8012326</v>
      </c>
      <c r="D4422" s="11" t="s">
        <v>14379</v>
      </c>
      <c r="E4422" s="11" t="s">
        <v>14380</v>
      </c>
    </row>
    <row r="4423" spans="1:5">
      <c r="A4423" s="11" t="s">
        <v>14381</v>
      </c>
      <c r="B4423">
        <v>8012318</v>
      </c>
      <c r="D4423" s="11" t="s">
        <v>14382</v>
      </c>
      <c r="E4423" s="11" t="s">
        <v>14383</v>
      </c>
    </row>
    <row r="4424" spans="1:5">
      <c r="A4424" s="11" t="s">
        <v>14384</v>
      </c>
      <c r="B4424">
        <v>8012327</v>
      </c>
      <c r="D4424" s="11" t="s">
        <v>14385</v>
      </c>
      <c r="E4424" s="11" t="s">
        <v>14386</v>
      </c>
    </row>
    <row r="4425" spans="1:5">
      <c r="A4425" s="11" t="s">
        <v>14387</v>
      </c>
      <c r="B4425">
        <v>8003952</v>
      </c>
      <c r="D4425" s="11" t="s">
        <v>14388</v>
      </c>
      <c r="E4425" s="11" t="s">
        <v>14389</v>
      </c>
    </row>
    <row r="4426" spans="1:5">
      <c r="A4426" s="11" t="s">
        <v>14390</v>
      </c>
      <c r="B4426">
        <v>8012328</v>
      </c>
      <c r="D4426" s="11" t="s">
        <v>14391</v>
      </c>
      <c r="E4426" s="11" t="s">
        <v>14392</v>
      </c>
    </row>
    <row r="4427" spans="1:5">
      <c r="A4427" s="11" t="s">
        <v>14393</v>
      </c>
      <c r="B4427">
        <v>8003953</v>
      </c>
      <c r="D4427" s="11" t="s">
        <v>14394</v>
      </c>
      <c r="E4427" s="11" t="s">
        <v>14395</v>
      </c>
    </row>
    <row r="4428" spans="1:5">
      <c r="A4428" s="11" t="s">
        <v>14396</v>
      </c>
      <c r="B4428">
        <v>8070485</v>
      </c>
      <c r="D4428" s="11" t="s">
        <v>14397</v>
      </c>
      <c r="E4428" s="11" t="s">
        <v>14398</v>
      </c>
    </row>
    <row r="4429" spans="1:5">
      <c r="A4429" s="11" t="s">
        <v>14399</v>
      </c>
      <c r="B4429">
        <v>8012329</v>
      </c>
      <c r="D4429" s="11" t="s">
        <v>14400</v>
      </c>
      <c r="E4429" s="11" t="s">
        <v>14401</v>
      </c>
    </row>
    <row r="4430" spans="1:5">
      <c r="A4430" s="11" t="s">
        <v>14402</v>
      </c>
      <c r="B4430">
        <v>8079639</v>
      </c>
      <c r="D4430" s="11" t="s">
        <v>14403</v>
      </c>
      <c r="E4430" s="11" t="s">
        <v>14404</v>
      </c>
    </row>
    <row r="4431" spans="1:5">
      <c r="A4431" s="11" t="s">
        <v>14405</v>
      </c>
      <c r="B4431">
        <v>8003954</v>
      </c>
      <c r="D4431" s="11" t="s">
        <v>14406</v>
      </c>
      <c r="E4431" s="11" t="s">
        <v>14407</v>
      </c>
    </row>
    <row r="4432" spans="1:5">
      <c r="A4432" s="11" t="s">
        <v>14408</v>
      </c>
      <c r="B4432">
        <v>8003956</v>
      </c>
      <c r="D4432" s="11" t="s">
        <v>14409</v>
      </c>
      <c r="E4432" s="11" t="s">
        <v>14410</v>
      </c>
    </row>
    <row r="4433" spans="1:5">
      <c r="A4433" s="11" t="s">
        <v>14411</v>
      </c>
      <c r="B4433">
        <v>8012330</v>
      </c>
      <c r="D4433" s="11" t="s">
        <v>14412</v>
      </c>
      <c r="E4433" s="11" t="s">
        <v>14413</v>
      </c>
    </row>
    <row r="4434" spans="1:5">
      <c r="A4434" s="11" t="s">
        <v>14414</v>
      </c>
      <c r="B4434">
        <v>8003957</v>
      </c>
      <c r="D4434" s="11" t="s">
        <v>14415</v>
      </c>
      <c r="E4434" s="11" t="s">
        <v>14416</v>
      </c>
    </row>
    <row r="4435" spans="1:5">
      <c r="A4435" s="11" t="s">
        <v>14417</v>
      </c>
      <c r="B4435">
        <v>8012332</v>
      </c>
      <c r="D4435" s="11" t="s">
        <v>14418</v>
      </c>
      <c r="E4435" s="11" t="s">
        <v>14419</v>
      </c>
    </row>
    <row r="4436" spans="1:5">
      <c r="A4436" s="11" t="s">
        <v>14420</v>
      </c>
      <c r="B4436">
        <v>8003959</v>
      </c>
      <c r="D4436" s="11" t="s">
        <v>14421</v>
      </c>
      <c r="E4436" s="11" t="s">
        <v>14422</v>
      </c>
    </row>
    <row r="4437" spans="1:5">
      <c r="A4437" s="11" t="s">
        <v>14423</v>
      </c>
      <c r="B4437">
        <v>8003960</v>
      </c>
      <c r="D4437" s="11" t="s">
        <v>14424</v>
      </c>
      <c r="E4437" s="11" t="s">
        <v>14425</v>
      </c>
    </row>
    <row r="4438" spans="1:5">
      <c r="A4438" s="11" t="s">
        <v>14426</v>
      </c>
      <c r="B4438">
        <v>8003961</v>
      </c>
      <c r="D4438" s="11" t="s">
        <v>14427</v>
      </c>
      <c r="E4438" s="11" t="s">
        <v>14428</v>
      </c>
    </row>
    <row r="4439" spans="1:5">
      <c r="A4439" s="11" t="s">
        <v>14429</v>
      </c>
      <c r="B4439">
        <v>8003971</v>
      </c>
      <c r="D4439" s="11" t="s">
        <v>14430</v>
      </c>
      <c r="E4439" s="11" t="s">
        <v>14431</v>
      </c>
    </row>
    <row r="4440" spans="1:5">
      <c r="A4440" s="11" t="s">
        <v>14432</v>
      </c>
      <c r="B4440">
        <v>8005125</v>
      </c>
      <c r="D4440" s="11" t="s">
        <v>14433</v>
      </c>
      <c r="E4440" s="11" t="s">
        <v>14434</v>
      </c>
    </row>
    <row r="4441" spans="1:5">
      <c r="A4441" s="11" t="s">
        <v>14435</v>
      </c>
      <c r="B4441">
        <v>8071119</v>
      </c>
      <c r="D4441" s="11" t="s">
        <v>14436</v>
      </c>
      <c r="E4441" s="11" t="s">
        <v>14437</v>
      </c>
    </row>
    <row r="4442" spans="1:5">
      <c r="A4442" s="11" t="s">
        <v>14438</v>
      </c>
      <c r="B4442">
        <v>8003962</v>
      </c>
      <c r="D4442" s="11" t="s">
        <v>14439</v>
      </c>
      <c r="E4442" s="11" t="s">
        <v>14440</v>
      </c>
    </row>
    <row r="4443" spans="1:5">
      <c r="A4443" s="11" t="s">
        <v>14441</v>
      </c>
      <c r="B4443">
        <v>8000249</v>
      </c>
      <c r="D4443" s="11" t="s">
        <v>14442</v>
      </c>
      <c r="E4443" s="11" t="s">
        <v>14443</v>
      </c>
    </row>
    <row r="4444" spans="1:5">
      <c r="A4444" s="11" t="s">
        <v>14444</v>
      </c>
      <c r="B4444">
        <v>8003966</v>
      </c>
      <c r="D4444" s="11" t="s">
        <v>14445</v>
      </c>
      <c r="E4444" s="11" t="s">
        <v>14446</v>
      </c>
    </row>
    <row r="4445" spans="1:5">
      <c r="A4445" s="11" t="s">
        <v>14447</v>
      </c>
      <c r="B4445">
        <v>8003967</v>
      </c>
      <c r="D4445" s="11" t="s">
        <v>14448</v>
      </c>
      <c r="E4445" s="11" t="s">
        <v>14449</v>
      </c>
    </row>
    <row r="4446" spans="1:5">
      <c r="A4446" s="11" t="s">
        <v>14450</v>
      </c>
      <c r="B4446">
        <v>8003965</v>
      </c>
      <c r="D4446" s="11" t="s">
        <v>14451</v>
      </c>
      <c r="E4446" s="11" t="s">
        <v>14452</v>
      </c>
    </row>
    <row r="4447" spans="1:5">
      <c r="A4447" s="11" t="s">
        <v>14453</v>
      </c>
      <c r="B4447">
        <v>8004393</v>
      </c>
      <c r="D4447" s="11" t="s">
        <v>14454</v>
      </c>
      <c r="E4447" s="11" t="s">
        <v>14455</v>
      </c>
    </row>
    <row r="4448" spans="1:5">
      <c r="A4448" s="11" t="s">
        <v>14456</v>
      </c>
      <c r="B4448">
        <v>8071118</v>
      </c>
      <c r="D4448" s="11" t="s">
        <v>1539</v>
      </c>
      <c r="E4448" s="11" t="s">
        <v>1539</v>
      </c>
    </row>
    <row r="4449" spans="1:5">
      <c r="A4449" s="11" t="s">
        <v>14457</v>
      </c>
      <c r="B4449">
        <v>8003969</v>
      </c>
      <c r="D4449" s="11" t="s">
        <v>14458</v>
      </c>
      <c r="E4449" s="11" t="s">
        <v>14459</v>
      </c>
    </row>
    <row r="4450" spans="1:5">
      <c r="A4450" s="11" t="s">
        <v>14460</v>
      </c>
      <c r="B4450">
        <v>8003970</v>
      </c>
      <c r="D4450" s="11" t="s">
        <v>14461</v>
      </c>
      <c r="E4450" s="11" t="s">
        <v>14462</v>
      </c>
    </row>
    <row r="4451" spans="1:5">
      <c r="A4451" s="11" t="s">
        <v>14463</v>
      </c>
      <c r="B4451">
        <v>8012333</v>
      </c>
      <c r="D4451" s="11" t="s">
        <v>14464</v>
      </c>
      <c r="E4451" s="11" t="s">
        <v>14465</v>
      </c>
    </row>
    <row r="4452" spans="1:5">
      <c r="A4452" s="11" t="s">
        <v>14466</v>
      </c>
      <c r="B4452">
        <v>8012334</v>
      </c>
      <c r="D4452" s="11" t="s">
        <v>14467</v>
      </c>
      <c r="E4452" s="11" t="s">
        <v>14468</v>
      </c>
    </row>
    <row r="4453" spans="1:5">
      <c r="A4453" s="11" t="s">
        <v>14469</v>
      </c>
      <c r="B4453">
        <v>8077779</v>
      </c>
      <c r="D4453" s="11" t="s">
        <v>14470</v>
      </c>
      <c r="E4453" s="11" t="s">
        <v>14471</v>
      </c>
    </row>
    <row r="4454" spans="1:5">
      <c r="A4454" s="11" t="s">
        <v>14472</v>
      </c>
      <c r="B4454">
        <v>8007145</v>
      </c>
      <c r="D4454" s="11" t="s">
        <v>14473</v>
      </c>
      <c r="E4454" s="11" t="s">
        <v>14474</v>
      </c>
    </row>
    <row r="4455" spans="1:5">
      <c r="A4455" s="11" t="s">
        <v>14475</v>
      </c>
      <c r="B4455">
        <v>8003978</v>
      </c>
      <c r="D4455" s="11" t="s">
        <v>14476</v>
      </c>
      <c r="E4455" s="11" t="s">
        <v>14477</v>
      </c>
    </row>
    <row r="4456" spans="1:5">
      <c r="A4456" s="11" t="s">
        <v>14478</v>
      </c>
      <c r="B4456">
        <v>8003979</v>
      </c>
      <c r="D4456" s="11" t="s">
        <v>14479</v>
      </c>
      <c r="E4456" s="11" t="s">
        <v>14480</v>
      </c>
    </row>
    <row r="4457" spans="1:5">
      <c r="A4457" s="11" t="s">
        <v>14481</v>
      </c>
      <c r="B4457">
        <v>8003980</v>
      </c>
      <c r="D4457" s="11" t="s">
        <v>14482</v>
      </c>
      <c r="E4457" s="11" t="s">
        <v>14483</v>
      </c>
    </row>
    <row r="4458" spans="1:5">
      <c r="A4458" s="11" t="s">
        <v>14484</v>
      </c>
      <c r="B4458">
        <v>8003982</v>
      </c>
      <c r="D4458" s="11" t="s">
        <v>14485</v>
      </c>
      <c r="E4458" s="11" t="s">
        <v>14486</v>
      </c>
    </row>
    <row r="4459" spans="1:5">
      <c r="A4459" s="11" t="s">
        <v>14487</v>
      </c>
      <c r="B4459">
        <v>8004008</v>
      </c>
      <c r="D4459" s="11" t="s">
        <v>14488</v>
      </c>
      <c r="E4459" s="11" t="s">
        <v>14489</v>
      </c>
    </row>
    <row r="4460" spans="1:5">
      <c r="A4460" s="11" t="s">
        <v>14490</v>
      </c>
      <c r="B4460">
        <v>8003983</v>
      </c>
      <c r="D4460" s="11" t="s">
        <v>14491</v>
      </c>
      <c r="E4460" s="11" t="s">
        <v>14492</v>
      </c>
    </row>
    <row r="4461" spans="1:5">
      <c r="A4461" s="11" t="s">
        <v>14493</v>
      </c>
      <c r="B4461">
        <v>8003986</v>
      </c>
      <c r="D4461" s="11" t="s">
        <v>14494</v>
      </c>
      <c r="E4461" s="11" t="s">
        <v>14495</v>
      </c>
    </row>
    <row r="4462" spans="1:5">
      <c r="A4462" s="11" t="s">
        <v>14496</v>
      </c>
      <c r="B4462">
        <v>8012339</v>
      </c>
      <c r="D4462" s="11" t="s">
        <v>14497</v>
      </c>
      <c r="E4462" s="11" t="s">
        <v>14498</v>
      </c>
    </row>
    <row r="4463" spans="1:5">
      <c r="A4463" s="11" t="s">
        <v>14499</v>
      </c>
      <c r="B4463">
        <v>8010232</v>
      </c>
      <c r="D4463" s="11" t="s">
        <v>14500</v>
      </c>
      <c r="E4463" s="11" t="s">
        <v>14501</v>
      </c>
    </row>
    <row r="4464" spans="1:5">
      <c r="A4464" s="11" t="s">
        <v>14502</v>
      </c>
      <c r="B4464">
        <v>8003987</v>
      </c>
      <c r="D4464" s="11" t="s">
        <v>14503</v>
      </c>
      <c r="E4464" s="11" t="s">
        <v>14504</v>
      </c>
    </row>
    <row r="4465" spans="1:5">
      <c r="A4465" s="11" t="s">
        <v>14505</v>
      </c>
      <c r="B4465">
        <v>8003988</v>
      </c>
      <c r="D4465" s="11" t="s">
        <v>14506</v>
      </c>
      <c r="E4465" s="11" t="s">
        <v>14507</v>
      </c>
    </row>
    <row r="4466" spans="1:5">
      <c r="A4466" s="11" t="s">
        <v>14508</v>
      </c>
      <c r="B4466">
        <v>8003989</v>
      </c>
      <c r="D4466" s="11" t="s">
        <v>14509</v>
      </c>
      <c r="E4466" s="11" t="s">
        <v>14510</v>
      </c>
    </row>
    <row r="4467" spans="1:5">
      <c r="A4467" s="11" t="s">
        <v>14511</v>
      </c>
      <c r="B4467">
        <v>8003990</v>
      </c>
      <c r="D4467" s="11" t="s">
        <v>14512</v>
      </c>
      <c r="E4467" s="11" t="s">
        <v>14513</v>
      </c>
    </row>
    <row r="4468" spans="1:5">
      <c r="A4468" s="11" t="s">
        <v>14514</v>
      </c>
      <c r="B4468">
        <v>8003992</v>
      </c>
      <c r="D4468" s="11" t="s">
        <v>14515</v>
      </c>
      <c r="E4468" s="11" t="s">
        <v>14516</v>
      </c>
    </row>
    <row r="4469" spans="1:5">
      <c r="A4469" s="11" t="s">
        <v>14517</v>
      </c>
      <c r="B4469">
        <v>8000202</v>
      </c>
      <c r="D4469" s="11" t="s">
        <v>14518</v>
      </c>
      <c r="E4469" s="11" t="s">
        <v>14519</v>
      </c>
    </row>
    <row r="4470" spans="1:5">
      <c r="A4470" s="11" t="s">
        <v>14520</v>
      </c>
      <c r="B4470">
        <v>8003991</v>
      </c>
      <c r="D4470" s="11" t="s">
        <v>14521</v>
      </c>
      <c r="E4470" s="11" t="s">
        <v>14522</v>
      </c>
    </row>
    <row r="4471" spans="1:5">
      <c r="A4471" s="11" t="s">
        <v>14523</v>
      </c>
      <c r="B4471">
        <v>8070734</v>
      </c>
      <c r="D4471" s="11" t="s">
        <v>14524</v>
      </c>
      <c r="E4471" s="11" t="s">
        <v>14525</v>
      </c>
    </row>
    <row r="4472" spans="1:5">
      <c r="A4472" s="11" t="s">
        <v>14526</v>
      </c>
      <c r="B4472">
        <v>8003993</v>
      </c>
      <c r="D4472" s="11" t="s">
        <v>14527</v>
      </c>
      <c r="E4472" s="11" t="s">
        <v>14528</v>
      </c>
    </row>
    <row r="4473" spans="1:5">
      <c r="A4473" s="11" t="s">
        <v>14529</v>
      </c>
      <c r="B4473">
        <v>8012342</v>
      </c>
      <c r="D4473" s="11" t="s">
        <v>14530</v>
      </c>
      <c r="E4473" s="11" t="s">
        <v>14531</v>
      </c>
    </row>
    <row r="4474" spans="1:5">
      <c r="A4474" s="11" t="s">
        <v>14532</v>
      </c>
      <c r="B4474">
        <v>8003996</v>
      </c>
      <c r="D4474" s="11" t="s">
        <v>14533</v>
      </c>
      <c r="E4474" s="11" t="s">
        <v>14534</v>
      </c>
    </row>
    <row r="4475" spans="1:5">
      <c r="A4475" s="11" t="s">
        <v>14535</v>
      </c>
      <c r="B4475">
        <v>8003998</v>
      </c>
      <c r="D4475" s="11" t="s">
        <v>14536</v>
      </c>
      <c r="E4475" s="11" t="s">
        <v>14537</v>
      </c>
    </row>
    <row r="4476" spans="1:5">
      <c r="A4476" s="11" t="s">
        <v>14538</v>
      </c>
      <c r="B4476">
        <v>8077778</v>
      </c>
      <c r="D4476" s="11" t="s">
        <v>14539</v>
      </c>
      <c r="E4476" s="11" t="s">
        <v>14540</v>
      </c>
    </row>
    <row r="4477" spans="1:5">
      <c r="A4477" s="11" t="s">
        <v>14541</v>
      </c>
      <c r="B4477">
        <v>8004001</v>
      </c>
      <c r="D4477" s="11" t="s">
        <v>14542</v>
      </c>
      <c r="E4477" s="11" t="s">
        <v>14543</v>
      </c>
    </row>
    <row r="4478" spans="1:5">
      <c r="A4478" s="11" t="s">
        <v>14544</v>
      </c>
      <c r="B4478">
        <v>8004003</v>
      </c>
      <c r="D4478" s="11" t="s">
        <v>14545</v>
      </c>
      <c r="E4478" s="11" t="s">
        <v>14546</v>
      </c>
    </row>
    <row r="4479" spans="1:5">
      <c r="A4479" s="11" t="s">
        <v>14547</v>
      </c>
      <c r="B4479">
        <v>8004004</v>
      </c>
      <c r="D4479" s="11" t="s">
        <v>14548</v>
      </c>
      <c r="E4479" s="11" t="s">
        <v>14549</v>
      </c>
    </row>
    <row r="4480" spans="1:5">
      <c r="A4480" s="11" t="s">
        <v>14550</v>
      </c>
      <c r="B4480">
        <v>8004005</v>
      </c>
      <c r="D4480" s="11" t="s">
        <v>14551</v>
      </c>
      <c r="E4480" s="11" t="s">
        <v>14552</v>
      </c>
    </row>
    <row r="4481" spans="1:5">
      <c r="A4481" s="11" t="s">
        <v>14553</v>
      </c>
      <c r="B4481">
        <v>8004007</v>
      </c>
      <c r="D4481" s="11" t="s">
        <v>14554</v>
      </c>
      <c r="E4481" s="11" t="s">
        <v>14555</v>
      </c>
    </row>
    <row r="4482" spans="1:5">
      <c r="A4482" s="11" t="s">
        <v>14556</v>
      </c>
      <c r="B4482">
        <v>8004009</v>
      </c>
      <c r="D4482" s="11" t="s">
        <v>14557</v>
      </c>
      <c r="E4482" s="11" t="s">
        <v>14558</v>
      </c>
    </row>
    <row r="4483" spans="1:5">
      <c r="A4483" s="11" t="s">
        <v>14559</v>
      </c>
      <c r="B4483">
        <v>8070678</v>
      </c>
      <c r="D4483" s="11" t="s">
        <v>14560</v>
      </c>
      <c r="E4483" s="11" t="s">
        <v>14561</v>
      </c>
    </row>
    <row r="4484" spans="1:5">
      <c r="A4484" s="11" t="s">
        <v>14562</v>
      </c>
      <c r="B4484">
        <v>8012346</v>
      </c>
      <c r="D4484" s="11" t="s">
        <v>14563</v>
      </c>
      <c r="E4484" s="11" t="s">
        <v>14564</v>
      </c>
    </row>
    <row r="4485" spans="1:5">
      <c r="A4485" s="11" t="s">
        <v>14565</v>
      </c>
      <c r="B4485">
        <v>8012348</v>
      </c>
      <c r="D4485" s="11" t="s">
        <v>14566</v>
      </c>
      <c r="E4485" s="11" t="s">
        <v>14567</v>
      </c>
    </row>
    <row r="4486" spans="1:5">
      <c r="A4486" s="11" t="s">
        <v>14568</v>
      </c>
      <c r="B4486">
        <v>8004011</v>
      </c>
      <c r="D4486" s="11" t="s">
        <v>14569</v>
      </c>
      <c r="E4486" s="11" t="s">
        <v>14570</v>
      </c>
    </row>
    <row r="4487" spans="1:5">
      <c r="A4487" s="11" t="s">
        <v>14571</v>
      </c>
      <c r="B4487">
        <v>8007194</v>
      </c>
      <c r="D4487" s="11" t="s">
        <v>14572</v>
      </c>
      <c r="E4487" s="11" t="s">
        <v>14573</v>
      </c>
    </row>
    <row r="4488" spans="1:5">
      <c r="A4488" s="11" t="s">
        <v>14574</v>
      </c>
      <c r="B4488">
        <v>8004013</v>
      </c>
      <c r="D4488" s="11" t="s">
        <v>14575</v>
      </c>
      <c r="E4488" s="11" t="s">
        <v>14576</v>
      </c>
    </row>
    <row r="4489" spans="1:5">
      <c r="A4489" s="11" t="s">
        <v>14577</v>
      </c>
      <c r="B4489">
        <v>8007277</v>
      </c>
      <c r="D4489" s="11" t="s">
        <v>14578</v>
      </c>
      <c r="E4489" s="11" t="s">
        <v>14579</v>
      </c>
    </row>
    <row r="4490" spans="1:5">
      <c r="A4490" s="11" t="s">
        <v>14580</v>
      </c>
      <c r="B4490">
        <v>8004017</v>
      </c>
      <c r="D4490" s="11" t="s">
        <v>14581</v>
      </c>
      <c r="E4490" s="11" t="s">
        <v>14582</v>
      </c>
    </row>
    <row r="4491" spans="1:5">
      <c r="A4491" s="11" t="s">
        <v>14583</v>
      </c>
      <c r="B4491">
        <v>8010233</v>
      </c>
      <c r="D4491" s="11" t="s">
        <v>14584</v>
      </c>
      <c r="E4491" s="11" t="s">
        <v>14585</v>
      </c>
    </row>
    <row r="4492" spans="1:5">
      <c r="A4492" s="11" t="s">
        <v>14586</v>
      </c>
      <c r="B4492">
        <v>8007193</v>
      </c>
      <c r="D4492" s="11" t="s">
        <v>14587</v>
      </c>
      <c r="E4492" s="11" t="s">
        <v>14588</v>
      </c>
    </row>
    <row r="4493" spans="1:5">
      <c r="A4493" s="11" t="s">
        <v>14589</v>
      </c>
      <c r="B4493">
        <v>8004019</v>
      </c>
      <c r="D4493" s="11" t="s">
        <v>14590</v>
      </c>
      <c r="E4493" s="11" t="s">
        <v>14591</v>
      </c>
    </row>
    <row r="4494" spans="1:5">
      <c r="A4494" s="11" t="s">
        <v>14592</v>
      </c>
      <c r="B4494">
        <v>8007482</v>
      </c>
      <c r="D4494" s="11" t="s">
        <v>14593</v>
      </c>
      <c r="E4494" s="11" t="s">
        <v>14594</v>
      </c>
    </row>
    <row r="4495" spans="1:5">
      <c r="A4495" s="11" t="s">
        <v>14595</v>
      </c>
      <c r="B4495">
        <v>8004020</v>
      </c>
      <c r="D4495" s="11" t="s">
        <v>14596</v>
      </c>
      <c r="E4495" s="11" t="s">
        <v>14597</v>
      </c>
    </row>
    <row r="4496" spans="1:5">
      <c r="A4496" s="11" t="s">
        <v>14598</v>
      </c>
      <c r="B4496">
        <v>8012351</v>
      </c>
      <c r="D4496" s="11" t="s">
        <v>14599</v>
      </c>
      <c r="E4496" s="11" t="s">
        <v>14600</v>
      </c>
    </row>
    <row r="4497" spans="1:5">
      <c r="A4497" s="11" t="s">
        <v>14601</v>
      </c>
      <c r="B4497">
        <v>8012352</v>
      </c>
      <c r="D4497" s="11" t="s">
        <v>14602</v>
      </c>
      <c r="E4497" s="11" t="s">
        <v>14603</v>
      </c>
    </row>
    <row r="4498" spans="1:5">
      <c r="A4498" s="11" t="s">
        <v>14604</v>
      </c>
      <c r="B4498">
        <v>8004024</v>
      </c>
      <c r="D4498" s="11" t="s">
        <v>14605</v>
      </c>
      <c r="E4498" s="11" t="s">
        <v>14606</v>
      </c>
    </row>
    <row r="4499" spans="1:5">
      <c r="A4499" s="11" t="s">
        <v>14607</v>
      </c>
      <c r="B4499">
        <v>8004023</v>
      </c>
      <c r="D4499" s="11" t="s">
        <v>14608</v>
      </c>
      <c r="E4499" s="11" t="s">
        <v>14609</v>
      </c>
    </row>
    <row r="4500" spans="1:5">
      <c r="A4500" s="11" t="s">
        <v>14610</v>
      </c>
      <c r="B4500">
        <v>8012353</v>
      </c>
      <c r="D4500" s="11" t="s">
        <v>14611</v>
      </c>
      <c r="E4500" s="11" t="s">
        <v>14612</v>
      </c>
    </row>
    <row r="4501" spans="1:5">
      <c r="A4501" s="11" t="s">
        <v>14613</v>
      </c>
      <c r="B4501">
        <v>8004026</v>
      </c>
      <c r="D4501" s="11" t="s">
        <v>14614</v>
      </c>
      <c r="E4501" s="11" t="s">
        <v>14615</v>
      </c>
    </row>
    <row r="4502" spans="1:5">
      <c r="A4502" s="11" t="s">
        <v>14616</v>
      </c>
      <c r="B4502">
        <v>8000640</v>
      </c>
      <c r="D4502" s="11" t="s">
        <v>14617</v>
      </c>
      <c r="E4502" s="11" t="s">
        <v>14618</v>
      </c>
    </row>
    <row r="4503" spans="1:5">
      <c r="A4503" s="11" t="s">
        <v>14619</v>
      </c>
      <c r="B4503">
        <v>8012354</v>
      </c>
      <c r="D4503" s="11" t="s">
        <v>14620</v>
      </c>
      <c r="E4503" s="11" t="s">
        <v>14621</v>
      </c>
    </row>
    <row r="4504" spans="1:5">
      <c r="A4504" s="11" t="s">
        <v>14622</v>
      </c>
      <c r="B4504">
        <v>8012356</v>
      </c>
      <c r="D4504" s="11" t="s">
        <v>14623</v>
      </c>
      <c r="E4504" s="11" t="s">
        <v>14624</v>
      </c>
    </row>
    <row r="4505" spans="1:5">
      <c r="A4505" s="11" t="s">
        <v>14625</v>
      </c>
      <c r="B4505">
        <v>8012358</v>
      </c>
      <c r="D4505" s="11" t="s">
        <v>14626</v>
      </c>
      <c r="E4505" s="11" t="s">
        <v>14627</v>
      </c>
    </row>
    <row r="4506" spans="1:5">
      <c r="A4506" s="11" t="s">
        <v>14628</v>
      </c>
      <c r="B4506">
        <v>8004028</v>
      </c>
      <c r="D4506" s="11" t="s">
        <v>14629</v>
      </c>
      <c r="E4506" s="11" t="s">
        <v>14630</v>
      </c>
    </row>
    <row r="4507" spans="1:5">
      <c r="A4507" s="11" t="s">
        <v>14631</v>
      </c>
      <c r="B4507">
        <v>8004030</v>
      </c>
      <c r="D4507" s="11" t="s">
        <v>14632</v>
      </c>
      <c r="E4507" s="11" t="s">
        <v>14633</v>
      </c>
    </row>
    <row r="4508" spans="1:5">
      <c r="A4508" s="11" t="s">
        <v>14634</v>
      </c>
      <c r="B4508">
        <v>8000338</v>
      </c>
      <c r="D4508" s="11" t="s">
        <v>14635</v>
      </c>
      <c r="E4508" s="11" t="s">
        <v>14636</v>
      </c>
    </row>
    <row r="4509" spans="1:5">
      <c r="A4509" s="11" t="s">
        <v>14637</v>
      </c>
      <c r="B4509">
        <v>8000252</v>
      </c>
      <c r="D4509" s="11" t="s">
        <v>14638</v>
      </c>
      <c r="E4509" s="11" t="s">
        <v>14639</v>
      </c>
    </row>
    <row r="4510" spans="1:5">
      <c r="A4510" s="11" t="s">
        <v>14640</v>
      </c>
      <c r="B4510">
        <v>8012361</v>
      </c>
      <c r="D4510" s="11" t="s">
        <v>14641</v>
      </c>
      <c r="E4510" s="11" t="s">
        <v>14642</v>
      </c>
    </row>
    <row r="4511" spans="1:5">
      <c r="A4511" s="11" t="s">
        <v>14643</v>
      </c>
      <c r="B4511">
        <v>8012362</v>
      </c>
      <c r="D4511" s="11" t="s">
        <v>14644</v>
      </c>
      <c r="E4511" s="11" t="s">
        <v>14645</v>
      </c>
    </row>
    <row r="4512" spans="1:5">
      <c r="A4512" s="11" t="s">
        <v>14646</v>
      </c>
      <c r="B4512">
        <v>8079749</v>
      </c>
      <c r="D4512" s="11" t="s">
        <v>14647</v>
      </c>
      <c r="E4512" s="11" t="s">
        <v>14648</v>
      </c>
    </row>
    <row r="4513" spans="1:5">
      <c r="A4513" s="11" t="s">
        <v>14649</v>
      </c>
      <c r="B4513">
        <v>8004037</v>
      </c>
      <c r="D4513" s="11" t="s">
        <v>14650</v>
      </c>
      <c r="E4513" s="11" t="s">
        <v>14651</v>
      </c>
    </row>
    <row r="4514" spans="1:5">
      <c r="A4514" s="11" t="s">
        <v>14652</v>
      </c>
      <c r="B4514">
        <v>8010234</v>
      </c>
      <c r="D4514" s="11" t="s">
        <v>14653</v>
      </c>
      <c r="E4514" s="11" t="s">
        <v>14654</v>
      </c>
    </row>
    <row r="4515" spans="1:5">
      <c r="A4515" s="11" t="s">
        <v>14655</v>
      </c>
      <c r="B4515">
        <v>8071714</v>
      </c>
      <c r="D4515" s="11" t="s">
        <v>14656</v>
      </c>
      <c r="E4515" s="11" t="s">
        <v>14657</v>
      </c>
    </row>
    <row r="4516" spans="1:5">
      <c r="A4516" s="11" t="s">
        <v>14658</v>
      </c>
      <c r="B4516">
        <v>8004038</v>
      </c>
      <c r="D4516" s="11" t="s">
        <v>14659</v>
      </c>
      <c r="E4516" s="11" t="s">
        <v>14660</v>
      </c>
    </row>
    <row r="4517" spans="1:5">
      <c r="A4517" s="11" t="s">
        <v>14661</v>
      </c>
      <c r="B4517">
        <v>8012366</v>
      </c>
      <c r="D4517" s="11" t="s">
        <v>14662</v>
      </c>
      <c r="E4517" s="11" t="s">
        <v>14663</v>
      </c>
    </row>
    <row r="4518" spans="1:5">
      <c r="A4518" s="11" t="s">
        <v>14664</v>
      </c>
      <c r="B4518">
        <v>8012367</v>
      </c>
      <c r="D4518" s="11" t="s">
        <v>14665</v>
      </c>
      <c r="E4518" s="11" t="s">
        <v>14666</v>
      </c>
    </row>
    <row r="4519" spans="1:5">
      <c r="A4519" s="11" t="s">
        <v>14667</v>
      </c>
      <c r="B4519">
        <v>8004040</v>
      </c>
      <c r="D4519" s="11" t="s">
        <v>14668</v>
      </c>
      <c r="E4519" s="11" t="s">
        <v>14669</v>
      </c>
    </row>
    <row r="4520" spans="1:5">
      <c r="A4520" s="11" t="s">
        <v>14670</v>
      </c>
      <c r="B4520">
        <v>8004043</v>
      </c>
      <c r="D4520" s="11" t="s">
        <v>14671</v>
      </c>
      <c r="E4520" s="11" t="s">
        <v>14672</v>
      </c>
    </row>
    <row r="4521" spans="1:5">
      <c r="A4521" s="11" t="s">
        <v>14673</v>
      </c>
      <c r="B4521">
        <v>8081941</v>
      </c>
      <c r="D4521" s="11" t="s">
        <v>14674</v>
      </c>
      <c r="E4521" s="11" t="s">
        <v>14675</v>
      </c>
    </row>
    <row r="4522" spans="1:5">
      <c r="A4522" s="11" t="s">
        <v>14676</v>
      </c>
      <c r="B4522">
        <v>8004044</v>
      </c>
      <c r="D4522" s="11" t="s">
        <v>1539</v>
      </c>
      <c r="E4522" s="11" t="s">
        <v>1539</v>
      </c>
    </row>
    <row r="4523" spans="1:5">
      <c r="A4523" s="11" t="s">
        <v>14677</v>
      </c>
      <c r="B4523">
        <v>8004046</v>
      </c>
      <c r="D4523" s="11" t="s">
        <v>14678</v>
      </c>
      <c r="E4523" s="11" t="s">
        <v>14679</v>
      </c>
    </row>
    <row r="4524" spans="1:5">
      <c r="A4524" s="11" t="s">
        <v>14680</v>
      </c>
      <c r="B4524">
        <v>8012369</v>
      </c>
      <c r="D4524" s="11" t="s">
        <v>14681</v>
      </c>
      <c r="E4524" s="11" t="s">
        <v>14682</v>
      </c>
    </row>
    <row r="4525" spans="1:5">
      <c r="A4525" s="11" t="s">
        <v>14683</v>
      </c>
      <c r="B4525">
        <v>8012370</v>
      </c>
      <c r="D4525" s="11" t="s">
        <v>14684</v>
      </c>
      <c r="E4525" s="11" t="s">
        <v>14685</v>
      </c>
    </row>
    <row r="4526" spans="1:5">
      <c r="A4526" s="11" t="s">
        <v>14686</v>
      </c>
      <c r="B4526">
        <v>8004049</v>
      </c>
      <c r="D4526" s="11" t="s">
        <v>14687</v>
      </c>
      <c r="E4526" s="11" t="s">
        <v>14688</v>
      </c>
    </row>
    <row r="4527" spans="1:5">
      <c r="A4527" s="11" t="s">
        <v>14689</v>
      </c>
      <c r="B4527">
        <v>8012372</v>
      </c>
      <c r="D4527" s="11" t="s">
        <v>14690</v>
      </c>
      <c r="E4527" s="11" t="s">
        <v>14691</v>
      </c>
    </row>
    <row r="4528" spans="1:5">
      <c r="A4528" s="11" t="s">
        <v>14692</v>
      </c>
      <c r="B4528">
        <v>8004050</v>
      </c>
      <c r="D4528" s="11" t="s">
        <v>14693</v>
      </c>
      <c r="E4528" s="11" t="s">
        <v>14694</v>
      </c>
    </row>
    <row r="4529" spans="1:5">
      <c r="A4529" s="11" t="s">
        <v>14695</v>
      </c>
      <c r="B4529">
        <v>8012371</v>
      </c>
      <c r="D4529" s="11" t="s">
        <v>14696</v>
      </c>
      <c r="E4529" s="11" t="s">
        <v>14697</v>
      </c>
    </row>
    <row r="4530" spans="1:5">
      <c r="A4530" s="11" t="s">
        <v>14698</v>
      </c>
      <c r="B4530">
        <v>8000644</v>
      </c>
      <c r="D4530" s="11" t="s">
        <v>14699</v>
      </c>
      <c r="E4530" s="11" t="s">
        <v>14700</v>
      </c>
    </row>
    <row r="4531" spans="1:5">
      <c r="A4531" s="11" t="s">
        <v>14701</v>
      </c>
      <c r="B4531">
        <v>8012373</v>
      </c>
      <c r="D4531" s="11" t="s">
        <v>14702</v>
      </c>
      <c r="E4531" s="11" t="s">
        <v>14703</v>
      </c>
    </row>
    <row r="4532" spans="1:5">
      <c r="A4532" s="11" t="s">
        <v>14704</v>
      </c>
      <c r="B4532">
        <v>8004053</v>
      </c>
      <c r="D4532" s="11" t="s">
        <v>14705</v>
      </c>
      <c r="E4532" s="11" t="s">
        <v>14706</v>
      </c>
    </row>
    <row r="4533" spans="1:5">
      <c r="A4533" s="11" t="s">
        <v>14707</v>
      </c>
      <c r="B4533">
        <v>8004068</v>
      </c>
      <c r="D4533" s="11" t="s">
        <v>14708</v>
      </c>
      <c r="E4533" s="11" t="s">
        <v>14709</v>
      </c>
    </row>
    <row r="4534" spans="1:5">
      <c r="A4534" s="11" t="s">
        <v>14710</v>
      </c>
      <c r="B4534">
        <v>8004067</v>
      </c>
      <c r="D4534" s="11" t="s">
        <v>14711</v>
      </c>
      <c r="E4534" s="11" t="s">
        <v>14712</v>
      </c>
    </row>
    <row r="4535" spans="1:5">
      <c r="A4535" s="11" t="s">
        <v>14713</v>
      </c>
      <c r="B4535">
        <v>8012384</v>
      </c>
      <c r="D4535" s="11" t="s">
        <v>14714</v>
      </c>
      <c r="E4535" s="11" t="s">
        <v>14715</v>
      </c>
    </row>
    <row r="4536" spans="1:5">
      <c r="A4536" s="11" t="s">
        <v>14716</v>
      </c>
      <c r="B4536">
        <v>8071763</v>
      </c>
      <c r="D4536" s="11" t="s">
        <v>14717</v>
      </c>
      <c r="E4536" s="11" t="s">
        <v>14718</v>
      </c>
    </row>
    <row r="4537" spans="1:5">
      <c r="A4537" s="11" t="s">
        <v>14719</v>
      </c>
      <c r="B4537">
        <v>8004057</v>
      </c>
      <c r="D4537" s="11" t="s">
        <v>14720</v>
      </c>
      <c r="E4537" s="11" t="s">
        <v>14721</v>
      </c>
    </row>
    <row r="4538" spans="1:5">
      <c r="A4538" s="11" t="s">
        <v>14722</v>
      </c>
      <c r="B4538">
        <v>8012376</v>
      </c>
      <c r="D4538" s="11" t="s">
        <v>14723</v>
      </c>
      <c r="E4538" s="11" t="s">
        <v>14724</v>
      </c>
    </row>
    <row r="4539" spans="1:5">
      <c r="A4539" s="11" t="s">
        <v>14725</v>
      </c>
      <c r="B4539">
        <v>8007279</v>
      </c>
      <c r="D4539" s="11" t="s">
        <v>14726</v>
      </c>
      <c r="E4539" s="11" t="s">
        <v>14727</v>
      </c>
    </row>
    <row r="4540" spans="1:5">
      <c r="A4540" s="11" t="s">
        <v>14728</v>
      </c>
      <c r="B4540">
        <v>8070166</v>
      </c>
      <c r="D4540" s="11" t="s">
        <v>14729</v>
      </c>
      <c r="E4540" s="11" t="s">
        <v>14730</v>
      </c>
    </row>
    <row r="4541" spans="1:5">
      <c r="A4541" s="11" t="s">
        <v>14731</v>
      </c>
      <c r="B4541">
        <v>8004077</v>
      </c>
      <c r="D4541" s="11" t="s">
        <v>14732</v>
      </c>
      <c r="E4541" s="11" t="s">
        <v>14733</v>
      </c>
    </row>
    <row r="4542" spans="1:5">
      <c r="A4542" s="11" t="s">
        <v>14734</v>
      </c>
      <c r="B4542">
        <v>8000253</v>
      </c>
      <c r="D4542" s="11" t="s">
        <v>14735</v>
      </c>
      <c r="E4542" s="11" t="s">
        <v>14736</v>
      </c>
    </row>
    <row r="4543" spans="1:5">
      <c r="A4543" s="11" t="s">
        <v>14737</v>
      </c>
      <c r="B4543">
        <v>8004061</v>
      </c>
      <c r="D4543" s="11" t="s">
        <v>14738</v>
      </c>
      <c r="E4543" s="11" t="s">
        <v>14739</v>
      </c>
    </row>
    <row r="4544" spans="1:5">
      <c r="A4544" s="11" t="s">
        <v>14740</v>
      </c>
      <c r="B4544">
        <v>8001745</v>
      </c>
      <c r="D4544" s="11" t="s">
        <v>14741</v>
      </c>
      <c r="E4544" s="11" t="s">
        <v>14742</v>
      </c>
    </row>
    <row r="4545" spans="1:5">
      <c r="A4545" s="11" t="s">
        <v>14743</v>
      </c>
      <c r="B4545">
        <v>8004063</v>
      </c>
      <c r="D4545" s="11" t="s">
        <v>14744</v>
      </c>
      <c r="E4545" s="11" t="s">
        <v>14745</v>
      </c>
    </row>
    <row r="4546" spans="1:5">
      <c r="A4546" s="11" t="s">
        <v>14746</v>
      </c>
      <c r="B4546">
        <v>8012377</v>
      </c>
      <c r="D4546" s="11" t="s">
        <v>14747</v>
      </c>
      <c r="E4546" s="11" t="s">
        <v>14748</v>
      </c>
    </row>
    <row r="4547" spans="1:5">
      <c r="A4547" s="11" t="s">
        <v>14749</v>
      </c>
      <c r="B4547">
        <v>8079750</v>
      </c>
      <c r="D4547" s="11" t="s">
        <v>14750</v>
      </c>
      <c r="E4547" s="11" t="s">
        <v>14751</v>
      </c>
    </row>
    <row r="4548" spans="1:5">
      <c r="A4548" s="11" t="s">
        <v>14752</v>
      </c>
      <c r="B4548">
        <v>8004064</v>
      </c>
      <c r="D4548" s="11" t="s">
        <v>14753</v>
      </c>
      <c r="E4548" s="11" t="s">
        <v>14754</v>
      </c>
    </row>
    <row r="4549" spans="1:5">
      <c r="A4549" s="11" t="s">
        <v>14755</v>
      </c>
      <c r="B4549">
        <v>8004078</v>
      </c>
      <c r="D4549" s="11" t="s">
        <v>14756</v>
      </c>
      <c r="E4549" s="11" t="s">
        <v>14757</v>
      </c>
    </row>
    <row r="4550" spans="1:5">
      <c r="A4550" s="11" t="s">
        <v>14758</v>
      </c>
      <c r="B4550">
        <v>8079067</v>
      </c>
      <c r="D4550" s="11" t="s">
        <v>14759</v>
      </c>
      <c r="E4550" s="11" t="s">
        <v>14760</v>
      </c>
    </row>
    <row r="4551" spans="1:5">
      <c r="A4551" s="11" t="s">
        <v>14761</v>
      </c>
      <c r="B4551">
        <v>8000663</v>
      </c>
      <c r="D4551" s="11" t="s">
        <v>14762</v>
      </c>
      <c r="E4551" s="11" t="s">
        <v>14763</v>
      </c>
    </row>
    <row r="4552" spans="1:5">
      <c r="A4552" s="11" t="s">
        <v>14764</v>
      </c>
      <c r="B4552">
        <v>8000667</v>
      </c>
      <c r="D4552" s="11" t="s">
        <v>14765</v>
      </c>
      <c r="E4552" s="11" t="s">
        <v>14766</v>
      </c>
    </row>
    <row r="4553" spans="1:5">
      <c r="A4553" s="11" t="s">
        <v>14767</v>
      </c>
      <c r="B4553">
        <v>8004080</v>
      </c>
      <c r="D4553" s="11" t="s">
        <v>14768</v>
      </c>
      <c r="E4553" s="11" t="s">
        <v>14769</v>
      </c>
    </row>
    <row r="4554" spans="1:5">
      <c r="A4554" s="11" t="s">
        <v>14770</v>
      </c>
      <c r="B4554">
        <v>8079023</v>
      </c>
      <c r="D4554" s="11" t="s">
        <v>14771</v>
      </c>
      <c r="E4554" s="11" t="s">
        <v>14772</v>
      </c>
    </row>
    <row r="4555" spans="1:5">
      <c r="A4555" s="11" t="s">
        <v>14773</v>
      </c>
      <c r="B4555">
        <v>8079265</v>
      </c>
      <c r="D4555" s="11" t="s">
        <v>14774</v>
      </c>
      <c r="E4555" s="11" t="s">
        <v>14775</v>
      </c>
    </row>
    <row r="4556" spans="1:5">
      <c r="A4556" s="11" t="s">
        <v>14776</v>
      </c>
      <c r="B4556">
        <v>8004084</v>
      </c>
      <c r="D4556" s="11" t="s">
        <v>14777</v>
      </c>
      <c r="E4556" s="11" t="s">
        <v>14778</v>
      </c>
    </row>
    <row r="4557" spans="1:5">
      <c r="A4557" s="11" t="s">
        <v>14779</v>
      </c>
      <c r="B4557">
        <v>8007630</v>
      </c>
      <c r="D4557" s="11" t="s">
        <v>14780</v>
      </c>
      <c r="E4557" s="11" t="s">
        <v>14781</v>
      </c>
    </row>
    <row r="4558" spans="1:5">
      <c r="A4558" s="11" t="s">
        <v>740</v>
      </c>
      <c r="B4558">
        <v>8004065</v>
      </c>
      <c r="D4558" s="11" t="s">
        <v>742</v>
      </c>
      <c r="E4558" s="11" t="s">
        <v>743</v>
      </c>
    </row>
    <row r="4559" spans="1:5">
      <c r="A4559" s="11" t="s">
        <v>14782</v>
      </c>
      <c r="B4559">
        <v>8012378</v>
      </c>
      <c r="D4559" s="11" t="s">
        <v>14783</v>
      </c>
      <c r="E4559" s="11" t="s">
        <v>14784</v>
      </c>
    </row>
    <row r="4560" spans="1:5">
      <c r="A4560" s="11" t="s">
        <v>14785</v>
      </c>
      <c r="B4560">
        <v>8012387</v>
      </c>
      <c r="D4560" s="11" t="s">
        <v>14786</v>
      </c>
      <c r="E4560" s="11" t="s">
        <v>14787</v>
      </c>
    </row>
    <row r="4561" spans="1:5">
      <c r="A4561" s="11" t="s">
        <v>14788</v>
      </c>
      <c r="B4561">
        <v>8004066</v>
      </c>
      <c r="D4561" s="11" t="s">
        <v>14789</v>
      </c>
      <c r="E4561" s="11" t="s">
        <v>14790</v>
      </c>
    </row>
    <row r="4562" spans="1:5">
      <c r="A4562" s="11" t="s">
        <v>14791</v>
      </c>
      <c r="B4562">
        <v>8004090</v>
      </c>
      <c r="D4562" s="11" t="s">
        <v>14792</v>
      </c>
      <c r="E4562" s="11" t="s">
        <v>14793</v>
      </c>
    </row>
    <row r="4563" spans="1:5">
      <c r="A4563" s="11" t="s">
        <v>14794</v>
      </c>
      <c r="B4563">
        <v>8004093</v>
      </c>
      <c r="D4563" s="11" t="s">
        <v>14795</v>
      </c>
      <c r="E4563" s="11" t="s">
        <v>14796</v>
      </c>
    </row>
    <row r="4564" spans="1:5">
      <c r="A4564" s="11" t="s">
        <v>14797</v>
      </c>
      <c r="B4564">
        <v>8007777</v>
      </c>
      <c r="D4564" s="11" t="s">
        <v>14798</v>
      </c>
      <c r="E4564" s="11" t="s">
        <v>14799</v>
      </c>
    </row>
    <row r="4565" spans="1:5">
      <c r="A4565" s="11" t="s">
        <v>14800</v>
      </c>
      <c r="B4565">
        <v>8004095</v>
      </c>
      <c r="D4565" s="11" t="s">
        <v>14801</v>
      </c>
      <c r="E4565" s="11" t="s">
        <v>14802</v>
      </c>
    </row>
    <row r="4566" spans="1:5">
      <c r="A4566" s="11" t="s">
        <v>14803</v>
      </c>
      <c r="B4566">
        <v>8004094</v>
      </c>
      <c r="D4566" s="11" t="s">
        <v>14804</v>
      </c>
      <c r="E4566" s="11" t="s">
        <v>14805</v>
      </c>
    </row>
    <row r="4567" spans="1:5">
      <c r="A4567" s="11" t="s">
        <v>14806</v>
      </c>
      <c r="B4567">
        <v>8000264</v>
      </c>
      <c r="D4567" s="11" t="s">
        <v>14807</v>
      </c>
      <c r="E4567" s="11" t="s">
        <v>14808</v>
      </c>
    </row>
    <row r="4568" spans="1:5">
      <c r="A4568" s="11" t="s">
        <v>14809</v>
      </c>
      <c r="B4568">
        <v>8012388</v>
      </c>
      <c r="D4568" s="11" t="s">
        <v>14810</v>
      </c>
      <c r="E4568" s="11" t="s">
        <v>14811</v>
      </c>
    </row>
    <row r="4569" spans="1:5">
      <c r="A4569" s="11" t="s">
        <v>14812</v>
      </c>
      <c r="B4569">
        <v>8004096</v>
      </c>
      <c r="D4569" s="11" t="s">
        <v>14813</v>
      </c>
      <c r="E4569" s="11" t="s">
        <v>14814</v>
      </c>
    </row>
    <row r="4570" spans="1:5">
      <c r="A4570" s="11" t="s">
        <v>14815</v>
      </c>
      <c r="B4570">
        <v>8012381</v>
      </c>
      <c r="D4570" s="11" t="s">
        <v>14816</v>
      </c>
      <c r="E4570" s="11" t="s">
        <v>14817</v>
      </c>
    </row>
    <row r="4571" spans="1:5">
      <c r="A4571" s="11" t="s">
        <v>14818</v>
      </c>
      <c r="B4571">
        <v>8004070</v>
      </c>
      <c r="D4571" s="11" t="s">
        <v>14819</v>
      </c>
      <c r="E4571" s="11" t="s">
        <v>14820</v>
      </c>
    </row>
    <row r="4572" spans="1:5">
      <c r="A4572" s="11" t="s">
        <v>14821</v>
      </c>
      <c r="B4572">
        <v>8004071</v>
      </c>
      <c r="D4572" s="11" t="s">
        <v>14822</v>
      </c>
      <c r="E4572" s="11" t="s">
        <v>14823</v>
      </c>
    </row>
    <row r="4573" spans="1:5">
      <c r="A4573" s="11" t="s">
        <v>14824</v>
      </c>
      <c r="B4573">
        <v>8012390</v>
      </c>
      <c r="D4573" s="11" t="s">
        <v>14825</v>
      </c>
      <c r="E4573" s="11" t="s">
        <v>14826</v>
      </c>
    </row>
    <row r="4574" spans="1:5">
      <c r="A4574" s="11" t="s">
        <v>892</v>
      </c>
      <c r="B4574">
        <v>8012392</v>
      </c>
      <c r="D4574" s="11" t="s">
        <v>894</v>
      </c>
      <c r="E4574" s="11" t="s">
        <v>895</v>
      </c>
    </row>
    <row r="4575" spans="1:5">
      <c r="A4575" s="11" t="s">
        <v>14827</v>
      </c>
      <c r="B4575">
        <v>8012391</v>
      </c>
      <c r="D4575" s="11" t="s">
        <v>14828</v>
      </c>
      <c r="E4575" s="11" t="s">
        <v>14829</v>
      </c>
    </row>
    <row r="4576" spans="1:5">
      <c r="A4576" s="11" t="s">
        <v>14830</v>
      </c>
      <c r="B4576">
        <v>8070832</v>
      </c>
      <c r="D4576" s="11" t="s">
        <v>14831</v>
      </c>
      <c r="E4576" s="11" t="s">
        <v>14832</v>
      </c>
    </row>
    <row r="4577" spans="1:5">
      <c r="A4577" s="11" t="s">
        <v>504</v>
      </c>
      <c r="B4577">
        <v>8004100</v>
      </c>
      <c r="D4577" s="11" t="s">
        <v>506</v>
      </c>
      <c r="E4577" s="11" t="s">
        <v>507</v>
      </c>
    </row>
    <row r="4578" spans="1:5">
      <c r="A4578" s="11" t="s">
        <v>14833</v>
      </c>
      <c r="B4578">
        <v>8004101</v>
      </c>
      <c r="D4578" s="11" t="s">
        <v>14834</v>
      </c>
      <c r="E4578" s="11" t="s">
        <v>14835</v>
      </c>
    </row>
    <row r="4579" spans="1:5">
      <c r="A4579" s="11" t="s">
        <v>14836</v>
      </c>
      <c r="B4579">
        <v>8004099</v>
      </c>
      <c r="D4579" s="11" t="s">
        <v>14837</v>
      </c>
      <c r="E4579" s="11" t="s">
        <v>14838</v>
      </c>
    </row>
    <row r="4580" spans="1:5">
      <c r="A4580" s="11" t="s">
        <v>14839</v>
      </c>
      <c r="B4580">
        <v>8070695</v>
      </c>
      <c r="D4580" s="11" t="s">
        <v>14840</v>
      </c>
      <c r="E4580" s="11" t="s">
        <v>14841</v>
      </c>
    </row>
    <row r="4581" spans="1:5">
      <c r="A4581" s="11" t="s">
        <v>14842</v>
      </c>
      <c r="B4581">
        <v>8004178</v>
      </c>
      <c r="D4581" s="11" t="s">
        <v>14843</v>
      </c>
      <c r="E4581" s="11" t="s">
        <v>14844</v>
      </c>
    </row>
    <row r="4582" spans="1:5">
      <c r="A4582" s="11" t="s">
        <v>14845</v>
      </c>
      <c r="B4582">
        <v>8004192</v>
      </c>
      <c r="D4582" s="11" t="s">
        <v>14846</v>
      </c>
      <c r="E4582" s="11" t="s">
        <v>14847</v>
      </c>
    </row>
    <row r="4583" spans="1:5">
      <c r="A4583" s="11" t="s">
        <v>14848</v>
      </c>
      <c r="B4583">
        <v>8000339</v>
      </c>
      <c r="D4583" s="11" t="s">
        <v>14849</v>
      </c>
      <c r="E4583" s="11" t="s">
        <v>14850</v>
      </c>
    </row>
    <row r="4584" spans="1:5">
      <c r="A4584" s="11" t="s">
        <v>14851</v>
      </c>
      <c r="B4584">
        <v>8004103</v>
      </c>
      <c r="D4584" s="11" t="s">
        <v>14852</v>
      </c>
      <c r="E4584" s="11" t="s">
        <v>14853</v>
      </c>
    </row>
    <row r="4585" spans="1:5">
      <c r="A4585" s="11" t="s">
        <v>14854</v>
      </c>
      <c r="B4585">
        <v>8071416</v>
      </c>
      <c r="D4585" s="11" t="s">
        <v>14855</v>
      </c>
      <c r="E4585" s="11" t="s">
        <v>14856</v>
      </c>
    </row>
    <row r="4586" spans="1:5">
      <c r="A4586" s="11" t="s">
        <v>14857</v>
      </c>
      <c r="B4586">
        <v>8012393</v>
      </c>
      <c r="D4586" s="11" t="s">
        <v>14858</v>
      </c>
      <c r="E4586" s="11" t="s">
        <v>14859</v>
      </c>
    </row>
    <row r="4587" spans="1:5">
      <c r="A4587" s="11" t="s">
        <v>14860</v>
      </c>
      <c r="B4587">
        <v>8012394</v>
      </c>
      <c r="D4587" s="11" t="s">
        <v>14861</v>
      </c>
      <c r="E4587" s="11" t="s">
        <v>14862</v>
      </c>
    </row>
    <row r="4588" spans="1:5">
      <c r="A4588" s="11" t="s">
        <v>654</v>
      </c>
      <c r="B4588">
        <v>8000258</v>
      </c>
      <c r="D4588" s="11" t="s">
        <v>656</v>
      </c>
      <c r="E4588" s="11" t="s">
        <v>657</v>
      </c>
    </row>
    <row r="4589" spans="1:5">
      <c r="A4589" s="11" t="s">
        <v>14863</v>
      </c>
      <c r="B4589">
        <v>8004104</v>
      </c>
      <c r="D4589" s="11" t="s">
        <v>14864</v>
      </c>
      <c r="E4589" s="11" t="s">
        <v>14865</v>
      </c>
    </row>
    <row r="4590" spans="1:5">
      <c r="A4590" s="11" t="s">
        <v>14866</v>
      </c>
      <c r="B4590">
        <v>8004105</v>
      </c>
      <c r="D4590" s="11" t="s">
        <v>14867</v>
      </c>
      <c r="E4590" s="11" t="s">
        <v>14868</v>
      </c>
    </row>
    <row r="4591" spans="1:5">
      <c r="A4591" s="11" t="s">
        <v>14869</v>
      </c>
      <c r="B4591">
        <v>8080980</v>
      </c>
      <c r="D4591" s="11" t="s">
        <v>14870</v>
      </c>
      <c r="E4591" s="11" t="s">
        <v>14871</v>
      </c>
    </row>
    <row r="4592" spans="1:5">
      <c r="A4592" s="11" t="s">
        <v>14872</v>
      </c>
      <c r="B4592">
        <v>8004107</v>
      </c>
      <c r="D4592" s="11" t="s">
        <v>14873</v>
      </c>
      <c r="E4592" s="11" t="s">
        <v>14874</v>
      </c>
    </row>
    <row r="4593" spans="1:5">
      <c r="A4593" s="11" t="s">
        <v>14875</v>
      </c>
      <c r="B4593">
        <v>8010235</v>
      </c>
      <c r="D4593" s="11" t="s">
        <v>14876</v>
      </c>
      <c r="E4593" s="11" t="s">
        <v>14877</v>
      </c>
    </row>
    <row r="4594" spans="1:5">
      <c r="A4594" s="11" t="s">
        <v>14878</v>
      </c>
      <c r="B4594">
        <v>8004111</v>
      </c>
      <c r="D4594" s="11" t="s">
        <v>14879</v>
      </c>
      <c r="E4594" s="11" t="s">
        <v>14880</v>
      </c>
    </row>
    <row r="4595" spans="1:5">
      <c r="A4595" s="11" t="s">
        <v>780</v>
      </c>
      <c r="B4595">
        <v>8004112</v>
      </c>
      <c r="D4595" s="11" t="s">
        <v>782</v>
      </c>
      <c r="E4595" s="11" t="s">
        <v>783</v>
      </c>
    </row>
    <row r="4596" spans="1:5">
      <c r="A4596" s="11" t="s">
        <v>14881</v>
      </c>
      <c r="B4596">
        <v>8070088</v>
      </c>
      <c r="D4596" s="11" t="s">
        <v>14882</v>
      </c>
      <c r="E4596" s="11" t="s">
        <v>14883</v>
      </c>
    </row>
    <row r="4597" spans="1:5">
      <c r="A4597" s="11" t="s">
        <v>14884</v>
      </c>
      <c r="B4597">
        <v>8077780</v>
      </c>
      <c r="D4597" s="11" t="s">
        <v>14885</v>
      </c>
      <c r="E4597" s="11" t="s">
        <v>14886</v>
      </c>
    </row>
    <row r="4598" spans="1:5">
      <c r="A4598" s="11" t="s">
        <v>14887</v>
      </c>
      <c r="B4598">
        <v>8004115</v>
      </c>
      <c r="D4598" s="11" t="s">
        <v>14888</v>
      </c>
      <c r="E4598" s="11" t="s">
        <v>14889</v>
      </c>
    </row>
    <row r="4599" spans="1:5">
      <c r="A4599" s="11" t="s">
        <v>14890</v>
      </c>
      <c r="B4599">
        <v>8004350</v>
      </c>
      <c r="D4599" s="11" t="s">
        <v>14891</v>
      </c>
      <c r="E4599" s="11" t="s">
        <v>14892</v>
      </c>
    </row>
    <row r="4600" spans="1:5">
      <c r="A4600" s="11" t="s">
        <v>14893</v>
      </c>
      <c r="B4600">
        <v>8000534</v>
      </c>
      <c r="D4600" s="11" t="s">
        <v>14894</v>
      </c>
      <c r="E4600" s="11" t="s">
        <v>14895</v>
      </c>
    </row>
    <row r="4601" spans="1:5">
      <c r="A4601" s="11" t="s">
        <v>14896</v>
      </c>
      <c r="B4601">
        <v>8070494</v>
      </c>
      <c r="D4601" s="11" t="s">
        <v>14897</v>
      </c>
      <c r="E4601" s="11" t="s">
        <v>14898</v>
      </c>
    </row>
    <row r="4602" spans="1:5">
      <c r="A4602" s="11" t="s">
        <v>14899</v>
      </c>
      <c r="B4602">
        <v>8012407</v>
      </c>
      <c r="D4602" s="11" t="s">
        <v>14900</v>
      </c>
      <c r="E4602" s="11" t="s">
        <v>14901</v>
      </c>
    </row>
    <row r="4603" spans="1:5">
      <c r="A4603" s="11" t="s">
        <v>14902</v>
      </c>
      <c r="B4603">
        <v>8013486</v>
      </c>
      <c r="D4603" s="11" t="s">
        <v>14903</v>
      </c>
      <c r="E4603" s="11" t="s">
        <v>14904</v>
      </c>
    </row>
    <row r="4604" spans="1:5">
      <c r="A4604" s="11" t="s">
        <v>14905</v>
      </c>
      <c r="B4604">
        <v>8000273</v>
      </c>
      <c r="D4604" s="11" t="s">
        <v>14906</v>
      </c>
      <c r="E4604" s="11" t="s">
        <v>14907</v>
      </c>
    </row>
    <row r="4605" spans="1:5">
      <c r="A4605" s="11" t="s">
        <v>14908</v>
      </c>
      <c r="B4605">
        <v>8012408</v>
      </c>
      <c r="D4605" s="11" t="s">
        <v>14909</v>
      </c>
      <c r="E4605" s="11" t="s">
        <v>14910</v>
      </c>
    </row>
    <row r="4606" spans="1:5">
      <c r="A4606" s="11" t="s">
        <v>14911</v>
      </c>
      <c r="B4606">
        <v>8012409</v>
      </c>
      <c r="D4606" s="11" t="s">
        <v>14912</v>
      </c>
      <c r="E4606" s="11" t="s">
        <v>14913</v>
      </c>
    </row>
    <row r="4607" spans="1:5">
      <c r="A4607" s="11" t="s">
        <v>14914</v>
      </c>
      <c r="B4607">
        <v>8000259</v>
      </c>
      <c r="D4607" s="11" t="s">
        <v>14915</v>
      </c>
      <c r="E4607" s="11" t="s">
        <v>14916</v>
      </c>
    </row>
    <row r="4608" spans="1:5">
      <c r="A4608" s="11" t="s">
        <v>14917</v>
      </c>
      <c r="B4608">
        <v>8000687</v>
      </c>
      <c r="D4608" s="11" t="s">
        <v>14918</v>
      </c>
      <c r="E4608" s="11" t="s">
        <v>14919</v>
      </c>
    </row>
    <row r="4609" spans="1:5">
      <c r="A4609" s="11" t="s">
        <v>14920</v>
      </c>
      <c r="B4609">
        <v>8004122</v>
      </c>
      <c r="D4609" s="11" t="s">
        <v>14921</v>
      </c>
      <c r="E4609" s="11" t="s">
        <v>14922</v>
      </c>
    </row>
    <row r="4610" spans="1:5">
      <c r="A4610" s="11" t="s">
        <v>14923</v>
      </c>
      <c r="B4610">
        <v>8006035</v>
      </c>
      <c r="D4610" s="11" t="s">
        <v>14924</v>
      </c>
      <c r="E4610" s="11" t="s">
        <v>14925</v>
      </c>
    </row>
    <row r="4611" spans="1:5">
      <c r="A4611" s="11" t="s">
        <v>14926</v>
      </c>
      <c r="B4611">
        <v>8004124</v>
      </c>
      <c r="D4611" s="11" t="s">
        <v>14927</v>
      </c>
      <c r="E4611" s="11" t="s">
        <v>14928</v>
      </c>
    </row>
    <row r="4612" spans="1:5">
      <c r="A4612" s="11" t="s">
        <v>14929</v>
      </c>
      <c r="B4612">
        <v>8012400</v>
      </c>
      <c r="D4612" s="11" t="s">
        <v>14930</v>
      </c>
      <c r="E4612" s="11" t="s">
        <v>14931</v>
      </c>
    </row>
    <row r="4613" spans="1:5">
      <c r="A4613" s="11" t="s">
        <v>14932</v>
      </c>
      <c r="B4613">
        <v>8080982</v>
      </c>
      <c r="D4613" s="11" t="s">
        <v>14933</v>
      </c>
      <c r="E4613" s="11" t="s">
        <v>14934</v>
      </c>
    </row>
    <row r="4614" spans="1:5">
      <c r="A4614" s="11" t="s">
        <v>14935</v>
      </c>
      <c r="B4614">
        <v>8007809</v>
      </c>
      <c r="D4614" s="11" t="s">
        <v>14936</v>
      </c>
      <c r="E4614" s="11" t="s">
        <v>14937</v>
      </c>
    </row>
    <row r="4615" spans="1:5">
      <c r="A4615" s="11" t="s">
        <v>14938</v>
      </c>
      <c r="B4615">
        <v>8004126</v>
      </c>
      <c r="D4615" s="11" t="s">
        <v>14939</v>
      </c>
      <c r="E4615" s="11" t="s">
        <v>14940</v>
      </c>
    </row>
    <row r="4616" spans="1:5">
      <c r="A4616" s="11" t="s">
        <v>14941</v>
      </c>
      <c r="B4616">
        <v>8010236</v>
      </c>
      <c r="D4616" s="11" t="s">
        <v>14942</v>
      </c>
      <c r="E4616" s="11" t="s">
        <v>14943</v>
      </c>
    </row>
    <row r="4617" spans="1:5">
      <c r="A4617" s="11" t="s">
        <v>14944</v>
      </c>
      <c r="B4617">
        <v>8004127</v>
      </c>
      <c r="D4617" s="11" t="s">
        <v>14945</v>
      </c>
      <c r="E4617" s="11" t="s">
        <v>14946</v>
      </c>
    </row>
    <row r="4618" spans="1:5">
      <c r="A4618" s="11" t="s">
        <v>14947</v>
      </c>
      <c r="B4618">
        <v>8004128</v>
      </c>
      <c r="D4618" s="11" t="s">
        <v>14948</v>
      </c>
      <c r="E4618" s="11" t="s">
        <v>14949</v>
      </c>
    </row>
    <row r="4619" spans="1:5">
      <c r="A4619" s="11" t="s">
        <v>14950</v>
      </c>
      <c r="B4619">
        <v>8004167</v>
      </c>
      <c r="D4619" s="11" t="s">
        <v>14951</v>
      </c>
      <c r="E4619" s="11" t="s">
        <v>14952</v>
      </c>
    </row>
    <row r="4620" spans="1:5">
      <c r="A4620" s="11" t="s">
        <v>14953</v>
      </c>
      <c r="B4620">
        <v>8004168</v>
      </c>
      <c r="D4620" s="11" t="s">
        <v>14954</v>
      </c>
      <c r="E4620" s="11" t="s">
        <v>14955</v>
      </c>
    </row>
    <row r="4621" spans="1:5">
      <c r="A4621" s="11" t="s">
        <v>14956</v>
      </c>
      <c r="B4621">
        <v>8004129</v>
      </c>
      <c r="D4621" s="11" t="s">
        <v>14957</v>
      </c>
      <c r="E4621" s="11" t="s">
        <v>14958</v>
      </c>
    </row>
    <row r="4622" spans="1:5">
      <c r="A4622" s="11" t="s">
        <v>14959</v>
      </c>
      <c r="B4622">
        <v>8004130</v>
      </c>
      <c r="D4622" s="11" t="s">
        <v>14960</v>
      </c>
      <c r="E4622" s="11" t="s">
        <v>14961</v>
      </c>
    </row>
    <row r="4623" spans="1:5">
      <c r="A4623" s="11" t="s">
        <v>14962</v>
      </c>
      <c r="B4623">
        <v>8000261</v>
      </c>
      <c r="D4623" s="11" t="s">
        <v>14963</v>
      </c>
      <c r="E4623" s="11" t="s">
        <v>14964</v>
      </c>
    </row>
    <row r="4624" spans="1:5">
      <c r="A4624" s="11" t="s">
        <v>14965</v>
      </c>
      <c r="B4624">
        <v>8005419</v>
      </c>
      <c r="D4624" s="11" t="s">
        <v>14966</v>
      </c>
      <c r="E4624" s="11" t="s">
        <v>14967</v>
      </c>
    </row>
    <row r="4625" spans="1:5">
      <c r="A4625" s="11" t="s">
        <v>14968</v>
      </c>
      <c r="B4625">
        <v>8004179</v>
      </c>
      <c r="D4625" s="11" t="s">
        <v>14969</v>
      </c>
      <c r="E4625" s="11" t="s">
        <v>14970</v>
      </c>
    </row>
    <row r="4626" spans="1:5">
      <c r="A4626" s="11" t="s">
        <v>14971</v>
      </c>
      <c r="B4626">
        <v>8004131</v>
      </c>
      <c r="D4626" s="11" t="s">
        <v>14972</v>
      </c>
      <c r="E4626" s="11" t="s">
        <v>14973</v>
      </c>
    </row>
    <row r="4627" spans="1:5">
      <c r="A4627" s="11" t="s">
        <v>14974</v>
      </c>
      <c r="B4627">
        <v>8004132</v>
      </c>
      <c r="D4627" s="11" t="s">
        <v>14975</v>
      </c>
      <c r="E4627" s="11" t="s">
        <v>14976</v>
      </c>
    </row>
    <row r="4628" spans="1:5">
      <c r="A4628" s="11" t="s">
        <v>14977</v>
      </c>
      <c r="B4628">
        <v>8004133</v>
      </c>
      <c r="D4628" s="11" t="s">
        <v>14978</v>
      </c>
      <c r="E4628" s="11" t="s">
        <v>14979</v>
      </c>
    </row>
    <row r="4629" spans="1:5">
      <c r="A4629" s="11" t="s">
        <v>14980</v>
      </c>
      <c r="B4629">
        <v>8070934</v>
      </c>
      <c r="D4629" s="11" t="s">
        <v>1539</v>
      </c>
      <c r="E4629" s="11" t="s">
        <v>1539</v>
      </c>
    </row>
    <row r="4630" spans="1:5">
      <c r="A4630" s="11" t="s">
        <v>14981</v>
      </c>
      <c r="B4630">
        <v>8004134</v>
      </c>
      <c r="D4630" s="11" t="s">
        <v>14982</v>
      </c>
      <c r="E4630" s="11" t="s">
        <v>14983</v>
      </c>
    </row>
    <row r="4631" spans="1:5">
      <c r="A4631" s="11" t="s">
        <v>14984</v>
      </c>
      <c r="B4631">
        <v>8004135</v>
      </c>
      <c r="D4631" s="11" t="s">
        <v>14985</v>
      </c>
      <c r="E4631" s="11" t="s">
        <v>14986</v>
      </c>
    </row>
    <row r="4632" spans="1:5">
      <c r="A4632" s="11" t="s">
        <v>14987</v>
      </c>
      <c r="B4632">
        <v>8070914</v>
      </c>
      <c r="D4632" s="11" t="s">
        <v>14988</v>
      </c>
      <c r="E4632" s="11" t="s">
        <v>14989</v>
      </c>
    </row>
    <row r="4633" spans="1:5">
      <c r="A4633" s="11" t="s">
        <v>14990</v>
      </c>
      <c r="B4633">
        <v>8000262</v>
      </c>
      <c r="D4633" s="11" t="s">
        <v>14991</v>
      </c>
      <c r="E4633" s="11" t="s">
        <v>14992</v>
      </c>
    </row>
    <row r="4634" spans="1:5">
      <c r="A4634" s="11" t="s">
        <v>14993</v>
      </c>
      <c r="B4634">
        <v>8004136</v>
      </c>
      <c r="D4634" s="11" t="s">
        <v>14994</v>
      </c>
      <c r="E4634" s="11" t="s">
        <v>14995</v>
      </c>
    </row>
    <row r="4635" spans="1:5">
      <c r="A4635" s="11" t="s">
        <v>14996</v>
      </c>
      <c r="B4635">
        <v>8004137</v>
      </c>
      <c r="D4635" s="11" t="s">
        <v>14997</v>
      </c>
      <c r="E4635" s="11" t="s">
        <v>14998</v>
      </c>
    </row>
    <row r="4636" spans="1:5">
      <c r="A4636" s="11" t="s">
        <v>14999</v>
      </c>
      <c r="B4636">
        <v>8004138</v>
      </c>
      <c r="D4636" s="11" t="s">
        <v>15000</v>
      </c>
      <c r="E4636" s="11" t="s">
        <v>15001</v>
      </c>
    </row>
    <row r="4637" spans="1:5">
      <c r="A4637" s="11" t="s">
        <v>15002</v>
      </c>
      <c r="B4637">
        <v>8012401</v>
      </c>
      <c r="D4637" s="11" t="s">
        <v>15003</v>
      </c>
      <c r="E4637" s="11" t="s">
        <v>15004</v>
      </c>
    </row>
    <row r="4638" spans="1:5">
      <c r="A4638" s="11" t="s">
        <v>15005</v>
      </c>
      <c r="B4638">
        <v>8004140</v>
      </c>
      <c r="D4638" s="11" t="s">
        <v>15006</v>
      </c>
      <c r="E4638" s="11" t="s">
        <v>15007</v>
      </c>
    </row>
    <row r="4639" spans="1:5">
      <c r="A4639" s="11" t="s">
        <v>15008</v>
      </c>
      <c r="B4639">
        <v>8004141</v>
      </c>
      <c r="D4639" s="11" t="s">
        <v>15009</v>
      </c>
      <c r="E4639" s="11" t="s">
        <v>15010</v>
      </c>
    </row>
    <row r="4640" spans="1:5">
      <c r="A4640" s="11" t="s">
        <v>15011</v>
      </c>
      <c r="B4640">
        <v>8004142</v>
      </c>
      <c r="D4640" s="11" t="s">
        <v>15012</v>
      </c>
      <c r="E4640" s="11" t="s">
        <v>15013</v>
      </c>
    </row>
    <row r="4641" spans="1:5">
      <c r="A4641" s="11" t="s">
        <v>15014</v>
      </c>
      <c r="B4641">
        <v>8004143</v>
      </c>
      <c r="D4641" s="11" t="s">
        <v>15015</v>
      </c>
      <c r="E4641" s="11" t="s">
        <v>15016</v>
      </c>
    </row>
    <row r="4642" spans="1:5">
      <c r="A4642" s="11" t="s">
        <v>15017</v>
      </c>
      <c r="B4642">
        <v>8004144</v>
      </c>
      <c r="D4642" s="11" t="s">
        <v>15018</v>
      </c>
      <c r="E4642" s="11" t="s">
        <v>15019</v>
      </c>
    </row>
    <row r="4643" spans="1:5">
      <c r="A4643" s="11" t="s">
        <v>15020</v>
      </c>
      <c r="B4643">
        <v>8004145</v>
      </c>
      <c r="D4643" s="11" t="s">
        <v>15021</v>
      </c>
      <c r="E4643" s="11" t="s">
        <v>15022</v>
      </c>
    </row>
    <row r="4644" spans="1:5">
      <c r="A4644" s="11" t="s">
        <v>15023</v>
      </c>
      <c r="B4644">
        <v>8004146</v>
      </c>
      <c r="D4644" s="11" t="s">
        <v>15024</v>
      </c>
      <c r="E4644" s="11" t="s">
        <v>15025</v>
      </c>
    </row>
    <row r="4645" spans="1:5">
      <c r="A4645" s="11" t="s">
        <v>15026</v>
      </c>
      <c r="B4645">
        <v>8004147</v>
      </c>
      <c r="D4645" s="11" t="s">
        <v>15027</v>
      </c>
      <c r="E4645" s="11" t="s">
        <v>15028</v>
      </c>
    </row>
    <row r="4646" spans="1:5">
      <c r="A4646" s="11" t="s">
        <v>15029</v>
      </c>
      <c r="B4646">
        <v>8004181</v>
      </c>
      <c r="D4646" s="11" t="s">
        <v>15030</v>
      </c>
      <c r="E4646" s="11" t="s">
        <v>15031</v>
      </c>
    </row>
    <row r="4647" spans="1:5">
      <c r="A4647" s="11" t="s">
        <v>15032</v>
      </c>
      <c r="B4647">
        <v>8004148</v>
      </c>
      <c r="D4647" s="11" t="s">
        <v>15033</v>
      </c>
      <c r="E4647" s="11" t="s">
        <v>15034</v>
      </c>
    </row>
    <row r="4648" spans="1:5">
      <c r="A4648" s="11" t="s">
        <v>15035</v>
      </c>
      <c r="B4648">
        <v>8004149</v>
      </c>
      <c r="D4648" s="11" t="s">
        <v>15036</v>
      </c>
      <c r="E4648" s="11" t="s">
        <v>15037</v>
      </c>
    </row>
    <row r="4649" spans="1:5">
      <c r="A4649" s="11" t="s">
        <v>15038</v>
      </c>
      <c r="B4649">
        <v>8004150</v>
      </c>
      <c r="D4649" s="11" t="s">
        <v>15039</v>
      </c>
      <c r="E4649" s="11" t="s">
        <v>15040</v>
      </c>
    </row>
    <row r="4650" spans="1:5">
      <c r="A4650" s="11" t="s">
        <v>15041</v>
      </c>
      <c r="B4650">
        <v>8004151</v>
      </c>
      <c r="D4650" s="11" t="s">
        <v>15042</v>
      </c>
      <c r="E4650" s="11" t="s">
        <v>15043</v>
      </c>
    </row>
    <row r="4651" spans="1:5">
      <c r="A4651" s="11" t="s">
        <v>15044</v>
      </c>
      <c r="B4651">
        <v>8004152</v>
      </c>
      <c r="D4651" s="11" t="s">
        <v>15045</v>
      </c>
      <c r="E4651" s="11" t="s">
        <v>15046</v>
      </c>
    </row>
    <row r="4652" spans="1:5">
      <c r="A4652" s="11" t="s">
        <v>15047</v>
      </c>
      <c r="B4652">
        <v>8004153</v>
      </c>
      <c r="D4652" s="11" t="s">
        <v>15048</v>
      </c>
      <c r="E4652" s="11" t="s">
        <v>15049</v>
      </c>
    </row>
    <row r="4653" spans="1:5">
      <c r="A4653" s="11" t="s">
        <v>15050</v>
      </c>
      <c r="B4653">
        <v>8004154</v>
      </c>
      <c r="D4653" s="11" t="s">
        <v>15051</v>
      </c>
      <c r="E4653" s="11" t="s">
        <v>15052</v>
      </c>
    </row>
    <row r="4654" spans="1:5">
      <c r="A4654" s="11" t="s">
        <v>15053</v>
      </c>
      <c r="B4654">
        <v>8004155</v>
      </c>
      <c r="D4654" s="11" t="s">
        <v>15054</v>
      </c>
      <c r="E4654" s="11" t="s">
        <v>15055</v>
      </c>
    </row>
    <row r="4655" spans="1:5">
      <c r="A4655" s="11" t="s">
        <v>15056</v>
      </c>
      <c r="B4655">
        <v>8004156</v>
      </c>
      <c r="D4655" s="11" t="s">
        <v>15057</v>
      </c>
      <c r="E4655" s="11" t="s">
        <v>15058</v>
      </c>
    </row>
    <row r="4656" spans="1:5">
      <c r="A4656" s="11" t="s">
        <v>15059</v>
      </c>
      <c r="B4656">
        <v>8006696</v>
      </c>
      <c r="D4656" s="11" t="s">
        <v>15060</v>
      </c>
      <c r="E4656" s="11" t="s">
        <v>15061</v>
      </c>
    </row>
    <row r="4657" spans="1:5">
      <c r="A4657" s="11" t="s">
        <v>15062</v>
      </c>
      <c r="B4657">
        <v>8004157</v>
      </c>
      <c r="D4657" s="11" t="s">
        <v>15063</v>
      </c>
      <c r="E4657" s="11" t="s">
        <v>15064</v>
      </c>
    </row>
    <row r="4658" spans="1:5">
      <c r="A4658" s="11" t="s">
        <v>15065</v>
      </c>
      <c r="B4658">
        <v>8004158</v>
      </c>
      <c r="D4658" s="11" t="s">
        <v>15066</v>
      </c>
      <c r="E4658" s="11" t="s">
        <v>15067</v>
      </c>
    </row>
    <row r="4659" spans="1:5">
      <c r="A4659" s="11" t="s">
        <v>15068</v>
      </c>
      <c r="B4659">
        <v>8004159</v>
      </c>
      <c r="D4659" s="11" t="s">
        <v>15069</v>
      </c>
      <c r="E4659" s="11" t="s">
        <v>15070</v>
      </c>
    </row>
    <row r="4660" spans="1:5">
      <c r="A4660" s="11" t="s">
        <v>15071</v>
      </c>
      <c r="B4660">
        <v>8004160</v>
      </c>
      <c r="D4660" s="11" t="s">
        <v>15072</v>
      </c>
      <c r="E4660" s="11" t="s">
        <v>15073</v>
      </c>
    </row>
    <row r="4661" spans="1:5">
      <c r="A4661" s="11" t="s">
        <v>15074</v>
      </c>
      <c r="B4661">
        <v>8004161</v>
      </c>
      <c r="D4661" s="11" t="s">
        <v>15075</v>
      </c>
      <c r="E4661" s="11" t="s">
        <v>15076</v>
      </c>
    </row>
    <row r="4662" spans="1:5">
      <c r="A4662" s="11" t="s">
        <v>15077</v>
      </c>
      <c r="B4662">
        <v>8004162</v>
      </c>
      <c r="D4662" s="11" t="s">
        <v>15078</v>
      </c>
      <c r="E4662" s="11" t="s">
        <v>15079</v>
      </c>
    </row>
    <row r="4663" spans="1:5">
      <c r="A4663" s="11" t="s">
        <v>15080</v>
      </c>
      <c r="B4663">
        <v>8004139</v>
      </c>
      <c r="D4663" s="11" t="s">
        <v>15081</v>
      </c>
      <c r="E4663" s="11" t="s">
        <v>15082</v>
      </c>
    </row>
    <row r="4664" spans="1:5">
      <c r="A4664" s="11" t="s">
        <v>15083</v>
      </c>
      <c r="B4664">
        <v>8004163</v>
      </c>
      <c r="D4664" s="11" t="s">
        <v>15084</v>
      </c>
      <c r="E4664" s="11" t="s">
        <v>15085</v>
      </c>
    </row>
    <row r="4665" spans="1:5">
      <c r="A4665" s="11" t="s">
        <v>15086</v>
      </c>
      <c r="B4665">
        <v>8004164</v>
      </c>
      <c r="D4665" s="11" t="s">
        <v>15087</v>
      </c>
      <c r="E4665" s="11" t="s">
        <v>15088</v>
      </c>
    </row>
    <row r="4666" spans="1:5">
      <c r="A4666" s="11" t="s">
        <v>15089</v>
      </c>
      <c r="B4666">
        <v>8007325</v>
      </c>
      <c r="D4666" s="11" t="s">
        <v>15090</v>
      </c>
      <c r="E4666" s="11" t="s">
        <v>15091</v>
      </c>
    </row>
    <row r="4667" spans="1:5">
      <c r="A4667" s="11" t="s">
        <v>15092</v>
      </c>
      <c r="B4667">
        <v>8070220</v>
      </c>
      <c r="D4667" s="11" t="s">
        <v>15093</v>
      </c>
      <c r="E4667" s="11" t="s">
        <v>15094</v>
      </c>
    </row>
    <row r="4668" spans="1:5">
      <c r="A4668" s="11" t="s">
        <v>15095</v>
      </c>
      <c r="B4668">
        <v>8004165</v>
      </c>
      <c r="D4668" s="11" t="s">
        <v>15096</v>
      </c>
      <c r="E4668" s="11" t="s">
        <v>15097</v>
      </c>
    </row>
    <row r="4669" spans="1:5">
      <c r="A4669" s="11" t="s">
        <v>15098</v>
      </c>
      <c r="B4669">
        <v>8087062</v>
      </c>
      <c r="D4669" s="11" t="s">
        <v>15099</v>
      </c>
      <c r="E4669" s="11" t="s">
        <v>15100</v>
      </c>
    </row>
    <row r="4670" spans="1:5">
      <c r="A4670" s="11" t="s">
        <v>15101</v>
      </c>
      <c r="B4670">
        <v>8004166</v>
      </c>
      <c r="D4670" s="11" t="s">
        <v>15102</v>
      </c>
      <c r="E4670" s="11" t="s">
        <v>15103</v>
      </c>
    </row>
    <row r="4671" spans="1:5">
      <c r="A4671" s="11" t="s">
        <v>15104</v>
      </c>
      <c r="B4671">
        <v>8004182</v>
      </c>
      <c r="D4671" s="11" t="s">
        <v>15105</v>
      </c>
      <c r="E4671" s="11" t="s">
        <v>15106</v>
      </c>
    </row>
    <row r="4672" spans="1:5">
      <c r="A4672" s="11" t="s">
        <v>15107</v>
      </c>
      <c r="B4672">
        <v>8004169</v>
      </c>
      <c r="D4672" s="11" t="s">
        <v>15108</v>
      </c>
      <c r="E4672" s="11" t="s">
        <v>15109</v>
      </c>
    </row>
    <row r="4673" spans="1:5">
      <c r="A4673" s="11" t="s">
        <v>15110</v>
      </c>
      <c r="B4673">
        <v>8070495</v>
      </c>
      <c r="D4673" s="11" t="s">
        <v>15111</v>
      </c>
      <c r="E4673" s="11" t="s">
        <v>15112</v>
      </c>
    </row>
    <row r="4674" spans="1:5">
      <c r="A4674" s="11" t="s">
        <v>15113</v>
      </c>
      <c r="B4674">
        <v>8004171</v>
      </c>
      <c r="D4674" s="11" t="s">
        <v>15114</v>
      </c>
      <c r="E4674" s="11" t="s">
        <v>15115</v>
      </c>
    </row>
    <row r="4675" spans="1:5">
      <c r="A4675" s="11" t="s">
        <v>15116</v>
      </c>
      <c r="B4675">
        <v>8004183</v>
      </c>
      <c r="D4675" s="11" t="s">
        <v>15117</v>
      </c>
      <c r="E4675" s="11" t="s">
        <v>15118</v>
      </c>
    </row>
    <row r="4676" spans="1:5">
      <c r="A4676" s="11" t="s">
        <v>15119</v>
      </c>
      <c r="B4676">
        <v>8004173</v>
      </c>
      <c r="D4676" s="11" t="s">
        <v>15120</v>
      </c>
      <c r="E4676" s="11" t="s">
        <v>15121</v>
      </c>
    </row>
    <row r="4677" spans="1:5">
      <c r="A4677" s="11" t="s">
        <v>15122</v>
      </c>
      <c r="B4677">
        <v>8000263</v>
      </c>
      <c r="D4677" s="11" t="s">
        <v>15123</v>
      </c>
      <c r="E4677" s="11" t="s">
        <v>15124</v>
      </c>
    </row>
    <row r="4678" spans="1:5">
      <c r="A4678" s="11" t="s">
        <v>15125</v>
      </c>
      <c r="B4678">
        <v>8000462</v>
      </c>
      <c r="D4678" s="11" t="s">
        <v>15126</v>
      </c>
      <c r="E4678" s="11" t="s">
        <v>15127</v>
      </c>
    </row>
    <row r="4679" spans="1:5">
      <c r="A4679" s="11" t="s">
        <v>15128</v>
      </c>
      <c r="B4679">
        <v>8000569</v>
      </c>
      <c r="D4679" s="11" t="s">
        <v>15129</v>
      </c>
      <c r="E4679" s="11" t="s">
        <v>15130</v>
      </c>
    </row>
    <row r="4680" spans="1:5">
      <c r="A4680" s="11" t="s">
        <v>15131</v>
      </c>
      <c r="B4680">
        <v>8004426</v>
      </c>
      <c r="D4680" s="11" t="s">
        <v>15132</v>
      </c>
      <c r="E4680" s="11" t="s">
        <v>15133</v>
      </c>
    </row>
    <row r="4681" spans="1:5">
      <c r="A4681" s="11" t="s">
        <v>15134</v>
      </c>
      <c r="B4681">
        <v>8002841</v>
      </c>
      <c r="D4681" s="11" t="s">
        <v>15135</v>
      </c>
      <c r="E4681" s="11" t="s">
        <v>15136</v>
      </c>
    </row>
    <row r="4682" spans="1:5">
      <c r="A4682" s="11" t="s">
        <v>15137</v>
      </c>
      <c r="B4682">
        <v>8003934</v>
      </c>
      <c r="D4682" s="11" t="s">
        <v>15138</v>
      </c>
      <c r="E4682" s="11" t="s">
        <v>15139</v>
      </c>
    </row>
    <row r="4683" spans="1:5">
      <c r="A4683" s="11" t="s">
        <v>15140</v>
      </c>
      <c r="B4683">
        <v>8004190</v>
      </c>
      <c r="D4683" s="11" t="s">
        <v>15141</v>
      </c>
      <c r="E4683" s="11" t="s">
        <v>15142</v>
      </c>
    </row>
    <row r="4684" spans="1:5">
      <c r="A4684" s="11" t="s">
        <v>15143</v>
      </c>
      <c r="B4684">
        <v>8004172</v>
      </c>
      <c r="D4684" s="11" t="s">
        <v>15144</v>
      </c>
      <c r="E4684" s="11" t="s">
        <v>15145</v>
      </c>
    </row>
    <row r="4685" spans="1:5">
      <c r="A4685" s="11" t="s">
        <v>15146</v>
      </c>
      <c r="B4685">
        <v>8005635</v>
      </c>
      <c r="D4685" s="11" t="s">
        <v>15147</v>
      </c>
      <c r="E4685" s="11" t="s">
        <v>15148</v>
      </c>
    </row>
    <row r="4686" spans="1:5">
      <c r="A4686" s="11" t="s">
        <v>15149</v>
      </c>
      <c r="B4686">
        <v>8007337</v>
      </c>
      <c r="D4686" s="11" t="s">
        <v>15150</v>
      </c>
      <c r="E4686" s="11" t="s">
        <v>15151</v>
      </c>
    </row>
    <row r="4687" spans="1:5">
      <c r="A4687" s="11" t="s">
        <v>15152</v>
      </c>
      <c r="B4687">
        <v>8007142</v>
      </c>
      <c r="D4687" s="11" t="s">
        <v>15153</v>
      </c>
      <c r="E4687" s="11" t="s">
        <v>15154</v>
      </c>
    </row>
    <row r="4688" spans="1:5">
      <c r="A4688" s="11" t="s">
        <v>15155</v>
      </c>
      <c r="B4688">
        <v>8007146</v>
      </c>
      <c r="D4688" s="11" t="s">
        <v>15156</v>
      </c>
      <c r="E4688" s="11" t="s">
        <v>15157</v>
      </c>
    </row>
    <row r="4689" spans="1:5">
      <c r="A4689" s="11" t="s">
        <v>15158</v>
      </c>
      <c r="B4689">
        <v>8004184</v>
      </c>
      <c r="D4689" s="11" t="s">
        <v>15159</v>
      </c>
      <c r="E4689" s="11" t="s">
        <v>15160</v>
      </c>
    </row>
    <row r="4690" spans="1:5">
      <c r="A4690" s="11" t="s">
        <v>15161</v>
      </c>
      <c r="B4690">
        <v>8004174</v>
      </c>
      <c r="D4690" s="11" t="s">
        <v>15162</v>
      </c>
      <c r="E4690" s="11" t="s">
        <v>15163</v>
      </c>
    </row>
    <row r="4691" spans="1:5">
      <c r="A4691" s="11" t="s">
        <v>15164</v>
      </c>
      <c r="B4691">
        <v>8004185</v>
      </c>
      <c r="D4691" s="11" t="s">
        <v>15165</v>
      </c>
      <c r="E4691" s="11" t="s">
        <v>15166</v>
      </c>
    </row>
    <row r="4692" spans="1:5">
      <c r="A4692" s="11" t="s">
        <v>15167</v>
      </c>
      <c r="B4692">
        <v>8004186</v>
      </c>
      <c r="D4692" s="11" t="s">
        <v>15168</v>
      </c>
      <c r="E4692" s="11" t="s">
        <v>15169</v>
      </c>
    </row>
    <row r="4693" spans="1:5">
      <c r="A4693" s="11" t="s">
        <v>15170</v>
      </c>
      <c r="B4693">
        <v>8004188</v>
      </c>
      <c r="D4693" s="11" t="s">
        <v>15171</v>
      </c>
      <c r="E4693" s="11" t="s">
        <v>15172</v>
      </c>
    </row>
    <row r="4694" spans="1:5">
      <c r="A4694" s="11" t="s">
        <v>15173</v>
      </c>
      <c r="B4694">
        <v>8004189</v>
      </c>
      <c r="D4694" s="11" t="s">
        <v>15174</v>
      </c>
      <c r="E4694" s="11" t="s">
        <v>15175</v>
      </c>
    </row>
    <row r="4695" spans="1:5">
      <c r="A4695" s="11" t="s">
        <v>15176</v>
      </c>
      <c r="B4695">
        <v>8004177</v>
      </c>
      <c r="D4695" s="11" t="s">
        <v>15177</v>
      </c>
      <c r="E4695" s="11" t="s">
        <v>15178</v>
      </c>
    </row>
    <row r="4696" spans="1:5">
      <c r="A4696" s="11" t="s">
        <v>15179</v>
      </c>
      <c r="B4696">
        <v>8004191</v>
      </c>
      <c r="D4696" s="11" t="s">
        <v>15180</v>
      </c>
      <c r="E4696" s="11" t="s">
        <v>15181</v>
      </c>
    </row>
    <row r="4697" spans="1:5">
      <c r="A4697" s="11" t="s">
        <v>15182</v>
      </c>
      <c r="B4697">
        <v>8012410</v>
      </c>
      <c r="D4697" s="11" t="s">
        <v>15183</v>
      </c>
      <c r="E4697" s="11" t="s">
        <v>15184</v>
      </c>
    </row>
    <row r="4698" spans="1:5">
      <c r="A4698" s="11" t="s">
        <v>15185</v>
      </c>
      <c r="B4698">
        <v>8004193</v>
      </c>
      <c r="D4698" s="11" t="s">
        <v>15186</v>
      </c>
      <c r="E4698" s="11" t="s">
        <v>15187</v>
      </c>
    </row>
    <row r="4699" spans="1:5">
      <c r="A4699" s="11" t="s">
        <v>15188</v>
      </c>
      <c r="B4699">
        <v>8004196</v>
      </c>
      <c r="D4699" s="11" t="s">
        <v>15189</v>
      </c>
      <c r="E4699" s="11" t="s">
        <v>15190</v>
      </c>
    </row>
    <row r="4700" spans="1:5">
      <c r="A4700" s="11" t="s">
        <v>15191</v>
      </c>
      <c r="B4700">
        <v>8004201</v>
      </c>
      <c r="D4700" s="11" t="s">
        <v>15192</v>
      </c>
      <c r="E4700" s="11" t="s">
        <v>15193</v>
      </c>
    </row>
    <row r="4701" spans="1:5">
      <c r="A4701" s="11" t="s">
        <v>15194</v>
      </c>
      <c r="B4701">
        <v>8004202</v>
      </c>
      <c r="D4701" s="11" t="s">
        <v>15195</v>
      </c>
      <c r="E4701" s="11" t="s">
        <v>15196</v>
      </c>
    </row>
    <row r="4702" spans="1:5">
      <c r="A4702" s="11" t="s">
        <v>15197</v>
      </c>
      <c r="B4702">
        <v>8004195</v>
      </c>
      <c r="D4702" s="11" t="s">
        <v>15198</v>
      </c>
      <c r="E4702" s="11" t="s">
        <v>15199</v>
      </c>
    </row>
    <row r="4703" spans="1:5">
      <c r="A4703" s="11" t="s">
        <v>15200</v>
      </c>
      <c r="B4703">
        <v>8004198</v>
      </c>
      <c r="D4703" s="11" t="s">
        <v>15201</v>
      </c>
      <c r="E4703" s="11" t="s">
        <v>15202</v>
      </c>
    </row>
    <row r="4704" spans="1:5">
      <c r="A4704" s="11" t="s">
        <v>15203</v>
      </c>
      <c r="B4704">
        <v>8004199</v>
      </c>
      <c r="D4704" s="11" t="s">
        <v>15204</v>
      </c>
      <c r="E4704" s="11" t="s">
        <v>15205</v>
      </c>
    </row>
    <row r="4705" spans="1:5">
      <c r="A4705" s="11" t="s">
        <v>15206</v>
      </c>
      <c r="B4705">
        <v>8004200</v>
      </c>
      <c r="D4705" s="11" t="s">
        <v>15207</v>
      </c>
      <c r="E4705" s="11" t="s">
        <v>15208</v>
      </c>
    </row>
    <row r="4706" spans="1:5">
      <c r="A4706" s="11" t="s">
        <v>15209</v>
      </c>
      <c r="B4706">
        <v>8070497</v>
      </c>
      <c r="D4706" s="11" t="s">
        <v>15210</v>
      </c>
      <c r="E4706" s="11" t="s">
        <v>15211</v>
      </c>
    </row>
    <row r="4707" spans="1:5">
      <c r="A4707" s="11" t="s">
        <v>15212</v>
      </c>
      <c r="B4707">
        <v>8010238</v>
      </c>
      <c r="D4707" s="11" t="s">
        <v>15213</v>
      </c>
      <c r="E4707" s="11" t="s">
        <v>15214</v>
      </c>
    </row>
    <row r="4708" spans="1:5">
      <c r="A4708" s="11" t="s">
        <v>15215</v>
      </c>
      <c r="B4708">
        <v>8012412</v>
      </c>
      <c r="D4708" s="11" t="s">
        <v>15216</v>
      </c>
      <c r="E4708" s="11" t="s">
        <v>15217</v>
      </c>
    </row>
    <row r="4709" spans="1:5">
      <c r="A4709" s="11" t="s">
        <v>15218</v>
      </c>
      <c r="B4709">
        <v>8004206</v>
      </c>
      <c r="D4709" s="11" t="s">
        <v>15219</v>
      </c>
      <c r="E4709" s="11" t="s">
        <v>15220</v>
      </c>
    </row>
    <row r="4710" spans="1:5">
      <c r="A4710" s="11" t="s">
        <v>216</v>
      </c>
      <c r="B4710">
        <v>8004207</v>
      </c>
      <c r="D4710" s="11" t="s">
        <v>218</v>
      </c>
      <c r="E4710" s="11" t="s">
        <v>219</v>
      </c>
    </row>
    <row r="4711" spans="1:5">
      <c r="A4711" s="11" t="s">
        <v>15221</v>
      </c>
      <c r="B4711">
        <v>8012413</v>
      </c>
      <c r="D4711" s="11" t="s">
        <v>15222</v>
      </c>
      <c r="E4711" s="11" t="s">
        <v>15223</v>
      </c>
    </row>
    <row r="4712" spans="1:5">
      <c r="A4712" s="11" t="s">
        <v>15224</v>
      </c>
      <c r="B4712">
        <v>8070967</v>
      </c>
      <c r="D4712" s="11" t="s">
        <v>15225</v>
      </c>
      <c r="E4712" s="11" t="s">
        <v>15226</v>
      </c>
    </row>
    <row r="4713" spans="1:5">
      <c r="A4713" s="11" t="s">
        <v>15227</v>
      </c>
      <c r="B4713">
        <v>8070951</v>
      </c>
      <c r="D4713" s="11" t="s">
        <v>15228</v>
      </c>
      <c r="E4713" s="11" t="s">
        <v>15229</v>
      </c>
    </row>
    <row r="4714" spans="1:5">
      <c r="A4714" s="11" t="s">
        <v>15230</v>
      </c>
      <c r="B4714">
        <v>8004208</v>
      </c>
      <c r="D4714" s="11" t="s">
        <v>15231</v>
      </c>
      <c r="E4714" s="11" t="s">
        <v>15232</v>
      </c>
    </row>
    <row r="4715" spans="1:5">
      <c r="A4715" s="11" t="s">
        <v>15233</v>
      </c>
      <c r="B4715">
        <v>8010239</v>
      </c>
      <c r="D4715" s="11" t="s">
        <v>15234</v>
      </c>
      <c r="E4715" s="11" t="s">
        <v>15235</v>
      </c>
    </row>
    <row r="4716" spans="1:5">
      <c r="A4716" s="11" t="s">
        <v>15236</v>
      </c>
      <c r="B4716">
        <v>8081054</v>
      </c>
      <c r="D4716" s="11" t="s">
        <v>15237</v>
      </c>
      <c r="E4716" s="11" t="s">
        <v>15238</v>
      </c>
    </row>
    <row r="4717" spans="1:5">
      <c r="A4717" s="11" t="s">
        <v>15239</v>
      </c>
      <c r="B4717">
        <v>8081057</v>
      </c>
      <c r="D4717" s="11" t="s">
        <v>15240</v>
      </c>
      <c r="E4717" s="11" t="s">
        <v>15241</v>
      </c>
    </row>
    <row r="4718" spans="1:5">
      <c r="A4718" s="11" t="s">
        <v>15242</v>
      </c>
      <c r="B4718">
        <v>8081058</v>
      </c>
      <c r="D4718" s="11" t="s">
        <v>15243</v>
      </c>
      <c r="E4718" s="11" t="s">
        <v>15244</v>
      </c>
    </row>
    <row r="4719" spans="1:5">
      <c r="A4719" s="11" t="s">
        <v>15245</v>
      </c>
      <c r="B4719">
        <v>8012414</v>
      </c>
      <c r="D4719" s="11" t="s">
        <v>15246</v>
      </c>
      <c r="E4719" s="11" t="s">
        <v>15247</v>
      </c>
    </row>
    <row r="4720" spans="1:5">
      <c r="A4720" s="11" t="s">
        <v>166</v>
      </c>
      <c r="B4720">
        <v>8004210</v>
      </c>
      <c r="D4720" s="11" t="s">
        <v>168</v>
      </c>
      <c r="E4720" s="11" t="s">
        <v>169</v>
      </c>
    </row>
    <row r="4721" spans="1:5">
      <c r="A4721" s="11" t="s">
        <v>15248</v>
      </c>
      <c r="B4721">
        <v>8010240</v>
      </c>
      <c r="D4721" s="11" t="s">
        <v>15249</v>
      </c>
      <c r="E4721" s="11" t="s">
        <v>15250</v>
      </c>
    </row>
    <row r="4722" spans="1:5">
      <c r="A4722" s="11" t="s">
        <v>15251</v>
      </c>
      <c r="B4722">
        <v>8012415</v>
      </c>
      <c r="D4722" s="11" t="s">
        <v>15252</v>
      </c>
      <c r="E4722" s="11" t="s">
        <v>15253</v>
      </c>
    </row>
    <row r="4723" spans="1:5">
      <c r="A4723" s="11" t="s">
        <v>15254</v>
      </c>
      <c r="B4723">
        <v>8012429</v>
      </c>
      <c r="D4723" s="11" t="s">
        <v>15255</v>
      </c>
      <c r="E4723" s="11" t="s">
        <v>15256</v>
      </c>
    </row>
    <row r="4724" spans="1:5">
      <c r="A4724" s="11" t="s">
        <v>15257</v>
      </c>
      <c r="B4724">
        <v>8012416</v>
      </c>
      <c r="D4724" s="11" t="s">
        <v>15258</v>
      </c>
      <c r="E4724" s="11" t="s">
        <v>15259</v>
      </c>
    </row>
    <row r="4725" spans="1:5">
      <c r="A4725" s="11" t="s">
        <v>15260</v>
      </c>
      <c r="B4725">
        <v>8004213</v>
      </c>
      <c r="D4725" s="11" t="s">
        <v>15261</v>
      </c>
      <c r="E4725" s="11" t="s">
        <v>15262</v>
      </c>
    </row>
    <row r="4726" spans="1:5">
      <c r="A4726" s="11" t="s">
        <v>15263</v>
      </c>
      <c r="B4726">
        <v>8070698</v>
      </c>
      <c r="D4726" s="11" t="s">
        <v>15264</v>
      </c>
      <c r="E4726" s="11" t="s">
        <v>15265</v>
      </c>
    </row>
    <row r="4727" spans="1:5">
      <c r="A4727" s="11" t="s">
        <v>15266</v>
      </c>
      <c r="B4727">
        <v>8012417</v>
      </c>
      <c r="D4727" s="11" t="s">
        <v>15267</v>
      </c>
      <c r="E4727" s="11" t="s">
        <v>15268</v>
      </c>
    </row>
    <row r="4728" spans="1:5">
      <c r="A4728" s="11" t="s">
        <v>15269</v>
      </c>
      <c r="B4728">
        <v>8012418</v>
      </c>
      <c r="D4728" s="11" t="s">
        <v>15270</v>
      </c>
      <c r="E4728" s="11" t="s">
        <v>15271</v>
      </c>
    </row>
    <row r="4729" spans="1:5">
      <c r="A4729" s="11" t="s">
        <v>15272</v>
      </c>
      <c r="B4729">
        <v>8007435</v>
      </c>
      <c r="D4729" s="11" t="s">
        <v>15273</v>
      </c>
      <c r="E4729" s="11" t="s">
        <v>15274</v>
      </c>
    </row>
    <row r="4730" spans="1:5">
      <c r="A4730" s="11" t="s">
        <v>579</v>
      </c>
      <c r="B4730">
        <v>8077434</v>
      </c>
      <c r="D4730" s="11" t="s">
        <v>581</v>
      </c>
      <c r="E4730" s="11" t="s">
        <v>582</v>
      </c>
    </row>
    <row r="4731" spans="1:5">
      <c r="A4731" s="11" t="s">
        <v>15275</v>
      </c>
      <c r="B4731">
        <v>8007434</v>
      </c>
      <c r="D4731" s="11" t="s">
        <v>15276</v>
      </c>
      <c r="E4731" s="11" t="s">
        <v>15277</v>
      </c>
    </row>
    <row r="4732" spans="1:5">
      <c r="A4732" s="11" t="s">
        <v>15278</v>
      </c>
      <c r="B4732">
        <v>8004215</v>
      </c>
      <c r="D4732" s="11" t="s">
        <v>15279</v>
      </c>
      <c r="E4732" s="11" t="s">
        <v>15280</v>
      </c>
    </row>
    <row r="4733" spans="1:5">
      <c r="A4733" s="11" t="s">
        <v>15281</v>
      </c>
      <c r="B4733">
        <v>8000265</v>
      </c>
      <c r="D4733" s="11" t="s">
        <v>15282</v>
      </c>
      <c r="E4733" s="11" t="s">
        <v>15283</v>
      </c>
    </row>
    <row r="4734" spans="1:5">
      <c r="A4734" s="11" t="s">
        <v>15284</v>
      </c>
      <c r="B4734">
        <v>8004217</v>
      </c>
      <c r="D4734" s="11" t="s">
        <v>15285</v>
      </c>
      <c r="E4734" s="11" t="s">
        <v>15286</v>
      </c>
    </row>
    <row r="4735" spans="1:5">
      <c r="A4735" s="11" t="s">
        <v>15287</v>
      </c>
      <c r="B4735">
        <v>8071678</v>
      </c>
      <c r="D4735" s="11" t="s">
        <v>15288</v>
      </c>
      <c r="E4735" s="11" t="s">
        <v>15289</v>
      </c>
    </row>
    <row r="4736" spans="1:5">
      <c r="A4736" s="11" t="s">
        <v>15290</v>
      </c>
      <c r="B4736">
        <v>8004216</v>
      </c>
      <c r="D4736" s="11" t="s">
        <v>15291</v>
      </c>
      <c r="E4736" s="11" t="s">
        <v>15292</v>
      </c>
    </row>
    <row r="4737" spans="1:5">
      <c r="A4737" s="11" t="s">
        <v>15293</v>
      </c>
      <c r="B4737">
        <v>8004218</v>
      </c>
      <c r="D4737" s="11" t="s">
        <v>15294</v>
      </c>
      <c r="E4737" s="11" t="s">
        <v>15295</v>
      </c>
    </row>
    <row r="4738" spans="1:5">
      <c r="A4738" s="11" t="s">
        <v>15296</v>
      </c>
      <c r="B4738">
        <v>8004219</v>
      </c>
      <c r="D4738" s="11" t="s">
        <v>15297</v>
      </c>
      <c r="E4738" s="11" t="s">
        <v>15298</v>
      </c>
    </row>
    <row r="4739" spans="1:5">
      <c r="A4739" s="11" t="s">
        <v>15299</v>
      </c>
      <c r="B4739">
        <v>8004220</v>
      </c>
      <c r="D4739" s="11" t="s">
        <v>15300</v>
      </c>
      <c r="E4739" s="11" t="s">
        <v>15301</v>
      </c>
    </row>
    <row r="4740" spans="1:5">
      <c r="A4740" s="11" t="s">
        <v>15302</v>
      </c>
      <c r="B4740">
        <v>8004232</v>
      </c>
      <c r="D4740" s="11" t="s">
        <v>15303</v>
      </c>
      <c r="E4740" s="11" t="s">
        <v>15304</v>
      </c>
    </row>
    <row r="4741" spans="1:5">
      <c r="A4741" s="11" t="s">
        <v>15305</v>
      </c>
      <c r="B4741">
        <v>8004238</v>
      </c>
      <c r="D4741" s="11" t="s">
        <v>15306</v>
      </c>
      <c r="E4741" s="11" t="s">
        <v>15307</v>
      </c>
    </row>
    <row r="4742" spans="1:5">
      <c r="A4742" s="11" t="s">
        <v>15308</v>
      </c>
      <c r="B4742">
        <v>8004226</v>
      </c>
      <c r="D4742" s="11" t="s">
        <v>15309</v>
      </c>
      <c r="E4742" s="11" t="s">
        <v>15310</v>
      </c>
    </row>
    <row r="4743" spans="1:5">
      <c r="A4743" s="11" t="s">
        <v>15311</v>
      </c>
      <c r="B4743">
        <v>8004222</v>
      </c>
      <c r="D4743" s="11" t="s">
        <v>15312</v>
      </c>
      <c r="E4743" s="11" t="s">
        <v>15313</v>
      </c>
    </row>
    <row r="4744" spans="1:5">
      <c r="A4744" s="11" t="s">
        <v>15314</v>
      </c>
      <c r="B4744">
        <v>8012420</v>
      </c>
      <c r="D4744" s="11" t="s">
        <v>15315</v>
      </c>
      <c r="E4744" s="11" t="s">
        <v>15316</v>
      </c>
    </row>
    <row r="4745" spans="1:5">
      <c r="A4745" s="11" t="s">
        <v>15317</v>
      </c>
      <c r="B4745">
        <v>8004223</v>
      </c>
      <c r="D4745" s="11" t="s">
        <v>15318</v>
      </c>
      <c r="E4745" s="11" t="s">
        <v>15319</v>
      </c>
    </row>
    <row r="4746" spans="1:5">
      <c r="A4746" s="11" t="s">
        <v>15320</v>
      </c>
      <c r="B4746">
        <v>8070499</v>
      </c>
      <c r="D4746" s="11" t="s">
        <v>15321</v>
      </c>
      <c r="E4746" s="11" t="s">
        <v>15322</v>
      </c>
    </row>
    <row r="4747" spans="1:5">
      <c r="A4747" s="11" t="s">
        <v>15323</v>
      </c>
      <c r="B4747">
        <v>8004227</v>
      </c>
      <c r="D4747" s="11" t="s">
        <v>15324</v>
      </c>
      <c r="E4747" s="11" t="s">
        <v>15325</v>
      </c>
    </row>
    <row r="4748" spans="1:5">
      <c r="A4748" s="11" t="s">
        <v>15326</v>
      </c>
      <c r="B4748">
        <v>8012421</v>
      </c>
      <c r="D4748" s="11" t="s">
        <v>15327</v>
      </c>
      <c r="E4748" s="11" t="s">
        <v>15328</v>
      </c>
    </row>
    <row r="4749" spans="1:5">
      <c r="A4749" s="11" t="s">
        <v>15329</v>
      </c>
      <c r="B4749">
        <v>8004228</v>
      </c>
      <c r="D4749" s="11" t="s">
        <v>15330</v>
      </c>
      <c r="E4749" s="11" t="s">
        <v>15331</v>
      </c>
    </row>
    <row r="4750" spans="1:5">
      <c r="A4750" s="11" t="s">
        <v>15332</v>
      </c>
      <c r="B4750">
        <v>8004229</v>
      </c>
      <c r="D4750" s="11" t="s">
        <v>15333</v>
      </c>
      <c r="E4750" s="11" t="s">
        <v>15334</v>
      </c>
    </row>
    <row r="4751" spans="1:5">
      <c r="A4751" s="11" t="s">
        <v>15335</v>
      </c>
      <c r="B4751">
        <v>8079146</v>
      </c>
      <c r="D4751" s="11" t="s">
        <v>15336</v>
      </c>
      <c r="E4751" s="11" t="s">
        <v>15337</v>
      </c>
    </row>
    <row r="4752" spans="1:5">
      <c r="A4752" s="11" t="s">
        <v>15338</v>
      </c>
      <c r="B4752">
        <v>8007441</v>
      </c>
      <c r="D4752" s="11" t="s">
        <v>15339</v>
      </c>
      <c r="E4752" s="11" t="s">
        <v>15340</v>
      </c>
    </row>
    <row r="4753" spans="1:5">
      <c r="A4753" s="11" t="s">
        <v>15341</v>
      </c>
      <c r="B4753">
        <v>8012423</v>
      </c>
      <c r="D4753" s="11" t="s">
        <v>15342</v>
      </c>
      <c r="E4753" s="11" t="s">
        <v>15343</v>
      </c>
    </row>
    <row r="4754" spans="1:5">
      <c r="A4754" s="11" t="s">
        <v>15344</v>
      </c>
      <c r="B4754">
        <v>8079777</v>
      </c>
      <c r="D4754" s="11" t="s">
        <v>15345</v>
      </c>
      <c r="E4754" s="11" t="s">
        <v>15346</v>
      </c>
    </row>
    <row r="4755" spans="1:5">
      <c r="A4755" s="11" t="s">
        <v>15347</v>
      </c>
      <c r="B4755">
        <v>8004233</v>
      </c>
      <c r="D4755" s="11" t="s">
        <v>15348</v>
      </c>
      <c r="E4755" s="11" t="s">
        <v>15349</v>
      </c>
    </row>
    <row r="4756" spans="1:5">
      <c r="A4756" s="11" t="s">
        <v>15350</v>
      </c>
      <c r="B4756">
        <v>8004234</v>
      </c>
      <c r="D4756" s="11" t="s">
        <v>15351</v>
      </c>
      <c r="E4756" s="11" t="s">
        <v>15352</v>
      </c>
    </row>
    <row r="4757" spans="1:5">
      <c r="A4757" s="11" t="s">
        <v>15353</v>
      </c>
      <c r="B4757">
        <v>8012424</v>
      </c>
      <c r="D4757" s="11" t="s">
        <v>15354</v>
      </c>
      <c r="E4757" s="11" t="s">
        <v>15355</v>
      </c>
    </row>
    <row r="4758" spans="1:5">
      <c r="A4758" s="11" t="s">
        <v>15356</v>
      </c>
      <c r="B4758">
        <v>8071885</v>
      </c>
      <c r="D4758" s="11" t="s">
        <v>15357</v>
      </c>
      <c r="E4758" s="11" t="s">
        <v>15358</v>
      </c>
    </row>
    <row r="4759" spans="1:5">
      <c r="A4759" s="11" t="s">
        <v>15359</v>
      </c>
      <c r="B4759">
        <v>8004235</v>
      </c>
      <c r="D4759" s="11" t="s">
        <v>15360</v>
      </c>
      <c r="E4759" s="11" t="s">
        <v>15361</v>
      </c>
    </row>
    <row r="4760" spans="1:5">
      <c r="A4760" s="11" t="s">
        <v>15362</v>
      </c>
      <c r="B4760">
        <v>8012425</v>
      </c>
      <c r="D4760" s="11" t="s">
        <v>15363</v>
      </c>
      <c r="E4760" s="11" t="s">
        <v>15364</v>
      </c>
    </row>
    <row r="4761" spans="1:5">
      <c r="A4761" s="11" t="s">
        <v>15365</v>
      </c>
      <c r="B4761">
        <v>8084084</v>
      </c>
      <c r="D4761" s="11" t="s">
        <v>15366</v>
      </c>
      <c r="E4761" s="11" t="s">
        <v>15367</v>
      </c>
    </row>
    <row r="4762" spans="1:5">
      <c r="A4762" s="11" t="s">
        <v>15368</v>
      </c>
      <c r="B4762">
        <v>8004236</v>
      </c>
      <c r="D4762" s="11" t="s">
        <v>15369</v>
      </c>
      <c r="E4762" s="11" t="s">
        <v>15370</v>
      </c>
    </row>
    <row r="4763" spans="1:5">
      <c r="A4763" s="11" t="s">
        <v>15371</v>
      </c>
      <c r="B4763">
        <v>8012426</v>
      </c>
      <c r="D4763" s="11" t="s">
        <v>15372</v>
      </c>
      <c r="E4763" s="11" t="s">
        <v>15373</v>
      </c>
    </row>
    <row r="4764" spans="1:5">
      <c r="A4764" s="11" t="s">
        <v>15374</v>
      </c>
      <c r="B4764">
        <v>8077772</v>
      </c>
      <c r="D4764" s="11" t="s">
        <v>15375</v>
      </c>
      <c r="E4764" s="11" t="s">
        <v>15376</v>
      </c>
    </row>
    <row r="4765" spans="1:5">
      <c r="A4765" s="11" t="s">
        <v>15377</v>
      </c>
      <c r="B4765">
        <v>8004239</v>
      </c>
      <c r="D4765" s="11" t="s">
        <v>15378</v>
      </c>
      <c r="E4765" s="11" t="s">
        <v>15379</v>
      </c>
    </row>
    <row r="4766" spans="1:5">
      <c r="A4766" s="11" t="s">
        <v>15380</v>
      </c>
      <c r="B4766">
        <v>8000394</v>
      </c>
      <c r="D4766" s="11" t="s">
        <v>15381</v>
      </c>
      <c r="E4766" s="11" t="s">
        <v>15382</v>
      </c>
    </row>
    <row r="4767" spans="1:5">
      <c r="A4767" s="11" t="s">
        <v>15383</v>
      </c>
      <c r="B4767">
        <v>8004240</v>
      </c>
      <c r="D4767" s="11" t="s">
        <v>15384</v>
      </c>
      <c r="E4767" s="11" t="s">
        <v>15385</v>
      </c>
    </row>
    <row r="4768" spans="1:5">
      <c r="A4768" s="11" t="s">
        <v>15386</v>
      </c>
      <c r="B4768">
        <v>8070800</v>
      </c>
      <c r="D4768" s="11" t="s">
        <v>15387</v>
      </c>
      <c r="E4768" s="11" t="s">
        <v>15388</v>
      </c>
    </row>
    <row r="4769" spans="1:5">
      <c r="A4769" s="11" t="s">
        <v>15389</v>
      </c>
      <c r="B4769">
        <v>8004242</v>
      </c>
      <c r="D4769" s="11" t="s">
        <v>15390</v>
      </c>
      <c r="E4769" s="11" t="s">
        <v>15391</v>
      </c>
    </row>
    <row r="4770" spans="1:5">
      <c r="A4770" s="11" t="s">
        <v>15392</v>
      </c>
      <c r="B4770">
        <v>8012428</v>
      </c>
      <c r="D4770" s="11" t="s">
        <v>15393</v>
      </c>
      <c r="E4770" s="11" t="s">
        <v>15394</v>
      </c>
    </row>
    <row r="4771" spans="1:5">
      <c r="A4771" s="11" t="s">
        <v>15395</v>
      </c>
      <c r="B4771">
        <v>8071864</v>
      </c>
      <c r="D4771" s="11" t="s">
        <v>15396</v>
      </c>
      <c r="E4771" s="11" t="s">
        <v>15397</v>
      </c>
    </row>
    <row r="4772" spans="1:5">
      <c r="A4772" s="11" t="s">
        <v>15398</v>
      </c>
      <c r="B4772">
        <v>8017016</v>
      </c>
      <c r="D4772" s="11" t="s">
        <v>15399</v>
      </c>
      <c r="E4772" s="11" t="s">
        <v>15400</v>
      </c>
    </row>
    <row r="4773" spans="1:5">
      <c r="A4773" s="11" t="s">
        <v>15401</v>
      </c>
      <c r="B4773">
        <v>8012430</v>
      </c>
      <c r="D4773" s="11" t="s">
        <v>15402</v>
      </c>
      <c r="E4773" s="11" t="s">
        <v>15403</v>
      </c>
    </row>
    <row r="4774" spans="1:5">
      <c r="A4774" s="11" t="s">
        <v>15404</v>
      </c>
      <c r="B4774">
        <v>8070932</v>
      </c>
      <c r="D4774" s="11" t="s">
        <v>15405</v>
      </c>
      <c r="E4774" s="11" t="s">
        <v>15406</v>
      </c>
    </row>
    <row r="4775" spans="1:5">
      <c r="A4775" s="11" t="s">
        <v>15407</v>
      </c>
      <c r="B4775">
        <v>8070500</v>
      </c>
      <c r="D4775" s="11" t="s">
        <v>15408</v>
      </c>
      <c r="E4775" s="11" t="s">
        <v>15409</v>
      </c>
    </row>
    <row r="4776" spans="1:5">
      <c r="A4776" s="11" t="s">
        <v>15410</v>
      </c>
      <c r="B4776">
        <v>8017349</v>
      </c>
      <c r="D4776" s="11" t="s">
        <v>15411</v>
      </c>
      <c r="E4776" s="11" t="s">
        <v>15412</v>
      </c>
    </row>
    <row r="4777" spans="1:5">
      <c r="A4777" s="11" t="s">
        <v>15413</v>
      </c>
      <c r="B4777">
        <v>8007120</v>
      </c>
      <c r="D4777" s="11" t="s">
        <v>15414</v>
      </c>
      <c r="E4777" s="11" t="s">
        <v>15415</v>
      </c>
    </row>
    <row r="4778" spans="1:5">
      <c r="A4778" s="11" t="s">
        <v>15416</v>
      </c>
      <c r="B4778">
        <v>8012436</v>
      </c>
      <c r="D4778" s="11" t="s">
        <v>15417</v>
      </c>
      <c r="E4778" s="11" t="s">
        <v>15418</v>
      </c>
    </row>
    <row r="4779" spans="1:5">
      <c r="A4779" s="11" t="s">
        <v>15419</v>
      </c>
      <c r="B4779">
        <v>8004247</v>
      </c>
      <c r="D4779" s="11" t="s">
        <v>15420</v>
      </c>
      <c r="E4779" s="11" t="s">
        <v>15421</v>
      </c>
    </row>
    <row r="4780" spans="1:5">
      <c r="A4780" s="11" t="s">
        <v>15422</v>
      </c>
      <c r="B4780">
        <v>8007850</v>
      </c>
      <c r="D4780" s="11" t="s">
        <v>15423</v>
      </c>
      <c r="E4780" s="11" t="s">
        <v>15424</v>
      </c>
    </row>
    <row r="4781" spans="1:5">
      <c r="A4781" s="11" t="s">
        <v>15425</v>
      </c>
      <c r="B4781">
        <v>8004250</v>
      </c>
      <c r="D4781" s="11" t="s">
        <v>15426</v>
      </c>
      <c r="E4781" s="11" t="s">
        <v>15427</v>
      </c>
    </row>
    <row r="4782" spans="1:5">
      <c r="A4782" s="11" t="s">
        <v>15428</v>
      </c>
      <c r="B4782">
        <v>8004252</v>
      </c>
      <c r="D4782" s="11" t="s">
        <v>15429</v>
      </c>
      <c r="E4782" s="11" t="s">
        <v>15430</v>
      </c>
    </row>
    <row r="4783" spans="1:5">
      <c r="A4783" s="11" t="s">
        <v>15431</v>
      </c>
      <c r="B4783">
        <v>8010241</v>
      </c>
      <c r="D4783" s="11" t="s">
        <v>15432</v>
      </c>
      <c r="E4783" s="11" t="s">
        <v>15433</v>
      </c>
    </row>
    <row r="4784" spans="1:5">
      <c r="A4784" s="11" t="s">
        <v>15434</v>
      </c>
      <c r="B4784">
        <v>8004253</v>
      </c>
      <c r="D4784" s="11" t="s">
        <v>15435</v>
      </c>
      <c r="E4784" s="11" t="s">
        <v>15436</v>
      </c>
    </row>
    <row r="4785" spans="1:5">
      <c r="A4785" s="11" t="s">
        <v>15437</v>
      </c>
      <c r="B4785">
        <v>8012438</v>
      </c>
      <c r="D4785" s="11" t="s">
        <v>15438</v>
      </c>
      <c r="E4785" s="11" t="s">
        <v>15439</v>
      </c>
    </row>
    <row r="4786" spans="1:5">
      <c r="A4786" s="11" t="s">
        <v>15440</v>
      </c>
      <c r="B4786">
        <v>8004254</v>
      </c>
      <c r="D4786" s="11" t="s">
        <v>15441</v>
      </c>
      <c r="E4786" s="11" t="s">
        <v>15442</v>
      </c>
    </row>
    <row r="4787" spans="1:5">
      <c r="A4787" s="11" t="s">
        <v>15443</v>
      </c>
      <c r="B4787">
        <v>8004256</v>
      </c>
      <c r="D4787" s="11" t="s">
        <v>15444</v>
      </c>
      <c r="E4787" s="11" t="s">
        <v>15445</v>
      </c>
    </row>
    <row r="4788" spans="1:5">
      <c r="A4788" s="11" t="s">
        <v>15446</v>
      </c>
      <c r="B4788">
        <v>8004257</v>
      </c>
      <c r="D4788" s="11" t="s">
        <v>15447</v>
      </c>
      <c r="E4788" s="11" t="s">
        <v>15448</v>
      </c>
    </row>
    <row r="4789" spans="1:5">
      <c r="A4789" s="11" t="s">
        <v>15449</v>
      </c>
      <c r="B4789">
        <v>8004258</v>
      </c>
      <c r="D4789" s="11" t="s">
        <v>15450</v>
      </c>
      <c r="E4789" s="11" t="s">
        <v>15451</v>
      </c>
    </row>
    <row r="4790" spans="1:5">
      <c r="A4790" s="11" t="s">
        <v>15452</v>
      </c>
      <c r="B4790">
        <v>8010242</v>
      </c>
      <c r="D4790" s="11" t="s">
        <v>15453</v>
      </c>
      <c r="E4790" s="11" t="s">
        <v>15454</v>
      </c>
    </row>
    <row r="4791" spans="1:5">
      <c r="A4791" s="11" t="s">
        <v>15455</v>
      </c>
      <c r="B4791">
        <v>8070824</v>
      </c>
      <c r="D4791" s="11" t="s">
        <v>15456</v>
      </c>
      <c r="E4791" s="11" t="s">
        <v>15457</v>
      </c>
    </row>
    <row r="4792" spans="1:5">
      <c r="A4792" s="11" t="s">
        <v>15458</v>
      </c>
      <c r="B4792">
        <v>8070825</v>
      </c>
      <c r="D4792" s="11" t="s">
        <v>15459</v>
      </c>
      <c r="E4792" s="11" t="s">
        <v>15460</v>
      </c>
    </row>
    <row r="4793" spans="1:5">
      <c r="A4793" s="11" t="s">
        <v>15461</v>
      </c>
      <c r="B4793">
        <v>8012442</v>
      </c>
      <c r="D4793" s="11" t="s">
        <v>15462</v>
      </c>
      <c r="E4793" s="11" t="s">
        <v>15463</v>
      </c>
    </row>
    <row r="4794" spans="1:5">
      <c r="A4794" s="11" t="s">
        <v>15464</v>
      </c>
      <c r="B4794">
        <v>8012443</v>
      </c>
      <c r="D4794" s="11" t="s">
        <v>15465</v>
      </c>
      <c r="E4794" s="11" t="s">
        <v>15466</v>
      </c>
    </row>
    <row r="4795" spans="1:5">
      <c r="A4795" s="11" t="s">
        <v>15467</v>
      </c>
      <c r="B4795">
        <v>8000631</v>
      </c>
      <c r="D4795" s="11" t="s">
        <v>15468</v>
      </c>
      <c r="E4795" s="11" t="s">
        <v>15469</v>
      </c>
    </row>
    <row r="4796" spans="1:5">
      <c r="A4796" s="11" t="s">
        <v>15470</v>
      </c>
      <c r="B4796">
        <v>8089119</v>
      </c>
      <c r="D4796" s="11" t="s">
        <v>15471</v>
      </c>
      <c r="E4796" s="11" t="s">
        <v>15472</v>
      </c>
    </row>
    <row r="4797" spans="1:5">
      <c r="A4797" s="11" t="s">
        <v>15473</v>
      </c>
      <c r="B4797">
        <v>8006924</v>
      </c>
      <c r="D4797" s="11" t="s">
        <v>1539</v>
      </c>
      <c r="E4797" s="11" t="s">
        <v>1539</v>
      </c>
    </row>
    <row r="4798" spans="1:5">
      <c r="A4798" s="11" t="s">
        <v>15474</v>
      </c>
      <c r="B4798">
        <v>8004265</v>
      </c>
      <c r="D4798" s="11" t="s">
        <v>15475</v>
      </c>
      <c r="E4798" s="11" t="s">
        <v>15476</v>
      </c>
    </row>
    <row r="4799" spans="1:5">
      <c r="A4799" s="11" t="s">
        <v>15477</v>
      </c>
      <c r="B4799">
        <v>8070276</v>
      </c>
      <c r="D4799" s="11" t="s">
        <v>15478</v>
      </c>
      <c r="E4799" s="11" t="s">
        <v>15479</v>
      </c>
    </row>
    <row r="4800" spans="1:5">
      <c r="A4800" s="11" t="s">
        <v>15480</v>
      </c>
      <c r="B4800">
        <v>8004264</v>
      </c>
      <c r="D4800" s="11" t="s">
        <v>15481</v>
      </c>
      <c r="E4800" s="11" t="s">
        <v>15482</v>
      </c>
    </row>
    <row r="4801" spans="1:5">
      <c r="A4801" s="11" t="s">
        <v>15483</v>
      </c>
      <c r="B4801">
        <v>8070278</v>
      </c>
      <c r="D4801" s="11" t="s">
        <v>15484</v>
      </c>
      <c r="E4801" s="11" t="s">
        <v>15485</v>
      </c>
    </row>
    <row r="4802" spans="1:5">
      <c r="A4802" s="11" t="s">
        <v>15486</v>
      </c>
      <c r="B4802">
        <v>8004268</v>
      </c>
      <c r="D4802" s="11" t="s">
        <v>15487</v>
      </c>
      <c r="E4802" s="11" t="s">
        <v>15488</v>
      </c>
    </row>
    <row r="4803" spans="1:5">
      <c r="A4803" s="11" t="s">
        <v>15489</v>
      </c>
      <c r="B4803">
        <v>8081010</v>
      </c>
      <c r="D4803" s="11" t="s">
        <v>15490</v>
      </c>
      <c r="E4803" s="11" t="s">
        <v>15491</v>
      </c>
    </row>
    <row r="4804" spans="1:5">
      <c r="A4804" s="11" t="s">
        <v>15492</v>
      </c>
      <c r="B4804">
        <v>8081020</v>
      </c>
      <c r="D4804" s="11" t="s">
        <v>15493</v>
      </c>
      <c r="E4804" s="11" t="s">
        <v>15494</v>
      </c>
    </row>
    <row r="4805" spans="1:5">
      <c r="A4805" s="11" t="s">
        <v>15495</v>
      </c>
      <c r="B4805">
        <v>8004262</v>
      </c>
      <c r="D4805" s="11" t="s">
        <v>15496</v>
      </c>
      <c r="E4805" s="11" t="s">
        <v>15497</v>
      </c>
    </row>
    <row r="4806" spans="1:5">
      <c r="A4806" s="11" t="s">
        <v>15498</v>
      </c>
      <c r="B4806">
        <v>8004261</v>
      </c>
      <c r="D4806" s="11" t="s">
        <v>15499</v>
      </c>
      <c r="E4806" s="11" t="s">
        <v>15500</v>
      </c>
    </row>
    <row r="4807" spans="1:5">
      <c r="A4807" s="11" t="s">
        <v>15501</v>
      </c>
      <c r="B4807">
        <v>8004271</v>
      </c>
      <c r="D4807" s="11" t="s">
        <v>15502</v>
      </c>
      <c r="E4807" s="11" t="s">
        <v>15503</v>
      </c>
    </row>
    <row r="4808" spans="1:5">
      <c r="A4808" s="11" t="s">
        <v>15504</v>
      </c>
      <c r="B4808">
        <v>8000267</v>
      </c>
      <c r="D4808" s="11" t="s">
        <v>15505</v>
      </c>
      <c r="E4808" s="11" t="s">
        <v>15506</v>
      </c>
    </row>
    <row r="4809" spans="1:5">
      <c r="A4809" s="11" t="s">
        <v>15507</v>
      </c>
      <c r="B4809">
        <v>8004273</v>
      </c>
      <c r="D4809" s="11" t="s">
        <v>15508</v>
      </c>
      <c r="E4809" s="11" t="s">
        <v>15509</v>
      </c>
    </row>
    <row r="4810" spans="1:5">
      <c r="A4810" s="11" t="s">
        <v>15510</v>
      </c>
      <c r="B4810">
        <v>8004276</v>
      </c>
      <c r="D4810" s="11" t="s">
        <v>15511</v>
      </c>
      <c r="E4810" s="11" t="s">
        <v>15512</v>
      </c>
    </row>
    <row r="4811" spans="1:5">
      <c r="A4811" s="11" t="s">
        <v>15513</v>
      </c>
      <c r="B4811">
        <v>8004279</v>
      </c>
      <c r="D4811" s="11" t="s">
        <v>15514</v>
      </c>
      <c r="E4811" s="11" t="s">
        <v>15515</v>
      </c>
    </row>
    <row r="4812" spans="1:5">
      <c r="A4812" s="11" t="s">
        <v>15516</v>
      </c>
      <c r="B4812">
        <v>8000688</v>
      </c>
      <c r="D4812" s="11" t="s">
        <v>15517</v>
      </c>
      <c r="E4812" s="11" t="s">
        <v>15518</v>
      </c>
    </row>
    <row r="4813" spans="1:5">
      <c r="A4813" s="11" t="s">
        <v>15519</v>
      </c>
      <c r="B4813">
        <v>8007448</v>
      </c>
      <c r="D4813" s="11" t="s">
        <v>15520</v>
      </c>
      <c r="E4813" s="11" t="s">
        <v>15521</v>
      </c>
    </row>
    <row r="4814" spans="1:5">
      <c r="A4814" s="11" t="s">
        <v>15522</v>
      </c>
      <c r="B4814">
        <v>8007228</v>
      </c>
      <c r="D4814" s="11" t="s">
        <v>15523</v>
      </c>
      <c r="E4814" s="11" t="s">
        <v>15524</v>
      </c>
    </row>
    <row r="4815" spans="1:5">
      <c r="A4815" s="11" t="s">
        <v>15525</v>
      </c>
      <c r="B4815">
        <v>8012454</v>
      </c>
      <c r="D4815" s="11" t="s">
        <v>15526</v>
      </c>
      <c r="E4815" s="11" t="s">
        <v>15527</v>
      </c>
    </row>
    <row r="4816" spans="1:5">
      <c r="A4816" s="11" t="s">
        <v>15528</v>
      </c>
      <c r="B4816">
        <v>8004249</v>
      </c>
      <c r="D4816" s="11" t="s">
        <v>15529</v>
      </c>
      <c r="E4816" s="11" t="s">
        <v>15530</v>
      </c>
    </row>
    <row r="4817" spans="1:5">
      <c r="A4817" s="11" t="s">
        <v>15531</v>
      </c>
      <c r="B4817">
        <v>8007153</v>
      </c>
      <c r="D4817" s="11" t="s">
        <v>15532</v>
      </c>
      <c r="E4817" s="11" t="s">
        <v>15533</v>
      </c>
    </row>
    <row r="4818" spans="1:5">
      <c r="A4818" s="11" t="s">
        <v>15534</v>
      </c>
      <c r="B4818">
        <v>8076720</v>
      </c>
      <c r="D4818" s="11" t="s">
        <v>15535</v>
      </c>
      <c r="E4818" s="11" t="s">
        <v>15536</v>
      </c>
    </row>
    <row r="4819" spans="1:5">
      <c r="A4819" s="11" t="s">
        <v>15537</v>
      </c>
      <c r="B4819">
        <v>8087081</v>
      </c>
      <c r="D4819" s="11" t="s">
        <v>15538</v>
      </c>
      <c r="E4819" s="11" t="s">
        <v>15539</v>
      </c>
    </row>
    <row r="4820" spans="1:5">
      <c r="A4820" s="11" t="s">
        <v>272</v>
      </c>
      <c r="B4820">
        <v>8004284</v>
      </c>
      <c r="D4820" s="11" t="s">
        <v>274</v>
      </c>
      <c r="E4820" s="11" t="s">
        <v>275</v>
      </c>
    </row>
    <row r="4821" spans="1:5">
      <c r="A4821" s="11" t="s">
        <v>15540</v>
      </c>
      <c r="B4821">
        <v>8004289</v>
      </c>
      <c r="D4821" s="11" t="s">
        <v>15541</v>
      </c>
      <c r="E4821" s="11" t="s">
        <v>15542</v>
      </c>
    </row>
    <row r="4822" spans="1:5">
      <c r="A4822" s="11" t="s">
        <v>15543</v>
      </c>
      <c r="B4822">
        <v>8012456</v>
      </c>
      <c r="D4822" s="11" t="s">
        <v>15544</v>
      </c>
      <c r="E4822" s="11" t="s">
        <v>15545</v>
      </c>
    </row>
    <row r="4823" spans="1:5">
      <c r="A4823" s="11" t="s">
        <v>15546</v>
      </c>
      <c r="B4823">
        <v>8012452</v>
      </c>
      <c r="D4823" s="11" t="s">
        <v>15547</v>
      </c>
      <c r="E4823" s="11" t="s">
        <v>15548</v>
      </c>
    </row>
    <row r="4824" spans="1:5">
      <c r="A4824" s="11" t="s">
        <v>15549</v>
      </c>
      <c r="B4824">
        <v>8012458</v>
      </c>
      <c r="D4824" s="11" t="s">
        <v>15550</v>
      </c>
      <c r="E4824" s="11" t="s">
        <v>15551</v>
      </c>
    </row>
    <row r="4825" spans="1:5">
      <c r="A4825" s="11" t="s">
        <v>15552</v>
      </c>
      <c r="B4825">
        <v>8004295</v>
      </c>
      <c r="D4825" s="11" t="s">
        <v>15553</v>
      </c>
      <c r="E4825" s="11" t="s">
        <v>15554</v>
      </c>
    </row>
    <row r="4826" spans="1:5">
      <c r="A4826" s="11" t="s">
        <v>15555</v>
      </c>
      <c r="B4826">
        <v>8004246</v>
      </c>
      <c r="D4826" s="11" t="s">
        <v>15556</v>
      </c>
      <c r="E4826" s="11" t="s">
        <v>15557</v>
      </c>
    </row>
    <row r="4827" spans="1:5">
      <c r="A4827" s="11" t="s">
        <v>15558</v>
      </c>
      <c r="B4827">
        <v>8010243</v>
      </c>
      <c r="D4827" s="11" t="s">
        <v>15559</v>
      </c>
      <c r="E4827" s="11" t="s">
        <v>15560</v>
      </c>
    </row>
    <row r="4828" spans="1:5">
      <c r="A4828" s="11" t="s">
        <v>15561</v>
      </c>
      <c r="B4828">
        <v>8012460</v>
      </c>
      <c r="D4828" s="11" t="s">
        <v>15562</v>
      </c>
      <c r="E4828" s="11" t="s">
        <v>15563</v>
      </c>
    </row>
    <row r="4829" spans="1:5">
      <c r="A4829" s="11" t="s">
        <v>15564</v>
      </c>
      <c r="B4829">
        <v>8010400</v>
      </c>
      <c r="D4829" s="11" t="s">
        <v>15565</v>
      </c>
      <c r="E4829" s="11" t="s">
        <v>15566</v>
      </c>
    </row>
    <row r="4830" spans="1:5">
      <c r="A4830" s="11" t="s">
        <v>15567</v>
      </c>
      <c r="B4830">
        <v>8000269</v>
      </c>
      <c r="D4830" s="11" t="s">
        <v>15568</v>
      </c>
      <c r="E4830" s="11" t="s">
        <v>15569</v>
      </c>
    </row>
    <row r="4831" spans="1:5">
      <c r="A4831" s="11" t="s">
        <v>15570</v>
      </c>
      <c r="B4831">
        <v>8004298</v>
      </c>
      <c r="D4831" s="11" t="s">
        <v>15571</v>
      </c>
      <c r="E4831" s="11" t="s">
        <v>15572</v>
      </c>
    </row>
    <row r="4832" spans="1:5">
      <c r="A4832" s="11" t="s">
        <v>15573</v>
      </c>
      <c r="B4832">
        <v>8012462</v>
      </c>
      <c r="D4832" s="11" t="s">
        <v>15574</v>
      </c>
      <c r="E4832" s="11" t="s">
        <v>15575</v>
      </c>
    </row>
    <row r="4833" spans="1:5">
      <c r="A4833" s="11" t="s">
        <v>15576</v>
      </c>
      <c r="B4833">
        <v>8012463</v>
      </c>
      <c r="D4833" s="11" t="s">
        <v>15577</v>
      </c>
      <c r="E4833" s="11" t="s">
        <v>15578</v>
      </c>
    </row>
    <row r="4834" spans="1:5">
      <c r="A4834" s="11" t="s">
        <v>15579</v>
      </c>
      <c r="B4834">
        <v>8071225</v>
      </c>
      <c r="D4834" s="11" t="s">
        <v>15580</v>
      </c>
      <c r="E4834" s="11" t="s">
        <v>15581</v>
      </c>
    </row>
    <row r="4835" spans="1:5">
      <c r="A4835" s="11" t="s">
        <v>15582</v>
      </c>
      <c r="B4835">
        <v>8004302</v>
      </c>
      <c r="D4835" s="11" t="s">
        <v>15583</v>
      </c>
      <c r="E4835" s="11" t="s">
        <v>15584</v>
      </c>
    </row>
    <row r="4836" spans="1:5">
      <c r="A4836" s="11" t="s">
        <v>15585</v>
      </c>
      <c r="B4836">
        <v>8004304</v>
      </c>
      <c r="D4836" s="11" t="s">
        <v>15586</v>
      </c>
      <c r="E4836" s="11" t="s">
        <v>15587</v>
      </c>
    </row>
    <row r="4837" spans="1:5">
      <c r="A4837" s="11" t="s">
        <v>15588</v>
      </c>
      <c r="B4837">
        <v>8010244</v>
      </c>
      <c r="D4837" s="11" t="s">
        <v>15589</v>
      </c>
      <c r="E4837" s="11" t="s">
        <v>15590</v>
      </c>
    </row>
    <row r="4838" spans="1:5">
      <c r="A4838" s="11" t="s">
        <v>15591</v>
      </c>
      <c r="B4838">
        <v>8004305</v>
      </c>
      <c r="D4838" s="11" t="s">
        <v>15592</v>
      </c>
      <c r="E4838" s="11" t="s">
        <v>15593</v>
      </c>
    </row>
    <row r="4839" spans="1:5">
      <c r="A4839" s="11" t="s">
        <v>15594</v>
      </c>
      <c r="B4839">
        <v>8000720</v>
      </c>
      <c r="D4839" s="11" t="s">
        <v>15595</v>
      </c>
      <c r="E4839" s="11" t="s">
        <v>15596</v>
      </c>
    </row>
    <row r="4840" spans="1:5">
      <c r="A4840" s="11" t="s">
        <v>15597</v>
      </c>
      <c r="B4840">
        <v>8012465</v>
      </c>
      <c r="D4840" s="11" t="s">
        <v>15598</v>
      </c>
      <c r="E4840" s="11" t="s">
        <v>15599</v>
      </c>
    </row>
    <row r="4841" spans="1:5">
      <c r="A4841" s="11" t="s">
        <v>15600</v>
      </c>
      <c r="B4841">
        <v>8071997</v>
      </c>
      <c r="D4841" s="11" t="s">
        <v>15601</v>
      </c>
      <c r="E4841" s="11" t="s">
        <v>15602</v>
      </c>
    </row>
    <row r="4842" spans="1:5">
      <c r="A4842" s="11" t="s">
        <v>15603</v>
      </c>
      <c r="B4842">
        <v>8000271</v>
      </c>
      <c r="D4842" s="11" t="s">
        <v>15604</v>
      </c>
      <c r="E4842" s="11" t="s">
        <v>15605</v>
      </c>
    </row>
    <row r="4843" spans="1:5">
      <c r="A4843" s="11" t="s">
        <v>15606</v>
      </c>
      <c r="B4843">
        <v>8071262</v>
      </c>
      <c r="D4843" s="11" t="s">
        <v>15607</v>
      </c>
      <c r="E4843" s="11" t="s">
        <v>15608</v>
      </c>
    </row>
    <row r="4844" spans="1:5">
      <c r="A4844" s="11" t="s">
        <v>15609</v>
      </c>
      <c r="B4844">
        <v>8007790</v>
      </c>
      <c r="D4844" s="11" t="s">
        <v>15610</v>
      </c>
      <c r="E4844" s="11" t="s">
        <v>15611</v>
      </c>
    </row>
    <row r="4845" spans="1:5">
      <c r="A4845" s="11" t="s">
        <v>15612</v>
      </c>
      <c r="B4845">
        <v>8007062</v>
      </c>
      <c r="D4845" s="11" t="s">
        <v>15613</v>
      </c>
      <c r="E4845" s="11" t="s">
        <v>15614</v>
      </c>
    </row>
    <row r="4846" spans="1:5">
      <c r="A4846" s="11" t="s">
        <v>15615</v>
      </c>
      <c r="B4846">
        <v>8012467</v>
      </c>
      <c r="D4846" s="11" t="s">
        <v>15616</v>
      </c>
      <c r="E4846" s="11" t="s">
        <v>15617</v>
      </c>
    </row>
    <row r="4847" spans="1:5">
      <c r="A4847" s="11" t="s">
        <v>15618</v>
      </c>
      <c r="B4847">
        <v>8012468</v>
      </c>
      <c r="D4847" s="11" t="s">
        <v>15619</v>
      </c>
      <c r="E4847" s="11" t="s">
        <v>15620</v>
      </c>
    </row>
    <row r="4848" spans="1:5">
      <c r="A4848" s="11" t="s">
        <v>15621</v>
      </c>
      <c r="B4848">
        <v>8004308</v>
      </c>
      <c r="D4848" s="11" t="s">
        <v>15622</v>
      </c>
      <c r="E4848" s="11" t="s">
        <v>15623</v>
      </c>
    </row>
    <row r="4849" spans="1:5">
      <c r="A4849" s="11" t="s">
        <v>15624</v>
      </c>
      <c r="B4849">
        <v>8004310</v>
      </c>
      <c r="D4849" s="11" t="s">
        <v>15625</v>
      </c>
      <c r="E4849" s="11" t="s">
        <v>15626</v>
      </c>
    </row>
    <row r="4850" spans="1:5">
      <c r="A4850" s="11" t="s">
        <v>15627</v>
      </c>
      <c r="B4850">
        <v>8004313</v>
      </c>
      <c r="D4850" s="11" t="s">
        <v>15628</v>
      </c>
      <c r="E4850" s="11" t="s">
        <v>15629</v>
      </c>
    </row>
    <row r="4851" spans="1:5">
      <c r="A4851" s="11" t="s">
        <v>15630</v>
      </c>
      <c r="B4851">
        <v>8000272</v>
      </c>
      <c r="D4851" s="11" t="s">
        <v>15631</v>
      </c>
      <c r="E4851" s="11" t="s">
        <v>15632</v>
      </c>
    </row>
    <row r="4852" spans="1:5">
      <c r="A4852" s="11" t="s">
        <v>15633</v>
      </c>
      <c r="B4852">
        <v>8004312</v>
      </c>
      <c r="D4852" s="11" t="s">
        <v>15634</v>
      </c>
      <c r="E4852" s="11" t="s">
        <v>15635</v>
      </c>
    </row>
    <row r="4853" spans="1:5">
      <c r="A4853" s="11" t="s">
        <v>15636</v>
      </c>
      <c r="B4853">
        <v>8010245</v>
      </c>
      <c r="D4853" s="11" t="s">
        <v>15637</v>
      </c>
      <c r="E4853" s="11" t="s">
        <v>15638</v>
      </c>
    </row>
    <row r="4854" spans="1:5">
      <c r="A4854" s="11" t="s">
        <v>15639</v>
      </c>
      <c r="B4854">
        <v>8004315</v>
      </c>
      <c r="D4854" s="11" t="s">
        <v>15640</v>
      </c>
      <c r="E4854" s="11" t="s">
        <v>15641</v>
      </c>
    </row>
    <row r="4855" spans="1:5">
      <c r="A4855" s="11" t="s">
        <v>15642</v>
      </c>
      <c r="B4855">
        <v>8012469</v>
      </c>
      <c r="D4855" s="11" t="s">
        <v>15643</v>
      </c>
      <c r="E4855" s="11" t="s">
        <v>15644</v>
      </c>
    </row>
    <row r="4856" spans="1:5">
      <c r="A4856" s="11" t="s">
        <v>15645</v>
      </c>
      <c r="B4856">
        <v>8070883</v>
      </c>
      <c r="D4856" s="11" t="s">
        <v>15646</v>
      </c>
      <c r="E4856" s="11" t="s">
        <v>15647</v>
      </c>
    </row>
    <row r="4857" spans="1:5">
      <c r="A4857" s="11" t="s">
        <v>15648</v>
      </c>
      <c r="B4857">
        <v>8010175</v>
      </c>
      <c r="D4857" s="11" t="s">
        <v>15649</v>
      </c>
      <c r="E4857" s="11" t="s">
        <v>15650</v>
      </c>
    </row>
    <row r="4858" spans="1:5">
      <c r="A4858" s="11" t="s">
        <v>15651</v>
      </c>
      <c r="B4858">
        <v>8010246</v>
      </c>
      <c r="D4858" s="11" t="s">
        <v>15652</v>
      </c>
      <c r="E4858" s="11" t="s">
        <v>15653</v>
      </c>
    </row>
    <row r="4859" spans="1:5">
      <c r="A4859" s="11" t="s">
        <v>15654</v>
      </c>
      <c r="B4859">
        <v>8012470</v>
      </c>
      <c r="D4859" s="11" t="s">
        <v>15655</v>
      </c>
      <c r="E4859" s="11" t="s">
        <v>15656</v>
      </c>
    </row>
    <row r="4860" spans="1:5">
      <c r="A4860" s="11" t="s">
        <v>15657</v>
      </c>
      <c r="B4860">
        <v>8004318</v>
      </c>
      <c r="D4860" s="11" t="s">
        <v>15658</v>
      </c>
      <c r="E4860" s="11" t="s">
        <v>15659</v>
      </c>
    </row>
    <row r="4861" spans="1:5">
      <c r="A4861" s="11" t="s">
        <v>15660</v>
      </c>
      <c r="B4861">
        <v>8004319</v>
      </c>
      <c r="D4861" s="11" t="s">
        <v>15661</v>
      </c>
      <c r="E4861" s="11" t="s">
        <v>15662</v>
      </c>
    </row>
    <row r="4862" spans="1:5">
      <c r="A4862" s="11" t="s">
        <v>15663</v>
      </c>
      <c r="B4862">
        <v>8004321</v>
      </c>
      <c r="D4862" s="11" t="s">
        <v>15664</v>
      </c>
      <c r="E4862" s="11" t="s">
        <v>15665</v>
      </c>
    </row>
    <row r="4863" spans="1:5">
      <c r="A4863" s="11" t="s">
        <v>15666</v>
      </c>
      <c r="B4863">
        <v>8012471</v>
      </c>
      <c r="D4863" s="11" t="s">
        <v>15667</v>
      </c>
      <c r="E4863" s="11" t="s">
        <v>15668</v>
      </c>
    </row>
    <row r="4864" spans="1:5">
      <c r="A4864" s="11" t="s">
        <v>15669</v>
      </c>
      <c r="B4864">
        <v>8004335</v>
      </c>
      <c r="D4864" s="11" t="s">
        <v>15670</v>
      </c>
      <c r="E4864" s="11" t="s">
        <v>15671</v>
      </c>
    </row>
    <row r="4865" spans="1:5">
      <c r="A4865" s="11" t="s">
        <v>15672</v>
      </c>
      <c r="B4865">
        <v>8004320</v>
      </c>
      <c r="D4865" s="11" t="s">
        <v>13697</v>
      </c>
      <c r="E4865" s="11" t="s">
        <v>15673</v>
      </c>
    </row>
    <row r="4866" spans="1:5">
      <c r="A4866" s="11" t="s">
        <v>15674</v>
      </c>
      <c r="B4866">
        <v>8000274</v>
      </c>
      <c r="D4866" s="11" t="s">
        <v>15675</v>
      </c>
      <c r="E4866" s="11" t="s">
        <v>15676</v>
      </c>
    </row>
    <row r="4867" spans="1:5">
      <c r="A4867" s="11" t="s">
        <v>15677</v>
      </c>
      <c r="B4867">
        <v>8071233</v>
      </c>
      <c r="D4867" s="11" t="s">
        <v>15678</v>
      </c>
      <c r="E4867" s="11" t="s">
        <v>15679</v>
      </c>
    </row>
    <row r="4868" spans="1:5">
      <c r="A4868" s="11" t="s">
        <v>15680</v>
      </c>
      <c r="B4868">
        <v>8004316</v>
      </c>
      <c r="D4868" s="11" t="s">
        <v>15681</v>
      </c>
      <c r="E4868" s="11" t="s">
        <v>15682</v>
      </c>
    </row>
    <row r="4869" spans="1:5">
      <c r="A4869" s="11" t="s">
        <v>15683</v>
      </c>
      <c r="B4869">
        <v>8004317</v>
      </c>
      <c r="D4869" s="11" t="s">
        <v>15684</v>
      </c>
      <c r="E4869" s="11" t="s">
        <v>15685</v>
      </c>
    </row>
    <row r="4870" spans="1:5">
      <c r="A4870" s="11" t="s">
        <v>15686</v>
      </c>
      <c r="B4870">
        <v>8004322</v>
      </c>
      <c r="D4870" s="11" t="s">
        <v>15687</v>
      </c>
      <c r="E4870" s="11" t="s">
        <v>15688</v>
      </c>
    </row>
    <row r="4871" spans="1:5">
      <c r="A4871" s="11" t="s">
        <v>15689</v>
      </c>
      <c r="B4871">
        <v>8004323</v>
      </c>
      <c r="D4871" s="11" t="s">
        <v>15690</v>
      </c>
      <c r="E4871" s="11" t="s">
        <v>15691</v>
      </c>
    </row>
    <row r="4872" spans="1:5">
      <c r="A4872" s="11" t="s">
        <v>15692</v>
      </c>
      <c r="B4872">
        <v>8004336</v>
      </c>
      <c r="D4872" s="11" t="s">
        <v>15693</v>
      </c>
      <c r="E4872" s="11" t="s">
        <v>15694</v>
      </c>
    </row>
    <row r="4873" spans="1:5">
      <c r="A4873" s="11" t="s">
        <v>15695</v>
      </c>
      <c r="B4873">
        <v>8004325</v>
      </c>
      <c r="D4873" s="11" t="s">
        <v>15696</v>
      </c>
      <c r="E4873" s="11" t="s">
        <v>15697</v>
      </c>
    </row>
    <row r="4874" spans="1:5">
      <c r="A4874" s="11" t="s">
        <v>15698</v>
      </c>
      <c r="B4874">
        <v>8004326</v>
      </c>
      <c r="D4874" s="11" t="s">
        <v>15699</v>
      </c>
      <c r="E4874" s="11" t="s">
        <v>15700</v>
      </c>
    </row>
    <row r="4875" spans="1:5">
      <c r="A4875" s="11" t="s">
        <v>15701</v>
      </c>
      <c r="B4875">
        <v>8010248</v>
      </c>
      <c r="D4875" s="11" t="s">
        <v>15702</v>
      </c>
      <c r="E4875" s="11" t="s">
        <v>15703</v>
      </c>
    </row>
    <row r="4876" spans="1:5">
      <c r="A4876" s="11" t="s">
        <v>15704</v>
      </c>
      <c r="B4876">
        <v>8004327</v>
      </c>
      <c r="D4876" s="11" t="s">
        <v>15705</v>
      </c>
      <c r="E4876" s="11" t="s">
        <v>15706</v>
      </c>
    </row>
    <row r="4877" spans="1:5">
      <c r="A4877" s="11" t="s">
        <v>15707</v>
      </c>
      <c r="B4877">
        <v>8004328</v>
      </c>
      <c r="D4877" s="11" t="s">
        <v>15708</v>
      </c>
      <c r="E4877" s="11" t="s">
        <v>15709</v>
      </c>
    </row>
    <row r="4878" spans="1:5">
      <c r="A4878" s="11" t="s">
        <v>15710</v>
      </c>
      <c r="B4878">
        <v>8012472</v>
      </c>
      <c r="D4878" s="11" t="s">
        <v>15711</v>
      </c>
      <c r="E4878" s="11" t="s">
        <v>15712</v>
      </c>
    </row>
    <row r="4879" spans="1:5">
      <c r="A4879" s="11" t="s">
        <v>15713</v>
      </c>
      <c r="B4879">
        <v>8010249</v>
      </c>
      <c r="D4879" s="11" t="s">
        <v>15714</v>
      </c>
      <c r="E4879" s="11" t="s">
        <v>15715</v>
      </c>
    </row>
    <row r="4880" spans="1:5">
      <c r="A4880" s="11" t="s">
        <v>15716</v>
      </c>
      <c r="B4880">
        <v>8004331</v>
      </c>
      <c r="D4880" s="11" t="s">
        <v>15717</v>
      </c>
      <c r="E4880" s="11" t="s">
        <v>15718</v>
      </c>
    </row>
    <row r="4881" spans="1:5">
      <c r="A4881" s="11" t="s">
        <v>15719</v>
      </c>
      <c r="B4881">
        <v>8004332</v>
      </c>
      <c r="D4881" s="11" t="s">
        <v>15720</v>
      </c>
      <c r="E4881" s="11" t="s">
        <v>15721</v>
      </c>
    </row>
    <row r="4882" spans="1:5">
      <c r="A4882" s="11" t="s">
        <v>15722</v>
      </c>
      <c r="B4882">
        <v>8004306</v>
      </c>
      <c r="D4882" s="11" t="s">
        <v>15723</v>
      </c>
      <c r="E4882" s="11" t="s">
        <v>15724</v>
      </c>
    </row>
    <row r="4883" spans="1:5">
      <c r="A4883" s="11" t="s">
        <v>15725</v>
      </c>
      <c r="B4883">
        <v>8000275</v>
      </c>
      <c r="D4883" s="11" t="s">
        <v>15726</v>
      </c>
      <c r="E4883" s="11" t="s">
        <v>15727</v>
      </c>
    </row>
    <row r="4884" spans="1:5">
      <c r="A4884" s="11" t="s">
        <v>15728</v>
      </c>
      <c r="B4884">
        <v>8004489</v>
      </c>
      <c r="D4884" s="11" t="s">
        <v>15729</v>
      </c>
      <c r="E4884" s="11" t="s">
        <v>15730</v>
      </c>
    </row>
    <row r="4885" spans="1:5">
      <c r="A4885" s="11" t="s">
        <v>15731</v>
      </c>
      <c r="B4885">
        <v>8012474</v>
      </c>
      <c r="D4885" s="11" t="s">
        <v>15732</v>
      </c>
      <c r="E4885" s="11" t="s">
        <v>15733</v>
      </c>
    </row>
    <row r="4886" spans="1:5">
      <c r="A4886" s="11" t="s">
        <v>15734</v>
      </c>
      <c r="B4886">
        <v>8004333</v>
      </c>
      <c r="D4886" s="11" t="s">
        <v>15735</v>
      </c>
      <c r="E4886" s="11" t="s">
        <v>15736</v>
      </c>
    </row>
    <row r="4887" spans="1:5">
      <c r="A4887" s="11" t="s">
        <v>15737</v>
      </c>
      <c r="B4887">
        <v>8084074</v>
      </c>
      <c r="D4887" s="11" t="s">
        <v>15738</v>
      </c>
      <c r="E4887" s="11" t="s">
        <v>15739</v>
      </c>
    </row>
    <row r="4888" spans="1:5">
      <c r="A4888" s="11" t="s">
        <v>15740</v>
      </c>
      <c r="B4888">
        <v>8010250</v>
      </c>
      <c r="D4888" s="11" t="s">
        <v>15741</v>
      </c>
      <c r="E4888" s="11" t="s">
        <v>15742</v>
      </c>
    </row>
    <row r="4889" spans="1:5">
      <c r="A4889" s="11" t="s">
        <v>15743</v>
      </c>
      <c r="B4889">
        <v>8012475</v>
      </c>
      <c r="D4889" s="11" t="s">
        <v>15744</v>
      </c>
      <c r="E4889" s="11" t="s">
        <v>15745</v>
      </c>
    </row>
    <row r="4890" spans="1:5">
      <c r="A4890" s="11" t="s">
        <v>15746</v>
      </c>
      <c r="B4890">
        <v>8071726</v>
      </c>
      <c r="D4890" s="11" t="s">
        <v>15747</v>
      </c>
      <c r="E4890" s="11" t="s">
        <v>15748</v>
      </c>
    </row>
    <row r="4891" spans="1:5">
      <c r="A4891" s="11" t="s">
        <v>15749</v>
      </c>
      <c r="B4891">
        <v>8006730</v>
      </c>
      <c r="D4891" s="11" t="s">
        <v>15750</v>
      </c>
      <c r="E4891" s="11" t="s">
        <v>15751</v>
      </c>
    </row>
    <row r="4892" spans="1:5">
      <c r="A4892" s="11" t="s">
        <v>15752</v>
      </c>
      <c r="B4892">
        <v>8000276</v>
      </c>
      <c r="D4892" s="11" t="s">
        <v>15753</v>
      </c>
      <c r="E4892" s="11" t="s">
        <v>15754</v>
      </c>
    </row>
    <row r="4893" spans="1:5">
      <c r="A4893" s="11" t="s">
        <v>15755</v>
      </c>
      <c r="B4893">
        <v>8004338</v>
      </c>
      <c r="D4893" s="11" t="s">
        <v>15756</v>
      </c>
      <c r="E4893" s="11" t="s">
        <v>15757</v>
      </c>
    </row>
    <row r="4894" spans="1:5">
      <c r="A4894" s="11" t="s">
        <v>15758</v>
      </c>
      <c r="B4894">
        <v>8012479</v>
      </c>
      <c r="D4894" s="11" t="s">
        <v>15759</v>
      </c>
      <c r="E4894" s="11" t="s">
        <v>15760</v>
      </c>
    </row>
    <row r="4895" spans="1:5">
      <c r="A4895" s="11" t="s">
        <v>796</v>
      </c>
      <c r="B4895">
        <v>8000277</v>
      </c>
      <c r="D4895" s="11" t="s">
        <v>798</v>
      </c>
      <c r="E4895" s="11" t="s">
        <v>799</v>
      </c>
    </row>
    <row r="4896" spans="1:5">
      <c r="A4896" s="11" t="s">
        <v>15761</v>
      </c>
      <c r="B4896">
        <v>8000158</v>
      </c>
      <c r="D4896" s="11" t="s">
        <v>15762</v>
      </c>
      <c r="E4896" s="11" t="s">
        <v>15763</v>
      </c>
    </row>
    <row r="4897" spans="1:5">
      <c r="A4897" s="11" t="s">
        <v>15764</v>
      </c>
      <c r="B4897">
        <v>8001701</v>
      </c>
      <c r="D4897" s="11" t="s">
        <v>15765</v>
      </c>
      <c r="E4897" s="11" t="s">
        <v>15766</v>
      </c>
    </row>
    <row r="4898" spans="1:5">
      <c r="A4898" s="11" t="s">
        <v>15767</v>
      </c>
      <c r="B4898">
        <v>8006465</v>
      </c>
      <c r="D4898" s="11" t="s">
        <v>15768</v>
      </c>
      <c r="E4898" s="11" t="s">
        <v>15769</v>
      </c>
    </row>
    <row r="4899" spans="1:5">
      <c r="A4899" s="11" t="s">
        <v>15770</v>
      </c>
      <c r="B4899">
        <v>8007825</v>
      </c>
      <c r="D4899" s="11" t="s">
        <v>15771</v>
      </c>
      <c r="E4899" s="11" t="s">
        <v>15772</v>
      </c>
    </row>
    <row r="4900" spans="1:5">
      <c r="A4900" s="11" t="s">
        <v>15773</v>
      </c>
      <c r="B4900">
        <v>8004343</v>
      </c>
      <c r="D4900" s="11" t="s">
        <v>15774</v>
      </c>
      <c r="E4900" s="11" t="s">
        <v>15775</v>
      </c>
    </row>
    <row r="4901" spans="1:5">
      <c r="A4901" s="11" t="s">
        <v>15776</v>
      </c>
      <c r="B4901">
        <v>8085311</v>
      </c>
      <c r="D4901" s="11" t="s">
        <v>15777</v>
      </c>
      <c r="E4901" s="11" t="s">
        <v>15778</v>
      </c>
    </row>
    <row r="4902" spans="1:5">
      <c r="A4902" s="11" t="s">
        <v>15779</v>
      </c>
      <c r="B4902">
        <v>8074343</v>
      </c>
      <c r="D4902" s="11" t="s">
        <v>15780</v>
      </c>
      <c r="E4902" s="11" t="s">
        <v>15781</v>
      </c>
    </row>
    <row r="4903" spans="1:5">
      <c r="A4903" s="11" t="s">
        <v>15782</v>
      </c>
      <c r="B4903">
        <v>8004344</v>
      </c>
      <c r="D4903" s="11" t="s">
        <v>15783</v>
      </c>
      <c r="E4903" s="11" t="s">
        <v>15784</v>
      </c>
    </row>
    <row r="4904" spans="1:5">
      <c r="A4904" s="11" t="s">
        <v>15785</v>
      </c>
      <c r="B4904">
        <v>8004345</v>
      </c>
      <c r="D4904" s="11" t="s">
        <v>15786</v>
      </c>
      <c r="E4904" s="11" t="s">
        <v>15787</v>
      </c>
    </row>
    <row r="4905" spans="1:5">
      <c r="A4905" s="11" t="s">
        <v>15788</v>
      </c>
      <c r="B4905">
        <v>8004349</v>
      </c>
      <c r="D4905" s="11" t="s">
        <v>15789</v>
      </c>
      <c r="E4905" s="11" t="s">
        <v>15790</v>
      </c>
    </row>
    <row r="4906" spans="1:5">
      <c r="A4906" s="11" t="s">
        <v>15791</v>
      </c>
      <c r="B4906">
        <v>8004353</v>
      </c>
      <c r="D4906" s="11" t="s">
        <v>15792</v>
      </c>
      <c r="E4906" s="11" t="s">
        <v>15793</v>
      </c>
    </row>
    <row r="4907" spans="1:5">
      <c r="A4907" s="11" t="s">
        <v>15794</v>
      </c>
      <c r="B4907">
        <v>8071875</v>
      </c>
      <c r="D4907" s="11" t="s">
        <v>15795</v>
      </c>
      <c r="E4907" s="11" t="s">
        <v>15796</v>
      </c>
    </row>
    <row r="4908" spans="1:5">
      <c r="A4908" s="11" t="s">
        <v>15797</v>
      </c>
      <c r="B4908">
        <v>8012482</v>
      </c>
      <c r="D4908" s="11" t="s">
        <v>15798</v>
      </c>
      <c r="E4908" s="11" t="s">
        <v>15799</v>
      </c>
    </row>
    <row r="4909" spans="1:5">
      <c r="A4909" s="11" t="s">
        <v>15800</v>
      </c>
      <c r="B4909">
        <v>8007834</v>
      </c>
      <c r="D4909" s="11" t="s">
        <v>15801</v>
      </c>
      <c r="E4909" s="11" t="s">
        <v>15802</v>
      </c>
    </row>
    <row r="4910" spans="1:5">
      <c r="A4910" s="11" t="s">
        <v>15803</v>
      </c>
      <c r="B4910">
        <v>8004363</v>
      </c>
      <c r="D4910" s="11" t="s">
        <v>15804</v>
      </c>
      <c r="E4910" s="11" t="s">
        <v>15805</v>
      </c>
    </row>
    <row r="4911" spans="1:5">
      <c r="A4911" s="11" t="s">
        <v>15806</v>
      </c>
      <c r="B4911">
        <v>8012483</v>
      </c>
      <c r="D4911" s="11" t="s">
        <v>15807</v>
      </c>
      <c r="E4911" s="11" t="s">
        <v>15808</v>
      </c>
    </row>
    <row r="4912" spans="1:5">
      <c r="A4912" s="11" t="s">
        <v>15809</v>
      </c>
      <c r="B4912">
        <v>8072865</v>
      </c>
      <c r="D4912" s="11" t="s">
        <v>15810</v>
      </c>
      <c r="E4912" s="11" t="s">
        <v>15811</v>
      </c>
    </row>
    <row r="4913" spans="1:5">
      <c r="A4913" s="11" t="s">
        <v>15812</v>
      </c>
      <c r="B4913">
        <v>8004364</v>
      </c>
      <c r="D4913" s="11" t="s">
        <v>15813</v>
      </c>
      <c r="E4913" s="11" t="s">
        <v>15814</v>
      </c>
    </row>
    <row r="4914" spans="1:5">
      <c r="A4914" s="11" t="s">
        <v>15815</v>
      </c>
      <c r="B4914">
        <v>8004366</v>
      </c>
      <c r="D4914" s="11" t="s">
        <v>15816</v>
      </c>
      <c r="E4914" s="11" t="s">
        <v>15817</v>
      </c>
    </row>
    <row r="4915" spans="1:5">
      <c r="A4915" s="11" t="s">
        <v>15818</v>
      </c>
      <c r="B4915">
        <v>8013459</v>
      </c>
      <c r="D4915" s="11" t="s">
        <v>15819</v>
      </c>
      <c r="E4915" s="11" t="s">
        <v>15820</v>
      </c>
    </row>
    <row r="4916" spans="1:5">
      <c r="A4916" s="11" t="s">
        <v>15821</v>
      </c>
      <c r="B4916">
        <v>8004367</v>
      </c>
      <c r="D4916" s="11" t="s">
        <v>15822</v>
      </c>
      <c r="E4916" s="11" t="s">
        <v>15823</v>
      </c>
    </row>
    <row r="4917" spans="1:5">
      <c r="A4917" s="11" t="s">
        <v>15824</v>
      </c>
      <c r="B4917">
        <v>8007079</v>
      </c>
      <c r="D4917" s="11" t="s">
        <v>15825</v>
      </c>
      <c r="E4917" s="11" t="s">
        <v>15826</v>
      </c>
    </row>
    <row r="4918" spans="1:5">
      <c r="A4918" s="11" t="s">
        <v>15827</v>
      </c>
      <c r="B4918">
        <v>8004369</v>
      </c>
      <c r="D4918" s="11" t="s">
        <v>15828</v>
      </c>
      <c r="E4918" s="11" t="s">
        <v>15829</v>
      </c>
    </row>
    <row r="4919" spans="1:5">
      <c r="A4919" s="11" t="s">
        <v>15830</v>
      </c>
      <c r="B4919">
        <v>8004373</v>
      </c>
      <c r="D4919" s="11" t="s">
        <v>15831</v>
      </c>
      <c r="E4919" s="11" t="s">
        <v>15832</v>
      </c>
    </row>
    <row r="4920" spans="1:5">
      <c r="A4920" s="11" t="s">
        <v>15833</v>
      </c>
      <c r="B4920">
        <v>8012485</v>
      </c>
      <c r="D4920" s="11" t="s">
        <v>15834</v>
      </c>
      <c r="E4920" s="11" t="s">
        <v>15835</v>
      </c>
    </row>
    <row r="4921" spans="1:5">
      <c r="A4921" s="11" t="s">
        <v>15836</v>
      </c>
      <c r="B4921">
        <v>8012487</v>
      </c>
      <c r="D4921" s="11" t="s">
        <v>15837</v>
      </c>
      <c r="E4921" s="11" t="s">
        <v>15838</v>
      </c>
    </row>
    <row r="4922" spans="1:5">
      <c r="A4922" s="11" t="s">
        <v>15839</v>
      </c>
      <c r="B4922">
        <v>8004376</v>
      </c>
      <c r="D4922" s="11" t="s">
        <v>15840</v>
      </c>
      <c r="E4922" s="11" t="s">
        <v>15841</v>
      </c>
    </row>
    <row r="4923" spans="1:5">
      <c r="A4923" s="11" t="s">
        <v>15842</v>
      </c>
      <c r="B4923">
        <v>8071535</v>
      </c>
      <c r="D4923" s="11" t="s">
        <v>15843</v>
      </c>
      <c r="E4923" s="11" t="s">
        <v>15844</v>
      </c>
    </row>
    <row r="4924" spans="1:5">
      <c r="A4924" s="11" t="s">
        <v>15845</v>
      </c>
      <c r="B4924">
        <v>8004379</v>
      </c>
      <c r="D4924" s="11" t="s">
        <v>15846</v>
      </c>
      <c r="E4924" s="11" t="s">
        <v>15847</v>
      </c>
    </row>
    <row r="4925" spans="1:5">
      <c r="A4925" s="11" t="s">
        <v>15848</v>
      </c>
      <c r="B4925">
        <v>8004380</v>
      </c>
      <c r="D4925" s="11" t="s">
        <v>15849</v>
      </c>
      <c r="E4925" s="11" t="s">
        <v>15850</v>
      </c>
    </row>
    <row r="4926" spans="1:5">
      <c r="A4926" s="11" t="s">
        <v>15851</v>
      </c>
      <c r="B4926">
        <v>8004381</v>
      </c>
      <c r="D4926" s="11" t="s">
        <v>15852</v>
      </c>
      <c r="E4926" s="11" t="s">
        <v>15853</v>
      </c>
    </row>
    <row r="4927" spans="1:5">
      <c r="A4927" s="11" t="s">
        <v>15854</v>
      </c>
      <c r="B4927">
        <v>8004382</v>
      </c>
      <c r="D4927" s="11" t="s">
        <v>15855</v>
      </c>
      <c r="E4927" s="11" t="s">
        <v>15856</v>
      </c>
    </row>
    <row r="4928" spans="1:5">
      <c r="A4928" s="11" t="s">
        <v>15857</v>
      </c>
      <c r="B4928">
        <v>711841</v>
      </c>
      <c r="D4928" s="11" t="s">
        <v>15858</v>
      </c>
      <c r="E4928" s="11" t="s">
        <v>15859</v>
      </c>
    </row>
    <row r="4929" spans="1:5">
      <c r="A4929" s="11" t="s">
        <v>15860</v>
      </c>
      <c r="B4929">
        <v>711845</v>
      </c>
      <c r="D4929" s="11" t="s">
        <v>15861</v>
      </c>
      <c r="E4929" s="11" t="s">
        <v>15862</v>
      </c>
    </row>
    <row r="4930" spans="1:5">
      <c r="A4930" s="11" t="s">
        <v>15863</v>
      </c>
      <c r="B4930">
        <v>711838</v>
      </c>
      <c r="D4930" s="11" t="s">
        <v>15864</v>
      </c>
      <c r="E4930" s="11" t="s">
        <v>15865</v>
      </c>
    </row>
    <row r="4931" spans="1:5">
      <c r="A4931" s="11" t="s">
        <v>15866</v>
      </c>
      <c r="B4931">
        <v>8000278</v>
      </c>
      <c r="D4931" s="11" t="s">
        <v>15867</v>
      </c>
      <c r="E4931" s="11" t="s">
        <v>15868</v>
      </c>
    </row>
    <row r="4932" spans="1:5">
      <c r="A4932" s="11" t="s">
        <v>15869</v>
      </c>
      <c r="B4932">
        <v>8012489</v>
      </c>
      <c r="D4932" s="11" t="s">
        <v>15870</v>
      </c>
      <c r="E4932" s="11" t="s">
        <v>15871</v>
      </c>
    </row>
    <row r="4933" spans="1:5">
      <c r="A4933" s="11" t="s">
        <v>15872</v>
      </c>
      <c r="B4933">
        <v>8004391</v>
      </c>
      <c r="D4933" s="11" t="s">
        <v>15873</v>
      </c>
      <c r="E4933" s="11" t="s">
        <v>15874</v>
      </c>
    </row>
    <row r="4934" spans="1:5">
      <c r="A4934" s="11" t="s">
        <v>15875</v>
      </c>
      <c r="B4934">
        <v>8004392</v>
      </c>
      <c r="D4934" s="11" t="s">
        <v>15876</v>
      </c>
      <c r="E4934" s="11" t="s">
        <v>15877</v>
      </c>
    </row>
    <row r="4935" spans="1:5">
      <c r="A4935" s="11" t="s">
        <v>15878</v>
      </c>
      <c r="B4935">
        <v>8000246</v>
      </c>
      <c r="D4935" s="11" t="s">
        <v>15879</v>
      </c>
      <c r="E4935" s="11" t="s">
        <v>15880</v>
      </c>
    </row>
    <row r="4936" spans="1:5">
      <c r="A4936" s="11" t="s">
        <v>15881</v>
      </c>
      <c r="B4936">
        <v>8070706</v>
      </c>
      <c r="D4936" s="11" t="s">
        <v>15882</v>
      </c>
      <c r="E4936" s="11" t="s">
        <v>15883</v>
      </c>
    </row>
    <row r="4937" spans="1:5">
      <c r="A4937" s="11" t="s">
        <v>15884</v>
      </c>
      <c r="B4937">
        <v>8004395</v>
      </c>
      <c r="D4937" s="11" t="s">
        <v>15885</v>
      </c>
      <c r="E4937" s="11" t="s">
        <v>15886</v>
      </c>
    </row>
    <row r="4938" spans="1:5">
      <c r="A4938" s="11" t="s">
        <v>15887</v>
      </c>
      <c r="B4938">
        <v>8004396</v>
      </c>
      <c r="D4938" s="11" t="s">
        <v>15888</v>
      </c>
      <c r="E4938" s="11" t="s">
        <v>15889</v>
      </c>
    </row>
    <row r="4939" spans="1:5">
      <c r="A4939" s="11" t="s">
        <v>15890</v>
      </c>
      <c r="B4939">
        <v>8012490</v>
      </c>
      <c r="D4939" s="11" t="s">
        <v>15891</v>
      </c>
      <c r="E4939" s="11" t="s">
        <v>15892</v>
      </c>
    </row>
    <row r="4940" spans="1:5">
      <c r="A4940" s="11" t="s">
        <v>15893</v>
      </c>
      <c r="B4940">
        <v>8004400</v>
      </c>
      <c r="D4940" s="11" t="s">
        <v>15894</v>
      </c>
      <c r="E4940" s="11" t="s">
        <v>15895</v>
      </c>
    </row>
    <row r="4941" spans="1:5">
      <c r="A4941" s="11" t="s">
        <v>15896</v>
      </c>
      <c r="B4941">
        <v>8012491</v>
      </c>
      <c r="D4941" s="11" t="s">
        <v>15897</v>
      </c>
      <c r="E4941" s="11" t="s">
        <v>15898</v>
      </c>
    </row>
    <row r="4942" spans="1:5">
      <c r="A4942" s="11" t="s">
        <v>15899</v>
      </c>
      <c r="B4942">
        <v>8071668</v>
      </c>
      <c r="D4942" s="11" t="s">
        <v>15900</v>
      </c>
      <c r="E4942" s="11" t="s">
        <v>15901</v>
      </c>
    </row>
    <row r="4943" spans="1:5">
      <c r="A4943" s="11" t="s">
        <v>15902</v>
      </c>
      <c r="B4943">
        <v>8004348</v>
      </c>
      <c r="D4943" s="11" t="s">
        <v>15903</v>
      </c>
      <c r="E4943" s="11" t="s">
        <v>15904</v>
      </c>
    </row>
    <row r="4944" spans="1:5">
      <c r="A4944" s="11" t="s">
        <v>15905</v>
      </c>
      <c r="B4944">
        <v>8012493</v>
      </c>
      <c r="D4944" s="11" t="s">
        <v>15906</v>
      </c>
      <c r="E4944" s="11" t="s">
        <v>15907</v>
      </c>
    </row>
    <row r="4945" spans="1:5">
      <c r="A4945" s="11" t="s">
        <v>15908</v>
      </c>
      <c r="B4945">
        <v>8004401</v>
      </c>
      <c r="D4945" s="11" t="s">
        <v>15909</v>
      </c>
      <c r="E4945" s="11" t="s">
        <v>15910</v>
      </c>
    </row>
    <row r="4946" spans="1:5">
      <c r="A4946" s="11" t="s">
        <v>15911</v>
      </c>
      <c r="B4946">
        <v>8004404</v>
      </c>
      <c r="D4946" s="11" t="s">
        <v>15912</v>
      </c>
      <c r="E4946" s="11" t="s">
        <v>15913</v>
      </c>
    </row>
    <row r="4947" spans="1:5">
      <c r="A4947" s="11" t="s">
        <v>15914</v>
      </c>
      <c r="B4947">
        <v>8012494</v>
      </c>
      <c r="D4947" s="11" t="s">
        <v>15915</v>
      </c>
      <c r="E4947" s="11" t="s">
        <v>15916</v>
      </c>
    </row>
    <row r="4948" spans="1:5">
      <c r="A4948" s="11" t="s">
        <v>15917</v>
      </c>
      <c r="B4948">
        <v>8080992</v>
      </c>
      <c r="D4948" s="11" t="s">
        <v>15918</v>
      </c>
      <c r="E4948" s="11" t="s">
        <v>15919</v>
      </c>
    </row>
    <row r="4949" spans="1:5">
      <c r="A4949" s="11" t="s">
        <v>15920</v>
      </c>
      <c r="B4949">
        <v>8080991</v>
      </c>
      <c r="D4949" s="11" t="s">
        <v>15921</v>
      </c>
      <c r="E4949" s="11" t="s">
        <v>15922</v>
      </c>
    </row>
    <row r="4950" spans="1:5">
      <c r="A4950" s="11" t="s">
        <v>15923</v>
      </c>
      <c r="B4950">
        <v>8017017</v>
      </c>
      <c r="D4950" s="11" t="s">
        <v>15924</v>
      </c>
      <c r="E4950" s="11" t="s">
        <v>15925</v>
      </c>
    </row>
    <row r="4951" spans="1:5">
      <c r="A4951" s="11" t="s">
        <v>15926</v>
      </c>
      <c r="B4951">
        <v>8004405</v>
      </c>
      <c r="D4951" s="11" t="s">
        <v>15927</v>
      </c>
      <c r="E4951" s="11" t="s">
        <v>15928</v>
      </c>
    </row>
    <row r="4952" spans="1:5">
      <c r="A4952" s="11" t="s">
        <v>15929</v>
      </c>
      <c r="B4952">
        <v>8004406</v>
      </c>
      <c r="D4952" s="11" t="s">
        <v>15930</v>
      </c>
      <c r="E4952" s="11" t="s">
        <v>15931</v>
      </c>
    </row>
    <row r="4953" spans="1:5">
      <c r="A4953" s="11" t="s">
        <v>15932</v>
      </c>
      <c r="B4953">
        <v>8004407</v>
      </c>
      <c r="D4953" s="11" t="s">
        <v>15933</v>
      </c>
      <c r="E4953" s="11" t="s">
        <v>15934</v>
      </c>
    </row>
    <row r="4954" spans="1:5">
      <c r="A4954" s="11" t="s">
        <v>15935</v>
      </c>
      <c r="B4954">
        <v>8012496</v>
      </c>
      <c r="D4954" s="11" t="s">
        <v>15936</v>
      </c>
      <c r="E4954" s="11" t="s">
        <v>15937</v>
      </c>
    </row>
    <row r="4955" spans="1:5">
      <c r="A4955" s="11" t="s">
        <v>15938</v>
      </c>
      <c r="B4955">
        <v>8012497</v>
      </c>
      <c r="D4955" s="11" t="s">
        <v>15939</v>
      </c>
      <c r="E4955" s="11" t="s">
        <v>15940</v>
      </c>
    </row>
    <row r="4956" spans="1:5">
      <c r="A4956" s="11" t="s">
        <v>15941</v>
      </c>
      <c r="B4956">
        <v>8012498</v>
      </c>
      <c r="D4956" s="11" t="s">
        <v>15942</v>
      </c>
      <c r="E4956" s="11" t="s">
        <v>15943</v>
      </c>
    </row>
    <row r="4957" spans="1:5">
      <c r="A4957" s="11" t="s">
        <v>15944</v>
      </c>
      <c r="B4957">
        <v>8004409</v>
      </c>
      <c r="D4957" s="11" t="s">
        <v>15945</v>
      </c>
      <c r="E4957" s="11" t="s">
        <v>15946</v>
      </c>
    </row>
    <row r="4958" spans="1:5">
      <c r="A4958" s="11" t="s">
        <v>15947</v>
      </c>
      <c r="B4958">
        <v>8012500</v>
      </c>
      <c r="D4958" s="11" t="s">
        <v>15948</v>
      </c>
      <c r="E4958" s="11" t="s">
        <v>15949</v>
      </c>
    </row>
    <row r="4959" spans="1:5">
      <c r="A4959" s="11" t="s">
        <v>15950</v>
      </c>
      <c r="B4959">
        <v>8071064</v>
      </c>
      <c r="D4959" s="11" t="s">
        <v>15951</v>
      </c>
      <c r="E4959" s="11" t="s">
        <v>15952</v>
      </c>
    </row>
    <row r="4960" spans="1:5">
      <c r="A4960" s="11" t="s">
        <v>434</v>
      </c>
      <c r="B4960">
        <v>8007278</v>
      </c>
      <c r="D4960" s="11" t="s">
        <v>436</v>
      </c>
      <c r="E4960" s="11" t="s">
        <v>437</v>
      </c>
    </row>
    <row r="4961" spans="1:5">
      <c r="A4961" s="11" t="s">
        <v>15953</v>
      </c>
      <c r="B4961">
        <v>8004412</v>
      </c>
      <c r="D4961" s="11" t="s">
        <v>15954</v>
      </c>
      <c r="E4961" s="11" t="s">
        <v>15955</v>
      </c>
    </row>
    <row r="4962" spans="1:5">
      <c r="A4962" s="11" t="s">
        <v>15956</v>
      </c>
      <c r="B4962">
        <v>8004413</v>
      </c>
      <c r="D4962" s="11" t="s">
        <v>15957</v>
      </c>
      <c r="E4962" s="11" t="s">
        <v>15958</v>
      </c>
    </row>
    <row r="4963" spans="1:5">
      <c r="A4963" s="11" t="s">
        <v>15959</v>
      </c>
      <c r="B4963">
        <v>8012501</v>
      </c>
      <c r="D4963" s="11" t="s">
        <v>15960</v>
      </c>
      <c r="E4963" s="11" t="s">
        <v>15961</v>
      </c>
    </row>
    <row r="4964" spans="1:5">
      <c r="A4964" s="11" t="s">
        <v>15962</v>
      </c>
      <c r="B4964">
        <v>8012502</v>
      </c>
      <c r="D4964" s="11" t="s">
        <v>15963</v>
      </c>
      <c r="E4964" s="11" t="s">
        <v>15964</v>
      </c>
    </row>
    <row r="4965" spans="1:5">
      <c r="A4965" s="11" t="s">
        <v>15965</v>
      </c>
      <c r="B4965">
        <v>8004417</v>
      </c>
      <c r="D4965" s="11" t="s">
        <v>15966</v>
      </c>
      <c r="E4965" s="11" t="s">
        <v>15967</v>
      </c>
    </row>
    <row r="4966" spans="1:5">
      <c r="A4966" s="11" t="s">
        <v>15968</v>
      </c>
      <c r="B4966">
        <v>8004418</v>
      </c>
      <c r="D4966" s="11" t="s">
        <v>15969</v>
      </c>
      <c r="E4966" s="11" t="s">
        <v>15970</v>
      </c>
    </row>
    <row r="4967" spans="1:5">
      <c r="A4967" s="11" t="s">
        <v>15971</v>
      </c>
      <c r="B4967">
        <v>8012503</v>
      </c>
      <c r="D4967" s="11" t="s">
        <v>15972</v>
      </c>
      <c r="E4967" s="11" t="s">
        <v>15973</v>
      </c>
    </row>
    <row r="4968" spans="1:5">
      <c r="A4968" s="11" t="s">
        <v>15974</v>
      </c>
      <c r="B4968">
        <v>8004420</v>
      </c>
      <c r="D4968" s="11" t="s">
        <v>15975</v>
      </c>
      <c r="E4968" s="11" t="s">
        <v>15976</v>
      </c>
    </row>
    <row r="4969" spans="1:5">
      <c r="A4969" s="11" t="s">
        <v>15977</v>
      </c>
      <c r="B4969">
        <v>8010253</v>
      </c>
      <c r="D4969" s="11" t="s">
        <v>15978</v>
      </c>
      <c r="E4969" s="11" t="s">
        <v>15979</v>
      </c>
    </row>
    <row r="4970" spans="1:5">
      <c r="A4970" s="11" t="s">
        <v>15980</v>
      </c>
      <c r="B4970">
        <v>8012504</v>
      </c>
      <c r="D4970" s="11" t="s">
        <v>15981</v>
      </c>
      <c r="E4970" s="11" t="s">
        <v>15982</v>
      </c>
    </row>
    <row r="4971" spans="1:5">
      <c r="A4971" s="11" t="s">
        <v>15983</v>
      </c>
      <c r="B4971">
        <v>8004423</v>
      </c>
      <c r="D4971" s="11" t="s">
        <v>15984</v>
      </c>
      <c r="E4971" s="11" t="s">
        <v>15985</v>
      </c>
    </row>
    <row r="4972" spans="1:5">
      <c r="A4972" s="11" t="s">
        <v>15986</v>
      </c>
      <c r="B4972">
        <v>8012505</v>
      </c>
      <c r="D4972" s="11" t="s">
        <v>15987</v>
      </c>
      <c r="E4972" s="11" t="s">
        <v>15988</v>
      </c>
    </row>
    <row r="4973" spans="1:5">
      <c r="A4973" s="11" t="s">
        <v>15989</v>
      </c>
      <c r="B4973">
        <v>8004424</v>
      </c>
      <c r="D4973" s="11" t="s">
        <v>15990</v>
      </c>
      <c r="E4973" s="11" t="s">
        <v>15991</v>
      </c>
    </row>
    <row r="4974" spans="1:5">
      <c r="A4974" s="11" t="s">
        <v>15992</v>
      </c>
      <c r="B4974">
        <v>8071532</v>
      </c>
      <c r="D4974" s="11" t="s">
        <v>15993</v>
      </c>
      <c r="E4974" s="11" t="s">
        <v>15994</v>
      </c>
    </row>
    <row r="4975" spans="1:5">
      <c r="A4975" s="11" t="s">
        <v>15995</v>
      </c>
      <c r="B4975">
        <v>8070501</v>
      </c>
      <c r="D4975" s="11" t="s">
        <v>15996</v>
      </c>
      <c r="E4975" s="11" t="s">
        <v>15997</v>
      </c>
    </row>
    <row r="4976" spans="1:5">
      <c r="A4976" s="11" t="s">
        <v>15998</v>
      </c>
      <c r="B4976">
        <v>8012499</v>
      </c>
      <c r="D4976" s="11" t="s">
        <v>15999</v>
      </c>
      <c r="E4976" s="11" t="s">
        <v>16000</v>
      </c>
    </row>
    <row r="4977" spans="1:5">
      <c r="A4977" s="11" t="s">
        <v>16001</v>
      </c>
      <c r="B4977">
        <v>8004425</v>
      </c>
      <c r="D4977" s="11" t="s">
        <v>16002</v>
      </c>
      <c r="E4977" s="11" t="s">
        <v>16003</v>
      </c>
    </row>
    <row r="4978" spans="1:5">
      <c r="A4978" s="11" t="s">
        <v>16004</v>
      </c>
      <c r="B4978">
        <v>8012506</v>
      </c>
      <c r="D4978" s="11" t="s">
        <v>16005</v>
      </c>
      <c r="E4978" s="11" t="s">
        <v>16006</v>
      </c>
    </row>
    <row r="4979" spans="1:5">
      <c r="A4979" s="11" t="s">
        <v>16007</v>
      </c>
      <c r="B4979">
        <v>8071992</v>
      </c>
      <c r="D4979" s="11" t="s">
        <v>16008</v>
      </c>
      <c r="E4979" s="11" t="s">
        <v>16009</v>
      </c>
    </row>
    <row r="4980" spans="1:5">
      <c r="A4980" s="11" t="s">
        <v>16010</v>
      </c>
      <c r="B4980">
        <v>8012507</v>
      </c>
      <c r="D4980" s="11" t="s">
        <v>16011</v>
      </c>
      <c r="E4980" s="11" t="s">
        <v>16012</v>
      </c>
    </row>
    <row r="4981" spans="1:5">
      <c r="A4981" s="11" t="s">
        <v>16013</v>
      </c>
      <c r="B4981">
        <v>8000279</v>
      </c>
      <c r="D4981" s="11" t="s">
        <v>16014</v>
      </c>
      <c r="E4981" s="11" t="s">
        <v>16015</v>
      </c>
    </row>
    <row r="4982" spans="1:5">
      <c r="A4982" s="11" t="s">
        <v>16016</v>
      </c>
      <c r="B4982">
        <v>8010254</v>
      </c>
      <c r="D4982" s="11" t="s">
        <v>16017</v>
      </c>
      <c r="E4982" s="11" t="s">
        <v>16018</v>
      </c>
    </row>
    <row r="4983" spans="1:5">
      <c r="A4983" s="11" t="s">
        <v>1228</v>
      </c>
      <c r="B4983">
        <v>8004432</v>
      </c>
      <c r="D4983" s="11" t="s">
        <v>16019</v>
      </c>
      <c r="E4983" s="11" t="s">
        <v>16020</v>
      </c>
    </row>
    <row r="4984" spans="1:5">
      <c r="A4984" s="11" t="s">
        <v>16021</v>
      </c>
      <c r="B4984">
        <v>8013493</v>
      </c>
      <c r="D4984" s="11" t="s">
        <v>16022</v>
      </c>
      <c r="E4984" s="11" t="s">
        <v>16023</v>
      </c>
    </row>
    <row r="4985" spans="1:5">
      <c r="A4985" s="11" t="s">
        <v>16024</v>
      </c>
      <c r="B4985">
        <v>8004433</v>
      </c>
      <c r="D4985" s="11" t="s">
        <v>16025</v>
      </c>
      <c r="E4985" s="11" t="s">
        <v>16026</v>
      </c>
    </row>
    <row r="4986" spans="1:5">
      <c r="A4986" s="11" t="s">
        <v>16027</v>
      </c>
      <c r="B4986">
        <v>8004434</v>
      </c>
      <c r="D4986" s="11" t="s">
        <v>16028</v>
      </c>
      <c r="E4986" s="11" t="s">
        <v>16029</v>
      </c>
    </row>
    <row r="4987" spans="1:5">
      <c r="A4987" s="11" t="s">
        <v>16030</v>
      </c>
      <c r="B4987">
        <v>8004435</v>
      </c>
      <c r="D4987" s="11" t="s">
        <v>16031</v>
      </c>
      <c r="E4987" s="11" t="s">
        <v>16032</v>
      </c>
    </row>
    <row r="4988" spans="1:5">
      <c r="A4988" s="11" t="s">
        <v>16033</v>
      </c>
      <c r="B4988">
        <v>8004437</v>
      </c>
      <c r="D4988" s="11" t="s">
        <v>16034</v>
      </c>
      <c r="E4988" s="11" t="s">
        <v>16035</v>
      </c>
    </row>
    <row r="4989" spans="1:5">
      <c r="A4989" s="11" t="s">
        <v>16036</v>
      </c>
      <c r="B4989">
        <v>8007294</v>
      </c>
      <c r="D4989" s="11" t="s">
        <v>16037</v>
      </c>
      <c r="E4989" s="11" t="s">
        <v>16038</v>
      </c>
    </row>
    <row r="4990" spans="1:5">
      <c r="A4990" s="11" t="s">
        <v>16039</v>
      </c>
      <c r="B4990">
        <v>8001819</v>
      </c>
      <c r="D4990" s="11" t="s">
        <v>16040</v>
      </c>
      <c r="E4990" s="11" t="s">
        <v>16041</v>
      </c>
    </row>
    <row r="4991" spans="1:5">
      <c r="A4991" s="11" t="s">
        <v>16042</v>
      </c>
      <c r="B4991">
        <v>8004438</v>
      </c>
      <c r="D4991" s="11" t="s">
        <v>16043</v>
      </c>
      <c r="E4991" s="11" t="s">
        <v>16044</v>
      </c>
    </row>
    <row r="4992" spans="1:5">
      <c r="A4992" s="11" t="s">
        <v>16045</v>
      </c>
      <c r="B4992">
        <v>8012509</v>
      </c>
      <c r="D4992" s="11" t="s">
        <v>16046</v>
      </c>
      <c r="E4992" s="11" t="s">
        <v>16047</v>
      </c>
    </row>
    <row r="4993" spans="1:5">
      <c r="A4993" s="11" t="s">
        <v>16048</v>
      </c>
      <c r="B4993">
        <v>8004444</v>
      </c>
      <c r="D4993" s="11" t="s">
        <v>16049</v>
      </c>
      <c r="E4993" s="11" t="s">
        <v>16050</v>
      </c>
    </row>
    <row r="4994" spans="1:5">
      <c r="A4994" s="11" t="s">
        <v>16051</v>
      </c>
      <c r="B4994">
        <v>8079083</v>
      </c>
      <c r="D4994" s="11" t="s">
        <v>16052</v>
      </c>
      <c r="E4994" s="11" t="s">
        <v>16053</v>
      </c>
    </row>
    <row r="4995" spans="1:5">
      <c r="A4995" s="11" t="s">
        <v>16054</v>
      </c>
      <c r="B4995">
        <v>8012511</v>
      </c>
      <c r="D4995" s="11" t="s">
        <v>16055</v>
      </c>
      <c r="E4995" s="11" t="s">
        <v>16056</v>
      </c>
    </row>
    <row r="4996" spans="1:5">
      <c r="A4996" s="11" t="s">
        <v>16057</v>
      </c>
      <c r="B4996">
        <v>8012512</v>
      </c>
      <c r="D4996" s="11" t="s">
        <v>16058</v>
      </c>
      <c r="E4996" s="11" t="s">
        <v>16059</v>
      </c>
    </row>
    <row r="4997" spans="1:5">
      <c r="A4997" s="11" t="s">
        <v>16060</v>
      </c>
      <c r="B4997">
        <v>8004446</v>
      </c>
      <c r="D4997" s="11" t="s">
        <v>16061</v>
      </c>
      <c r="E4997" s="11" t="s">
        <v>16062</v>
      </c>
    </row>
    <row r="4998" spans="1:5">
      <c r="A4998" s="11" t="s">
        <v>16063</v>
      </c>
      <c r="B4998">
        <v>8074446</v>
      </c>
      <c r="D4998" s="11" t="s">
        <v>16064</v>
      </c>
      <c r="E4998" s="11" t="s">
        <v>16065</v>
      </c>
    </row>
    <row r="4999" spans="1:5">
      <c r="A4999" s="11" t="s">
        <v>16066</v>
      </c>
      <c r="B4999">
        <v>8004449</v>
      </c>
      <c r="D4999" s="11" t="s">
        <v>16067</v>
      </c>
      <c r="E4999" s="11" t="s">
        <v>16068</v>
      </c>
    </row>
    <row r="5000" spans="1:5">
      <c r="A5000" s="11" t="s">
        <v>16069</v>
      </c>
      <c r="B5000">
        <v>8007768</v>
      </c>
      <c r="D5000" s="11" t="s">
        <v>16070</v>
      </c>
      <c r="E5000" s="11" t="s">
        <v>16071</v>
      </c>
    </row>
    <row r="5001" spans="1:5">
      <c r="A5001" s="11" t="s">
        <v>16072</v>
      </c>
      <c r="B5001">
        <v>8000800</v>
      </c>
      <c r="D5001" s="11" t="s">
        <v>16073</v>
      </c>
      <c r="E5001" s="11" t="s">
        <v>16074</v>
      </c>
    </row>
    <row r="5002" spans="1:5">
      <c r="A5002" s="11" t="s">
        <v>16075</v>
      </c>
      <c r="B5002">
        <v>8004451</v>
      </c>
      <c r="D5002" s="11" t="s">
        <v>16076</v>
      </c>
      <c r="E5002" s="11" t="s">
        <v>16077</v>
      </c>
    </row>
    <row r="5003" spans="1:5">
      <c r="A5003" s="11" t="s">
        <v>16078</v>
      </c>
      <c r="B5003">
        <v>8004452</v>
      </c>
      <c r="D5003" s="11" t="s">
        <v>16079</v>
      </c>
      <c r="E5003" s="11" t="s">
        <v>16080</v>
      </c>
    </row>
    <row r="5004" spans="1:5">
      <c r="A5004" s="11" t="s">
        <v>16081</v>
      </c>
      <c r="B5004">
        <v>8007762</v>
      </c>
      <c r="D5004" s="11" t="s">
        <v>16082</v>
      </c>
      <c r="E5004" s="11" t="s">
        <v>16083</v>
      </c>
    </row>
    <row r="5005" spans="1:5">
      <c r="A5005" s="11" t="s">
        <v>16084</v>
      </c>
      <c r="B5005">
        <v>8079027</v>
      </c>
      <c r="D5005" s="11" t="s">
        <v>16085</v>
      </c>
      <c r="E5005" s="11" t="s">
        <v>16086</v>
      </c>
    </row>
    <row r="5006" spans="1:5">
      <c r="A5006" s="11" t="s">
        <v>16087</v>
      </c>
      <c r="B5006">
        <v>8004455</v>
      </c>
      <c r="D5006" s="11" t="s">
        <v>16088</v>
      </c>
      <c r="E5006" s="11" t="s">
        <v>16089</v>
      </c>
    </row>
    <row r="5007" spans="1:5">
      <c r="A5007" s="11" t="s">
        <v>16090</v>
      </c>
      <c r="B5007">
        <v>8004456</v>
      </c>
      <c r="D5007" s="11" t="s">
        <v>16091</v>
      </c>
      <c r="E5007" s="11" t="s">
        <v>16092</v>
      </c>
    </row>
    <row r="5008" spans="1:5">
      <c r="A5008" s="11" t="s">
        <v>544</v>
      </c>
      <c r="B5008">
        <v>8010256</v>
      </c>
      <c r="D5008" s="11" t="s">
        <v>546</v>
      </c>
      <c r="E5008" s="11" t="s">
        <v>547</v>
      </c>
    </row>
    <row r="5009" spans="1:5">
      <c r="A5009" s="11" t="s">
        <v>16093</v>
      </c>
      <c r="B5009">
        <v>8070777</v>
      </c>
      <c r="D5009" s="11" t="s">
        <v>1539</v>
      </c>
      <c r="E5009" s="11" t="s">
        <v>1539</v>
      </c>
    </row>
    <row r="5010" spans="1:5">
      <c r="A5010" s="11" t="s">
        <v>16094</v>
      </c>
      <c r="B5010">
        <v>8070732</v>
      </c>
      <c r="D5010" s="11" t="s">
        <v>16095</v>
      </c>
      <c r="E5010" s="11" t="s">
        <v>16096</v>
      </c>
    </row>
    <row r="5011" spans="1:5">
      <c r="A5011" s="11" t="s">
        <v>16097</v>
      </c>
      <c r="B5011">
        <v>8017020</v>
      </c>
      <c r="D5011" s="11" t="s">
        <v>16098</v>
      </c>
      <c r="E5011" s="11" t="s">
        <v>16099</v>
      </c>
    </row>
    <row r="5012" spans="1:5">
      <c r="A5012" s="11" t="s">
        <v>16100</v>
      </c>
      <c r="B5012">
        <v>8070733</v>
      </c>
      <c r="D5012" s="11" t="s">
        <v>16101</v>
      </c>
      <c r="E5012" s="11" t="s">
        <v>16102</v>
      </c>
    </row>
    <row r="5013" spans="1:5">
      <c r="A5013" s="11" t="s">
        <v>16103</v>
      </c>
      <c r="B5013">
        <v>8070902</v>
      </c>
      <c r="D5013" s="11" t="s">
        <v>16104</v>
      </c>
      <c r="E5013" s="11" t="s">
        <v>16105</v>
      </c>
    </row>
    <row r="5014" spans="1:5">
      <c r="A5014" s="11" t="s">
        <v>16106</v>
      </c>
      <c r="B5014">
        <v>8017018</v>
      </c>
      <c r="D5014" s="11" t="s">
        <v>16107</v>
      </c>
      <c r="E5014" s="11" t="s">
        <v>16108</v>
      </c>
    </row>
    <row r="5015" spans="1:5">
      <c r="A5015" s="11" t="s">
        <v>16109</v>
      </c>
      <c r="B5015">
        <v>8017019</v>
      </c>
      <c r="D5015" s="11" t="s">
        <v>16110</v>
      </c>
      <c r="E5015" s="11" t="s">
        <v>16111</v>
      </c>
    </row>
    <row r="5016" spans="1:5">
      <c r="A5016" s="11" t="s">
        <v>16112</v>
      </c>
      <c r="B5016">
        <v>8012516</v>
      </c>
      <c r="D5016" s="11" t="s">
        <v>16113</v>
      </c>
      <c r="E5016" s="11" t="s">
        <v>16114</v>
      </c>
    </row>
    <row r="5017" spans="1:5">
      <c r="A5017" s="11" t="s">
        <v>16115</v>
      </c>
      <c r="B5017">
        <v>8071974</v>
      </c>
      <c r="D5017" s="11" t="s">
        <v>16116</v>
      </c>
      <c r="E5017" s="11" t="s">
        <v>16117</v>
      </c>
    </row>
    <row r="5018" spans="1:5">
      <c r="A5018" s="11" t="s">
        <v>16118</v>
      </c>
      <c r="B5018">
        <v>8004458</v>
      </c>
      <c r="D5018" s="11" t="s">
        <v>16119</v>
      </c>
      <c r="E5018" s="11" t="s">
        <v>16120</v>
      </c>
    </row>
    <row r="5019" spans="1:5">
      <c r="A5019" s="11" t="s">
        <v>16121</v>
      </c>
      <c r="B5019">
        <v>8004460</v>
      </c>
      <c r="D5019" s="11" t="s">
        <v>16122</v>
      </c>
      <c r="E5019" s="11" t="s">
        <v>16123</v>
      </c>
    </row>
    <row r="5020" spans="1:5">
      <c r="A5020" s="11" t="s">
        <v>16124</v>
      </c>
      <c r="B5020">
        <v>8004467</v>
      </c>
      <c r="D5020" s="11" t="s">
        <v>16125</v>
      </c>
      <c r="E5020" s="11" t="s">
        <v>16126</v>
      </c>
    </row>
    <row r="5021" spans="1:5">
      <c r="A5021" s="11" t="s">
        <v>16127</v>
      </c>
      <c r="B5021">
        <v>8004465</v>
      </c>
      <c r="D5021" s="11" t="s">
        <v>16128</v>
      </c>
      <c r="E5021" s="11" t="s">
        <v>16129</v>
      </c>
    </row>
    <row r="5022" spans="1:5">
      <c r="A5022" s="11" t="s">
        <v>16130</v>
      </c>
      <c r="B5022">
        <v>8000280</v>
      </c>
      <c r="D5022" s="11" t="s">
        <v>16131</v>
      </c>
      <c r="E5022" s="11" t="s">
        <v>16132</v>
      </c>
    </row>
    <row r="5023" spans="1:5">
      <c r="A5023" s="11" t="s">
        <v>16133</v>
      </c>
      <c r="B5023">
        <v>8000282</v>
      </c>
      <c r="D5023" s="11" t="s">
        <v>16134</v>
      </c>
      <c r="E5023" s="11" t="s">
        <v>16135</v>
      </c>
    </row>
    <row r="5024" spans="1:5">
      <c r="A5024" s="11" t="s">
        <v>16136</v>
      </c>
      <c r="B5024">
        <v>8070182</v>
      </c>
      <c r="D5024" s="11" t="s">
        <v>16137</v>
      </c>
      <c r="E5024" s="11" t="s">
        <v>16138</v>
      </c>
    </row>
    <row r="5025" spans="1:5">
      <c r="A5025" s="11" t="s">
        <v>16139</v>
      </c>
      <c r="B5025">
        <v>8004461</v>
      </c>
      <c r="D5025" s="11" t="s">
        <v>16140</v>
      </c>
      <c r="E5025" s="11" t="s">
        <v>16141</v>
      </c>
    </row>
    <row r="5026" spans="1:5">
      <c r="A5026" s="11" t="s">
        <v>16142</v>
      </c>
      <c r="B5026">
        <v>8004462</v>
      </c>
      <c r="D5026" s="11" t="s">
        <v>16143</v>
      </c>
      <c r="E5026" s="11" t="s">
        <v>16144</v>
      </c>
    </row>
    <row r="5027" spans="1:5">
      <c r="A5027" s="11" t="s">
        <v>16145</v>
      </c>
      <c r="B5027">
        <v>8004463</v>
      </c>
      <c r="D5027" s="11" t="s">
        <v>16146</v>
      </c>
      <c r="E5027" s="11" t="s">
        <v>16147</v>
      </c>
    </row>
    <row r="5028" spans="1:5">
      <c r="A5028" s="11" t="s">
        <v>16148</v>
      </c>
      <c r="B5028">
        <v>8004464</v>
      </c>
      <c r="D5028" s="11" t="s">
        <v>16149</v>
      </c>
      <c r="E5028" s="11" t="s">
        <v>16150</v>
      </c>
    </row>
    <row r="5029" spans="1:5">
      <c r="A5029" s="11" t="s">
        <v>16151</v>
      </c>
      <c r="B5029">
        <v>8004441</v>
      </c>
      <c r="D5029" s="11" t="s">
        <v>16152</v>
      </c>
      <c r="E5029" s="11" t="s">
        <v>16153</v>
      </c>
    </row>
    <row r="5030" spans="1:5">
      <c r="A5030" s="11" t="s">
        <v>16154</v>
      </c>
      <c r="B5030">
        <v>8000283</v>
      </c>
      <c r="D5030" s="11" t="s">
        <v>16155</v>
      </c>
      <c r="E5030" s="11" t="s">
        <v>16156</v>
      </c>
    </row>
    <row r="5031" spans="1:5">
      <c r="A5031" s="11" t="s">
        <v>16157</v>
      </c>
      <c r="B5031">
        <v>8004466</v>
      </c>
      <c r="D5031" s="11" t="s">
        <v>16158</v>
      </c>
      <c r="E5031" s="11" t="s">
        <v>16159</v>
      </c>
    </row>
    <row r="5032" spans="1:5">
      <c r="A5032" s="11" t="s">
        <v>16160</v>
      </c>
      <c r="B5032">
        <v>8071257</v>
      </c>
      <c r="D5032" s="11" t="s">
        <v>16161</v>
      </c>
      <c r="E5032" s="11" t="s">
        <v>16162</v>
      </c>
    </row>
    <row r="5033" spans="1:5">
      <c r="A5033" s="11" t="s">
        <v>16163</v>
      </c>
      <c r="B5033">
        <v>8004371</v>
      </c>
      <c r="D5033" s="11" t="s">
        <v>16164</v>
      </c>
      <c r="E5033" s="11" t="s">
        <v>16165</v>
      </c>
    </row>
    <row r="5034" spans="1:5">
      <c r="A5034" s="11" t="s">
        <v>16166</v>
      </c>
      <c r="B5034">
        <v>8010258</v>
      </c>
      <c r="D5034" s="11" t="s">
        <v>16167</v>
      </c>
      <c r="E5034" s="11" t="s">
        <v>16168</v>
      </c>
    </row>
    <row r="5035" spans="1:5">
      <c r="A5035" s="11" t="s">
        <v>16169</v>
      </c>
      <c r="B5035">
        <v>8012517</v>
      </c>
      <c r="D5035" s="11" t="s">
        <v>16170</v>
      </c>
      <c r="E5035" s="11" t="s">
        <v>16171</v>
      </c>
    </row>
    <row r="5036" spans="1:5">
      <c r="A5036" s="11" t="s">
        <v>16172</v>
      </c>
      <c r="B5036">
        <v>8000595</v>
      </c>
      <c r="D5036" s="11" t="s">
        <v>16173</v>
      </c>
      <c r="E5036" s="11" t="s">
        <v>16174</v>
      </c>
    </row>
    <row r="5037" spans="1:5">
      <c r="A5037" s="11" t="s">
        <v>16175</v>
      </c>
      <c r="B5037">
        <v>8004490</v>
      </c>
      <c r="D5037" s="11" t="s">
        <v>16176</v>
      </c>
      <c r="E5037" s="11" t="s">
        <v>16177</v>
      </c>
    </row>
    <row r="5038" spans="1:5">
      <c r="A5038" s="11" t="s">
        <v>16178</v>
      </c>
      <c r="B5038">
        <v>8012523</v>
      </c>
      <c r="D5038" s="11" t="s">
        <v>16179</v>
      </c>
      <c r="E5038" s="11" t="s">
        <v>16180</v>
      </c>
    </row>
    <row r="5039" spans="1:5">
      <c r="A5039" s="11" t="s">
        <v>16181</v>
      </c>
      <c r="B5039">
        <v>8070716</v>
      </c>
      <c r="D5039" s="11" t="s">
        <v>16182</v>
      </c>
      <c r="E5039" s="11" t="s">
        <v>16183</v>
      </c>
    </row>
    <row r="5040" spans="1:5">
      <c r="A5040" s="11" t="s">
        <v>16184</v>
      </c>
      <c r="B5040">
        <v>8004493</v>
      </c>
      <c r="D5040" s="11" t="s">
        <v>16185</v>
      </c>
      <c r="E5040" s="11" t="s">
        <v>16186</v>
      </c>
    </row>
    <row r="5041" spans="1:5">
      <c r="A5041" s="11" t="s">
        <v>16187</v>
      </c>
      <c r="B5041">
        <v>8098493</v>
      </c>
      <c r="D5041" s="11" t="s">
        <v>1539</v>
      </c>
      <c r="E5041" s="11" t="s">
        <v>1539</v>
      </c>
    </row>
    <row r="5042" spans="1:5">
      <c r="A5042" s="11" t="s">
        <v>16188</v>
      </c>
      <c r="B5042">
        <v>8070725</v>
      </c>
      <c r="D5042" s="11" t="s">
        <v>1539</v>
      </c>
      <c r="E5042" s="11" t="s">
        <v>1539</v>
      </c>
    </row>
    <row r="5043" spans="1:5">
      <c r="A5043" s="11" t="s">
        <v>94</v>
      </c>
      <c r="B5043">
        <v>8000284</v>
      </c>
      <c r="D5043" s="11" t="s">
        <v>250</v>
      </c>
      <c r="E5043" s="11" t="s">
        <v>251</v>
      </c>
    </row>
    <row r="5044" spans="1:5">
      <c r="A5044" s="11" t="s">
        <v>16189</v>
      </c>
      <c r="B5044">
        <v>8000469</v>
      </c>
      <c r="D5044" s="11" t="s">
        <v>16190</v>
      </c>
      <c r="E5044" s="11" t="s">
        <v>16191</v>
      </c>
    </row>
    <row r="5045" spans="1:5">
      <c r="A5045" s="11" t="s">
        <v>16192</v>
      </c>
      <c r="B5045">
        <v>8070717</v>
      </c>
      <c r="D5045" s="11" t="s">
        <v>16193</v>
      </c>
      <c r="E5045" s="11" t="s">
        <v>16194</v>
      </c>
    </row>
    <row r="5046" spans="1:5">
      <c r="A5046" s="11" t="s">
        <v>16195</v>
      </c>
      <c r="B5046">
        <v>8004469</v>
      </c>
      <c r="D5046" s="11" t="s">
        <v>16196</v>
      </c>
      <c r="E5046" s="11" t="s">
        <v>16197</v>
      </c>
    </row>
    <row r="5047" spans="1:5">
      <c r="A5047" s="11" t="s">
        <v>16198</v>
      </c>
      <c r="B5047">
        <v>8070726</v>
      </c>
      <c r="D5047" s="11" t="s">
        <v>16199</v>
      </c>
      <c r="E5047" s="11" t="s">
        <v>16200</v>
      </c>
    </row>
    <row r="5048" spans="1:5">
      <c r="A5048" s="11" t="s">
        <v>111</v>
      </c>
      <c r="B5048">
        <v>8070718</v>
      </c>
      <c r="D5048" s="11" t="s">
        <v>1539</v>
      </c>
      <c r="E5048" s="11" t="s">
        <v>1539</v>
      </c>
    </row>
    <row r="5049" spans="1:5">
      <c r="A5049" s="11" t="s">
        <v>16201</v>
      </c>
      <c r="B5049">
        <v>8004471</v>
      </c>
      <c r="D5049" s="11" t="s">
        <v>16202</v>
      </c>
      <c r="E5049" s="11" t="s">
        <v>16203</v>
      </c>
    </row>
    <row r="5050" spans="1:5">
      <c r="A5050" s="11" t="s">
        <v>16204</v>
      </c>
      <c r="B5050">
        <v>8004470</v>
      </c>
      <c r="D5050" s="11" t="s">
        <v>16205</v>
      </c>
      <c r="E5050" s="11" t="s">
        <v>16206</v>
      </c>
    </row>
    <row r="5051" spans="1:5">
      <c r="A5051" s="11" t="s">
        <v>16207</v>
      </c>
      <c r="B5051">
        <v>8070723</v>
      </c>
      <c r="D5051" s="11" t="s">
        <v>1539</v>
      </c>
      <c r="E5051" s="11" t="s">
        <v>1539</v>
      </c>
    </row>
    <row r="5052" spans="1:5">
      <c r="A5052" s="11" t="s">
        <v>16207</v>
      </c>
      <c r="B5052">
        <v>8070724</v>
      </c>
      <c r="D5052" s="11" t="s">
        <v>1539</v>
      </c>
      <c r="E5052" s="11" t="s">
        <v>1539</v>
      </c>
    </row>
    <row r="5053" spans="1:5">
      <c r="A5053" s="11" t="s">
        <v>16208</v>
      </c>
      <c r="B5053">
        <v>8070727</v>
      </c>
      <c r="D5053" s="11" t="s">
        <v>16209</v>
      </c>
      <c r="E5053" s="11" t="s">
        <v>16210</v>
      </c>
    </row>
    <row r="5054" spans="1:5">
      <c r="A5054" s="11" t="s">
        <v>16211</v>
      </c>
      <c r="B5054">
        <v>8070719</v>
      </c>
      <c r="D5054" s="11" t="s">
        <v>16212</v>
      </c>
      <c r="E5054" s="11" t="s">
        <v>16213</v>
      </c>
    </row>
    <row r="5055" spans="1:5">
      <c r="A5055" s="11" t="s">
        <v>16214</v>
      </c>
      <c r="B5055">
        <v>8070728</v>
      </c>
      <c r="D5055" s="11" t="s">
        <v>16215</v>
      </c>
      <c r="E5055" s="11" t="s">
        <v>16216</v>
      </c>
    </row>
    <row r="5056" spans="1:5">
      <c r="A5056" s="11" t="s">
        <v>109</v>
      </c>
      <c r="B5056">
        <v>8004473</v>
      </c>
      <c r="D5056" s="11" t="s">
        <v>624</v>
      </c>
      <c r="E5056" s="11" t="s">
        <v>625</v>
      </c>
    </row>
    <row r="5057" spans="1:5">
      <c r="A5057" s="11" t="s">
        <v>109</v>
      </c>
      <c r="B5057">
        <v>8070729</v>
      </c>
      <c r="D5057" s="11" t="s">
        <v>16217</v>
      </c>
      <c r="E5057" s="11" t="s">
        <v>16218</v>
      </c>
    </row>
    <row r="5058" spans="1:5">
      <c r="A5058" s="11" t="s">
        <v>16219</v>
      </c>
      <c r="B5058">
        <v>8070720</v>
      </c>
      <c r="D5058" s="11" t="s">
        <v>16220</v>
      </c>
      <c r="E5058" s="11" t="s">
        <v>16221</v>
      </c>
    </row>
    <row r="5059" spans="1:5">
      <c r="A5059" s="11" t="s">
        <v>113</v>
      </c>
      <c r="B5059">
        <v>8070730</v>
      </c>
      <c r="D5059" s="11" t="s">
        <v>16222</v>
      </c>
      <c r="E5059" s="11" t="s">
        <v>16223</v>
      </c>
    </row>
    <row r="5060" spans="1:5">
      <c r="A5060" s="11" t="s">
        <v>16224</v>
      </c>
      <c r="B5060">
        <v>8070721</v>
      </c>
      <c r="D5060" s="11" t="s">
        <v>16225</v>
      </c>
      <c r="E5060" s="11" t="s">
        <v>16226</v>
      </c>
    </row>
    <row r="5061" spans="1:5">
      <c r="A5061" s="11" t="s">
        <v>16227</v>
      </c>
      <c r="B5061">
        <v>8070722</v>
      </c>
      <c r="D5061" s="11" t="s">
        <v>1539</v>
      </c>
      <c r="E5061" s="11" t="s">
        <v>1539</v>
      </c>
    </row>
    <row r="5062" spans="1:5">
      <c r="A5062" s="11" t="s">
        <v>16228</v>
      </c>
      <c r="B5062">
        <v>8070731</v>
      </c>
      <c r="D5062" s="11" t="s">
        <v>16229</v>
      </c>
      <c r="E5062" s="11" t="s">
        <v>16230</v>
      </c>
    </row>
    <row r="5063" spans="1:5">
      <c r="A5063" s="11" t="s">
        <v>16231</v>
      </c>
      <c r="B5063">
        <v>8004442</v>
      </c>
      <c r="D5063" s="11" t="s">
        <v>16232</v>
      </c>
      <c r="E5063" s="11" t="s">
        <v>16233</v>
      </c>
    </row>
    <row r="5064" spans="1:5">
      <c r="A5064" s="11" t="s">
        <v>612</v>
      </c>
      <c r="B5064">
        <v>8004476</v>
      </c>
      <c r="D5064" s="11" t="s">
        <v>614</v>
      </c>
      <c r="E5064" s="11" t="s">
        <v>615</v>
      </c>
    </row>
    <row r="5065" spans="1:5">
      <c r="A5065" s="11" t="s">
        <v>16234</v>
      </c>
      <c r="B5065">
        <v>8004477</v>
      </c>
      <c r="D5065" s="11" t="s">
        <v>16235</v>
      </c>
      <c r="E5065" s="11" t="s">
        <v>16236</v>
      </c>
    </row>
    <row r="5066" spans="1:5">
      <c r="A5066" s="11" t="s">
        <v>16237</v>
      </c>
      <c r="B5066">
        <v>8004478</v>
      </c>
      <c r="D5066" s="11" t="s">
        <v>16238</v>
      </c>
      <c r="E5066" s="11" t="s">
        <v>16239</v>
      </c>
    </row>
    <row r="5067" spans="1:5">
      <c r="A5067" s="11" t="s">
        <v>16240</v>
      </c>
      <c r="B5067">
        <v>8005304</v>
      </c>
      <c r="D5067" s="11" t="s">
        <v>16241</v>
      </c>
      <c r="E5067" s="11" t="s">
        <v>16242</v>
      </c>
    </row>
    <row r="5068" spans="1:5">
      <c r="A5068" s="11" t="s">
        <v>16243</v>
      </c>
      <c r="B5068">
        <v>8004480</v>
      </c>
      <c r="D5068" s="11" t="s">
        <v>16244</v>
      </c>
      <c r="E5068" s="11" t="s">
        <v>16245</v>
      </c>
    </row>
    <row r="5069" spans="1:5">
      <c r="A5069" s="11" t="s">
        <v>16246</v>
      </c>
      <c r="B5069">
        <v>8004481</v>
      </c>
      <c r="D5069" s="11" t="s">
        <v>16247</v>
      </c>
      <c r="E5069" s="11" t="s">
        <v>16248</v>
      </c>
    </row>
    <row r="5070" spans="1:5">
      <c r="A5070" s="11" t="s">
        <v>16249</v>
      </c>
      <c r="B5070">
        <v>8004491</v>
      </c>
      <c r="D5070" s="11" t="s">
        <v>16250</v>
      </c>
      <c r="E5070" s="11" t="s">
        <v>16251</v>
      </c>
    </row>
    <row r="5071" spans="1:5">
      <c r="A5071" s="11" t="s">
        <v>646</v>
      </c>
      <c r="B5071">
        <v>8004483</v>
      </c>
      <c r="D5071" s="11" t="s">
        <v>648</v>
      </c>
      <c r="E5071" s="11" t="s">
        <v>649</v>
      </c>
    </row>
    <row r="5072" spans="1:5">
      <c r="A5072" s="11" t="s">
        <v>16252</v>
      </c>
      <c r="B5072">
        <v>8004484</v>
      </c>
      <c r="D5072" s="11" t="s">
        <v>16253</v>
      </c>
      <c r="E5072" s="11" t="s">
        <v>16254</v>
      </c>
    </row>
    <row r="5073" spans="1:5">
      <c r="A5073" s="11" t="s">
        <v>115</v>
      </c>
      <c r="B5073">
        <v>8004485</v>
      </c>
      <c r="D5073" s="11" t="s">
        <v>640</v>
      </c>
      <c r="E5073" s="11" t="s">
        <v>641</v>
      </c>
    </row>
    <row r="5074" spans="1:5">
      <c r="A5074" s="11" t="s">
        <v>16255</v>
      </c>
      <c r="B5074">
        <v>8004486</v>
      </c>
      <c r="D5074" s="11" t="s">
        <v>16256</v>
      </c>
      <c r="E5074" s="11" t="s">
        <v>16257</v>
      </c>
    </row>
    <row r="5075" spans="1:5">
      <c r="A5075" s="11" t="s">
        <v>101</v>
      </c>
      <c r="B5075">
        <v>8004487</v>
      </c>
      <c r="D5075" s="11" t="s">
        <v>634</v>
      </c>
      <c r="E5075" s="11" t="s">
        <v>635</v>
      </c>
    </row>
    <row r="5076" spans="1:5">
      <c r="A5076" s="11" t="s">
        <v>16258</v>
      </c>
      <c r="B5076">
        <v>8004488</v>
      </c>
      <c r="D5076" s="11" t="s">
        <v>16259</v>
      </c>
      <c r="E5076" s="11" t="s">
        <v>16260</v>
      </c>
    </row>
    <row r="5077" spans="1:5">
      <c r="A5077" s="11" t="s">
        <v>16261</v>
      </c>
      <c r="B5077">
        <v>8090021</v>
      </c>
      <c r="D5077" s="11" t="s">
        <v>16262</v>
      </c>
      <c r="E5077" s="11" t="s">
        <v>16263</v>
      </c>
    </row>
    <row r="5078" spans="1:5">
      <c r="A5078" s="11" t="s">
        <v>16264</v>
      </c>
      <c r="B5078">
        <v>8090020</v>
      </c>
      <c r="D5078" s="11" t="s">
        <v>16265</v>
      </c>
      <c r="E5078" s="11" t="s">
        <v>16266</v>
      </c>
    </row>
    <row r="5079" spans="1:5">
      <c r="A5079" s="11" t="s">
        <v>16267</v>
      </c>
      <c r="B5079">
        <v>8007055</v>
      </c>
      <c r="D5079" s="11" t="s">
        <v>16268</v>
      </c>
      <c r="E5079" s="11" t="s">
        <v>16269</v>
      </c>
    </row>
    <row r="5080" spans="1:5">
      <c r="A5080" s="11" t="s">
        <v>16270</v>
      </c>
      <c r="B5080">
        <v>8004497</v>
      </c>
      <c r="D5080" s="11" t="s">
        <v>16271</v>
      </c>
      <c r="E5080" s="11" t="s">
        <v>16272</v>
      </c>
    </row>
    <row r="5081" spans="1:5">
      <c r="A5081" s="11" t="s">
        <v>16273</v>
      </c>
      <c r="B5081">
        <v>8007002</v>
      </c>
      <c r="D5081" s="11" t="s">
        <v>16274</v>
      </c>
      <c r="E5081" s="11" t="s">
        <v>16275</v>
      </c>
    </row>
    <row r="5082" spans="1:5">
      <c r="A5082" s="11" t="s">
        <v>16276</v>
      </c>
      <c r="B5082">
        <v>8007003</v>
      </c>
      <c r="D5082" s="11" t="s">
        <v>16277</v>
      </c>
      <c r="E5082" s="11" t="s">
        <v>16278</v>
      </c>
    </row>
    <row r="5083" spans="1:5">
      <c r="A5083" s="11" t="s">
        <v>16279</v>
      </c>
      <c r="B5083">
        <v>8004496</v>
      </c>
      <c r="D5083" s="11" t="s">
        <v>16280</v>
      </c>
      <c r="E5083" s="11" t="s">
        <v>16281</v>
      </c>
    </row>
    <row r="5084" spans="1:5">
      <c r="A5084" s="11" t="s">
        <v>16282</v>
      </c>
      <c r="B5084">
        <v>8004503</v>
      </c>
      <c r="D5084" s="11" t="s">
        <v>16283</v>
      </c>
      <c r="E5084" s="11" t="s">
        <v>16284</v>
      </c>
    </row>
    <row r="5085" spans="1:5">
      <c r="A5085" s="11" t="s">
        <v>16285</v>
      </c>
      <c r="B5085">
        <v>8004504</v>
      </c>
      <c r="D5085" s="11" t="s">
        <v>16286</v>
      </c>
      <c r="E5085" s="11" t="s">
        <v>16287</v>
      </c>
    </row>
    <row r="5086" spans="1:5">
      <c r="A5086" s="11" t="s">
        <v>16288</v>
      </c>
      <c r="B5086">
        <v>8004506</v>
      </c>
      <c r="D5086" s="11" t="s">
        <v>16289</v>
      </c>
      <c r="E5086" s="11" t="s">
        <v>16290</v>
      </c>
    </row>
    <row r="5087" spans="1:5">
      <c r="A5087" s="11" t="s">
        <v>16291</v>
      </c>
      <c r="B5087">
        <v>8004507</v>
      </c>
      <c r="D5087" s="11" t="s">
        <v>16292</v>
      </c>
      <c r="E5087" s="11" t="s">
        <v>16293</v>
      </c>
    </row>
    <row r="5088" spans="1:5">
      <c r="A5088" s="11" t="s">
        <v>16294</v>
      </c>
      <c r="B5088">
        <v>8004513</v>
      </c>
      <c r="D5088" s="11" t="s">
        <v>16295</v>
      </c>
      <c r="E5088" s="11" t="s">
        <v>16296</v>
      </c>
    </row>
    <row r="5089" spans="1:5">
      <c r="A5089" s="11" t="s">
        <v>482</v>
      </c>
      <c r="B5089">
        <v>8004514</v>
      </c>
      <c r="D5089" s="11" t="s">
        <v>484</v>
      </c>
      <c r="E5089" s="11" t="s">
        <v>485</v>
      </c>
    </row>
    <row r="5090" spans="1:5">
      <c r="A5090" s="11" t="s">
        <v>16297</v>
      </c>
      <c r="B5090">
        <v>8004515</v>
      </c>
      <c r="D5090" s="11" t="s">
        <v>16298</v>
      </c>
      <c r="E5090" s="11" t="s">
        <v>16299</v>
      </c>
    </row>
    <row r="5091" spans="1:5">
      <c r="A5091" s="11" t="s">
        <v>16300</v>
      </c>
      <c r="B5091">
        <v>8004517</v>
      </c>
      <c r="D5091" s="11" t="s">
        <v>16301</v>
      </c>
      <c r="E5091" s="11" t="s">
        <v>16302</v>
      </c>
    </row>
    <row r="5092" spans="1:5">
      <c r="A5092" s="11" t="s">
        <v>16303</v>
      </c>
      <c r="B5092">
        <v>8004518</v>
      </c>
      <c r="D5092" s="11" t="s">
        <v>16304</v>
      </c>
      <c r="E5092" s="11" t="s">
        <v>16305</v>
      </c>
    </row>
    <row r="5093" spans="1:5">
      <c r="A5093" s="11" t="s">
        <v>16306</v>
      </c>
      <c r="B5093">
        <v>8012518</v>
      </c>
      <c r="D5093" s="11" t="s">
        <v>16307</v>
      </c>
      <c r="E5093" s="11" t="s">
        <v>16308</v>
      </c>
    </row>
    <row r="5094" spans="1:5">
      <c r="A5094" s="11" t="s">
        <v>16309</v>
      </c>
      <c r="B5094">
        <v>8004521</v>
      </c>
      <c r="D5094" s="11" t="s">
        <v>16310</v>
      </c>
      <c r="E5094" s="11" t="s">
        <v>16311</v>
      </c>
    </row>
    <row r="5095" spans="1:5">
      <c r="A5095" s="11" t="s">
        <v>16312</v>
      </c>
      <c r="B5095">
        <v>8079078</v>
      </c>
      <c r="D5095" s="11" t="s">
        <v>16313</v>
      </c>
      <c r="E5095" s="11" t="s">
        <v>16314</v>
      </c>
    </row>
    <row r="5096" spans="1:5">
      <c r="A5096" s="11" t="s">
        <v>16315</v>
      </c>
      <c r="B5096">
        <v>8004525</v>
      </c>
      <c r="D5096" s="11" t="s">
        <v>16316</v>
      </c>
      <c r="E5096" s="11" t="s">
        <v>16317</v>
      </c>
    </row>
    <row r="5097" spans="1:5">
      <c r="A5097" s="11" t="s">
        <v>16318</v>
      </c>
      <c r="B5097">
        <v>8004526</v>
      </c>
      <c r="D5097" s="11" t="s">
        <v>16319</v>
      </c>
      <c r="E5097" s="11" t="s">
        <v>16320</v>
      </c>
    </row>
    <row r="5098" spans="1:5">
      <c r="A5098" s="11" t="s">
        <v>16321</v>
      </c>
      <c r="B5098">
        <v>8004527</v>
      </c>
      <c r="D5098" s="11" t="s">
        <v>16322</v>
      </c>
      <c r="E5098" s="11" t="s">
        <v>16323</v>
      </c>
    </row>
    <row r="5099" spans="1:5">
      <c r="A5099" s="11" t="s">
        <v>16324</v>
      </c>
      <c r="B5099">
        <v>8004528</v>
      </c>
      <c r="D5099" s="11" t="s">
        <v>16325</v>
      </c>
      <c r="E5099" s="11" t="s">
        <v>16326</v>
      </c>
    </row>
    <row r="5100" spans="1:5">
      <c r="A5100" s="11" t="s">
        <v>16327</v>
      </c>
      <c r="B5100">
        <v>8004529</v>
      </c>
      <c r="D5100" s="11" t="s">
        <v>16328</v>
      </c>
      <c r="E5100" s="11" t="s">
        <v>16329</v>
      </c>
    </row>
    <row r="5101" spans="1:5">
      <c r="A5101" s="11" t="s">
        <v>16330</v>
      </c>
      <c r="B5101">
        <v>8007437</v>
      </c>
      <c r="D5101" s="11" t="s">
        <v>16331</v>
      </c>
      <c r="E5101" s="11" t="s">
        <v>16332</v>
      </c>
    </row>
    <row r="5102" spans="1:5">
      <c r="A5102" s="11" t="s">
        <v>16333</v>
      </c>
      <c r="B5102">
        <v>8004531</v>
      </c>
      <c r="D5102" s="11" t="s">
        <v>16334</v>
      </c>
      <c r="E5102" s="11" t="s">
        <v>16335</v>
      </c>
    </row>
    <row r="5103" spans="1:5">
      <c r="A5103" s="11" t="s">
        <v>16336</v>
      </c>
      <c r="B5103">
        <v>8004532</v>
      </c>
      <c r="D5103" s="11" t="s">
        <v>16337</v>
      </c>
      <c r="E5103" s="11" t="s">
        <v>16338</v>
      </c>
    </row>
    <row r="5104" spans="1:5">
      <c r="A5104" s="11" t="s">
        <v>16339</v>
      </c>
      <c r="B5104">
        <v>8012524</v>
      </c>
      <c r="D5104" s="11" t="s">
        <v>16340</v>
      </c>
      <c r="E5104" s="11" t="s">
        <v>16341</v>
      </c>
    </row>
    <row r="5105" spans="1:5">
      <c r="A5105" s="11" t="s">
        <v>16342</v>
      </c>
      <c r="B5105">
        <v>8004533</v>
      </c>
      <c r="D5105" s="11" t="s">
        <v>16343</v>
      </c>
      <c r="E5105" s="11" t="s">
        <v>16344</v>
      </c>
    </row>
    <row r="5106" spans="1:5">
      <c r="A5106" s="11" t="s">
        <v>16345</v>
      </c>
      <c r="B5106">
        <v>8007105</v>
      </c>
      <c r="D5106" s="11" t="s">
        <v>16346</v>
      </c>
      <c r="E5106" s="11" t="s">
        <v>16347</v>
      </c>
    </row>
    <row r="5107" spans="1:5">
      <c r="A5107" s="11" t="s">
        <v>16348</v>
      </c>
      <c r="B5107">
        <v>8007106</v>
      </c>
      <c r="D5107" s="11" t="s">
        <v>16349</v>
      </c>
      <c r="E5107" s="11" t="s">
        <v>16350</v>
      </c>
    </row>
    <row r="5108" spans="1:5">
      <c r="A5108" s="11" t="s">
        <v>1004</v>
      </c>
      <c r="B5108">
        <v>8000286</v>
      </c>
      <c r="D5108" s="11" t="s">
        <v>1006</v>
      </c>
      <c r="E5108" s="11" t="s">
        <v>1007</v>
      </c>
    </row>
    <row r="5109" spans="1:5">
      <c r="A5109" s="11" t="s">
        <v>16351</v>
      </c>
      <c r="B5109">
        <v>8004540</v>
      </c>
      <c r="D5109" s="11" t="s">
        <v>16352</v>
      </c>
      <c r="E5109" s="11" t="s">
        <v>16353</v>
      </c>
    </row>
    <row r="5110" spans="1:5">
      <c r="A5110" s="11" t="s">
        <v>670</v>
      </c>
      <c r="B5110">
        <v>8004541</v>
      </c>
      <c r="D5110" s="11" t="s">
        <v>672</v>
      </c>
      <c r="E5110" s="11" t="s">
        <v>673</v>
      </c>
    </row>
    <row r="5111" spans="1:5">
      <c r="A5111" s="11" t="s">
        <v>16354</v>
      </c>
      <c r="B5111">
        <v>8004542</v>
      </c>
      <c r="D5111" s="11" t="s">
        <v>16355</v>
      </c>
      <c r="E5111" s="11" t="s">
        <v>16356</v>
      </c>
    </row>
    <row r="5112" spans="1:5">
      <c r="A5112" s="11" t="s">
        <v>16357</v>
      </c>
      <c r="B5112">
        <v>8017451</v>
      </c>
      <c r="D5112" s="11" t="s">
        <v>16358</v>
      </c>
      <c r="E5112" s="11" t="s">
        <v>16359</v>
      </c>
    </row>
    <row r="5113" spans="1:5">
      <c r="A5113" s="11" t="s">
        <v>16360</v>
      </c>
      <c r="B5113">
        <v>8012526</v>
      </c>
      <c r="D5113" s="11" t="s">
        <v>16361</v>
      </c>
      <c r="E5113" s="11" t="s">
        <v>16362</v>
      </c>
    </row>
    <row r="5114" spans="1:5">
      <c r="A5114" s="11" t="s">
        <v>16363</v>
      </c>
      <c r="B5114">
        <v>8081946</v>
      </c>
      <c r="D5114" s="11" t="s">
        <v>16364</v>
      </c>
      <c r="E5114" s="11" t="s">
        <v>16365</v>
      </c>
    </row>
    <row r="5115" spans="1:5">
      <c r="A5115" s="11" t="s">
        <v>16366</v>
      </c>
      <c r="B5115">
        <v>711840</v>
      </c>
      <c r="D5115" s="11" t="s">
        <v>16367</v>
      </c>
      <c r="E5115" s="11" t="s">
        <v>16368</v>
      </c>
    </row>
    <row r="5116" spans="1:5">
      <c r="A5116" s="11" t="s">
        <v>16369</v>
      </c>
      <c r="B5116">
        <v>711842</v>
      </c>
      <c r="D5116" s="11" t="s">
        <v>16370</v>
      </c>
      <c r="E5116" s="11" t="s">
        <v>16371</v>
      </c>
    </row>
    <row r="5117" spans="1:5">
      <c r="A5117" s="11" t="s">
        <v>16372</v>
      </c>
      <c r="B5117">
        <v>713412</v>
      </c>
      <c r="D5117" s="11" t="s">
        <v>16373</v>
      </c>
      <c r="E5117" s="11" t="s">
        <v>16374</v>
      </c>
    </row>
    <row r="5118" spans="1:5">
      <c r="A5118" s="11" t="s">
        <v>16375</v>
      </c>
      <c r="B5118">
        <v>711836</v>
      </c>
      <c r="D5118" s="11" t="s">
        <v>16376</v>
      </c>
      <c r="E5118" s="11" t="s">
        <v>16377</v>
      </c>
    </row>
    <row r="5119" spans="1:5">
      <c r="A5119" s="11" t="s">
        <v>16378</v>
      </c>
      <c r="B5119">
        <v>8004545</v>
      </c>
      <c r="D5119" s="11" t="s">
        <v>16379</v>
      </c>
      <c r="E5119" s="11" t="s">
        <v>16380</v>
      </c>
    </row>
    <row r="5120" spans="1:5">
      <c r="A5120" s="11" t="s">
        <v>16381</v>
      </c>
      <c r="B5120">
        <v>8004546</v>
      </c>
      <c r="D5120" s="11" t="s">
        <v>16382</v>
      </c>
      <c r="E5120" s="11" t="s">
        <v>16383</v>
      </c>
    </row>
    <row r="5121" spans="1:5">
      <c r="A5121" s="11" t="s">
        <v>16384</v>
      </c>
      <c r="B5121">
        <v>8004549</v>
      </c>
      <c r="D5121" s="11" t="s">
        <v>16385</v>
      </c>
      <c r="E5121" s="11" t="s">
        <v>16386</v>
      </c>
    </row>
    <row r="5122" spans="1:5">
      <c r="A5122" s="11" t="s">
        <v>121</v>
      </c>
      <c r="B5122">
        <v>8000287</v>
      </c>
      <c r="D5122" s="11" t="s">
        <v>490</v>
      </c>
      <c r="E5122" s="11" t="s">
        <v>491</v>
      </c>
    </row>
    <row r="5123" spans="1:5">
      <c r="A5123" s="11" t="s">
        <v>16387</v>
      </c>
      <c r="B5123">
        <v>8007331</v>
      </c>
      <c r="D5123" s="11" t="s">
        <v>16388</v>
      </c>
      <c r="E5123" s="11" t="s">
        <v>16389</v>
      </c>
    </row>
    <row r="5124" spans="1:5">
      <c r="A5124" s="11" t="s">
        <v>16390</v>
      </c>
      <c r="B5124">
        <v>8004550</v>
      </c>
      <c r="D5124" s="11" t="s">
        <v>16391</v>
      </c>
      <c r="E5124" s="11" t="s">
        <v>16392</v>
      </c>
    </row>
    <row r="5125" spans="1:5">
      <c r="A5125" s="11" t="s">
        <v>16393</v>
      </c>
      <c r="B5125">
        <v>8075954</v>
      </c>
      <c r="D5125" s="11" t="s">
        <v>1539</v>
      </c>
      <c r="E5125" s="11" t="s">
        <v>1539</v>
      </c>
    </row>
    <row r="5126" spans="1:5">
      <c r="A5126" s="11" t="s">
        <v>16394</v>
      </c>
      <c r="B5126">
        <v>8012527</v>
      </c>
      <c r="D5126" s="11" t="s">
        <v>16395</v>
      </c>
      <c r="E5126" s="11" t="s">
        <v>16396</v>
      </c>
    </row>
    <row r="5127" spans="1:5">
      <c r="A5127" s="11" t="s">
        <v>16397</v>
      </c>
      <c r="B5127">
        <v>8004553</v>
      </c>
      <c r="D5127" s="11" t="s">
        <v>16398</v>
      </c>
      <c r="E5127" s="11" t="s">
        <v>16399</v>
      </c>
    </row>
    <row r="5128" spans="1:5">
      <c r="A5128" s="11" t="s">
        <v>16400</v>
      </c>
      <c r="B5128">
        <v>8012528</v>
      </c>
      <c r="D5128" s="11" t="s">
        <v>16401</v>
      </c>
      <c r="E5128" s="11" t="s">
        <v>16402</v>
      </c>
    </row>
    <row r="5129" spans="1:5">
      <c r="A5129" s="11" t="s">
        <v>16403</v>
      </c>
      <c r="B5129">
        <v>8004554</v>
      </c>
      <c r="D5129" s="11" t="s">
        <v>16404</v>
      </c>
      <c r="E5129" s="11" t="s">
        <v>16405</v>
      </c>
    </row>
    <row r="5130" spans="1:5">
      <c r="A5130" s="11" t="s">
        <v>16406</v>
      </c>
      <c r="B5130">
        <v>8004555</v>
      </c>
      <c r="D5130" s="11" t="s">
        <v>16407</v>
      </c>
      <c r="E5130" s="11" t="s">
        <v>16408</v>
      </c>
    </row>
    <row r="5131" spans="1:5">
      <c r="A5131" s="11" t="s">
        <v>16409</v>
      </c>
      <c r="B5131">
        <v>8007823</v>
      </c>
      <c r="D5131" s="11" t="s">
        <v>16410</v>
      </c>
      <c r="E5131" s="11" t="s">
        <v>16411</v>
      </c>
    </row>
    <row r="5132" spans="1:5">
      <c r="A5132" s="11" t="s">
        <v>16412</v>
      </c>
      <c r="B5132">
        <v>8004557</v>
      </c>
      <c r="D5132" s="11" t="s">
        <v>16413</v>
      </c>
      <c r="E5132" s="11" t="s">
        <v>16414</v>
      </c>
    </row>
    <row r="5133" spans="1:5">
      <c r="A5133" s="11" t="s">
        <v>16415</v>
      </c>
      <c r="B5133">
        <v>8004558</v>
      </c>
      <c r="D5133" s="11" t="s">
        <v>16416</v>
      </c>
      <c r="E5133" s="11" t="s">
        <v>16417</v>
      </c>
    </row>
    <row r="5134" spans="1:5">
      <c r="A5134" s="11" t="s">
        <v>16418</v>
      </c>
      <c r="B5134">
        <v>8004560</v>
      </c>
      <c r="D5134" s="11" t="s">
        <v>16419</v>
      </c>
      <c r="E5134" s="11" t="s">
        <v>16420</v>
      </c>
    </row>
    <row r="5135" spans="1:5">
      <c r="A5135" s="11" t="s">
        <v>16421</v>
      </c>
      <c r="B5135">
        <v>8004563</v>
      </c>
      <c r="D5135" s="11" t="s">
        <v>16422</v>
      </c>
      <c r="E5135" s="11" t="s">
        <v>16423</v>
      </c>
    </row>
    <row r="5136" spans="1:5">
      <c r="A5136" s="11" t="s">
        <v>16424</v>
      </c>
      <c r="B5136">
        <v>8004564</v>
      </c>
      <c r="D5136" s="11" t="s">
        <v>16425</v>
      </c>
      <c r="E5136" s="11" t="s">
        <v>16426</v>
      </c>
    </row>
    <row r="5137" spans="1:5">
      <c r="A5137" s="11" t="s">
        <v>16427</v>
      </c>
      <c r="B5137">
        <v>8012529</v>
      </c>
      <c r="D5137" s="11" t="s">
        <v>16428</v>
      </c>
      <c r="E5137" s="11" t="s">
        <v>16429</v>
      </c>
    </row>
    <row r="5138" spans="1:5">
      <c r="A5138" s="11" t="s">
        <v>16430</v>
      </c>
      <c r="B5138">
        <v>8004567</v>
      </c>
      <c r="D5138" s="11" t="s">
        <v>16431</v>
      </c>
      <c r="E5138" s="11" t="s">
        <v>16432</v>
      </c>
    </row>
    <row r="5139" spans="1:5">
      <c r="A5139" s="11" t="s">
        <v>16433</v>
      </c>
      <c r="B5139">
        <v>8010259</v>
      </c>
      <c r="D5139" s="11" t="s">
        <v>16434</v>
      </c>
      <c r="E5139" s="11" t="s">
        <v>16435</v>
      </c>
    </row>
    <row r="5140" spans="1:5">
      <c r="A5140" s="11" t="s">
        <v>16436</v>
      </c>
      <c r="B5140">
        <v>8012530</v>
      </c>
      <c r="D5140" s="11" t="s">
        <v>16437</v>
      </c>
      <c r="E5140" s="11" t="s">
        <v>16438</v>
      </c>
    </row>
    <row r="5141" spans="1:5">
      <c r="A5141" s="11" t="s">
        <v>16439</v>
      </c>
      <c r="B5141">
        <v>8004571</v>
      </c>
      <c r="D5141" s="11" t="s">
        <v>16440</v>
      </c>
      <c r="E5141" s="11" t="s">
        <v>16441</v>
      </c>
    </row>
    <row r="5142" spans="1:5">
      <c r="A5142" s="11" t="s">
        <v>16442</v>
      </c>
      <c r="B5142">
        <v>8007141</v>
      </c>
      <c r="D5142" s="11" t="s">
        <v>16443</v>
      </c>
      <c r="E5142" s="11" t="s">
        <v>16444</v>
      </c>
    </row>
    <row r="5143" spans="1:5">
      <c r="A5143" s="11" t="s">
        <v>16445</v>
      </c>
      <c r="B5143">
        <v>8012532</v>
      </c>
      <c r="D5143" s="11" t="s">
        <v>16446</v>
      </c>
      <c r="E5143" s="11" t="s">
        <v>16447</v>
      </c>
    </row>
    <row r="5144" spans="1:5">
      <c r="A5144" s="11" t="s">
        <v>16448</v>
      </c>
      <c r="B5144">
        <v>8012533</v>
      </c>
      <c r="D5144" s="11" t="s">
        <v>16449</v>
      </c>
      <c r="E5144" s="11" t="s">
        <v>16450</v>
      </c>
    </row>
    <row r="5145" spans="1:5">
      <c r="A5145" s="11" t="s">
        <v>16451</v>
      </c>
      <c r="B5145">
        <v>8012534</v>
      </c>
      <c r="D5145" s="11" t="s">
        <v>16452</v>
      </c>
      <c r="E5145" s="11" t="s">
        <v>16453</v>
      </c>
    </row>
    <row r="5146" spans="1:5">
      <c r="A5146" s="11" t="s">
        <v>16454</v>
      </c>
      <c r="B5146">
        <v>8007290</v>
      </c>
      <c r="D5146" s="11" t="s">
        <v>16455</v>
      </c>
      <c r="E5146" s="11" t="s">
        <v>16456</v>
      </c>
    </row>
    <row r="5147" spans="1:5">
      <c r="A5147" s="11" t="s">
        <v>16457</v>
      </c>
      <c r="B5147">
        <v>8004577</v>
      </c>
      <c r="D5147" s="11" t="s">
        <v>16458</v>
      </c>
      <c r="E5147" s="11" t="s">
        <v>16459</v>
      </c>
    </row>
    <row r="5148" spans="1:5">
      <c r="A5148" s="11" t="s">
        <v>16460</v>
      </c>
      <c r="B5148">
        <v>8004580</v>
      </c>
      <c r="D5148" s="11" t="s">
        <v>16461</v>
      </c>
      <c r="E5148" s="11" t="s">
        <v>16462</v>
      </c>
    </row>
    <row r="5149" spans="1:5">
      <c r="A5149" s="11" t="s">
        <v>16463</v>
      </c>
      <c r="B5149">
        <v>8012535</v>
      </c>
      <c r="D5149" s="11" t="s">
        <v>16464</v>
      </c>
      <c r="E5149" s="11" t="s">
        <v>16465</v>
      </c>
    </row>
    <row r="5150" spans="1:5">
      <c r="A5150" s="11" t="s">
        <v>16466</v>
      </c>
      <c r="B5150">
        <v>8012537</v>
      </c>
      <c r="D5150" s="11" t="s">
        <v>16467</v>
      </c>
      <c r="E5150" s="11" t="s">
        <v>16468</v>
      </c>
    </row>
    <row r="5151" spans="1:5">
      <c r="A5151" s="11" t="s">
        <v>16469</v>
      </c>
      <c r="B5151">
        <v>8004583</v>
      </c>
      <c r="D5151" s="11" t="s">
        <v>16470</v>
      </c>
      <c r="E5151" s="11" t="s">
        <v>16471</v>
      </c>
    </row>
    <row r="5152" spans="1:5">
      <c r="A5152" s="11" t="s">
        <v>16472</v>
      </c>
      <c r="B5152">
        <v>8071063</v>
      </c>
      <c r="D5152" s="11" t="s">
        <v>16473</v>
      </c>
      <c r="E5152" s="11" t="s">
        <v>16474</v>
      </c>
    </row>
    <row r="5153" spans="1:5">
      <c r="A5153" s="11" t="s">
        <v>16475</v>
      </c>
      <c r="B5153">
        <v>8004584</v>
      </c>
      <c r="D5153" s="11" t="s">
        <v>16476</v>
      </c>
      <c r="E5153" s="11" t="s">
        <v>16477</v>
      </c>
    </row>
    <row r="5154" spans="1:5">
      <c r="A5154" s="11" t="s">
        <v>16478</v>
      </c>
      <c r="B5154">
        <v>8004585</v>
      </c>
      <c r="D5154" s="11" t="s">
        <v>16479</v>
      </c>
      <c r="E5154" s="11" t="s">
        <v>16480</v>
      </c>
    </row>
    <row r="5155" spans="1:5">
      <c r="A5155" s="11" t="s">
        <v>16481</v>
      </c>
      <c r="B5155">
        <v>8004592</v>
      </c>
      <c r="D5155" s="11" t="s">
        <v>16482</v>
      </c>
      <c r="E5155" s="11" t="s">
        <v>16483</v>
      </c>
    </row>
    <row r="5156" spans="1:5">
      <c r="A5156" s="11" t="s">
        <v>16484</v>
      </c>
      <c r="B5156">
        <v>8004593</v>
      </c>
      <c r="D5156" s="11" t="s">
        <v>16485</v>
      </c>
      <c r="E5156" s="11" t="s">
        <v>16486</v>
      </c>
    </row>
    <row r="5157" spans="1:5">
      <c r="A5157" s="11" t="s">
        <v>16487</v>
      </c>
      <c r="B5157">
        <v>8004594</v>
      </c>
      <c r="D5157" s="11" t="s">
        <v>16488</v>
      </c>
      <c r="E5157" s="11" t="s">
        <v>16489</v>
      </c>
    </row>
    <row r="5158" spans="1:5">
      <c r="A5158" s="11" t="s">
        <v>16490</v>
      </c>
      <c r="B5158">
        <v>8004596</v>
      </c>
      <c r="D5158" s="11" t="s">
        <v>16491</v>
      </c>
      <c r="E5158" s="11" t="s">
        <v>16492</v>
      </c>
    </row>
    <row r="5159" spans="1:5">
      <c r="A5159" s="11" t="s">
        <v>16493</v>
      </c>
      <c r="B5159">
        <v>8087064</v>
      </c>
      <c r="D5159" s="11" t="s">
        <v>16494</v>
      </c>
      <c r="E5159" s="11" t="s">
        <v>16495</v>
      </c>
    </row>
    <row r="5160" spans="1:5">
      <c r="A5160" s="11" t="s">
        <v>16496</v>
      </c>
      <c r="B5160">
        <v>8006304</v>
      </c>
      <c r="D5160" s="11" t="s">
        <v>16497</v>
      </c>
      <c r="E5160" s="11" t="s">
        <v>16498</v>
      </c>
    </row>
    <row r="5161" spans="1:5">
      <c r="A5161" s="11" t="s">
        <v>528</v>
      </c>
      <c r="B5161">
        <v>8012540</v>
      </c>
      <c r="D5161" s="11" t="s">
        <v>530</v>
      </c>
      <c r="E5161" s="11" t="s">
        <v>531</v>
      </c>
    </row>
    <row r="5162" spans="1:5">
      <c r="A5162" s="11" t="s">
        <v>16499</v>
      </c>
      <c r="B5162">
        <v>8012541</v>
      </c>
      <c r="D5162" s="11" t="s">
        <v>16500</v>
      </c>
      <c r="E5162" s="11" t="s">
        <v>16501</v>
      </c>
    </row>
    <row r="5163" spans="1:5">
      <c r="A5163" s="11" t="s">
        <v>16502</v>
      </c>
      <c r="B5163">
        <v>8012542</v>
      </c>
      <c r="D5163" s="11" t="s">
        <v>16503</v>
      </c>
      <c r="E5163" s="11" t="s">
        <v>16504</v>
      </c>
    </row>
    <row r="5164" spans="1:5">
      <c r="A5164" s="11" t="s">
        <v>16505</v>
      </c>
      <c r="B5164">
        <v>8004453</v>
      </c>
      <c r="D5164" s="11" t="s">
        <v>16506</v>
      </c>
      <c r="E5164" s="11" t="s">
        <v>16507</v>
      </c>
    </row>
    <row r="5165" spans="1:5">
      <c r="A5165" s="11" t="s">
        <v>16508</v>
      </c>
      <c r="B5165">
        <v>8004601</v>
      </c>
      <c r="D5165" s="11" t="s">
        <v>16509</v>
      </c>
      <c r="E5165" s="11" t="s">
        <v>16510</v>
      </c>
    </row>
    <row r="5166" spans="1:5">
      <c r="A5166" s="11" t="s">
        <v>16511</v>
      </c>
      <c r="B5166">
        <v>8075962</v>
      </c>
      <c r="D5166" s="11" t="s">
        <v>1539</v>
      </c>
      <c r="E5166" s="11" t="s">
        <v>1539</v>
      </c>
    </row>
    <row r="5167" spans="1:5">
      <c r="A5167" s="11" t="s">
        <v>16512</v>
      </c>
      <c r="B5167">
        <v>8004499</v>
      </c>
      <c r="D5167" s="11" t="s">
        <v>16513</v>
      </c>
      <c r="E5167" s="11" t="s">
        <v>16514</v>
      </c>
    </row>
    <row r="5168" spans="1:5">
      <c r="A5168" s="11" t="s">
        <v>16515</v>
      </c>
      <c r="B5168">
        <v>8004603</v>
      </c>
      <c r="D5168" s="11" t="s">
        <v>16516</v>
      </c>
      <c r="E5168" s="11" t="s">
        <v>16517</v>
      </c>
    </row>
    <row r="5169" spans="1:5">
      <c r="A5169" s="11" t="s">
        <v>16518</v>
      </c>
      <c r="B5169">
        <v>8004604</v>
      </c>
      <c r="D5169" s="11" t="s">
        <v>16519</v>
      </c>
      <c r="E5169" s="11" t="s">
        <v>16520</v>
      </c>
    </row>
    <row r="5170" spans="1:5">
      <c r="A5170" s="11" t="s">
        <v>16521</v>
      </c>
      <c r="B5170">
        <v>8004605</v>
      </c>
      <c r="D5170" s="11" t="s">
        <v>16522</v>
      </c>
      <c r="E5170" s="11" t="s">
        <v>16523</v>
      </c>
    </row>
    <row r="5171" spans="1:5">
      <c r="A5171" s="11" t="s">
        <v>16524</v>
      </c>
      <c r="B5171">
        <v>8070507</v>
      </c>
      <c r="D5171" s="11" t="s">
        <v>16525</v>
      </c>
      <c r="E5171" s="11" t="s">
        <v>16526</v>
      </c>
    </row>
    <row r="5172" spans="1:5">
      <c r="A5172" s="11" t="s">
        <v>16527</v>
      </c>
      <c r="B5172">
        <v>8070803</v>
      </c>
      <c r="D5172" s="11" t="s">
        <v>16528</v>
      </c>
      <c r="E5172" s="11" t="s">
        <v>16529</v>
      </c>
    </row>
    <row r="5173" spans="1:5">
      <c r="A5173" s="11" t="s">
        <v>16530</v>
      </c>
      <c r="B5173">
        <v>8010260</v>
      </c>
      <c r="D5173" s="11" t="s">
        <v>16531</v>
      </c>
      <c r="E5173" s="11" t="s">
        <v>16532</v>
      </c>
    </row>
    <row r="5174" spans="1:5">
      <c r="A5174" s="11" t="s">
        <v>16533</v>
      </c>
      <c r="B5174">
        <v>8004609</v>
      </c>
      <c r="D5174" s="11" t="s">
        <v>16534</v>
      </c>
      <c r="E5174" s="11" t="s">
        <v>16535</v>
      </c>
    </row>
    <row r="5175" spans="1:5">
      <c r="A5175" s="11" t="s">
        <v>16536</v>
      </c>
      <c r="B5175">
        <v>8000818</v>
      </c>
      <c r="D5175" s="11" t="s">
        <v>16537</v>
      </c>
      <c r="E5175" s="11" t="s">
        <v>16538</v>
      </c>
    </row>
    <row r="5176" spans="1:5">
      <c r="A5176" s="11" t="s">
        <v>16539</v>
      </c>
      <c r="B5176">
        <v>8079093</v>
      </c>
      <c r="D5176" s="11" t="s">
        <v>16540</v>
      </c>
      <c r="E5176" s="11" t="s">
        <v>16541</v>
      </c>
    </row>
    <row r="5177" spans="1:5">
      <c r="A5177" s="11" t="s">
        <v>16542</v>
      </c>
      <c r="B5177">
        <v>8012546</v>
      </c>
      <c r="D5177" s="11" t="s">
        <v>16543</v>
      </c>
      <c r="E5177" s="11" t="s">
        <v>16544</v>
      </c>
    </row>
    <row r="5178" spans="1:5">
      <c r="A5178" s="11" t="s">
        <v>16545</v>
      </c>
      <c r="B5178">
        <v>8004613</v>
      </c>
      <c r="D5178" s="11" t="s">
        <v>16546</v>
      </c>
      <c r="E5178" s="11" t="s">
        <v>16547</v>
      </c>
    </row>
    <row r="5179" spans="1:5">
      <c r="A5179" s="11" t="s">
        <v>16548</v>
      </c>
      <c r="B5179">
        <v>8004614</v>
      </c>
      <c r="D5179" s="11" t="s">
        <v>16549</v>
      </c>
      <c r="E5179" s="11" t="s">
        <v>16550</v>
      </c>
    </row>
    <row r="5180" spans="1:5">
      <c r="A5180" s="11" t="s">
        <v>16551</v>
      </c>
      <c r="B5180">
        <v>8007138</v>
      </c>
      <c r="D5180" s="11" t="s">
        <v>16552</v>
      </c>
      <c r="E5180" s="11" t="s">
        <v>16553</v>
      </c>
    </row>
    <row r="5181" spans="1:5">
      <c r="A5181" s="11" t="s">
        <v>16554</v>
      </c>
      <c r="B5181">
        <v>8070099</v>
      </c>
      <c r="D5181" s="11" t="s">
        <v>16555</v>
      </c>
      <c r="E5181" s="11" t="s">
        <v>16556</v>
      </c>
    </row>
    <row r="5182" spans="1:5">
      <c r="A5182" s="11" t="s">
        <v>16557</v>
      </c>
      <c r="B5182">
        <v>8012549</v>
      </c>
      <c r="D5182" s="11" t="s">
        <v>16558</v>
      </c>
      <c r="E5182" s="11" t="s">
        <v>16559</v>
      </c>
    </row>
    <row r="5183" spans="1:5">
      <c r="A5183" s="11" t="s">
        <v>16560</v>
      </c>
      <c r="B5183">
        <v>8010261</v>
      </c>
      <c r="D5183" s="11" t="s">
        <v>16561</v>
      </c>
      <c r="E5183" s="11" t="s">
        <v>16562</v>
      </c>
    </row>
    <row r="5184" spans="1:5">
      <c r="A5184" s="11" t="s">
        <v>16563</v>
      </c>
      <c r="B5184">
        <v>8012550</v>
      </c>
      <c r="D5184" s="11" t="s">
        <v>16564</v>
      </c>
      <c r="E5184" s="11" t="s">
        <v>16565</v>
      </c>
    </row>
    <row r="5185" spans="1:5">
      <c r="A5185" s="11" t="s">
        <v>16566</v>
      </c>
      <c r="B5185">
        <v>8012551</v>
      </c>
      <c r="D5185" s="11" t="s">
        <v>16567</v>
      </c>
      <c r="E5185" s="11" t="s">
        <v>16568</v>
      </c>
    </row>
    <row r="5186" spans="1:5">
      <c r="A5186" s="11" t="s">
        <v>16569</v>
      </c>
      <c r="B5186">
        <v>8012552</v>
      </c>
      <c r="D5186" s="11" t="s">
        <v>16570</v>
      </c>
      <c r="E5186" s="11" t="s">
        <v>16571</v>
      </c>
    </row>
    <row r="5187" spans="1:5">
      <c r="A5187" s="11" t="s">
        <v>16572</v>
      </c>
      <c r="B5187">
        <v>8004626</v>
      </c>
      <c r="D5187" s="11" t="s">
        <v>16573</v>
      </c>
      <c r="E5187" s="11" t="s">
        <v>16574</v>
      </c>
    </row>
    <row r="5188" spans="1:5">
      <c r="A5188" s="11" t="s">
        <v>16575</v>
      </c>
      <c r="B5188">
        <v>8017408</v>
      </c>
      <c r="D5188" s="11" t="s">
        <v>1539</v>
      </c>
      <c r="E5188" s="11" t="s">
        <v>1539</v>
      </c>
    </row>
    <row r="5189" spans="1:5">
      <c r="A5189" s="11" t="s">
        <v>16576</v>
      </c>
      <c r="B5189">
        <v>8012553</v>
      </c>
      <c r="D5189" s="11" t="s">
        <v>16577</v>
      </c>
      <c r="E5189" s="11" t="s">
        <v>16578</v>
      </c>
    </row>
    <row r="5190" spans="1:5">
      <c r="A5190" s="11" t="s">
        <v>16579</v>
      </c>
      <c r="B5190">
        <v>8012554</v>
      </c>
      <c r="D5190" s="11" t="s">
        <v>16580</v>
      </c>
      <c r="E5190" s="11" t="s">
        <v>16581</v>
      </c>
    </row>
    <row r="5191" spans="1:5">
      <c r="A5191" s="11" t="s">
        <v>16582</v>
      </c>
      <c r="B5191">
        <v>8007810</v>
      </c>
      <c r="D5191" s="11" t="s">
        <v>16583</v>
      </c>
      <c r="E5191" s="11" t="s">
        <v>16584</v>
      </c>
    </row>
    <row r="5192" spans="1:5">
      <c r="A5192" s="11" t="s">
        <v>16585</v>
      </c>
      <c r="B5192">
        <v>8004629</v>
      </c>
      <c r="D5192" s="11" t="s">
        <v>16586</v>
      </c>
      <c r="E5192" s="11" t="s">
        <v>16587</v>
      </c>
    </row>
    <row r="5193" spans="1:5">
      <c r="A5193" s="11" t="s">
        <v>16588</v>
      </c>
      <c r="B5193">
        <v>8004630</v>
      </c>
      <c r="D5193" s="11" t="s">
        <v>16589</v>
      </c>
      <c r="E5193" s="11" t="s">
        <v>16590</v>
      </c>
    </row>
    <row r="5194" spans="1:5">
      <c r="A5194" s="11" t="s">
        <v>16591</v>
      </c>
      <c r="B5194">
        <v>8012555</v>
      </c>
      <c r="D5194" s="11" t="s">
        <v>16592</v>
      </c>
      <c r="E5194" s="11" t="s">
        <v>16593</v>
      </c>
    </row>
    <row r="5195" spans="1:5">
      <c r="A5195" s="11" t="s">
        <v>16594</v>
      </c>
      <c r="B5195">
        <v>8004628</v>
      </c>
      <c r="D5195" s="11" t="s">
        <v>16595</v>
      </c>
      <c r="E5195" s="11" t="s">
        <v>16596</v>
      </c>
    </row>
    <row r="5196" spans="1:5">
      <c r="A5196" s="11" t="s">
        <v>16597</v>
      </c>
      <c r="B5196">
        <v>8004635</v>
      </c>
      <c r="D5196" s="11" t="s">
        <v>16598</v>
      </c>
      <c r="E5196" s="11" t="s">
        <v>16599</v>
      </c>
    </row>
    <row r="5197" spans="1:5">
      <c r="A5197" s="11" t="s">
        <v>16600</v>
      </c>
      <c r="B5197">
        <v>8070508</v>
      </c>
      <c r="D5197" s="11" t="s">
        <v>16601</v>
      </c>
      <c r="E5197" s="11" t="s">
        <v>16602</v>
      </c>
    </row>
    <row r="5198" spans="1:5">
      <c r="A5198" s="11" t="s">
        <v>16603</v>
      </c>
      <c r="B5198">
        <v>8004642</v>
      </c>
      <c r="D5198" s="11" t="s">
        <v>16604</v>
      </c>
      <c r="E5198" s="11" t="s">
        <v>16605</v>
      </c>
    </row>
    <row r="5199" spans="1:5">
      <c r="A5199" s="11" t="s">
        <v>16606</v>
      </c>
      <c r="B5199">
        <v>8004643</v>
      </c>
      <c r="D5199" s="11" t="s">
        <v>16607</v>
      </c>
      <c r="E5199" s="11" t="s">
        <v>16608</v>
      </c>
    </row>
    <row r="5200" spans="1:5">
      <c r="A5200" s="11" t="s">
        <v>16609</v>
      </c>
      <c r="B5200">
        <v>8070092</v>
      </c>
      <c r="D5200" s="11" t="s">
        <v>16610</v>
      </c>
      <c r="E5200" s="11" t="s">
        <v>16611</v>
      </c>
    </row>
    <row r="5201" spans="1:5">
      <c r="A5201" s="11" t="s">
        <v>16612</v>
      </c>
      <c r="B5201">
        <v>8070091</v>
      </c>
      <c r="D5201" s="11" t="s">
        <v>16613</v>
      </c>
      <c r="E5201" s="11" t="s">
        <v>16614</v>
      </c>
    </row>
    <row r="5202" spans="1:5">
      <c r="A5202" s="11" t="s">
        <v>16615</v>
      </c>
      <c r="B5202">
        <v>8070090</v>
      </c>
      <c r="D5202" s="11" t="s">
        <v>16616</v>
      </c>
      <c r="E5202" s="11" t="s">
        <v>16617</v>
      </c>
    </row>
    <row r="5203" spans="1:5">
      <c r="A5203" s="11" t="s">
        <v>16618</v>
      </c>
      <c r="B5203">
        <v>8000349</v>
      </c>
      <c r="D5203" s="11" t="s">
        <v>16619</v>
      </c>
      <c r="E5203" s="11" t="s">
        <v>16620</v>
      </c>
    </row>
    <row r="5204" spans="1:5">
      <c r="A5204" s="11" t="s">
        <v>16621</v>
      </c>
      <c r="B5204">
        <v>8004645</v>
      </c>
      <c r="D5204" s="11" t="s">
        <v>16622</v>
      </c>
      <c r="E5204" s="11" t="s">
        <v>16623</v>
      </c>
    </row>
    <row r="5205" spans="1:5">
      <c r="A5205" s="11" t="s">
        <v>16624</v>
      </c>
      <c r="B5205">
        <v>8004647</v>
      </c>
      <c r="D5205" s="11" t="s">
        <v>16625</v>
      </c>
      <c r="E5205" s="11" t="s">
        <v>16626</v>
      </c>
    </row>
    <row r="5206" spans="1:5">
      <c r="A5206" s="11" t="s">
        <v>16627</v>
      </c>
      <c r="B5206">
        <v>8004640</v>
      </c>
      <c r="D5206" s="11" t="s">
        <v>16628</v>
      </c>
      <c r="E5206" s="11" t="s">
        <v>16629</v>
      </c>
    </row>
    <row r="5207" spans="1:5">
      <c r="A5207" s="11" t="s">
        <v>16630</v>
      </c>
      <c r="B5207">
        <v>8000290</v>
      </c>
      <c r="D5207" s="11" t="s">
        <v>16631</v>
      </c>
      <c r="E5207" s="11" t="s">
        <v>16632</v>
      </c>
    </row>
    <row r="5208" spans="1:5">
      <c r="A5208" s="11" t="s">
        <v>16633</v>
      </c>
      <c r="B5208">
        <v>8004639</v>
      </c>
      <c r="D5208" s="11" t="s">
        <v>16634</v>
      </c>
      <c r="E5208" s="11" t="s">
        <v>16635</v>
      </c>
    </row>
    <row r="5209" spans="1:5">
      <c r="A5209" s="11" t="s">
        <v>16636</v>
      </c>
      <c r="B5209">
        <v>8070509</v>
      </c>
      <c r="D5209" s="11" t="s">
        <v>16637</v>
      </c>
      <c r="E5209" s="11" t="s">
        <v>16638</v>
      </c>
    </row>
    <row r="5210" spans="1:5">
      <c r="A5210" s="11" t="s">
        <v>16639</v>
      </c>
      <c r="B5210">
        <v>8004652</v>
      </c>
      <c r="D5210" s="11" t="s">
        <v>16640</v>
      </c>
      <c r="E5210" s="11" t="s">
        <v>16641</v>
      </c>
    </row>
    <row r="5211" spans="1:5">
      <c r="A5211" s="11" t="s">
        <v>16642</v>
      </c>
      <c r="B5211">
        <v>8004654</v>
      </c>
      <c r="D5211" s="11" t="s">
        <v>16643</v>
      </c>
      <c r="E5211" s="11" t="s">
        <v>16644</v>
      </c>
    </row>
    <row r="5212" spans="1:5">
      <c r="A5212" s="11" t="s">
        <v>16645</v>
      </c>
      <c r="B5212">
        <v>8004658</v>
      </c>
      <c r="D5212" s="11" t="s">
        <v>16646</v>
      </c>
      <c r="E5212" s="11" t="s">
        <v>16647</v>
      </c>
    </row>
    <row r="5213" spans="1:5">
      <c r="A5213" s="11" t="s">
        <v>16648</v>
      </c>
      <c r="B5213">
        <v>8004662</v>
      </c>
      <c r="D5213" s="11" t="s">
        <v>16649</v>
      </c>
      <c r="E5213" s="11" t="s">
        <v>16650</v>
      </c>
    </row>
    <row r="5214" spans="1:5">
      <c r="A5214" s="11" t="s">
        <v>16651</v>
      </c>
      <c r="B5214">
        <v>8079014</v>
      </c>
      <c r="D5214" s="11" t="s">
        <v>16652</v>
      </c>
      <c r="E5214" s="11" t="s">
        <v>16653</v>
      </c>
    </row>
    <row r="5215" spans="1:5">
      <c r="A5215" s="11" t="s">
        <v>16654</v>
      </c>
      <c r="B5215">
        <v>8004623</v>
      </c>
      <c r="D5215" s="11" t="s">
        <v>16655</v>
      </c>
      <c r="E5215" s="11" t="s">
        <v>16656</v>
      </c>
    </row>
    <row r="5216" spans="1:5">
      <c r="A5216" s="11" t="s">
        <v>16657</v>
      </c>
      <c r="B5216">
        <v>8004624</v>
      </c>
      <c r="D5216" s="11" t="s">
        <v>16658</v>
      </c>
      <c r="E5216" s="11" t="s">
        <v>16659</v>
      </c>
    </row>
    <row r="5217" spans="1:5">
      <c r="A5217" s="11" t="s">
        <v>16660</v>
      </c>
      <c r="B5217">
        <v>8004620</v>
      </c>
      <c r="D5217" s="11" t="s">
        <v>16661</v>
      </c>
      <c r="E5217" s="11" t="s">
        <v>16662</v>
      </c>
    </row>
    <row r="5218" spans="1:5">
      <c r="A5218" s="11" t="s">
        <v>16663</v>
      </c>
      <c r="B5218">
        <v>8004664</v>
      </c>
      <c r="D5218" s="11" t="s">
        <v>16664</v>
      </c>
      <c r="E5218" s="11" t="s">
        <v>16665</v>
      </c>
    </row>
    <row r="5219" spans="1:5">
      <c r="A5219" s="11" t="s">
        <v>16666</v>
      </c>
      <c r="B5219">
        <v>8004665</v>
      </c>
      <c r="D5219" s="11" t="s">
        <v>16667</v>
      </c>
      <c r="E5219" s="11" t="s">
        <v>16668</v>
      </c>
    </row>
    <row r="5220" spans="1:5">
      <c r="A5220" s="11" t="s">
        <v>16669</v>
      </c>
      <c r="B5220">
        <v>8012558</v>
      </c>
      <c r="D5220" s="11" t="s">
        <v>16670</v>
      </c>
      <c r="E5220" s="11" t="s">
        <v>16671</v>
      </c>
    </row>
    <row r="5221" spans="1:5">
      <c r="A5221" s="11" t="s">
        <v>16672</v>
      </c>
      <c r="B5221">
        <v>8012571</v>
      </c>
      <c r="D5221" s="11" t="s">
        <v>16673</v>
      </c>
      <c r="E5221" s="11" t="s">
        <v>16674</v>
      </c>
    </row>
    <row r="5222" spans="1:5">
      <c r="A5222" s="11" t="s">
        <v>16675</v>
      </c>
      <c r="B5222">
        <v>8012559</v>
      </c>
      <c r="D5222" s="11" t="s">
        <v>16676</v>
      </c>
      <c r="E5222" s="11" t="s">
        <v>16677</v>
      </c>
    </row>
    <row r="5223" spans="1:5">
      <c r="A5223" s="11" t="s">
        <v>16678</v>
      </c>
      <c r="B5223">
        <v>8012560</v>
      </c>
      <c r="D5223" s="11" t="s">
        <v>16679</v>
      </c>
      <c r="E5223" s="11" t="s">
        <v>16680</v>
      </c>
    </row>
    <row r="5224" spans="1:5">
      <c r="A5224" s="11" t="s">
        <v>16681</v>
      </c>
      <c r="B5224">
        <v>8012561</v>
      </c>
      <c r="D5224" s="11" t="s">
        <v>16682</v>
      </c>
      <c r="E5224" s="11" t="s">
        <v>16683</v>
      </c>
    </row>
    <row r="5225" spans="1:5">
      <c r="A5225" s="11" t="s">
        <v>16684</v>
      </c>
      <c r="B5225">
        <v>8012562</v>
      </c>
      <c r="D5225" s="11" t="s">
        <v>16685</v>
      </c>
      <c r="E5225" s="11" t="s">
        <v>16686</v>
      </c>
    </row>
    <row r="5226" spans="1:5">
      <c r="A5226" s="11" t="s">
        <v>16687</v>
      </c>
      <c r="B5226">
        <v>8071823</v>
      </c>
      <c r="D5226" s="11" t="s">
        <v>16688</v>
      </c>
      <c r="E5226" s="11" t="s">
        <v>16689</v>
      </c>
    </row>
    <row r="5227" spans="1:5">
      <c r="A5227" s="11" t="s">
        <v>16690</v>
      </c>
      <c r="B5227">
        <v>8004632</v>
      </c>
      <c r="D5227" s="11" t="s">
        <v>16691</v>
      </c>
      <c r="E5227" s="11" t="s">
        <v>16692</v>
      </c>
    </row>
    <row r="5228" spans="1:5">
      <c r="A5228" s="11" t="s">
        <v>16693</v>
      </c>
      <c r="B5228">
        <v>8004667</v>
      </c>
      <c r="D5228" s="11" t="s">
        <v>16694</v>
      </c>
      <c r="E5228" s="11" t="s">
        <v>16695</v>
      </c>
    </row>
    <row r="5229" spans="1:5">
      <c r="A5229" s="11" t="s">
        <v>16696</v>
      </c>
      <c r="B5229">
        <v>8004669</v>
      </c>
      <c r="D5229" s="11" t="s">
        <v>16697</v>
      </c>
      <c r="E5229" s="11" t="s">
        <v>16698</v>
      </c>
    </row>
    <row r="5230" spans="1:5">
      <c r="A5230" s="11" t="s">
        <v>16699</v>
      </c>
      <c r="B5230">
        <v>8000291</v>
      </c>
      <c r="D5230" s="11" t="s">
        <v>16700</v>
      </c>
      <c r="E5230" s="11" t="s">
        <v>16701</v>
      </c>
    </row>
    <row r="5231" spans="1:5">
      <c r="A5231" s="11" t="s">
        <v>16702</v>
      </c>
      <c r="B5231">
        <v>8004670</v>
      </c>
      <c r="D5231" s="11" t="s">
        <v>16703</v>
      </c>
      <c r="E5231" s="11" t="s">
        <v>16704</v>
      </c>
    </row>
    <row r="5232" spans="1:5">
      <c r="A5232" s="11" t="s">
        <v>16705</v>
      </c>
      <c r="B5232">
        <v>8004668</v>
      </c>
      <c r="D5232" s="11" t="s">
        <v>16706</v>
      </c>
      <c r="E5232" s="11" t="s">
        <v>16707</v>
      </c>
    </row>
    <row r="5233" spans="1:5">
      <c r="A5233" s="11" t="s">
        <v>16708</v>
      </c>
      <c r="B5233">
        <v>8079069</v>
      </c>
      <c r="D5233" s="11" t="s">
        <v>16709</v>
      </c>
      <c r="E5233" s="11" t="s">
        <v>16710</v>
      </c>
    </row>
    <row r="5234" spans="1:5">
      <c r="A5234" s="11" t="s">
        <v>16711</v>
      </c>
      <c r="B5234">
        <v>8004674</v>
      </c>
      <c r="D5234" s="11" t="s">
        <v>16712</v>
      </c>
      <c r="E5234" s="11" t="s">
        <v>16713</v>
      </c>
    </row>
    <row r="5235" spans="1:5">
      <c r="A5235" s="11" t="s">
        <v>16714</v>
      </c>
      <c r="B5235">
        <v>8004676</v>
      </c>
      <c r="D5235" s="11" t="s">
        <v>16715</v>
      </c>
      <c r="E5235" s="11" t="s">
        <v>16716</v>
      </c>
    </row>
    <row r="5236" spans="1:5">
      <c r="A5236" s="11" t="s">
        <v>16717</v>
      </c>
      <c r="B5236">
        <v>8004677</v>
      </c>
      <c r="D5236" s="11" t="s">
        <v>16718</v>
      </c>
      <c r="E5236" s="11" t="s">
        <v>16719</v>
      </c>
    </row>
    <row r="5237" spans="1:5">
      <c r="A5237" s="11" t="s">
        <v>16720</v>
      </c>
      <c r="B5237">
        <v>8000853</v>
      </c>
      <c r="D5237" s="11" t="s">
        <v>16721</v>
      </c>
      <c r="E5237" s="11" t="s">
        <v>16722</v>
      </c>
    </row>
    <row r="5238" spans="1:5">
      <c r="A5238" s="11" t="s">
        <v>16723</v>
      </c>
      <c r="B5238">
        <v>8004679</v>
      </c>
      <c r="D5238" s="11" t="s">
        <v>16724</v>
      </c>
      <c r="E5238" s="11" t="s">
        <v>16725</v>
      </c>
    </row>
    <row r="5239" spans="1:5">
      <c r="A5239" s="11" t="s">
        <v>16726</v>
      </c>
      <c r="B5239">
        <v>8004680</v>
      </c>
      <c r="D5239" s="11" t="s">
        <v>16727</v>
      </c>
      <c r="E5239" s="11" t="s">
        <v>16728</v>
      </c>
    </row>
    <row r="5240" spans="1:5">
      <c r="A5240" s="11" t="s">
        <v>16729</v>
      </c>
      <c r="B5240">
        <v>8004681</v>
      </c>
      <c r="D5240" s="11" t="s">
        <v>16730</v>
      </c>
      <c r="E5240" s="11" t="s">
        <v>16731</v>
      </c>
    </row>
    <row r="5241" spans="1:5">
      <c r="A5241" s="11" t="s">
        <v>16732</v>
      </c>
      <c r="B5241">
        <v>8012563</v>
      </c>
      <c r="D5241" s="11" t="s">
        <v>16733</v>
      </c>
      <c r="E5241" s="11" t="s">
        <v>16734</v>
      </c>
    </row>
    <row r="5242" spans="1:5">
      <c r="A5242" s="11" t="s">
        <v>16735</v>
      </c>
      <c r="B5242">
        <v>8012564</v>
      </c>
      <c r="D5242" s="11" t="s">
        <v>16736</v>
      </c>
      <c r="E5242" s="11" t="s">
        <v>16737</v>
      </c>
    </row>
    <row r="5243" spans="1:5">
      <c r="A5243" s="11" t="s">
        <v>16738</v>
      </c>
      <c r="B5243">
        <v>8013487</v>
      </c>
      <c r="D5243" s="11" t="s">
        <v>16739</v>
      </c>
      <c r="E5243" s="11" t="s">
        <v>16740</v>
      </c>
    </row>
    <row r="5244" spans="1:5">
      <c r="A5244" s="11" t="s">
        <v>16741</v>
      </c>
      <c r="B5244">
        <v>8089197</v>
      </c>
      <c r="D5244" s="11" t="s">
        <v>16742</v>
      </c>
      <c r="E5244" s="11" t="s">
        <v>16743</v>
      </c>
    </row>
    <row r="5245" spans="1:5">
      <c r="A5245" s="11" t="s">
        <v>16744</v>
      </c>
      <c r="B5245">
        <v>8010264</v>
      </c>
      <c r="D5245" s="11" t="s">
        <v>16745</v>
      </c>
      <c r="E5245" s="11" t="s">
        <v>16746</v>
      </c>
    </row>
    <row r="5246" spans="1:5">
      <c r="A5246" s="11" t="s">
        <v>16747</v>
      </c>
      <c r="B5246">
        <v>8004683</v>
      </c>
      <c r="D5246" s="11" t="s">
        <v>16748</v>
      </c>
      <c r="E5246" s="11" t="s">
        <v>16749</v>
      </c>
    </row>
    <row r="5247" spans="1:5">
      <c r="A5247" s="11" t="s">
        <v>16750</v>
      </c>
      <c r="B5247">
        <v>711075</v>
      </c>
      <c r="D5247" s="11" t="s">
        <v>16751</v>
      </c>
      <c r="E5247" s="11" t="s">
        <v>16752</v>
      </c>
    </row>
    <row r="5248" spans="1:5">
      <c r="A5248" s="11" t="s">
        <v>16753</v>
      </c>
      <c r="B5248">
        <v>8012565</v>
      </c>
      <c r="D5248" s="11" t="s">
        <v>16754</v>
      </c>
      <c r="E5248" s="11" t="s">
        <v>16755</v>
      </c>
    </row>
    <row r="5249" spans="1:5">
      <c r="A5249" s="11" t="s">
        <v>1498</v>
      </c>
      <c r="B5249">
        <v>8013461</v>
      </c>
      <c r="D5249" s="11" t="s">
        <v>16756</v>
      </c>
      <c r="E5249" s="11" t="s">
        <v>16757</v>
      </c>
    </row>
    <row r="5250" spans="1:5">
      <c r="A5250" s="11" t="s">
        <v>16758</v>
      </c>
      <c r="B5250">
        <v>8010266</v>
      </c>
      <c r="D5250" s="11" t="s">
        <v>16759</v>
      </c>
      <c r="E5250" s="11" t="s">
        <v>16760</v>
      </c>
    </row>
    <row r="5251" spans="1:5">
      <c r="A5251" s="11" t="s">
        <v>16761</v>
      </c>
      <c r="B5251">
        <v>8004689</v>
      </c>
      <c r="D5251" s="11" t="s">
        <v>16762</v>
      </c>
      <c r="E5251" s="11" t="s">
        <v>16763</v>
      </c>
    </row>
    <row r="5252" spans="1:5">
      <c r="A5252" s="11" t="s">
        <v>16764</v>
      </c>
      <c r="B5252">
        <v>8071274</v>
      </c>
      <c r="D5252" s="11" t="s">
        <v>16765</v>
      </c>
      <c r="E5252" s="11" t="s">
        <v>16766</v>
      </c>
    </row>
    <row r="5253" spans="1:5">
      <c r="A5253" s="11" t="s">
        <v>952</v>
      </c>
      <c r="B5253">
        <v>8000294</v>
      </c>
      <c r="D5253" s="11" t="s">
        <v>954</v>
      </c>
      <c r="E5253" s="11" t="s">
        <v>955</v>
      </c>
    </row>
    <row r="5254" spans="1:5">
      <c r="A5254" s="11" t="s">
        <v>16767</v>
      </c>
      <c r="B5254">
        <v>8004690</v>
      </c>
      <c r="D5254" s="11" t="s">
        <v>16768</v>
      </c>
      <c r="E5254" s="11" t="s">
        <v>16769</v>
      </c>
    </row>
    <row r="5255" spans="1:5">
      <c r="A5255" s="11" t="s">
        <v>16770</v>
      </c>
      <c r="B5255">
        <v>8012567</v>
      </c>
      <c r="D5255" s="11" t="s">
        <v>16771</v>
      </c>
      <c r="E5255" s="11" t="s">
        <v>16772</v>
      </c>
    </row>
    <row r="5256" spans="1:5">
      <c r="A5256" s="11" t="s">
        <v>16773</v>
      </c>
      <c r="B5256">
        <v>8001183</v>
      </c>
      <c r="D5256" s="11" t="s">
        <v>16774</v>
      </c>
      <c r="E5256" s="11" t="s">
        <v>16775</v>
      </c>
    </row>
    <row r="5257" spans="1:5">
      <c r="A5257" s="11" t="s">
        <v>16776</v>
      </c>
      <c r="B5257">
        <v>8012568</v>
      </c>
      <c r="D5257" s="11" t="s">
        <v>16777</v>
      </c>
      <c r="E5257" s="11" t="s">
        <v>16778</v>
      </c>
    </row>
    <row r="5258" spans="1:5">
      <c r="A5258" s="11" t="s">
        <v>16779</v>
      </c>
      <c r="B5258">
        <v>8000295</v>
      </c>
      <c r="D5258" s="11" t="s">
        <v>16780</v>
      </c>
      <c r="E5258" s="11" t="s">
        <v>16781</v>
      </c>
    </row>
    <row r="5259" spans="1:5">
      <c r="A5259" s="11" t="s">
        <v>16782</v>
      </c>
      <c r="B5259">
        <v>8004699</v>
      </c>
      <c r="D5259" s="11" t="s">
        <v>16783</v>
      </c>
      <c r="E5259" s="11" t="s">
        <v>16784</v>
      </c>
    </row>
    <row r="5260" spans="1:5">
      <c r="A5260" s="11" t="s">
        <v>16785</v>
      </c>
      <c r="B5260">
        <v>8004700</v>
      </c>
      <c r="D5260" s="11" t="s">
        <v>16786</v>
      </c>
      <c r="E5260" s="11" t="s">
        <v>16787</v>
      </c>
    </row>
    <row r="5261" spans="1:5">
      <c r="A5261" s="11" t="s">
        <v>16788</v>
      </c>
      <c r="B5261">
        <v>8004701</v>
      </c>
      <c r="D5261" s="11" t="s">
        <v>16789</v>
      </c>
      <c r="E5261" s="11" t="s">
        <v>16790</v>
      </c>
    </row>
    <row r="5262" spans="1:5">
      <c r="A5262" s="11" t="s">
        <v>16791</v>
      </c>
      <c r="B5262">
        <v>8004702</v>
      </c>
      <c r="D5262" s="11" t="s">
        <v>16792</v>
      </c>
      <c r="E5262" s="11" t="s">
        <v>16793</v>
      </c>
    </row>
    <row r="5263" spans="1:5">
      <c r="A5263" s="11" t="s">
        <v>16794</v>
      </c>
      <c r="B5263">
        <v>8004703</v>
      </c>
      <c r="D5263" s="11" t="s">
        <v>16795</v>
      </c>
      <c r="E5263" s="11" t="s">
        <v>16796</v>
      </c>
    </row>
    <row r="5264" spans="1:5">
      <c r="A5264" s="11" t="s">
        <v>16797</v>
      </c>
      <c r="B5264">
        <v>8004705</v>
      </c>
      <c r="D5264" s="11" t="s">
        <v>16798</v>
      </c>
      <c r="E5264" s="11" t="s">
        <v>16799</v>
      </c>
    </row>
    <row r="5265" spans="1:5">
      <c r="A5265" s="11" t="s">
        <v>16800</v>
      </c>
      <c r="B5265">
        <v>8004704</v>
      </c>
      <c r="D5265" s="11" t="s">
        <v>16801</v>
      </c>
      <c r="E5265" s="11" t="s">
        <v>16802</v>
      </c>
    </row>
    <row r="5266" spans="1:5">
      <c r="A5266" s="11" t="s">
        <v>16803</v>
      </c>
      <c r="B5266">
        <v>8070214</v>
      </c>
      <c r="D5266" s="11" t="s">
        <v>16804</v>
      </c>
      <c r="E5266" s="11" t="s">
        <v>16805</v>
      </c>
    </row>
    <row r="5267" spans="1:5">
      <c r="A5267" s="11" t="s">
        <v>16806</v>
      </c>
      <c r="B5267">
        <v>8004706</v>
      </c>
      <c r="D5267" s="11" t="s">
        <v>16807</v>
      </c>
      <c r="E5267" s="11" t="s">
        <v>16808</v>
      </c>
    </row>
    <row r="5268" spans="1:5">
      <c r="A5268" s="11" t="s">
        <v>16809</v>
      </c>
      <c r="B5268">
        <v>8004707</v>
      </c>
      <c r="D5268" s="11" t="s">
        <v>16810</v>
      </c>
      <c r="E5268" s="11" t="s">
        <v>16811</v>
      </c>
    </row>
    <row r="5269" spans="1:5">
      <c r="A5269" s="11" t="s">
        <v>16812</v>
      </c>
      <c r="B5269">
        <v>8017021</v>
      </c>
      <c r="D5269" s="11" t="s">
        <v>16813</v>
      </c>
      <c r="E5269" s="11" t="s">
        <v>16814</v>
      </c>
    </row>
    <row r="5270" spans="1:5">
      <c r="A5270" s="11" t="s">
        <v>16815</v>
      </c>
      <c r="B5270">
        <v>8004709</v>
      </c>
      <c r="D5270" s="11" t="s">
        <v>16816</v>
      </c>
      <c r="E5270" s="11" t="s">
        <v>16817</v>
      </c>
    </row>
    <row r="5271" spans="1:5">
      <c r="A5271" s="11" t="s">
        <v>16818</v>
      </c>
      <c r="B5271">
        <v>8012572</v>
      </c>
      <c r="D5271" s="11" t="s">
        <v>16819</v>
      </c>
      <c r="E5271" s="11" t="s">
        <v>16820</v>
      </c>
    </row>
    <row r="5272" spans="1:5">
      <c r="A5272" s="11" t="s">
        <v>16821</v>
      </c>
      <c r="B5272">
        <v>8004711</v>
      </c>
      <c r="D5272" s="11" t="s">
        <v>16822</v>
      </c>
      <c r="E5272" s="11" t="s">
        <v>16823</v>
      </c>
    </row>
    <row r="5273" spans="1:5">
      <c r="A5273" s="11" t="s">
        <v>16824</v>
      </c>
      <c r="B5273">
        <v>8004712</v>
      </c>
      <c r="D5273" s="11" t="s">
        <v>16825</v>
      </c>
      <c r="E5273" s="11" t="s">
        <v>16826</v>
      </c>
    </row>
    <row r="5274" spans="1:5">
      <c r="A5274" s="11" t="s">
        <v>16827</v>
      </c>
      <c r="B5274">
        <v>8004713</v>
      </c>
      <c r="D5274" s="11" t="s">
        <v>16828</v>
      </c>
      <c r="E5274" s="11" t="s">
        <v>16829</v>
      </c>
    </row>
    <row r="5275" spans="1:5">
      <c r="A5275" s="11" t="s">
        <v>16830</v>
      </c>
      <c r="B5275">
        <v>8004714</v>
      </c>
      <c r="D5275" s="11" t="s">
        <v>16831</v>
      </c>
      <c r="E5275" s="11" t="s">
        <v>16832</v>
      </c>
    </row>
    <row r="5276" spans="1:5">
      <c r="A5276" s="11" t="s">
        <v>16833</v>
      </c>
      <c r="B5276">
        <v>8070628</v>
      </c>
      <c r="D5276" s="11" t="s">
        <v>16834</v>
      </c>
      <c r="E5276" s="11" t="s">
        <v>16835</v>
      </c>
    </row>
    <row r="5277" spans="1:5">
      <c r="A5277" s="11" t="s">
        <v>16836</v>
      </c>
      <c r="B5277">
        <v>8012576</v>
      </c>
      <c r="D5277" s="11" t="s">
        <v>16837</v>
      </c>
      <c r="E5277" s="11" t="s">
        <v>16838</v>
      </c>
    </row>
    <row r="5278" spans="1:5">
      <c r="A5278" s="11" t="s">
        <v>16839</v>
      </c>
      <c r="B5278">
        <v>8071790</v>
      </c>
      <c r="D5278" s="11" t="s">
        <v>16840</v>
      </c>
      <c r="E5278" s="11" t="s">
        <v>16841</v>
      </c>
    </row>
    <row r="5279" spans="1:5">
      <c r="A5279" s="11" t="s">
        <v>16842</v>
      </c>
      <c r="B5279">
        <v>8070844</v>
      </c>
      <c r="D5279" s="11" t="s">
        <v>16843</v>
      </c>
      <c r="E5279" s="11" t="s">
        <v>16844</v>
      </c>
    </row>
    <row r="5280" spans="1:5">
      <c r="A5280" s="11" t="s">
        <v>16845</v>
      </c>
      <c r="B5280">
        <v>8070846</v>
      </c>
      <c r="D5280" s="11" t="s">
        <v>16846</v>
      </c>
      <c r="E5280" s="11" t="s">
        <v>16847</v>
      </c>
    </row>
    <row r="5281" spans="1:5">
      <c r="A5281" s="11" t="s">
        <v>16848</v>
      </c>
      <c r="B5281">
        <v>8081100</v>
      </c>
      <c r="D5281" s="11" t="s">
        <v>16849</v>
      </c>
      <c r="E5281" s="11" t="s">
        <v>16850</v>
      </c>
    </row>
    <row r="5282" spans="1:5">
      <c r="A5282" s="11" t="s">
        <v>16851</v>
      </c>
      <c r="B5282">
        <v>8011191</v>
      </c>
      <c r="D5282" s="11" t="s">
        <v>16852</v>
      </c>
      <c r="E5282" s="11" t="s">
        <v>16853</v>
      </c>
    </row>
    <row r="5283" spans="1:5">
      <c r="A5283" s="11" t="s">
        <v>16854</v>
      </c>
      <c r="B5283">
        <v>8073191</v>
      </c>
      <c r="D5283" s="11" t="s">
        <v>1539</v>
      </c>
      <c r="E5283" s="11" t="s">
        <v>1539</v>
      </c>
    </row>
    <row r="5284" spans="1:5">
      <c r="A5284" s="11" t="s">
        <v>16855</v>
      </c>
      <c r="B5284">
        <v>8081110</v>
      </c>
      <c r="D5284" s="11" t="s">
        <v>16856</v>
      </c>
      <c r="E5284" s="11" t="s">
        <v>16857</v>
      </c>
    </row>
    <row r="5285" spans="1:5">
      <c r="A5285" s="11" t="s">
        <v>16858</v>
      </c>
      <c r="B5285">
        <v>8071634</v>
      </c>
      <c r="D5285" s="11" t="s">
        <v>16859</v>
      </c>
      <c r="E5285" s="11" t="s">
        <v>16860</v>
      </c>
    </row>
    <row r="5286" spans="1:5">
      <c r="A5286" s="11" t="s">
        <v>16861</v>
      </c>
      <c r="B5286">
        <v>8012585</v>
      </c>
      <c r="D5286" s="11" t="s">
        <v>16862</v>
      </c>
      <c r="E5286" s="11" t="s">
        <v>16863</v>
      </c>
    </row>
    <row r="5287" spans="1:5">
      <c r="A5287" s="11" t="s">
        <v>16864</v>
      </c>
      <c r="B5287">
        <v>8071057</v>
      </c>
      <c r="D5287" s="11" t="s">
        <v>16865</v>
      </c>
      <c r="E5287" s="11" t="s">
        <v>16866</v>
      </c>
    </row>
    <row r="5288" spans="1:5">
      <c r="A5288" s="11" t="s">
        <v>16867</v>
      </c>
      <c r="B5288">
        <v>8012586</v>
      </c>
      <c r="D5288" s="11" t="s">
        <v>16868</v>
      </c>
      <c r="E5288" s="11" t="s">
        <v>16869</v>
      </c>
    </row>
    <row r="5289" spans="1:5">
      <c r="A5289" s="11" t="s">
        <v>16870</v>
      </c>
      <c r="B5289">
        <v>8012587</v>
      </c>
      <c r="D5289" s="11" t="s">
        <v>16871</v>
      </c>
      <c r="E5289" s="11" t="s">
        <v>16872</v>
      </c>
    </row>
    <row r="5290" spans="1:5">
      <c r="A5290" s="11" t="s">
        <v>16873</v>
      </c>
      <c r="B5290">
        <v>8081140</v>
      </c>
      <c r="D5290" s="11" t="s">
        <v>16874</v>
      </c>
      <c r="E5290" s="11" t="s">
        <v>16875</v>
      </c>
    </row>
    <row r="5291" spans="1:5">
      <c r="A5291" s="11" t="s">
        <v>16876</v>
      </c>
      <c r="B5291">
        <v>8004636</v>
      </c>
      <c r="D5291" s="11" t="s">
        <v>16877</v>
      </c>
      <c r="E5291" s="11" t="s">
        <v>16878</v>
      </c>
    </row>
    <row r="5292" spans="1:5">
      <c r="A5292" s="11" t="s">
        <v>16879</v>
      </c>
      <c r="B5292">
        <v>8004637</v>
      </c>
      <c r="D5292" s="11" t="s">
        <v>16880</v>
      </c>
      <c r="E5292" s="11" t="s">
        <v>16881</v>
      </c>
    </row>
    <row r="5293" spans="1:5">
      <c r="A5293" s="11" t="s">
        <v>16882</v>
      </c>
      <c r="B5293">
        <v>8004722</v>
      </c>
      <c r="D5293" s="11" t="s">
        <v>16883</v>
      </c>
      <c r="E5293" s="11" t="s">
        <v>16884</v>
      </c>
    </row>
    <row r="5294" spans="1:5">
      <c r="A5294" s="11" t="s">
        <v>16885</v>
      </c>
      <c r="B5294">
        <v>8012593</v>
      </c>
      <c r="D5294" s="11" t="s">
        <v>16886</v>
      </c>
      <c r="E5294" s="11" t="s">
        <v>16887</v>
      </c>
    </row>
    <row r="5295" spans="1:5">
      <c r="A5295" s="11" t="s">
        <v>16888</v>
      </c>
      <c r="B5295">
        <v>8012594</v>
      </c>
      <c r="D5295" s="11" t="s">
        <v>16889</v>
      </c>
      <c r="E5295" s="11" t="s">
        <v>16890</v>
      </c>
    </row>
    <row r="5296" spans="1:5">
      <c r="A5296" s="11" t="s">
        <v>16891</v>
      </c>
      <c r="B5296">
        <v>8012595</v>
      </c>
      <c r="D5296" s="11" t="s">
        <v>16892</v>
      </c>
      <c r="E5296" s="11" t="s">
        <v>16893</v>
      </c>
    </row>
    <row r="5297" spans="1:5">
      <c r="A5297" s="11" t="s">
        <v>16894</v>
      </c>
      <c r="B5297">
        <v>8012596</v>
      </c>
      <c r="D5297" s="11" t="s">
        <v>16895</v>
      </c>
      <c r="E5297" s="11" t="s">
        <v>16896</v>
      </c>
    </row>
    <row r="5298" spans="1:5">
      <c r="A5298" s="11" t="s">
        <v>16897</v>
      </c>
      <c r="B5298">
        <v>8007006</v>
      </c>
      <c r="D5298" s="11" t="s">
        <v>16898</v>
      </c>
      <c r="E5298" s="11" t="s">
        <v>16899</v>
      </c>
    </row>
    <row r="5299" spans="1:5">
      <c r="A5299" s="11" t="s">
        <v>16900</v>
      </c>
      <c r="B5299">
        <v>8007015</v>
      </c>
      <c r="D5299" s="11" t="s">
        <v>16901</v>
      </c>
      <c r="E5299" s="11" t="s">
        <v>16902</v>
      </c>
    </row>
    <row r="5300" spans="1:5">
      <c r="A5300" s="11" t="s">
        <v>16903</v>
      </c>
      <c r="B5300">
        <v>8004723</v>
      </c>
      <c r="D5300" s="11" t="s">
        <v>16904</v>
      </c>
      <c r="E5300" s="11" t="s">
        <v>16905</v>
      </c>
    </row>
    <row r="5301" spans="1:5">
      <c r="A5301" s="11" t="s">
        <v>16906</v>
      </c>
      <c r="B5301">
        <v>8004724</v>
      </c>
      <c r="D5301" s="11" t="s">
        <v>16907</v>
      </c>
      <c r="E5301" s="11" t="s">
        <v>16908</v>
      </c>
    </row>
    <row r="5302" spans="1:5">
      <c r="A5302" s="11" t="s">
        <v>16909</v>
      </c>
      <c r="B5302">
        <v>8004725</v>
      </c>
      <c r="D5302" s="11" t="s">
        <v>16910</v>
      </c>
      <c r="E5302" s="11" t="s">
        <v>16911</v>
      </c>
    </row>
    <row r="5303" spans="1:5">
      <c r="A5303" s="11" t="s">
        <v>16912</v>
      </c>
      <c r="B5303">
        <v>8004726</v>
      </c>
      <c r="D5303" s="11" t="s">
        <v>16913</v>
      </c>
      <c r="E5303" s="11" t="s">
        <v>16914</v>
      </c>
    </row>
    <row r="5304" spans="1:5">
      <c r="A5304" s="11" t="s">
        <v>16915</v>
      </c>
      <c r="B5304">
        <v>8004727</v>
      </c>
      <c r="D5304" s="11" t="s">
        <v>16916</v>
      </c>
      <c r="E5304" s="11" t="s">
        <v>16917</v>
      </c>
    </row>
    <row r="5305" spans="1:5">
      <c r="A5305" s="11" t="s">
        <v>16918</v>
      </c>
      <c r="B5305">
        <v>8004728</v>
      </c>
      <c r="D5305" s="11" t="s">
        <v>16919</v>
      </c>
      <c r="E5305" s="11" t="s">
        <v>16920</v>
      </c>
    </row>
    <row r="5306" spans="1:5">
      <c r="A5306" s="11" t="s">
        <v>16921</v>
      </c>
      <c r="B5306">
        <v>8012597</v>
      </c>
      <c r="D5306" s="11" t="s">
        <v>16922</v>
      </c>
      <c r="E5306" s="11" t="s">
        <v>16923</v>
      </c>
    </row>
    <row r="5307" spans="1:5">
      <c r="A5307" s="11" t="s">
        <v>16924</v>
      </c>
      <c r="B5307">
        <v>8004730</v>
      </c>
      <c r="D5307" s="11" t="s">
        <v>16925</v>
      </c>
      <c r="E5307" s="11" t="s">
        <v>16926</v>
      </c>
    </row>
    <row r="5308" spans="1:5">
      <c r="A5308" s="11" t="s">
        <v>16927</v>
      </c>
      <c r="B5308">
        <v>8004731</v>
      </c>
      <c r="D5308" s="11" t="s">
        <v>16928</v>
      </c>
      <c r="E5308" s="11" t="s">
        <v>16929</v>
      </c>
    </row>
    <row r="5309" spans="1:5">
      <c r="A5309" s="11" t="s">
        <v>16930</v>
      </c>
      <c r="B5309">
        <v>8004732</v>
      </c>
      <c r="D5309" s="11" t="s">
        <v>16931</v>
      </c>
      <c r="E5309" s="11" t="s">
        <v>16932</v>
      </c>
    </row>
    <row r="5310" spans="1:5">
      <c r="A5310" s="11" t="s">
        <v>16933</v>
      </c>
      <c r="B5310">
        <v>8004733</v>
      </c>
      <c r="D5310" s="11" t="s">
        <v>16934</v>
      </c>
      <c r="E5310" s="11" t="s">
        <v>16935</v>
      </c>
    </row>
    <row r="5311" spans="1:5">
      <c r="A5311" s="11" t="s">
        <v>16936</v>
      </c>
      <c r="B5311">
        <v>8000875</v>
      </c>
      <c r="D5311" s="11" t="s">
        <v>16937</v>
      </c>
      <c r="E5311" s="11" t="s">
        <v>16938</v>
      </c>
    </row>
    <row r="5312" spans="1:5">
      <c r="A5312" s="11" t="s">
        <v>16939</v>
      </c>
      <c r="B5312">
        <v>8003641</v>
      </c>
      <c r="D5312" s="11" t="s">
        <v>16940</v>
      </c>
      <c r="E5312" s="11" t="s">
        <v>16941</v>
      </c>
    </row>
    <row r="5313" spans="1:5">
      <c r="A5313" s="11" t="s">
        <v>16942</v>
      </c>
      <c r="B5313">
        <v>8004735</v>
      </c>
      <c r="D5313" s="11" t="s">
        <v>16943</v>
      </c>
      <c r="E5313" s="11" t="s">
        <v>16944</v>
      </c>
    </row>
    <row r="5314" spans="1:5">
      <c r="A5314" s="11" t="s">
        <v>16945</v>
      </c>
      <c r="B5314">
        <v>8004738</v>
      </c>
      <c r="D5314" s="11" t="s">
        <v>16946</v>
      </c>
      <c r="E5314" s="11" t="s">
        <v>16947</v>
      </c>
    </row>
    <row r="5315" spans="1:5">
      <c r="A5315" s="11" t="s">
        <v>16948</v>
      </c>
      <c r="B5315">
        <v>8012599</v>
      </c>
      <c r="D5315" s="11" t="s">
        <v>16949</v>
      </c>
      <c r="E5315" s="11" t="s">
        <v>16950</v>
      </c>
    </row>
    <row r="5316" spans="1:5">
      <c r="A5316" s="11" t="s">
        <v>16951</v>
      </c>
      <c r="B5316">
        <v>8004739</v>
      </c>
      <c r="D5316" s="11" t="s">
        <v>16952</v>
      </c>
      <c r="E5316" s="11" t="s">
        <v>16953</v>
      </c>
    </row>
    <row r="5317" spans="1:5">
      <c r="A5317" s="11" t="s">
        <v>16954</v>
      </c>
      <c r="B5317">
        <v>8004740</v>
      </c>
      <c r="D5317" s="11" t="s">
        <v>16955</v>
      </c>
      <c r="E5317" s="11" t="s">
        <v>16956</v>
      </c>
    </row>
    <row r="5318" spans="1:5">
      <c r="A5318" s="11" t="s">
        <v>16957</v>
      </c>
      <c r="B5318">
        <v>8004741</v>
      </c>
      <c r="D5318" s="11" t="s">
        <v>16958</v>
      </c>
      <c r="E5318" s="11" t="s">
        <v>16959</v>
      </c>
    </row>
    <row r="5319" spans="1:5">
      <c r="A5319" s="11" t="s">
        <v>16960</v>
      </c>
      <c r="B5319">
        <v>8004742</v>
      </c>
      <c r="D5319" s="11" t="s">
        <v>16961</v>
      </c>
      <c r="E5319" s="11" t="s">
        <v>16962</v>
      </c>
    </row>
    <row r="5320" spans="1:5">
      <c r="A5320" s="11" t="s">
        <v>16963</v>
      </c>
      <c r="B5320">
        <v>8000297</v>
      </c>
      <c r="D5320" s="11" t="s">
        <v>16964</v>
      </c>
      <c r="E5320" s="11" t="s">
        <v>16965</v>
      </c>
    </row>
    <row r="5321" spans="1:5">
      <c r="A5321" s="11" t="s">
        <v>16966</v>
      </c>
      <c r="B5321">
        <v>8004744</v>
      </c>
      <c r="D5321" s="11" t="s">
        <v>16967</v>
      </c>
      <c r="E5321" s="11" t="s">
        <v>16968</v>
      </c>
    </row>
    <row r="5322" spans="1:5">
      <c r="A5322" s="11" t="s">
        <v>16969</v>
      </c>
      <c r="B5322">
        <v>8004745</v>
      </c>
      <c r="D5322" s="11" t="s">
        <v>16970</v>
      </c>
      <c r="E5322" s="11" t="s">
        <v>16971</v>
      </c>
    </row>
    <row r="5323" spans="1:5">
      <c r="A5323" s="11" t="s">
        <v>16972</v>
      </c>
      <c r="B5323">
        <v>8005370</v>
      </c>
      <c r="D5323" s="11" t="s">
        <v>16973</v>
      </c>
      <c r="E5323" s="11" t="s">
        <v>16974</v>
      </c>
    </row>
    <row r="5324" spans="1:5">
      <c r="A5324" s="11" t="s">
        <v>16975</v>
      </c>
      <c r="B5324">
        <v>8005534</v>
      </c>
      <c r="D5324" s="11" t="s">
        <v>16976</v>
      </c>
      <c r="E5324" s="11" t="s">
        <v>16977</v>
      </c>
    </row>
    <row r="5325" spans="1:5">
      <c r="A5325" s="11" t="s">
        <v>16978</v>
      </c>
      <c r="B5325">
        <v>8004746</v>
      </c>
      <c r="D5325" s="11" t="s">
        <v>16979</v>
      </c>
      <c r="E5325" s="11" t="s">
        <v>16980</v>
      </c>
    </row>
    <row r="5326" spans="1:5">
      <c r="A5326" s="11" t="s">
        <v>16981</v>
      </c>
      <c r="B5326">
        <v>8004747</v>
      </c>
      <c r="D5326" s="11" t="s">
        <v>16982</v>
      </c>
      <c r="E5326" s="11" t="s">
        <v>16983</v>
      </c>
    </row>
    <row r="5327" spans="1:5">
      <c r="A5327" s="11" t="s">
        <v>16984</v>
      </c>
      <c r="B5327">
        <v>8004748</v>
      </c>
      <c r="D5327" s="11" t="s">
        <v>16985</v>
      </c>
      <c r="E5327" s="11" t="s">
        <v>16986</v>
      </c>
    </row>
    <row r="5328" spans="1:5">
      <c r="A5328" s="11" t="s">
        <v>16987</v>
      </c>
      <c r="B5328">
        <v>8004749</v>
      </c>
      <c r="D5328" s="11" t="s">
        <v>16988</v>
      </c>
      <c r="E5328" s="11" t="s">
        <v>16989</v>
      </c>
    </row>
    <row r="5329" spans="1:5">
      <c r="A5329" s="11" t="s">
        <v>16990</v>
      </c>
      <c r="B5329">
        <v>8004750</v>
      </c>
      <c r="D5329" s="11" t="s">
        <v>16991</v>
      </c>
      <c r="E5329" s="11" t="s">
        <v>16992</v>
      </c>
    </row>
    <row r="5330" spans="1:5">
      <c r="A5330" s="11" t="s">
        <v>16993</v>
      </c>
      <c r="B5330">
        <v>8004751</v>
      </c>
      <c r="D5330" s="11" t="s">
        <v>16994</v>
      </c>
      <c r="E5330" s="11" t="s">
        <v>16995</v>
      </c>
    </row>
    <row r="5331" spans="1:5">
      <c r="A5331" s="11" t="s">
        <v>16996</v>
      </c>
      <c r="B5331">
        <v>8012603</v>
      </c>
      <c r="D5331" s="11" t="s">
        <v>16997</v>
      </c>
      <c r="E5331" s="11" t="s">
        <v>16998</v>
      </c>
    </row>
    <row r="5332" spans="1:5">
      <c r="A5332" s="11" t="s">
        <v>16999</v>
      </c>
      <c r="B5332">
        <v>8079751</v>
      </c>
      <c r="D5332" s="11" t="s">
        <v>17000</v>
      </c>
      <c r="E5332" s="11" t="s">
        <v>17001</v>
      </c>
    </row>
    <row r="5333" spans="1:5">
      <c r="A5333" s="11" t="s">
        <v>17002</v>
      </c>
      <c r="B5333">
        <v>713410</v>
      </c>
      <c r="D5333" s="11" t="s">
        <v>17003</v>
      </c>
      <c r="E5333" s="11" t="s">
        <v>17004</v>
      </c>
    </row>
    <row r="5334" spans="1:5">
      <c r="A5334" s="11" t="s">
        <v>17005</v>
      </c>
      <c r="B5334">
        <v>714299</v>
      </c>
      <c r="D5334" s="11" t="s">
        <v>17006</v>
      </c>
      <c r="E5334" s="11" t="s">
        <v>17007</v>
      </c>
    </row>
    <row r="5335" spans="1:5">
      <c r="A5335" s="11" t="s">
        <v>17008</v>
      </c>
      <c r="B5335">
        <v>8012604</v>
      </c>
      <c r="D5335" s="11" t="s">
        <v>17009</v>
      </c>
      <c r="E5335" s="11" t="s">
        <v>17010</v>
      </c>
    </row>
    <row r="5336" spans="1:5">
      <c r="A5336" s="11" t="s">
        <v>17011</v>
      </c>
      <c r="B5336">
        <v>8004753</v>
      </c>
      <c r="D5336" s="11" t="s">
        <v>17012</v>
      </c>
      <c r="E5336" s="11" t="s">
        <v>17013</v>
      </c>
    </row>
    <row r="5337" spans="1:5">
      <c r="A5337" s="11" t="s">
        <v>17014</v>
      </c>
      <c r="B5337">
        <v>8010267</v>
      </c>
      <c r="D5337" s="11" t="s">
        <v>17015</v>
      </c>
      <c r="E5337" s="11" t="s">
        <v>17016</v>
      </c>
    </row>
    <row r="5338" spans="1:5">
      <c r="A5338" s="11" t="s">
        <v>17017</v>
      </c>
      <c r="B5338">
        <v>8012609</v>
      </c>
      <c r="D5338" s="11" t="s">
        <v>17018</v>
      </c>
      <c r="E5338" s="11" t="s">
        <v>17019</v>
      </c>
    </row>
    <row r="5339" spans="1:5">
      <c r="A5339" s="11" t="s">
        <v>17020</v>
      </c>
      <c r="B5339">
        <v>8079752</v>
      </c>
      <c r="D5339" s="11" t="s">
        <v>17021</v>
      </c>
      <c r="E5339" s="11" t="s">
        <v>17022</v>
      </c>
    </row>
    <row r="5340" spans="1:5">
      <c r="A5340" s="11" t="s">
        <v>17023</v>
      </c>
      <c r="B5340">
        <v>8004755</v>
      </c>
      <c r="D5340" s="11" t="s">
        <v>17024</v>
      </c>
      <c r="E5340" s="11" t="s">
        <v>17025</v>
      </c>
    </row>
    <row r="5341" spans="1:5">
      <c r="A5341" s="11" t="s">
        <v>17026</v>
      </c>
      <c r="B5341">
        <v>8004756</v>
      </c>
      <c r="D5341" s="11" t="s">
        <v>17027</v>
      </c>
      <c r="E5341" s="11" t="s">
        <v>17028</v>
      </c>
    </row>
    <row r="5342" spans="1:5">
      <c r="A5342" s="11" t="s">
        <v>17029</v>
      </c>
      <c r="B5342">
        <v>8010268</v>
      </c>
      <c r="D5342" s="11" t="s">
        <v>17030</v>
      </c>
      <c r="E5342" s="11" t="s">
        <v>17031</v>
      </c>
    </row>
    <row r="5343" spans="1:5">
      <c r="A5343" s="11" t="s">
        <v>17032</v>
      </c>
      <c r="B5343">
        <v>8012610</v>
      </c>
      <c r="D5343" s="11" t="s">
        <v>17033</v>
      </c>
      <c r="E5343" s="11" t="s">
        <v>17034</v>
      </c>
    </row>
    <row r="5344" spans="1:5">
      <c r="A5344" s="11" t="s">
        <v>17035</v>
      </c>
      <c r="B5344">
        <v>8000298</v>
      </c>
      <c r="D5344" s="11" t="s">
        <v>17036</v>
      </c>
      <c r="E5344" s="11" t="s">
        <v>17037</v>
      </c>
    </row>
    <row r="5345" spans="1:5">
      <c r="A5345" s="11" t="s">
        <v>17038</v>
      </c>
      <c r="B5345">
        <v>8012612</v>
      </c>
      <c r="D5345" s="11" t="s">
        <v>17039</v>
      </c>
      <c r="E5345" s="11" t="s">
        <v>17040</v>
      </c>
    </row>
    <row r="5346" spans="1:5">
      <c r="A5346" s="11" t="s">
        <v>17041</v>
      </c>
      <c r="B5346">
        <v>8012611</v>
      </c>
      <c r="D5346" s="11" t="s">
        <v>17042</v>
      </c>
      <c r="E5346" s="11" t="s">
        <v>17043</v>
      </c>
    </row>
    <row r="5347" spans="1:5">
      <c r="A5347" s="11" t="s">
        <v>17044</v>
      </c>
      <c r="B5347">
        <v>8070665</v>
      </c>
      <c r="D5347" s="11" t="s">
        <v>17045</v>
      </c>
      <c r="E5347" s="11" t="s">
        <v>17046</v>
      </c>
    </row>
    <row r="5348" spans="1:5">
      <c r="A5348" s="11" t="s">
        <v>17047</v>
      </c>
      <c r="B5348">
        <v>8012614</v>
      </c>
      <c r="D5348" s="11" t="s">
        <v>17048</v>
      </c>
      <c r="E5348" s="11" t="s">
        <v>17049</v>
      </c>
    </row>
    <row r="5349" spans="1:5">
      <c r="A5349" s="11" t="s">
        <v>17050</v>
      </c>
      <c r="B5349">
        <v>8012615</v>
      </c>
      <c r="D5349" s="11" t="s">
        <v>17051</v>
      </c>
      <c r="E5349" s="11" t="s">
        <v>17052</v>
      </c>
    </row>
    <row r="5350" spans="1:5">
      <c r="A5350" s="11" t="s">
        <v>226</v>
      </c>
      <c r="B5350">
        <v>8004758</v>
      </c>
      <c r="D5350" s="11" t="s">
        <v>228</v>
      </c>
      <c r="E5350" s="11" t="s">
        <v>229</v>
      </c>
    </row>
    <row r="5351" spans="1:5">
      <c r="A5351" s="11" t="s">
        <v>17053</v>
      </c>
      <c r="B5351">
        <v>8012617</v>
      </c>
      <c r="D5351" s="11" t="s">
        <v>17054</v>
      </c>
      <c r="E5351" s="11" t="s">
        <v>17055</v>
      </c>
    </row>
    <row r="5352" spans="1:5">
      <c r="A5352" s="11" t="s">
        <v>17056</v>
      </c>
      <c r="B5352">
        <v>8010269</v>
      </c>
      <c r="D5352" s="11" t="s">
        <v>17057</v>
      </c>
      <c r="E5352" s="11" t="s">
        <v>17058</v>
      </c>
    </row>
    <row r="5353" spans="1:5">
      <c r="A5353" s="11" t="s">
        <v>17059</v>
      </c>
      <c r="B5353">
        <v>8004759</v>
      </c>
      <c r="D5353" s="11" t="s">
        <v>17060</v>
      </c>
      <c r="E5353" s="11" t="s">
        <v>17061</v>
      </c>
    </row>
    <row r="5354" spans="1:5">
      <c r="A5354" s="11" t="s">
        <v>17062</v>
      </c>
      <c r="B5354">
        <v>8004760</v>
      </c>
      <c r="D5354" s="11" t="s">
        <v>17063</v>
      </c>
      <c r="E5354" s="11" t="s">
        <v>17064</v>
      </c>
    </row>
    <row r="5355" spans="1:5">
      <c r="A5355" s="11" t="s">
        <v>17065</v>
      </c>
      <c r="B5355">
        <v>8004761</v>
      </c>
      <c r="D5355" s="11" t="s">
        <v>17066</v>
      </c>
      <c r="E5355" s="11" t="s">
        <v>17067</v>
      </c>
    </row>
    <row r="5356" spans="1:5">
      <c r="A5356" s="11" t="s">
        <v>17068</v>
      </c>
      <c r="B5356">
        <v>8012619</v>
      </c>
      <c r="D5356" s="11" t="s">
        <v>17069</v>
      </c>
      <c r="E5356" s="11" t="s">
        <v>17070</v>
      </c>
    </row>
    <row r="5357" spans="1:5">
      <c r="A5357" s="11" t="s">
        <v>17071</v>
      </c>
      <c r="B5357">
        <v>8004762</v>
      </c>
      <c r="D5357" s="11" t="s">
        <v>17072</v>
      </c>
      <c r="E5357" s="11" t="s">
        <v>17073</v>
      </c>
    </row>
    <row r="5358" spans="1:5">
      <c r="A5358" s="11" t="s">
        <v>17074</v>
      </c>
      <c r="B5358">
        <v>8004763</v>
      </c>
      <c r="D5358" s="11" t="s">
        <v>17075</v>
      </c>
      <c r="E5358" s="11" t="s">
        <v>17076</v>
      </c>
    </row>
    <row r="5359" spans="1:5">
      <c r="A5359" s="11" t="s">
        <v>17077</v>
      </c>
      <c r="B5359">
        <v>8004764</v>
      </c>
      <c r="D5359" s="11" t="s">
        <v>17078</v>
      </c>
      <c r="E5359" s="11" t="s">
        <v>17079</v>
      </c>
    </row>
    <row r="5360" spans="1:5">
      <c r="A5360" s="11" t="s">
        <v>17080</v>
      </c>
      <c r="B5360">
        <v>8004765</v>
      </c>
      <c r="D5360" s="11" t="s">
        <v>17081</v>
      </c>
      <c r="E5360" s="11" t="s">
        <v>17082</v>
      </c>
    </row>
    <row r="5361" spans="1:5">
      <c r="A5361" s="11" t="s">
        <v>17083</v>
      </c>
      <c r="B5361">
        <v>8012621</v>
      </c>
      <c r="D5361" s="11" t="s">
        <v>17084</v>
      </c>
      <c r="E5361" s="11" t="s">
        <v>17085</v>
      </c>
    </row>
    <row r="5362" spans="1:5">
      <c r="A5362" s="11" t="s">
        <v>17086</v>
      </c>
      <c r="B5362">
        <v>8079004</v>
      </c>
      <c r="D5362" s="11" t="s">
        <v>17087</v>
      </c>
      <c r="E5362" s="11" t="s">
        <v>17088</v>
      </c>
    </row>
    <row r="5363" spans="1:5">
      <c r="A5363" s="11" t="s">
        <v>17089</v>
      </c>
      <c r="B5363">
        <v>8013488</v>
      </c>
      <c r="D5363" s="11" t="s">
        <v>17090</v>
      </c>
      <c r="E5363" s="11" t="s">
        <v>17091</v>
      </c>
    </row>
    <row r="5364" spans="1:5">
      <c r="A5364" s="11" t="s">
        <v>17092</v>
      </c>
      <c r="B5364">
        <v>8004767</v>
      </c>
      <c r="D5364" s="11" t="s">
        <v>17093</v>
      </c>
      <c r="E5364" s="11" t="s">
        <v>17094</v>
      </c>
    </row>
    <row r="5365" spans="1:5">
      <c r="A5365" s="11" t="s">
        <v>17095</v>
      </c>
      <c r="B5365">
        <v>8004770</v>
      </c>
      <c r="D5365" s="11" t="s">
        <v>17096</v>
      </c>
      <c r="E5365" s="11" t="s">
        <v>17097</v>
      </c>
    </row>
    <row r="5366" spans="1:5">
      <c r="A5366" s="11" t="s">
        <v>17098</v>
      </c>
      <c r="B5366">
        <v>8004771</v>
      </c>
      <c r="D5366" s="11" t="s">
        <v>17099</v>
      </c>
      <c r="E5366" s="11" t="s">
        <v>17100</v>
      </c>
    </row>
    <row r="5367" spans="1:5">
      <c r="A5367" s="11" t="s">
        <v>17101</v>
      </c>
      <c r="B5367">
        <v>8012622</v>
      </c>
      <c r="D5367" s="11" t="s">
        <v>17102</v>
      </c>
      <c r="E5367" s="11" t="s">
        <v>17103</v>
      </c>
    </row>
    <row r="5368" spans="1:5">
      <c r="A5368" s="11" t="s">
        <v>17104</v>
      </c>
      <c r="B5368">
        <v>8081093</v>
      </c>
      <c r="D5368" s="11" t="s">
        <v>17105</v>
      </c>
      <c r="E5368" s="11" t="s">
        <v>17106</v>
      </c>
    </row>
    <row r="5369" spans="1:5">
      <c r="A5369" s="11" t="s">
        <v>17107</v>
      </c>
      <c r="B5369">
        <v>8012623</v>
      </c>
      <c r="D5369" s="11" t="s">
        <v>17108</v>
      </c>
      <c r="E5369" s="11" t="s">
        <v>17109</v>
      </c>
    </row>
    <row r="5370" spans="1:5">
      <c r="A5370" s="11" t="s">
        <v>17110</v>
      </c>
      <c r="B5370">
        <v>8004774</v>
      </c>
      <c r="D5370" s="11" t="s">
        <v>17111</v>
      </c>
      <c r="E5370" s="11" t="s">
        <v>17112</v>
      </c>
    </row>
    <row r="5371" spans="1:5">
      <c r="A5371" s="11" t="s">
        <v>17113</v>
      </c>
      <c r="B5371">
        <v>8004797</v>
      </c>
      <c r="D5371" s="11" t="s">
        <v>17114</v>
      </c>
      <c r="E5371" s="11" t="s">
        <v>17115</v>
      </c>
    </row>
    <row r="5372" spans="1:5">
      <c r="A5372" s="11" t="s">
        <v>17116</v>
      </c>
      <c r="B5372">
        <v>8081150</v>
      </c>
      <c r="D5372" s="11" t="s">
        <v>17117</v>
      </c>
      <c r="E5372" s="11" t="s">
        <v>17118</v>
      </c>
    </row>
    <row r="5373" spans="1:5">
      <c r="A5373" s="11" t="s">
        <v>17119</v>
      </c>
      <c r="B5373">
        <v>8081092</v>
      </c>
      <c r="D5373" s="11" t="s">
        <v>17120</v>
      </c>
      <c r="E5373" s="11" t="s">
        <v>17121</v>
      </c>
    </row>
    <row r="5374" spans="1:5">
      <c r="A5374" s="11" t="s">
        <v>17122</v>
      </c>
      <c r="B5374">
        <v>8004777</v>
      </c>
      <c r="D5374" s="11" t="s">
        <v>17123</v>
      </c>
      <c r="E5374" s="11" t="s">
        <v>17124</v>
      </c>
    </row>
    <row r="5375" spans="1:5">
      <c r="A5375" s="11" t="s">
        <v>17125</v>
      </c>
      <c r="B5375">
        <v>8012628</v>
      </c>
      <c r="D5375" s="11" t="s">
        <v>17126</v>
      </c>
      <c r="E5375" s="11" t="s">
        <v>17127</v>
      </c>
    </row>
    <row r="5376" spans="1:5">
      <c r="A5376" s="11" t="s">
        <v>17128</v>
      </c>
      <c r="B5376">
        <v>8004775</v>
      </c>
      <c r="D5376" s="11" t="s">
        <v>17129</v>
      </c>
      <c r="E5376" s="11" t="s">
        <v>17130</v>
      </c>
    </row>
    <row r="5377" spans="1:5">
      <c r="A5377" s="11" t="s">
        <v>17131</v>
      </c>
      <c r="B5377">
        <v>8012629</v>
      </c>
      <c r="D5377" s="11" t="s">
        <v>17132</v>
      </c>
      <c r="E5377" s="11" t="s">
        <v>17133</v>
      </c>
    </row>
    <row r="5378" spans="1:5">
      <c r="A5378" s="11" t="s">
        <v>17134</v>
      </c>
      <c r="B5378">
        <v>8012633</v>
      </c>
      <c r="D5378" s="11" t="s">
        <v>17135</v>
      </c>
      <c r="E5378" s="11" t="s">
        <v>17136</v>
      </c>
    </row>
    <row r="5379" spans="1:5">
      <c r="A5379" s="11" t="s">
        <v>17137</v>
      </c>
      <c r="B5379">
        <v>8004780</v>
      </c>
      <c r="D5379" s="11" t="s">
        <v>17138</v>
      </c>
      <c r="E5379" s="11" t="s">
        <v>17139</v>
      </c>
    </row>
    <row r="5380" spans="1:5">
      <c r="A5380" s="11" t="s">
        <v>17140</v>
      </c>
      <c r="B5380">
        <v>8004781</v>
      </c>
      <c r="D5380" s="11" t="s">
        <v>17141</v>
      </c>
      <c r="E5380" s="11" t="s">
        <v>17142</v>
      </c>
    </row>
    <row r="5381" spans="1:5">
      <c r="A5381" s="11" t="s">
        <v>17143</v>
      </c>
      <c r="B5381">
        <v>8004778</v>
      </c>
      <c r="D5381" s="11" t="s">
        <v>17144</v>
      </c>
      <c r="E5381" s="11" t="s">
        <v>17145</v>
      </c>
    </row>
    <row r="5382" spans="1:5">
      <c r="A5382" s="11" t="s">
        <v>17146</v>
      </c>
      <c r="B5382">
        <v>8004784</v>
      </c>
      <c r="D5382" s="11" t="s">
        <v>17147</v>
      </c>
      <c r="E5382" s="11" t="s">
        <v>17148</v>
      </c>
    </row>
    <row r="5383" spans="1:5">
      <c r="A5383" s="11" t="s">
        <v>17149</v>
      </c>
      <c r="B5383">
        <v>8004786</v>
      </c>
      <c r="D5383" s="11" t="s">
        <v>17150</v>
      </c>
      <c r="E5383" s="11" t="s">
        <v>17151</v>
      </c>
    </row>
    <row r="5384" spans="1:5">
      <c r="A5384" s="11" t="s">
        <v>17152</v>
      </c>
      <c r="B5384">
        <v>8004796</v>
      </c>
      <c r="D5384" s="11" t="s">
        <v>17153</v>
      </c>
      <c r="E5384" s="11" t="s">
        <v>17154</v>
      </c>
    </row>
    <row r="5385" spans="1:5">
      <c r="A5385" s="11" t="s">
        <v>17155</v>
      </c>
      <c r="B5385">
        <v>8000299</v>
      </c>
      <c r="D5385" s="11" t="s">
        <v>17156</v>
      </c>
      <c r="E5385" s="11" t="s">
        <v>17157</v>
      </c>
    </row>
    <row r="5386" spans="1:5">
      <c r="A5386" s="11" t="s">
        <v>17158</v>
      </c>
      <c r="B5386">
        <v>8004804</v>
      </c>
      <c r="D5386" s="11" t="s">
        <v>17159</v>
      </c>
      <c r="E5386" s="11" t="s">
        <v>17160</v>
      </c>
    </row>
    <row r="5387" spans="1:5">
      <c r="A5387" s="11" t="s">
        <v>17161</v>
      </c>
      <c r="B5387">
        <v>8004801</v>
      </c>
      <c r="D5387" s="11" t="s">
        <v>17162</v>
      </c>
      <c r="E5387" s="11" t="s">
        <v>17163</v>
      </c>
    </row>
    <row r="5388" spans="1:5">
      <c r="A5388" s="11" t="s">
        <v>17164</v>
      </c>
      <c r="B5388">
        <v>8004802</v>
      </c>
      <c r="D5388" s="11" t="s">
        <v>17165</v>
      </c>
      <c r="E5388" s="11" t="s">
        <v>17166</v>
      </c>
    </row>
    <row r="5389" spans="1:5">
      <c r="A5389" s="11" t="s">
        <v>17167</v>
      </c>
      <c r="B5389">
        <v>8004803</v>
      </c>
      <c r="D5389" s="11" t="s">
        <v>17168</v>
      </c>
      <c r="E5389" s="11" t="s">
        <v>17169</v>
      </c>
    </row>
    <row r="5390" spans="1:5">
      <c r="A5390" s="11" t="s">
        <v>17170</v>
      </c>
      <c r="B5390">
        <v>8004806</v>
      </c>
      <c r="D5390" s="11" t="s">
        <v>17171</v>
      </c>
      <c r="E5390" s="11" t="s">
        <v>17172</v>
      </c>
    </row>
    <row r="5391" spans="1:5">
      <c r="A5391" s="11" t="s">
        <v>17173</v>
      </c>
      <c r="B5391">
        <v>8004807</v>
      </c>
      <c r="D5391" s="11" t="s">
        <v>17174</v>
      </c>
      <c r="E5391" s="11" t="s">
        <v>17175</v>
      </c>
    </row>
    <row r="5392" spans="1:5">
      <c r="A5392" s="11" t="s">
        <v>17176</v>
      </c>
      <c r="B5392">
        <v>8004809</v>
      </c>
      <c r="D5392" s="11" t="s">
        <v>17177</v>
      </c>
      <c r="E5392" s="11" t="s">
        <v>17178</v>
      </c>
    </row>
    <row r="5393" spans="1:5">
      <c r="A5393" s="11" t="s">
        <v>17179</v>
      </c>
      <c r="B5393">
        <v>8070630</v>
      </c>
      <c r="D5393" s="11" t="s">
        <v>17180</v>
      </c>
      <c r="E5393" s="11" t="s">
        <v>17181</v>
      </c>
    </row>
    <row r="5394" spans="1:5">
      <c r="A5394" s="11" t="s">
        <v>852</v>
      </c>
      <c r="B5394">
        <v>8004816</v>
      </c>
      <c r="D5394" s="11" t="s">
        <v>854</v>
      </c>
      <c r="E5394" s="11" t="s">
        <v>855</v>
      </c>
    </row>
    <row r="5395" spans="1:5">
      <c r="A5395" s="11" t="s">
        <v>17182</v>
      </c>
      <c r="B5395">
        <v>8070892</v>
      </c>
      <c r="D5395" s="11" t="s">
        <v>17183</v>
      </c>
      <c r="E5395" s="11" t="s">
        <v>17184</v>
      </c>
    </row>
    <row r="5396" spans="1:5">
      <c r="A5396" s="11" t="s">
        <v>17185</v>
      </c>
      <c r="B5396">
        <v>8070849</v>
      </c>
      <c r="D5396" s="11" t="s">
        <v>17186</v>
      </c>
      <c r="E5396" s="11" t="s">
        <v>17187</v>
      </c>
    </row>
    <row r="5397" spans="1:5">
      <c r="A5397" s="11" t="s">
        <v>17188</v>
      </c>
      <c r="B5397">
        <v>8070876</v>
      </c>
      <c r="D5397" s="11" t="s">
        <v>17189</v>
      </c>
      <c r="E5397" s="11" t="s">
        <v>17190</v>
      </c>
    </row>
    <row r="5398" spans="1:5">
      <c r="A5398" s="11" t="s">
        <v>17191</v>
      </c>
      <c r="B5398">
        <v>8004813</v>
      </c>
      <c r="D5398" s="11" t="s">
        <v>17192</v>
      </c>
      <c r="E5398" s="11" t="s">
        <v>17193</v>
      </c>
    </row>
    <row r="5399" spans="1:5">
      <c r="A5399" s="11" t="s">
        <v>17194</v>
      </c>
      <c r="B5399">
        <v>8012634</v>
      </c>
      <c r="D5399" s="11" t="s">
        <v>17195</v>
      </c>
      <c r="E5399" s="11" t="s">
        <v>17196</v>
      </c>
    </row>
    <row r="5400" spans="1:5">
      <c r="A5400" s="11" t="s">
        <v>17197</v>
      </c>
      <c r="B5400">
        <v>8004814</v>
      </c>
      <c r="D5400" s="11" t="s">
        <v>17198</v>
      </c>
      <c r="E5400" s="11" t="s">
        <v>17199</v>
      </c>
    </row>
    <row r="5401" spans="1:5">
      <c r="A5401" s="11" t="s">
        <v>17200</v>
      </c>
      <c r="B5401">
        <v>8004815</v>
      </c>
      <c r="D5401" s="11" t="s">
        <v>17201</v>
      </c>
      <c r="E5401" s="11" t="s">
        <v>17202</v>
      </c>
    </row>
    <row r="5402" spans="1:5">
      <c r="A5402" s="11" t="s">
        <v>17203</v>
      </c>
      <c r="B5402">
        <v>8012636</v>
      </c>
      <c r="D5402" s="11" t="s">
        <v>17204</v>
      </c>
      <c r="E5402" s="11" t="s">
        <v>17205</v>
      </c>
    </row>
    <row r="5403" spans="1:5">
      <c r="A5403" s="11" t="s">
        <v>17206</v>
      </c>
      <c r="B5403">
        <v>8004819</v>
      </c>
      <c r="D5403" s="11" t="s">
        <v>17207</v>
      </c>
      <c r="E5403" s="11" t="s">
        <v>17208</v>
      </c>
    </row>
    <row r="5404" spans="1:5">
      <c r="A5404" s="11" t="s">
        <v>17209</v>
      </c>
      <c r="B5404">
        <v>8012637</v>
      </c>
      <c r="D5404" s="11" t="s">
        <v>17210</v>
      </c>
      <c r="E5404" s="11" t="s">
        <v>17211</v>
      </c>
    </row>
    <row r="5405" spans="1:5">
      <c r="A5405" s="11" t="s">
        <v>17212</v>
      </c>
      <c r="B5405">
        <v>8004820</v>
      </c>
      <c r="D5405" s="11" t="s">
        <v>17213</v>
      </c>
      <c r="E5405" s="11" t="s">
        <v>17214</v>
      </c>
    </row>
    <row r="5406" spans="1:5">
      <c r="A5406" s="11" t="s">
        <v>17215</v>
      </c>
      <c r="B5406">
        <v>8012639</v>
      </c>
      <c r="D5406" s="11" t="s">
        <v>17216</v>
      </c>
      <c r="E5406" s="11" t="s">
        <v>17217</v>
      </c>
    </row>
    <row r="5407" spans="1:5">
      <c r="A5407" s="11" t="s">
        <v>17218</v>
      </c>
      <c r="B5407">
        <v>8004822</v>
      </c>
      <c r="D5407" s="11" t="s">
        <v>17219</v>
      </c>
      <c r="E5407" s="11" t="s">
        <v>17220</v>
      </c>
    </row>
    <row r="5408" spans="1:5">
      <c r="A5408" s="11" t="s">
        <v>17221</v>
      </c>
      <c r="B5408">
        <v>8000876</v>
      </c>
      <c r="D5408" s="11" t="s">
        <v>17222</v>
      </c>
      <c r="E5408" s="11" t="s">
        <v>17223</v>
      </c>
    </row>
    <row r="5409" spans="1:5">
      <c r="A5409" s="11" t="s">
        <v>17224</v>
      </c>
      <c r="B5409">
        <v>8010272</v>
      </c>
      <c r="D5409" s="11" t="s">
        <v>17225</v>
      </c>
      <c r="E5409" s="11" t="s">
        <v>17226</v>
      </c>
    </row>
    <row r="5410" spans="1:5">
      <c r="A5410" s="11" t="s">
        <v>17227</v>
      </c>
      <c r="B5410">
        <v>8012640</v>
      </c>
      <c r="D5410" s="11" t="s">
        <v>17228</v>
      </c>
      <c r="E5410" s="11" t="s">
        <v>17229</v>
      </c>
    </row>
    <row r="5411" spans="1:5">
      <c r="A5411" s="11" t="s">
        <v>17230</v>
      </c>
      <c r="B5411">
        <v>8012641</v>
      </c>
      <c r="D5411" s="11" t="s">
        <v>17231</v>
      </c>
      <c r="E5411" s="11" t="s">
        <v>17232</v>
      </c>
    </row>
    <row r="5412" spans="1:5">
      <c r="A5412" s="11" t="s">
        <v>17233</v>
      </c>
      <c r="B5412">
        <v>8012642</v>
      </c>
      <c r="D5412" s="11" t="s">
        <v>17234</v>
      </c>
      <c r="E5412" s="11" t="s">
        <v>17235</v>
      </c>
    </row>
    <row r="5413" spans="1:5">
      <c r="A5413" s="11" t="s">
        <v>17236</v>
      </c>
      <c r="B5413">
        <v>8012645</v>
      </c>
      <c r="D5413" s="11" t="s">
        <v>17237</v>
      </c>
      <c r="E5413" s="11" t="s">
        <v>17238</v>
      </c>
    </row>
    <row r="5414" spans="1:5">
      <c r="A5414" s="11" t="s">
        <v>17239</v>
      </c>
      <c r="B5414">
        <v>8072764</v>
      </c>
      <c r="D5414" s="11" t="s">
        <v>17240</v>
      </c>
      <c r="E5414" s="11" t="s">
        <v>17241</v>
      </c>
    </row>
    <row r="5415" spans="1:5">
      <c r="A5415" s="11" t="s">
        <v>17242</v>
      </c>
      <c r="B5415">
        <v>8010273</v>
      </c>
      <c r="D5415" s="11" t="s">
        <v>17243</v>
      </c>
      <c r="E5415" s="11" t="s">
        <v>17244</v>
      </c>
    </row>
    <row r="5416" spans="1:5">
      <c r="A5416" s="11" t="s">
        <v>17245</v>
      </c>
      <c r="B5416">
        <v>8081028</v>
      </c>
      <c r="D5416" s="11" t="s">
        <v>17246</v>
      </c>
      <c r="E5416" s="11" t="s">
        <v>17247</v>
      </c>
    </row>
    <row r="5417" spans="1:5">
      <c r="A5417" s="11" t="s">
        <v>17248</v>
      </c>
      <c r="B5417">
        <v>8004826</v>
      </c>
      <c r="D5417" s="11" t="s">
        <v>17249</v>
      </c>
      <c r="E5417" s="11" t="s">
        <v>17250</v>
      </c>
    </row>
    <row r="5418" spans="1:5">
      <c r="A5418" s="11" t="s">
        <v>17251</v>
      </c>
      <c r="B5418">
        <v>8004827</v>
      </c>
      <c r="D5418" s="11" t="s">
        <v>17252</v>
      </c>
      <c r="E5418" s="11" t="s">
        <v>17253</v>
      </c>
    </row>
    <row r="5419" spans="1:5">
      <c r="A5419" s="11" t="s">
        <v>17254</v>
      </c>
      <c r="B5419">
        <v>8012643</v>
      </c>
      <c r="D5419" s="11" t="s">
        <v>17255</v>
      </c>
      <c r="E5419" s="11" t="s">
        <v>17256</v>
      </c>
    </row>
    <row r="5420" spans="1:5">
      <c r="A5420" s="11" t="s">
        <v>17257</v>
      </c>
      <c r="B5420">
        <v>8000301</v>
      </c>
      <c r="D5420" s="11" t="s">
        <v>17258</v>
      </c>
      <c r="E5420" s="11" t="s">
        <v>17259</v>
      </c>
    </row>
    <row r="5421" spans="1:5">
      <c r="A5421" s="11" t="s">
        <v>17260</v>
      </c>
      <c r="B5421">
        <v>8012644</v>
      </c>
      <c r="D5421" s="11" t="s">
        <v>17261</v>
      </c>
      <c r="E5421" s="11" t="s">
        <v>17262</v>
      </c>
    </row>
    <row r="5422" spans="1:5">
      <c r="A5422" s="11" t="s">
        <v>17263</v>
      </c>
      <c r="B5422">
        <v>8010274</v>
      </c>
      <c r="D5422" s="11" t="s">
        <v>17264</v>
      </c>
      <c r="E5422" s="11" t="s">
        <v>17265</v>
      </c>
    </row>
    <row r="5423" spans="1:5">
      <c r="A5423" s="11" t="s">
        <v>17266</v>
      </c>
      <c r="B5423">
        <v>8017442</v>
      </c>
      <c r="D5423" s="11" t="s">
        <v>17267</v>
      </c>
      <c r="E5423" s="11" t="s">
        <v>17268</v>
      </c>
    </row>
    <row r="5424" spans="1:5">
      <c r="A5424" s="11" t="s">
        <v>17269</v>
      </c>
      <c r="B5424">
        <v>8010275</v>
      </c>
      <c r="D5424" s="11" t="s">
        <v>17270</v>
      </c>
      <c r="E5424" s="11" t="s">
        <v>17271</v>
      </c>
    </row>
    <row r="5425" spans="1:5">
      <c r="A5425" s="11" t="s">
        <v>17272</v>
      </c>
      <c r="B5425">
        <v>8010336</v>
      </c>
      <c r="D5425" s="11" t="s">
        <v>17273</v>
      </c>
      <c r="E5425" s="11" t="s">
        <v>17274</v>
      </c>
    </row>
    <row r="5426" spans="1:5">
      <c r="A5426" s="11" t="s">
        <v>17275</v>
      </c>
      <c r="B5426">
        <v>8012646</v>
      </c>
      <c r="D5426" s="11" t="s">
        <v>17276</v>
      </c>
      <c r="E5426" s="11" t="s">
        <v>17277</v>
      </c>
    </row>
    <row r="5427" spans="1:5">
      <c r="A5427" s="11" t="s">
        <v>17278</v>
      </c>
      <c r="B5427">
        <v>8004835</v>
      </c>
      <c r="D5427" s="11" t="s">
        <v>17279</v>
      </c>
      <c r="E5427" s="11" t="s">
        <v>17280</v>
      </c>
    </row>
    <row r="5428" spans="1:5">
      <c r="A5428" s="11" t="s">
        <v>17281</v>
      </c>
      <c r="B5428">
        <v>8012650</v>
      </c>
      <c r="D5428" s="11" t="s">
        <v>17282</v>
      </c>
      <c r="E5428" s="11" t="s">
        <v>17283</v>
      </c>
    </row>
    <row r="5429" spans="1:5">
      <c r="A5429" s="11" t="s">
        <v>17284</v>
      </c>
      <c r="B5429">
        <v>8004838</v>
      </c>
      <c r="D5429" s="11" t="s">
        <v>17285</v>
      </c>
      <c r="E5429" s="11" t="s">
        <v>17286</v>
      </c>
    </row>
    <row r="5430" spans="1:5">
      <c r="A5430" s="11" t="s">
        <v>17287</v>
      </c>
      <c r="B5430">
        <v>8000302</v>
      </c>
      <c r="D5430" s="11" t="s">
        <v>17288</v>
      </c>
      <c r="E5430" s="11" t="s">
        <v>17289</v>
      </c>
    </row>
    <row r="5431" spans="1:5">
      <c r="A5431" s="11" t="s">
        <v>17290</v>
      </c>
      <c r="B5431">
        <v>8004841</v>
      </c>
      <c r="D5431" s="11" t="s">
        <v>17291</v>
      </c>
      <c r="E5431" s="11" t="s">
        <v>17292</v>
      </c>
    </row>
    <row r="5432" spans="1:5">
      <c r="A5432" s="11" t="s">
        <v>17293</v>
      </c>
      <c r="B5432">
        <v>8004842</v>
      </c>
      <c r="D5432" s="11" t="s">
        <v>17294</v>
      </c>
      <c r="E5432" s="11" t="s">
        <v>17295</v>
      </c>
    </row>
    <row r="5433" spans="1:5">
      <c r="A5433" s="11" t="s">
        <v>17296</v>
      </c>
      <c r="B5433">
        <v>8012651</v>
      </c>
      <c r="D5433" s="11" t="s">
        <v>17297</v>
      </c>
      <c r="E5433" s="11" t="s">
        <v>17298</v>
      </c>
    </row>
    <row r="5434" spans="1:5">
      <c r="A5434" s="11" t="s">
        <v>17299</v>
      </c>
      <c r="B5434">
        <v>8010277</v>
      </c>
      <c r="D5434" s="11" t="s">
        <v>17300</v>
      </c>
      <c r="E5434" s="11" t="s">
        <v>17301</v>
      </c>
    </row>
    <row r="5435" spans="1:5">
      <c r="A5435" s="11" t="s">
        <v>17302</v>
      </c>
      <c r="B5435">
        <v>8004845</v>
      </c>
      <c r="D5435" s="11" t="s">
        <v>17303</v>
      </c>
      <c r="E5435" s="11" t="s">
        <v>17304</v>
      </c>
    </row>
    <row r="5436" spans="1:5">
      <c r="A5436" s="11" t="s">
        <v>17305</v>
      </c>
      <c r="B5436">
        <v>8004850</v>
      </c>
      <c r="D5436" s="11" t="s">
        <v>17306</v>
      </c>
      <c r="E5436" s="11" t="s">
        <v>17307</v>
      </c>
    </row>
    <row r="5437" spans="1:5">
      <c r="A5437" s="11" t="s">
        <v>17308</v>
      </c>
      <c r="B5437">
        <v>8004851</v>
      </c>
      <c r="D5437" s="11" t="s">
        <v>17309</v>
      </c>
      <c r="E5437" s="11" t="s">
        <v>17310</v>
      </c>
    </row>
    <row r="5438" spans="1:5">
      <c r="A5438" s="11" t="s">
        <v>17311</v>
      </c>
      <c r="B5438">
        <v>8004853</v>
      </c>
      <c r="D5438" s="11" t="s">
        <v>17312</v>
      </c>
      <c r="E5438" s="11" t="s">
        <v>17313</v>
      </c>
    </row>
    <row r="5439" spans="1:5">
      <c r="A5439" s="11" t="s">
        <v>17314</v>
      </c>
      <c r="B5439">
        <v>8004854</v>
      </c>
      <c r="D5439" s="11" t="s">
        <v>17315</v>
      </c>
      <c r="E5439" s="11" t="s">
        <v>17316</v>
      </c>
    </row>
    <row r="5440" spans="1:5">
      <c r="A5440" s="11" t="s">
        <v>17317</v>
      </c>
      <c r="B5440">
        <v>8012654</v>
      </c>
      <c r="D5440" s="11" t="s">
        <v>17318</v>
      </c>
      <c r="E5440" s="11" t="s">
        <v>17319</v>
      </c>
    </row>
    <row r="5441" spans="1:5">
      <c r="A5441" s="11" t="s">
        <v>17320</v>
      </c>
      <c r="B5441">
        <v>8079757</v>
      </c>
      <c r="D5441" s="11" t="s">
        <v>17321</v>
      </c>
      <c r="E5441" s="11" t="s">
        <v>17322</v>
      </c>
    </row>
    <row r="5442" spans="1:5">
      <c r="A5442" s="11" t="s">
        <v>17323</v>
      </c>
      <c r="B5442">
        <v>8004847</v>
      </c>
      <c r="D5442" s="11" t="s">
        <v>17324</v>
      </c>
      <c r="E5442" s="11" t="s">
        <v>17325</v>
      </c>
    </row>
    <row r="5443" spans="1:5">
      <c r="A5443" s="11" t="s">
        <v>17326</v>
      </c>
      <c r="B5443">
        <v>8012655</v>
      </c>
      <c r="D5443" s="11" t="s">
        <v>17327</v>
      </c>
      <c r="E5443" s="11" t="s">
        <v>17328</v>
      </c>
    </row>
    <row r="5444" spans="1:5">
      <c r="A5444" s="11" t="s">
        <v>17329</v>
      </c>
      <c r="B5444">
        <v>8004858</v>
      </c>
      <c r="D5444" s="11" t="s">
        <v>17330</v>
      </c>
      <c r="E5444" s="11" t="s">
        <v>17331</v>
      </c>
    </row>
    <row r="5445" spans="1:5">
      <c r="A5445" s="11" t="s">
        <v>17332</v>
      </c>
      <c r="B5445">
        <v>8004859</v>
      </c>
      <c r="D5445" s="11" t="s">
        <v>17333</v>
      </c>
      <c r="E5445" s="11" t="s">
        <v>17334</v>
      </c>
    </row>
    <row r="5446" spans="1:5">
      <c r="A5446" s="11" t="s">
        <v>17335</v>
      </c>
      <c r="B5446">
        <v>8012660</v>
      </c>
      <c r="D5446" s="11" t="s">
        <v>17336</v>
      </c>
      <c r="E5446" s="11" t="s">
        <v>17337</v>
      </c>
    </row>
    <row r="5447" spans="1:5">
      <c r="A5447" s="11" t="s">
        <v>17338</v>
      </c>
      <c r="B5447">
        <v>8012661</v>
      </c>
      <c r="D5447" s="11" t="s">
        <v>17339</v>
      </c>
      <c r="E5447" s="11" t="s">
        <v>17340</v>
      </c>
    </row>
    <row r="5448" spans="1:5">
      <c r="A5448" s="11" t="s">
        <v>17341</v>
      </c>
      <c r="B5448">
        <v>8071946</v>
      </c>
      <c r="D5448" s="11" t="s">
        <v>17342</v>
      </c>
      <c r="E5448" s="11" t="s">
        <v>17343</v>
      </c>
    </row>
    <row r="5449" spans="1:5">
      <c r="A5449" s="11" t="s">
        <v>17344</v>
      </c>
      <c r="B5449">
        <v>8004848</v>
      </c>
      <c r="D5449" s="11" t="s">
        <v>17345</v>
      </c>
      <c r="E5449" s="11" t="s">
        <v>17346</v>
      </c>
    </row>
    <row r="5450" spans="1:5">
      <c r="A5450" s="11" t="s">
        <v>17347</v>
      </c>
      <c r="B5450">
        <v>8012656</v>
      </c>
      <c r="D5450" s="11" t="s">
        <v>17348</v>
      </c>
      <c r="E5450" s="11" t="s">
        <v>17349</v>
      </c>
    </row>
    <row r="5451" spans="1:5">
      <c r="A5451" s="11" t="s">
        <v>17350</v>
      </c>
      <c r="B5451">
        <v>8004865</v>
      </c>
      <c r="D5451" s="11" t="s">
        <v>17351</v>
      </c>
      <c r="E5451" s="11" t="s">
        <v>17352</v>
      </c>
    </row>
    <row r="5452" spans="1:5">
      <c r="A5452" s="11" t="s">
        <v>17353</v>
      </c>
      <c r="B5452">
        <v>8012662</v>
      </c>
      <c r="D5452" s="11" t="s">
        <v>17354</v>
      </c>
      <c r="E5452" s="11" t="s">
        <v>17355</v>
      </c>
    </row>
    <row r="5453" spans="1:5">
      <c r="A5453" s="11" t="s">
        <v>17356</v>
      </c>
      <c r="B5453">
        <v>8012663</v>
      </c>
      <c r="D5453" s="11" t="s">
        <v>17357</v>
      </c>
      <c r="E5453" s="11" t="s">
        <v>17358</v>
      </c>
    </row>
    <row r="5454" spans="1:5">
      <c r="A5454" s="11" t="s">
        <v>17359</v>
      </c>
      <c r="B5454">
        <v>8004868</v>
      </c>
      <c r="D5454" s="11" t="s">
        <v>17360</v>
      </c>
      <c r="E5454" s="11" t="s">
        <v>17361</v>
      </c>
    </row>
    <row r="5455" spans="1:5">
      <c r="A5455" s="11" t="s">
        <v>17362</v>
      </c>
      <c r="B5455">
        <v>8004869</v>
      </c>
      <c r="D5455" s="11" t="s">
        <v>17363</v>
      </c>
      <c r="E5455" s="11" t="s">
        <v>17364</v>
      </c>
    </row>
    <row r="5456" spans="1:5">
      <c r="A5456" s="11" t="s">
        <v>17365</v>
      </c>
      <c r="B5456">
        <v>8075939</v>
      </c>
      <c r="D5456" s="11" t="s">
        <v>1539</v>
      </c>
      <c r="E5456" s="11" t="s">
        <v>1539</v>
      </c>
    </row>
    <row r="5457" spans="1:5">
      <c r="A5457" s="11" t="s">
        <v>17366</v>
      </c>
      <c r="B5457">
        <v>8004873</v>
      </c>
      <c r="D5457" s="11" t="s">
        <v>17367</v>
      </c>
      <c r="E5457" s="11" t="s">
        <v>17368</v>
      </c>
    </row>
    <row r="5458" spans="1:5">
      <c r="A5458" s="11" t="s">
        <v>17369</v>
      </c>
      <c r="B5458">
        <v>8012665</v>
      </c>
      <c r="D5458" s="11" t="s">
        <v>17370</v>
      </c>
      <c r="E5458" s="11" t="s">
        <v>17371</v>
      </c>
    </row>
    <row r="5459" spans="1:5">
      <c r="A5459" s="11" t="s">
        <v>17372</v>
      </c>
      <c r="B5459">
        <v>8004849</v>
      </c>
      <c r="D5459" s="11" t="s">
        <v>17373</v>
      </c>
      <c r="E5459" s="11" t="s">
        <v>17374</v>
      </c>
    </row>
    <row r="5460" spans="1:5">
      <c r="A5460" s="11" t="s">
        <v>17375</v>
      </c>
      <c r="B5460">
        <v>8004874</v>
      </c>
      <c r="D5460" s="11" t="s">
        <v>17376</v>
      </c>
      <c r="E5460" s="11" t="s">
        <v>17377</v>
      </c>
    </row>
    <row r="5461" spans="1:5">
      <c r="A5461" s="11" t="s">
        <v>17378</v>
      </c>
      <c r="B5461">
        <v>8012657</v>
      </c>
      <c r="D5461" s="11" t="s">
        <v>17379</v>
      </c>
      <c r="E5461" s="11" t="s">
        <v>17380</v>
      </c>
    </row>
    <row r="5462" spans="1:5">
      <c r="A5462" s="11" t="s">
        <v>17381</v>
      </c>
      <c r="B5462">
        <v>8012658</v>
      </c>
      <c r="D5462" s="11" t="s">
        <v>17382</v>
      </c>
      <c r="E5462" s="11" t="s">
        <v>17383</v>
      </c>
    </row>
    <row r="5463" spans="1:5">
      <c r="A5463" s="11" t="s">
        <v>17384</v>
      </c>
      <c r="B5463">
        <v>8004875</v>
      </c>
      <c r="D5463" s="11" t="s">
        <v>17385</v>
      </c>
      <c r="E5463" s="11" t="s">
        <v>17386</v>
      </c>
    </row>
    <row r="5464" spans="1:5">
      <c r="A5464" s="11" t="s">
        <v>17387</v>
      </c>
      <c r="B5464">
        <v>8010280</v>
      </c>
      <c r="D5464" s="11" t="s">
        <v>17388</v>
      </c>
      <c r="E5464" s="11" t="s">
        <v>17389</v>
      </c>
    </row>
    <row r="5465" spans="1:5">
      <c r="A5465" s="11" t="s">
        <v>17390</v>
      </c>
      <c r="B5465">
        <v>8011695</v>
      </c>
      <c r="D5465" s="11" t="s">
        <v>17391</v>
      </c>
      <c r="E5465" s="11" t="s">
        <v>17392</v>
      </c>
    </row>
    <row r="5466" spans="1:5">
      <c r="A5466" s="11" t="s">
        <v>17393</v>
      </c>
      <c r="B5466">
        <v>8080530</v>
      </c>
      <c r="D5466" s="11" t="s">
        <v>17394</v>
      </c>
      <c r="E5466" s="11" t="s">
        <v>17395</v>
      </c>
    </row>
    <row r="5467" spans="1:5">
      <c r="A5467" s="11" t="s">
        <v>17396</v>
      </c>
      <c r="B5467">
        <v>8012666</v>
      </c>
      <c r="D5467" s="11" t="s">
        <v>17397</v>
      </c>
      <c r="E5467" s="11" t="s">
        <v>17398</v>
      </c>
    </row>
    <row r="5468" spans="1:5">
      <c r="A5468" s="11" t="s">
        <v>17399</v>
      </c>
      <c r="B5468">
        <v>8089184</v>
      </c>
      <c r="D5468" s="11" t="s">
        <v>17400</v>
      </c>
      <c r="E5468" s="11" t="s">
        <v>17401</v>
      </c>
    </row>
    <row r="5469" spans="1:5">
      <c r="A5469" s="11" t="s">
        <v>17402</v>
      </c>
      <c r="B5469">
        <v>8011430</v>
      </c>
      <c r="D5469" s="11" t="s">
        <v>17403</v>
      </c>
      <c r="E5469" s="11" t="s">
        <v>17404</v>
      </c>
    </row>
    <row r="5470" spans="1:5">
      <c r="A5470" s="11" t="s">
        <v>17405</v>
      </c>
      <c r="B5470">
        <v>8010377</v>
      </c>
      <c r="D5470" s="11" t="s">
        <v>17406</v>
      </c>
      <c r="E5470" s="11" t="s">
        <v>17407</v>
      </c>
    </row>
    <row r="5471" spans="1:5">
      <c r="A5471" s="11" t="s">
        <v>17408</v>
      </c>
      <c r="B5471">
        <v>8010279</v>
      </c>
      <c r="D5471" s="11" t="s">
        <v>17409</v>
      </c>
      <c r="E5471" s="11" t="s">
        <v>17410</v>
      </c>
    </row>
    <row r="5472" spans="1:5">
      <c r="A5472" s="11" t="s">
        <v>1440</v>
      </c>
      <c r="B5472">
        <v>8080070</v>
      </c>
      <c r="D5472" s="11" t="s">
        <v>17411</v>
      </c>
      <c r="E5472" s="11" t="s">
        <v>17412</v>
      </c>
    </row>
    <row r="5473" spans="1:5">
      <c r="A5473" s="11" t="s">
        <v>17413</v>
      </c>
      <c r="B5473">
        <v>8012733</v>
      </c>
      <c r="D5473" s="11" t="s">
        <v>17414</v>
      </c>
      <c r="E5473" s="11" t="s">
        <v>17415</v>
      </c>
    </row>
    <row r="5474" spans="1:5">
      <c r="A5474" s="11" t="s">
        <v>17416</v>
      </c>
      <c r="B5474">
        <v>8071089</v>
      </c>
      <c r="D5474" s="11" t="s">
        <v>17417</v>
      </c>
      <c r="E5474" s="11" t="s">
        <v>17418</v>
      </c>
    </row>
    <row r="5475" spans="1:5">
      <c r="A5475" s="11" t="s">
        <v>17419</v>
      </c>
      <c r="B5475">
        <v>8004878</v>
      </c>
      <c r="D5475" s="11" t="s">
        <v>17420</v>
      </c>
      <c r="E5475" s="11" t="s">
        <v>17421</v>
      </c>
    </row>
    <row r="5476" spans="1:5">
      <c r="A5476" s="11" t="s">
        <v>17422</v>
      </c>
      <c r="B5476">
        <v>8010281</v>
      </c>
      <c r="D5476" s="11" t="s">
        <v>17423</v>
      </c>
      <c r="E5476" s="11" t="s">
        <v>17424</v>
      </c>
    </row>
    <row r="5477" spans="1:5">
      <c r="A5477" s="11" t="s">
        <v>17425</v>
      </c>
      <c r="B5477">
        <v>8004879</v>
      </c>
      <c r="D5477" s="11" t="s">
        <v>17426</v>
      </c>
      <c r="E5477" s="11" t="s">
        <v>17427</v>
      </c>
    </row>
    <row r="5478" spans="1:5">
      <c r="A5478" s="11" t="s">
        <v>17428</v>
      </c>
      <c r="B5478">
        <v>8070297</v>
      </c>
      <c r="D5478" s="11" t="s">
        <v>17429</v>
      </c>
      <c r="E5478" s="11" t="s">
        <v>17430</v>
      </c>
    </row>
    <row r="5479" spans="1:5">
      <c r="A5479" s="11" t="s">
        <v>17431</v>
      </c>
      <c r="B5479">
        <v>8012668</v>
      </c>
      <c r="D5479" s="11" t="s">
        <v>17432</v>
      </c>
      <c r="E5479" s="11" t="s">
        <v>17433</v>
      </c>
    </row>
    <row r="5480" spans="1:5">
      <c r="A5480" s="11" t="s">
        <v>17434</v>
      </c>
      <c r="B5480">
        <v>8012669</v>
      </c>
      <c r="D5480" s="11" t="s">
        <v>17435</v>
      </c>
      <c r="E5480" s="11" t="s">
        <v>17436</v>
      </c>
    </row>
    <row r="5481" spans="1:5">
      <c r="A5481" s="11" t="s">
        <v>17437</v>
      </c>
      <c r="B5481">
        <v>8010282</v>
      </c>
      <c r="D5481" s="11" t="s">
        <v>17438</v>
      </c>
      <c r="E5481" s="11" t="s">
        <v>17439</v>
      </c>
    </row>
    <row r="5482" spans="1:5">
      <c r="A5482" s="11" t="s">
        <v>17440</v>
      </c>
      <c r="B5482">
        <v>8004880</v>
      </c>
      <c r="D5482" s="11" t="s">
        <v>17441</v>
      </c>
      <c r="E5482" s="11" t="s">
        <v>17442</v>
      </c>
    </row>
    <row r="5483" spans="1:5">
      <c r="A5483" s="11" t="s">
        <v>17443</v>
      </c>
      <c r="B5483">
        <v>8004881</v>
      </c>
      <c r="D5483" s="11" t="s">
        <v>17444</v>
      </c>
      <c r="E5483" s="11" t="s">
        <v>17445</v>
      </c>
    </row>
    <row r="5484" spans="1:5">
      <c r="A5484" s="11" t="s">
        <v>17446</v>
      </c>
      <c r="B5484">
        <v>8004882</v>
      </c>
      <c r="D5484" s="11" t="s">
        <v>17447</v>
      </c>
      <c r="E5484" s="11" t="s">
        <v>17448</v>
      </c>
    </row>
    <row r="5485" spans="1:5">
      <c r="A5485" s="11" t="s">
        <v>17449</v>
      </c>
      <c r="B5485">
        <v>8071085</v>
      </c>
      <c r="D5485" s="11" t="s">
        <v>17450</v>
      </c>
      <c r="E5485" s="11" t="s">
        <v>17451</v>
      </c>
    </row>
    <row r="5486" spans="1:5">
      <c r="A5486" s="11" t="s">
        <v>17452</v>
      </c>
      <c r="B5486">
        <v>8012673</v>
      </c>
      <c r="D5486" s="11" t="s">
        <v>17453</v>
      </c>
      <c r="E5486" s="11" t="s">
        <v>17454</v>
      </c>
    </row>
    <row r="5487" spans="1:5">
      <c r="A5487" s="11" t="s">
        <v>17455</v>
      </c>
      <c r="B5487">
        <v>8010283</v>
      </c>
      <c r="D5487" s="11" t="s">
        <v>17456</v>
      </c>
      <c r="E5487" s="11" t="s">
        <v>17457</v>
      </c>
    </row>
    <row r="5488" spans="1:5">
      <c r="A5488" s="11" t="s">
        <v>17458</v>
      </c>
      <c r="B5488">
        <v>8010284</v>
      </c>
      <c r="D5488" s="11" t="s">
        <v>17459</v>
      </c>
      <c r="E5488" s="11" t="s">
        <v>17460</v>
      </c>
    </row>
    <row r="5489" spans="1:5">
      <c r="A5489" s="11" t="s">
        <v>536</v>
      </c>
      <c r="B5489">
        <v>8004885</v>
      </c>
      <c r="D5489" s="11" t="s">
        <v>538</v>
      </c>
      <c r="E5489" s="11" t="s">
        <v>539</v>
      </c>
    </row>
    <row r="5490" spans="1:5">
      <c r="A5490" s="11" t="s">
        <v>17461</v>
      </c>
      <c r="B5490">
        <v>8010285</v>
      </c>
      <c r="D5490" s="11" t="s">
        <v>17462</v>
      </c>
      <c r="E5490" s="11" t="s">
        <v>17463</v>
      </c>
    </row>
    <row r="5491" spans="1:5">
      <c r="A5491" s="11" t="s">
        <v>17464</v>
      </c>
      <c r="B5491">
        <v>8013489</v>
      </c>
      <c r="D5491" s="11" t="s">
        <v>17465</v>
      </c>
      <c r="E5491" s="11" t="s">
        <v>17466</v>
      </c>
    </row>
    <row r="5492" spans="1:5">
      <c r="A5492" s="11" t="s">
        <v>17467</v>
      </c>
      <c r="B5492">
        <v>8071112</v>
      </c>
      <c r="D5492" s="11" t="s">
        <v>17468</v>
      </c>
      <c r="E5492" s="11" t="s">
        <v>17469</v>
      </c>
    </row>
    <row r="5493" spans="1:5">
      <c r="A5493" s="11" t="s">
        <v>17470</v>
      </c>
      <c r="B5493">
        <v>8004888</v>
      </c>
      <c r="D5493" s="11" t="s">
        <v>17471</v>
      </c>
      <c r="E5493" s="11" t="s">
        <v>17472</v>
      </c>
    </row>
    <row r="5494" spans="1:5">
      <c r="A5494" s="11" t="s">
        <v>17473</v>
      </c>
      <c r="B5494">
        <v>8012675</v>
      </c>
      <c r="D5494" s="11" t="s">
        <v>17474</v>
      </c>
      <c r="E5494" s="11" t="s">
        <v>17475</v>
      </c>
    </row>
    <row r="5495" spans="1:5">
      <c r="A5495" s="11" t="s">
        <v>17476</v>
      </c>
      <c r="B5495">
        <v>8012676</v>
      </c>
      <c r="D5495" s="11" t="s">
        <v>17477</v>
      </c>
      <c r="E5495" s="11" t="s">
        <v>17478</v>
      </c>
    </row>
    <row r="5496" spans="1:5">
      <c r="A5496" s="11" t="s">
        <v>17479</v>
      </c>
      <c r="B5496">
        <v>8012677</v>
      </c>
      <c r="D5496" s="11" t="s">
        <v>17480</v>
      </c>
      <c r="E5496" s="11" t="s">
        <v>17481</v>
      </c>
    </row>
    <row r="5497" spans="1:5">
      <c r="A5497" s="11" t="s">
        <v>17482</v>
      </c>
      <c r="B5497">
        <v>8010287</v>
      </c>
      <c r="D5497" s="11" t="s">
        <v>17483</v>
      </c>
      <c r="E5497" s="11" t="s">
        <v>17484</v>
      </c>
    </row>
    <row r="5498" spans="1:5">
      <c r="A5498" s="11" t="s">
        <v>17485</v>
      </c>
      <c r="B5498">
        <v>8074703</v>
      </c>
      <c r="D5498" s="11" t="s">
        <v>17486</v>
      </c>
      <c r="E5498" s="11" t="s">
        <v>17487</v>
      </c>
    </row>
    <row r="5499" spans="1:5">
      <c r="A5499" s="11" t="s">
        <v>17488</v>
      </c>
      <c r="B5499">
        <v>8017347</v>
      </c>
      <c r="D5499" s="11" t="s">
        <v>17489</v>
      </c>
      <c r="E5499" s="11" t="s">
        <v>17490</v>
      </c>
    </row>
    <row r="5500" spans="1:5">
      <c r="A5500" s="11" t="s">
        <v>17491</v>
      </c>
      <c r="B5500">
        <v>8010288</v>
      </c>
      <c r="D5500" s="11" t="s">
        <v>17492</v>
      </c>
      <c r="E5500" s="11" t="s">
        <v>17493</v>
      </c>
    </row>
    <row r="5501" spans="1:5">
      <c r="A5501" s="11" t="s">
        <v>17494</v>
      </c>
      <c r="B5501">
        <v>8012678</v>
      </c>
      <c r="D5501" s="11" t="s">
        <v>17495</v>
      </c>
      <c r="E5501" s="11" t="s">
        <v>17496</v>
      </c>
    </row>
    <row r="5502" spans="1:5">
      <c r="A5502" s="11" t="s">
        <v>17497</v>
      </c>
      <c r="B5502">
        <v>8012682</v>
      </c>
      <c r="D5502" s="11" t="s">
        <v>17498</v>
      </c>
      <c r="E5502" s="11" t="s">
        <v>17499</v>
      </c>
    </row>
    <row r="5503" spans="1:5">
      <c r="A5503" s="11" t="s">
        <v>17500</v>
      </c>
      <c r="B5503">
        <v>8012683</v>
      </c>
      <c r="D5503" s="11" t="s">
        <v>17501</v>
      </c>
      <c r="E5503" s="11" t="s">
        <v>17502</v>
      </c>
    </row>
    <row r="5504" spans="1:5">
      <c r="A5504" s="11" t="s">
        <v>17503</v>
      </c>
      <c r="B5504">
        <v>8079338</v>
      </c>
      <c r="D5504" s="11" t="s">
        <v>17504</v>
      </c>
      <c r="E5504" s="11" t="s">
        <v>17505</v>
      </c>
    </row>
    <row r="5505" spans="1:5">
      <c r="A5505" s="11" t="s">
        <v>17506</v>
      </c>
      <c r="B5505">
        <v>8079754</v>
      </c>
      <c r="D5505" s="11" t="s">
        <v>17507</v>
      </c>
      <c r="E5505" s="11" t="s">
        <v>17508</v>
      </c>
    </row>
    <row r="5506" spans="1:5">
      <c r="A5506" s="11" t="s">
        <v>17509</v>
      </c>
      <c r="B5506">
        <v>8012684</v>
      </c>
      <c r="D5506" s="11" t="s">
        <v>17510</v>
      </c>
      <c r="E5506" s="11" t="s">
        <v>17511</v>
      </c>
    </row>
    <row r="5507" spans="1:5">
      <c r="A5507" s="11" t="s">
        <v>17512</v>
      </c>
      <c r="B5507">
        <v>8012679</v>
      </c>
      <c r="D5507" s="11" t="s">
        <v>17513</v>
      </c>
      <c r="E5507" s="11" t="s">
        <v>17514</v>
      </c>
    </row>
    <row r="5508" spans="1:5">
      <c r="A5508" s="11" t="s">
        <v>17515</v>
      </c>
      <c r="B5508">
        <v>8071180</v>
      </c>
      <c r="D5508" s="11" t="s">
        <v>17516</v>
      </c>
      <c r="E5508" s="11" t="s">
        <v>17517</v>
      </c>
    </row>
    <row r="5509" spans="1:5">
      <c r="A5509" s="11" t="s">
        <v>17518</v>
      </c>
      <c r="B5509">
        <v>8012681</v>
      </c>
      <c r="D5509" s="11" t="s">
        <v>17519</v>
      </c>
      <c r="E5509" s="11" t="s">
        <v>17520</v>
      </c>
    </row>
    <row r="5510" spans="1:5">
      <c r="A5510" s="11" t="s">
        <v>17521</v>
      </c>
      <c r="B5510">
        <v>8071181</v>
      </c>
      <c r="D5510" s="11" t="s">
        <v>17522</v>
      </c>
      <c r="E5510" s="11" t="s">
        <v>17523</v>
      </c>
    </row>
    <row r="5511" spans="1:5">
      <c r="A5511" s="11" t="s">
        <v>17524</v>
      </c>
      <c r="B5511">
        <v>8012680</v>
      </c>
      <c r="D5511" s="11" t="s">
        <v>17525</v>
      </c>
      <c r="E5511" s="11" t="s">
        <v>17526</v>
      </c>
    </row>
    <row r="5512" spans="1:5">
      <c r="A5512" s="11" t="s">
        <v>17527</v>
      </c>
      <c r="B5512">
        <v>8070858</v>
      </c>
      <c r="D5512" s="11" t="s">
        <v>17528</v>
      </c>
      <c r="E5512" s="11" t="s">
        <v>17529</v>
      </c>
    </row>
    <row r="5513" spans="1:5">
      <c r="A5513" s="11" t="s">
        <v>17530</v>
      </c>
      <c r="B5513">
        <v>8004893</v>
      </c>
      <c r="D5513" s="11" t="s">
        <v>17531</v>
      </c>
      <c r="E5513" s="11" t="s">
        <v>17532</v>
      </c>
    </row>
    <row r="5514" spans="1:5">
      <c r="A5514" s="11" t="s">
        <v>17533</v>
      </c>
      <c r="B5514">
        <v>8004898</v>
      </c>
      <c r="D5514" s="11" t="s">
        <v>17534</v>
      </c>
      <c r="E5514" s="11" t="s">
        <v>17535</v>
      </c>
    </row>
    <row r="5515" spans="1:5">
      <c r="A5515" s="11" t="s">
        <v>17536</v>
      </c>
      <c r="B5515">
        <v>8004899</v>
      </c>
      <c r="D5515" s="11" t="s">
        <v>17537</v>
      </c>
      <c r="E5515" s="11" t="s">
        <v>17538</v>
      </c>
    </row>
    <row r="5516" spans="1:5">
      <c r="A5516" s="11" t="s">
        <v>17539</v>
      </c>
      <c r="B5516">
        <v>8004900</v>
      </c>
      <c r="D5516" s="11" t="s">
        <v>17540</v>
      </c>
      <c r="E5516" s="11" t="s">
        <v>17541</v>
      </c>
    </row>
    <row r="5517" spans="1:5">
      <c r="A5517" s="11" t="s">
        <v>17542</v>
      </c>
      <c r="B5517">
        <v>8012685</v>
      </c>
      <c r="D5517" s="11" t="s">
        <v>17543</v>
      </c>
      <c r="E5517" s="11" t="s">
        <v>17544</v>
      </c>
    </row>
    <row r="5518" spans="1:5">
      <c r="A5518" s="11" t="s">
        <v>17545</v>
      </c>
      <c r="B5518">
        <v>8012686</v>
      </c>
      <c r="D5518" s="11" t="s">
        <v>17546</v>
      </c>
      <c r="E5518" s="11" t="s">
        <v>17547</v>
      </c>
    </row>
    <row r="5519" spans="1:5">
      <c r="A5519" s="11" t="s">
        <v>17548</v>
      </c>
      <c r="B5519">
        <v>8004901</v>
      </c>
      <c r="D5519" s="11" t="s">
        <v>17549</v>
      </c>
      <c r="E5519" s="11" t="s">
        <v>17550</v>
      </c>
    </row>
    <row r="5520" spans="1:5">
      <c r="A5520" s="11" t="s">
        <v>17551</v>
      </c>
      <c r="B5520">
        <v>8010401</v>
      </c>
      <c r="D5520" s="11" t="s">
        <v>17552</v>
      </c>
      <c r="E5520" s="11" t="s">
        <v>17553</v>
      </c>
    </row>
    <row r="5521" spans="1:5">
      <c r="A5521" s="11" t="s">
        <v>17554</v>
      </c>
      <c r="B5521">
        <v>8012687</v>
      </c>
      <c r="D5521" s="11" t="s">
        <v>17555</v>
      </c>
      <c r="E5521" s="11" t="s">
        <v>17556</v>
      </c>
    </row>
    <row r="5522" spans="1:5">
      <c r="A5522" s="11" t="s">
        <v>17557</v>
      </c>
      <c r="B5522">
        <v>8004903</v>
      </c>
      <c r="D5522" s="11" t="s">
        <v>17558</v>
      </c>
      <c r="E5522" s="11" t="s">
        <v>17559</v>
      </c>
    </row>
    <row r="5523" spans="1:5">
      <c r="A5523" s="11" t="s">
        <v>17560</v>
      </c>
      <c r="B5523">
        <v>8012688</v>
      </c>
      <c r="D5523" s="11" t="s">
        <v>17561</v>
      </c>
      <c r="E5523" s="11" t="s">
        <v>17562</v>
      </c>
    </row>
    <row r="5524" spans="1:5">
      <c r="A5524" s="11" t="s">
        <v>1523</v>
      </c>
      <c r="B5524">
        <v>8004907</v>
      </c>
      <c r="D5524" s="11" t="s">
        <v>17563</v>
      </c>
      <c r="E5524" s="11" t="s">
        <v>17564</v>
      </c>
    </row>
    <row r="5525" spans="1:5">
      <c r="A5525" s="11" t="s">
        <v>17565</v>
      </c>
      <c r="B5525">
        <v>8000304</v>
      </c>
      <c r="D5525" s="11" t="s">
        <v>17566</v>
      </c>
      <c r="E5525" s="11" t="s">
        <v>17567</v>
      </c>
    </row>
    <row r="5526" spans="1:5">
      <c r="A5526" s="11" t="s">
        <v>17568</v>
      </c>
      <c r="B5526">
        <v>8010290</v>
      </c>
      <c r="D5526" s="11" t="s">
        <v>17569</v>
      </c>
      <c r="E5526" s="11" t="s">
        <v>17570</v>
      </c>
    </row>
    <row r="5527" spans="1:5">
      <c r="A5527" s="11" t="s">
        <v>17571</v>
      </c>
      <c r="B5527">
        <v>8012690</v>
      </c>
      <c r="D5527" s="11" t="s">
        <v>17572</v>
      </c>
      <c r="E5527" s="11" t="s">
        <v>17573</v>
      </c>
    </row>
    <row r="5528" spans="1:5">
      <c r="A5528" s="11" t="s">
        <v>17574</v>
      </c>
      <c r="B5528">
        <v>8004908</v>
      </c>
      <c r="D5528" s="11" t="s">
        <v>17575</v>
      </c>
      <c r="E5528" s="11" t="s">
        <v>17576</v>
      </c>
    </row>
    <row r="5529" spans="1:5">
      <c r="A5529" s="11" t="s">
        <v>17577</v>
      </c>
      <c r="B5529">
        <v>8004905</v>
      </c>
      <c r="D5529" s="11" t="s">
        <v>17578</v>
      </c>
      <c r="E5529" s="11" t="s">
        <v>17579</v>
      </c>
    </row>
    <row r="5530" spans="1:5">
      <c r="A5530" s="11" t="s">
        <v>17580</v>
      </c>
      <c r="B5530">
        <v>8004912</v>
      </c>
      <c r="D5530" s="11" t="s">
        <v>17581</v>
      </c>
      <c r="E5530" s="11" t="s">
        <v>17582</v>
      </c>
    </row>
    <row r="5531" spans="1:5">
      <c r="A5531" s="11" t="s">
        <v>17583</v>
      </c>
      <c r="B5531">
        <v>8010291</v>
      </c>
      <c r="D5531" s="11" t="s">
        <v>17584</v>
      </c>
      <c r="E5531" s="11" t="s">
        <v>17585</v>
      </c>
    </row>
    <row r="5532" spans="1:5">
      <c r="A5532" s="11" t="s">
        <v>17586</v>
      </c>
      <c r="B5532">
        <v>8012691</v>
      </c>
      <c r="D5532" s="11" t="s">
        <v>17587</v>
      </c>
      <c r="E5532" s="11" t="s">
        <v>17588</v>
      </c>
    </row>
    <row r="5533" spans="1:5">
      <c r="A5533" s="11" t="s">
        <v>17589</v>
      </c>
      <c r="B5533">
        <v>8007049</v>
      </c>
      <c r="D5533" s="11" t="s">
        <v>17590</v>
      </c>
      <c r="E5533" s="11" t="s">
        <v>17591</v>
      </c>
    </row>
    <row r="5534" spans="1:5">
      <c r="A5534" s="11" t="s">
        <v>17592</v>
      </c>
      <c r="B5534">
        <v>8079028</v>
      </c>
      <c r="D5534" s="11" t="s">
        <v>17593</v>
      </c>
      <c r="E5534" s="11" t="s">
        <v>17594</v>
      </c>
    </row>
    <row r="5535" spans="1:5">
      <c r="A5535" s="11" t="s">
        <v>17595</v>
      </c>
      <c r="B5535">
        <v>8004909</v>
      </c>
      <c r="D5535" s="11" t="s">
        <v>17596</v>
      </c>
      <c r="E5535" s="11" t="s">
        <v>17597</v>
      </c>
    </row>
    <row r="5536" spans="1:5">
      <c r="A5536" s="11" t="s">
        <v>17598</v>
      </c>
      <c r="B5536">
        <v>8004910</v>
      </c>
      <c r="D5536" s="11" t="s">
        <v>17599</v>
      </c>
      <c r="E5536" s="11" t="s">
        <v>17600</v>
      </c>
    </row>
    <row r="5537" spans="1:5">
      <c r="A5537" s="11" t="s">
        <v>17601</v>
      </c>
      <c r="B5537">
        <v>8070518</v>
      </c>
      <c r="D5537" s="11" t="s">
        <v>17602</v>
      </c>
      <c r="E5537" s="11" t="s">
        <v>17603</v>
      </c>
    </row>
    <row r="5538" spans="1:5">
      <c r="A5538" s="11" t="s">
        <v>17604</v>
      </c>
      <c r="B5538">
        <v>8012694</v>
      </c>
      <c r="D5538" s="11" t="s">
        <v>17605</v>
      </c>
      <c r="E5538" s="11" t="s">
        <v>17606</v>
      </c>
    </row>
    <row r="5539" spans="1:5">
      <c r="A5539" s="11" t="s">
        <v>17607</v>
      </c>
      <c r="B5539">
        <v>8012696</v>
      </c>
      <c r="D5539" s="11" t="s">
        <v>17608</v>
      </c>
      <c r="E5539" s="11" t="s">
        <v>17609</v>
      </c>
    </row>
    <row r="5540" spans="1:5">
      <c r="A5540" s="11" t="s">
        <v>17610</v>
      </c>
      <c r="B5540">
        <v>8012697</v>
      </c>
      <c r="D5540" s="11" t="s">
        <v>17611</v>
      </c>
      <c r="E5540" s="11" t="s">
        <v>17612</v>
      </c>
    </row>
    <row r="5541" spans="1:5">
      <c r="A5541" s="11" t="s">
        <v>17613</v>
      </c>
      <c r="B5541">
        <v>8004913</v>
      </c>
      <c r="D5541" s="11" t="s">
        <v>17614</v>
      </c>
      <c r="E5541" s="11" t="s">
        <v>17615</v>
      </c>
    </row>
    <row r="5542" spans="1:5">
      <c r="A5542" s="11" t="s">
        <v>17616</v>
      </c>
      <c r="B5542">
        <v>8012698</v>
      </c>
      <c r="D5542" s="11" t="s">
        <v>17617</v>
      </c>
      <c r="E5542" s="11" t="s">
        <v>17618</v>
      </c>
    </row>
    <row r="5543" spans="1:5">
      <c r="A5543" s="11" t="s">
        <v>17619</v>
      </c>
      <c r="B5543">
        <v>8071045</v>
      </c>
      <c r="D5543" s="11" t="s">
        <v>17620</v>
      </c>
      <c r="E5543" s="11" t="s">
        <v>17621</v>
      </c>
    </row>
    <row r="5544" spans="1:5">
      <c r="A5544" s="11" t="s">
        <v>17622</v>
      </c>
      <c r="B5544">
        <v>8071017</v>
      </c>
      <c r="D5544" s="11" t="s">
        <v>17623</v>
      </c>
      <c r="E5544" s="11" t="s">
        <v>17624</v>
      </c>
    </row>
    <row r="5545" spans="1:5">
      <c r="A5545" s="11" t="s">
        <v>17625</v>
      </c>
      <c r="B5545">
        <v>8012699</v>
      </c>
      <c r="D5545" s="11" t="s">
        <v>17626</v>
      </c>
      <c r="E5545" s="11" t="s">
        <v>17627</v>
      </c>
    </row>
    <row r="5546" spans="1:5">
      <c r="A5546" s="11" t="s">
        <v>17628</v>
      </c>
      <c r="B5546">
        <v>8010292</v>
      </c>
      <c r="D5546" s="11" t="s">
        <v>17629</v>
      </c>
      <c r="E5546" s="11" t="s">
        <v>17630</v>
      </c>
    </row>
    <row r="5547" spans="1:5">
      <c r="A5547" s="11" t="s">
        <v>17631</v>
      </c>
      <c r="B5547">
        <v>8010293</v>
      </c>
      <c r="D5547" s="11" t="s">
        <v>17632</v>
      </c>
      <c r="E5547" s="11" t="s">
        <v>17633</v>
      </c>
    </row>
    <row r="5548" spans="1:5">
      <c r="A5548" s="11" t="s">
        <v>17634</v>
      </c>
      <c r="B5548">
        <v>8013490</v>
      </c>
      <c r="D5548" s="11" t="s">
        <v>17635</v>
      </c>
      <c r="E5548" s="11" t="s">
        <v>17636</v>
      </c>
    </row>
    <row r="5549" spans="1:5">
      <c r="A5549" s="11" t="s">
        <v>17637</v>
      </c>
      <c r="B5549">
        <v>8012700</v>
      </c>
      <c r="D5549" s="11" t="s">
        <v>17638</v>
      </c>
      <c r="E5549" s="11" t="s">
        <v>17639</v>
      </c>
    </row>
    <row r="5550" spans="1:5">
      <c r="A5550" s="11" t="s">
        <v>17640</v>
      </c>
      <c r="B5550">
        <v>8012701</v>
      </c>
      <c r="D5550" s="11" t="s">
        <v>17641</v>
      </c>
      <c r="E5550" s="11" t="s">
        <v>17642</v>
      </c>
    </row>
    <row r="5551" spans="1:5">
      <c r="A5551" s="11" t="s">
        <v>17643</v>
      </c>
      <c r="B5551">
        <v>8012702</v>
      </c>
      <c r="D5551" s="11" t="s">
        <v>17644</v>
      </c>
      <c r="E5551" s="11" t="s">
        <v>17645</v>
      </c>
    </row>
    <row r="5552" spans="1:5">
      <c r="A5552" s="11" t="s">
        <v>17646</v>
      </c>
      <c r="B5552">
        <v>8004914</v>
      </c>
      <c r="D5552" s="11" t="s">
        <v>17647</v>
      </c>
      <c r="E5552" s="11" t="s">
        <v>17648</v>
      </c>
    </row>
    <row r="5553" spans="1:5">
      <c r="A5553" s="11" t="s">
        <v>17649</v>
      </c>
      <c r="B5553">
        <v>8012704</v>
      </c>
      <c r="D5553" s="11" t="s">
        <v>17650</v>
      </c>
      <c r="E5553" s="11" t="s">
        <v>17651</v>
      </c>
    </row>
    <row r="5554" spans="1:5">
      <c r="A5554" s="11" t="s">
        <v>17652</v>
      </c>
      <c r="B5554">
        <v>8004917</v>
      </c>
      <c r="D5554" s="11" t="s">
        <v>17653</v>
      </c>
      <c r="E5554" s="11" t="s">
        <v>17654</v>
      </c>
    </row>
    <row r="5555" spans="1:5">
      <c r="A5555" s="11" t="s">
        <v>17655</v>
      </c>
      <c r="B5555">
        <v>8000880</v>
      </c>
      <c r="D5555" s="11" t="s">
        <v>17656</v>
      </c>
      <c r="E5555" s="11" t="s">
        <v>17657</v>
      </c>
    </row>
    <row r="5556" spans="1:5">
      <c r="A5556" s="11" t="s">
        <v>17658</v>
      </c>
      <c r="B5556">
        <v>8070880</v>
      </c>
      <c r="D5556" s="11" t="s">
        <v>17659</v>
      </c>
      <c r="E5556" s="11" t="s">
        <v>17660</v>
      </c>
    </row>
    <row r="5557" spans="1:5">
      <c r="A5557" s="11" t="s">
        <v>17661</v>
      </c>
      <c r="B5557">
        <v>8012707</v>
      </c>
      <c r="D5557" s="11" t="s">
        <v>17662</v>
      </c>
      <c r="E5557" s="11" t="s">
        <v>17663</v>
      </c>
    </row>
    <row r="5558" spans="1:5">
      <c r="A5558" s="11" t="s">
        <v>17664</v>
      </c>
      <c r="B5558">
        <v>8004919</v>
      </c>
      <c r="D5558" s="11" t="s">
        <v>17665</v>
      </c>
      <c r="E5558" s="11" t="s">
        <v>17666</v>
      </c>
    </row>
    <row r="5559" spans="1:5">
      <c r="A5559" s="11" t="s">
        <v>231</v>
      </c>
      <c r="B5559">
        <v>8004922</v>
      </c>
      <c r="D5559" s="11" t="s">
        <v>233</v>
      </c>
      <c r="E5559" s="11" t="s">
        <v>234</v>
      </c>
    </row>
    <row r="5560" spans="1:5">
      <c r="A5560" s="11" t="s">
        <v>17667</v>
      </c>
      <c r="B5560">
        <v>8004923</v>
      </c>
      <c r="D5560" s="11" t="s">
        <v>17668</v>
      </c>
      <c r="E5560" s="11" t="s">
        <v>17669</v>
      </c>
    </row>
    <row r="5561" spans="1:5">
      <c r="A5561" s="11" t="s">
        <v>17670</v>
      </c>
      <c r="B5561">
        <v>8004924</v>
      </c>
      <c r="D5561" s="11" t="s">
        <v>17671</v>
      </c>
      <c r="E5561" s="11" t="s">
        <v>17672</v>
      </c>
    </row>
    <row r="5562" spans="1:5">
      <c r="A5562" s="11" t="s">
        <v>17673</v>
      </c>
      <c r="B5562">
        <v>8004925</v>
      </c>
      <c r="D5562" s="11" t="s">
        <v>17674</v>
      </c>
      <c r="E5562" s="11" t="s">
        <v>17675</v>
      </c>
    </row>
    <row r="5563" spans="1:5">
      <c r="A5563" s="11" t="s">
        <v>17676</v>
      </c>
      <c r="B5563">
        <v>8004926</v>
      </c>
      <c r="D5563" s="11" t="s">
        <v>17677</v>
      </c>
      <c r="E5563" s="11" t="s">
        <v>17678</v>
      </c>
    </row>
    <row r="5564" spans="1:5">
      <c r="A5564" s="11" t="s">
        <v>17679</v>
      </c>
      <c r="B5564">
        <v>8012710</v>
      </c>
      <c r="D5564" s="11" t="s">
        <v>17680</v>
      </c>
      <c r="E5564" s="11" t="s">
        <v>17681</v>
      </c>
    </row>
    <row r="5565" spans="1:5">
      <c r="A5565" s="11" t="s">
        <v>17682</v>
      </c>
      <c r="B5565">
        <v>8079758</v>
      </c>
      <c r="D5565" s="11" t="s">
        <v>17683</v>
      </c>
      <c r="E5565" s="11" t="s">
        <v>17684</v>
      </c>
    </row>
    <row r="5566" spans="1:5">
      <c r="A5566" s="11" t="s">
        <v>17685</v>
      </c>
      <c r="B5566">
        <v>8012711</v>
      </c>
      <c r="D5566" s="11" t="s">
        <v>17686</v>
      </c>
      <c r="E5566" s="11" t="s">
        <v>17687</v>
      </c>
    </row>
    <row r="5567" spans="1:5">
      <c r="A5567" s="11" t="s">
        <v>17688</v>
      </c>
      <c r="B5567">
        <v>8004928</v>
      </c>
      <c r="D5567" s="11" t="s">
        <v>17689</v>
      </c>
      <c r="E5567" s="11" t="s">
        <v>17690</v>
      </c>
    </row>
    <row r="5568" spans="1:5">
      <c r="A5568" s="11" t="s">
        <v>17691</v>
      </c>
      <c r="B5568">
        <v>8071241</v>
      </c>
      <c r="D5568" s="11" t="s">
        <v>17692</v>
      </c>
      <c r="E5568" s="11" t="s">
        <v>17693</v>
      </c>
    </row>
    <row r="5569" spans="1:5">
      <c r="A5569" s="11" t="s">
        <v>17694</v>
      </c>
      <c r="B5569">
        <v>8004929</v>
      </c>
      <c r="D5569" s="11" t="s">
        <v>17695</v>
      </c>
      <c r="E5569" s="11" t="s">
        <v>17696</v>
      </c>
    </row>
    <row r="5570" spans="1:5">
      <c r="A5570" s="11" t="s">
        <v>17697</v>
      </c>
      <c r="B5570">
        <v>8004927</v>
      </c>
      <c r="D5570" s="11" t="s">
        <v>17698</v>
      </c>
      <c r="E5570" s="11" t="s">
        <v>17699</v>
      </c>
    </row>
    <row r="5571" spans="1:5">
      <c r="A5571" s="11" t="s">
        <v>17700</v>
      </c>
      <c r="B5571">
        <v>8004930</v>
      </c>
      <c r="D5571" s="11" t="s">
        <v>17701</v>
      </c>
      <c r="E5571" s="11" t="s">
        <v>17702</v>
      </c>
    </row>
    <row r="5572" spans="1:5">
      <c r="A5572" s="11" t="s">
        <v>17703</v>
      </c>
      <c r="B5572">
        <v>8081963</v>
      </c>
      <c r="D5572" s="11" t="s">
        <v>17704</v>
      </c>
      <c r="E5572" s="11" t="s">
        <v>17705</v>
      </c>
    </row>
    <row r="5573" spans="1:5">
      <c r="A5573" s="11" t="s">
        <v>17706</v>
      </c>
      <c r="B5573">
        <v>8081965</v>
      </c>
      <c r="D5573" s="11" t="s">
        <v>17707</v>
      </c>
      <c r="E5573" s="11" t="s">
        <v>17708</v>
      </c>
    </row>
    <row r="5574" spans="1:5">
      <c r="A5574" s="11" t="s">
        <v>17709</v>
      </c>
      <c r="B5574">
        <v>8081964</v>
      </c>
      <c r="D5574" s="11" t="s">
        <v>17710</v>
      </c>
      <c r="E5574" s="11" t="s">
        <v>17711</v>
      </c>
    </row>
    <row r="5575" spans="1:5">
      <c r="A5575" s="11" t="s">
        <v>17712</v>
      </c>
      <c r="B5575">
        <v>8004931</v>
      </c>
      <c r="D5575" s="11" t="s">
        <v>17713</v>
      </c>
      <c r="E5575" s="11" t="s">
        <v>17714</v>
      </c>
    </row>
    <row r="5576" spans="1:5">
      <c r="A5576" s="11" t="s">
        <v>17715</v>
      </c>
      <c r="B5576">
        <v>8004932</v>
      </c>
      <c r="D5576" s="11" t="s">
        <v>17716</v>
      </c>
      <c r="E5576" s="11" t="s">
        <v>17717</v>
      </c>
    </row>
    <row r="5577" spans="1:5">
      <c r="A5577" s="11" t="s">
        <v>17718</v>
      </c>
      <c r="B5577">
        <v>8004933</v>
      </c>
      <c r="D5577" s="11" t="s">
        <v>17719</v>
      </c>
      <c r="E5577" s="11" t="s">
        <v>17720</v>
      </c>
    </row>
    <row r="5578" spans="1:5">
      <c r="A5578" s="11" t="s">
        <v>17721</v>
      </c>
      <c r="B5578">
        <v>8004935</v>
      </c>
      <c r="D5578" s="11" t="s">
        <v>17722</v>
      </c>
      <c r="E5578" s="11" t="s">
        <v>17723</v>
      </c>
    </row>
    <row r="5579" spans="1:5">
      <c r="A5579" s="11" t="s">
        <v>17724</v>
      </c>
      <c r="B5579">
        <v>8004936</v>
      </c>
      <c r="D5579" s="11" t="s">
        <v>17725</v>
      </c>
      <c r="E5579" s="11" t="s">
        <v>17726</v>
      </c>
    </row>
    <row r="5580" spans="1:5">
      <c r="A5580" s="11" t="s">
        <v>17727</v>
      </c>
      <c r="B5580">
        <v>8004938</v>
      </c>
      <c r="D5580" s="11" t="s">
        <v>17728</v>
      </c>
      <c r="E5580" s="11" t="s">
        <v>17729</v>
      </c>
    </row>
    <row r="5581" spans="1:5">
      <c r="A5581" s="11" t="s">
        <v>17730</v>
      </c>
      <c r="B5581">
        <v>8070520</v>
      </c>
      <c r="D5581" s="11" t="s">
        <v>17731</v>
      </c>
      <c r="E5581" s="11" t="s">
        <v>17732</v>
      </c>
    </row>
    <row r="5582" spans="1:5">
      <c r="A5582" s="11" t="s">
        <v>17733</v>
      </c>
      <c r="B5582">
        <v>8012713</v>
      </c>
      <c r="D5582" s="11" t="s">
        <v>17734</v>
      </c>
      <c r="E5582" s="11" t="s">
        <v>17735</v>
      </c>
    </row>
    <row r="5583" spans="1:5">
      <c r="A5583" s="11" t="s">
        <v>17736</v>
      </c>
      <c r="B5583">
        <v>8004942</v>
      </c>
      <c r="D5583" s="11" t="s">
        <v>17737</v>
      </c>
      <c r="E5583" s="11" t="s">
        <v>17738</v>
      </c>
    </row>
    <row r="5584" spans="1:5">
      <c r="A5584" s="11" t="s">
        <v>17739</v>
      </c>
      <c r="B5584">
        <v>8012715</v>
      </c>
      <c r="D5584" s="11" t="s">
        <v>17740</v>
      </c>
      <c r="E5584" s="11" t="s">
        <v>17741</v>
      </c>
    </row>
    <row r="5585" spans="1:5">
      <c r="A5585" s="11" t="s">
        <v>17742</v>
      </c>
      <c r="B5585">
        <v>8000306</v>
      </c>
      <c r="D5585" s="11" t="s">
        <v>17743</v>
      </c>
      <c r="E5585" s="11" t="s">
        <v>17744</v>
      </c>
    </row>
    <row r="5586" spans="1:5">
      <c r="A5586" s="11" t="s">
        <v>17745</v>
      </c>
      <c r="B5586">
        <v>8004944</v>
      </c>
      <c r="D5586" s="11" t="s">
        <v>17746</v>
      </c>
      <c r="E5586" s="11" t="s">
        <v>17747</v>
      </c>
    </row>
    <row r="5587" spans="1:5">
      <c r="A5587" s="11" t="s">
        <v>17748</v>
      </c>
      <c r="B5587">
        <v>8004945</v>
      </c>
      <c r="D5587" s="11" t="s">
        <v>17749</v>
      </c>
      <c r="E5587" s="11" t="s">
        <v>17750</v>
      </c>
    </row>
    <row r="5588" spans="1:5">
      <c r="A5588" s="11" t="s">
        <v>17751</v>
      </c>
      <c r="B5588">
        <v>8012716</v>
      </c>
      <c r="D5588" s="11" t="s">
        <v>17752</v>
      </c>
      <c r="E5588" s="11" t="s">
        <v>17753</v>
      </c>
    </row>
    <row r="5589" spans="1:5">
      <c r="A5589" s="11" t="s">
        <v>17754</v>
      </c>
      <c r="B5589">
        <v>8010296</v>
      </c>
      <c r="D5589" s="11" t="s">
        <v>17755</v>
      </c>
      <c r="E5589" s="11" t="s">
        <v>17756</v>
      </c>
    </row>
    <row r="5590" spans="1:5">
      <c r="A5590" s="11" t="s">
        <v>17757</v>
      </c>
      <c r="B5590">
        <v>8081075</v>
      </c>
      <c r="D5590" s="11" t="s">
        <v>17758</v>
      </c>
      <c r="E5590" s="11" t="s">
        <v>17759</v>
      </c>
    </row>
    <row r="5591" spans="1:5">
      <c r="A5591" s="11" t="s">
        <v>17760</v>
      </c>
      <c r="B5591">
        <v>8081078</v>
      </c>
      <c r="D5591" s="11" t="s">
        <v>17761</v>
      </c>
      <c r="E5591" s="11" t="s">
        <v>17762</v>
      </c>
    </row>
    <row r="5592" spans="1:5">
      <c r="A5592" s="11" t="s">
        <v>17763</v>
      </c>
      <c r="B5592">
        <v>8081079</v>
      </c>
      <c r="D5592" s="11" t="s">
        <v>17764</v>
      </c>
      <c r="E5592" s="11" t="s">
        <v>17765</v>
      </c>
    </row>
    <row r="5593" spans="1:5">
      <c r="A5593" s="11" t="s">
        <v>17766</v>
      </c>
      <c r="B5593">
        <v>8012719</v>
      </c>
      <c r="D5593" s="11" t="s">
        <v>17767</v>
      </c>
      <c r="E5593" s="11" t="s">
        <v>17768</v>
      </c>
    </row>
    <row r="5594" spans="1:5">
      <c r="A5594" s="11" t="s">
        <v>17769</v>
      </c>
      <c r="B5594">
        <v>8004948</v>
      </c>
      <c r="D5594" s="11" t="s">
        <v>17770</v>
      </c>
      <c r="E5594" s="11" t="s">
        <v>17771</v>
      </c>
    </row>
    <row r="5595" spans="1:5">
      <c r="A5595" s="11" t="s">
        <v>17772</v>
      </c>
      <c r="B5595">
        <v>8004952</v>
      </c>
      <c r="D5595" s="11" t="s">
        <v>17773</v>
      </c>
      <c r="E5595" s="11" t="s">
        <v>17774</v>
      </c>
    </row>
    <row r="5596" spans="1:5">
      <c r="A5596" s="11" t="s">
        <v>17775</v>
      </c>
      <c r="B5596">
        <v>8012705</v>
      </c>
      <c r="D5596" s="11" t="s">
        <v>17776</v>
      </c>
      <c r="E5596" s="11" t="s">
        <v>17777</v>
      </c>
    </row>
    <row r="5597" spans="1:5">
      <c r="A5597" s="11" t="s">
        <v>17778</v>
      </c>
      <c r="B5597">
        <v>8004955</v>
      </c>
      <c r="D5597" s="11" t="s">
        <v>17779</v>
      </c>
      <c r="E5597" s="11" t="s">
        <v>17780</v>
      </c>
    </row>
    <row r="5598" spans="1:5">
      <c r="A5598" s="11" t="s">
        <v>17781</v>
      </c>
      <c r="B5598">
        <v>8012723</v>
      </c>
      <c r="D5598" s="11" t="s">
        <v>17782</v>
      </c>
      <c r="E5598" s="11" t="s">
        <v>17783</v>
      </c>
    </row>
    <row r="5599" spans="1:5">
      <c r="A5599" s="11" t="s">
        <v>17784</v>
      </c>
      <c r="B5599">
        <v>8004960</v>
      </c>
      <c r="D5599" s="11" t="s">
        <v>17785</v>
      </c>
      <c r="E5599" s="11" t="s">
        <v>17786</v>
      </c>
    </row>
    <row r="5600" spans="1:5">
      <c r="A5600" s="11" t="s">
        <v>17787</v>
      </c>
      <c r="B5600">
        <v>8004961</v>
      </c>
      <c r="D5600" s="11" t="s">
        <v>17788</v>
      </c>
      <c r="E5600" s="11" t="s">
        <v>17789</v>
      </c>
    </row>
    <row r="5601" spans="1:5">
      <c r="A5601" s="11" t="s">
        <v>17790</v>
      </c>
      <c r="B5601">
        <v>8012724</v>
      </c>
      <c r="D5601" s="11" t="s">
        <v>17791</v>
      </c>
      <c r="E5601" s="11" t="s">
        <v>17792</v>
      </c>
    </row>
    <row r="5602" spans="1:5">
      <c r="A5602" s="11" t="s">
        <v>17793</v>
      </c>
      <c r="B5602">
        <v>8004962</v>
      </c>
      <c r="D5602" s="11" t="s">
        <v>17794</v>
      </c>
      <c r="E5602" s="11" t="s">
        <v>17795</v>
      </c>
    </row>
    <row r="5603" spans="1:5">
      <c r="A5603" s="11" t="s">
        <v>17796</v>
      </c>
      <c r="B5603">
        <v>8004965</v>
      </c>
      <c r="D5603" s="11" t="s">
        <v>17797</v>
      </c>
      <c r="E5603" s="11" t="s">
        <v>17798</v>
      </c>
    </row>
    <row r="5604" spans="1:5">
      <c r="A5604" s="11" t="s">
        <v>17799</v>
      </c>
      <c r="B5604">
        <v>8004966</v>
      </c>
      <c r="D5604" s="11" t="s">
        <v>17800</v>
      </c>
      <c r="E5604" s="11" t="s">
        <v>17801</v>
      </c>
    </row>
    <row r="5605" spans="1:5">
      <c r="A5605" s="11" t="s">
        <v>17802</v>
      </c>
      <c r="B5605">
        <v>8012727</v>
      </c>
      <c r="D5605" s="11" t="s">
        <v>17803</v>
      </c>
      <c r="E5605" s="11" t="s">
        <v>17804</v>
      </c>
    </row>
    <row r="5606" spans="1:5">
      <c r="A5606" s="11" t="s">
        <v>17805</v>
      </c>
      <c r="B5606">
        <v>8017220</v>
      </c>
      <c r="D5606" s="11" t="s">
        <v>17806</v>
      </c>
      <c r="E5606" s="11" t="s">
        <v>17807</v>
      </c>
    </row>
    <row r="5607" spans="1:5">
      <c r="A5607" s="11" t="s">
        <v>17808</v>
      </c>
      <c r="B5607">
        <v>8004968</v>
      </c>
      <c r="D5607" s="11" t="s">
        <v>17809</v>
      </c>
      <c r="E5607" s="11" t="s">
        <v>17810</v>
      </c>
    </row>
    <row r="5608" spans="1:5">
      <c r="A5608" s="11" t="s">
        <v>17811</v>
      </c>
      <c r="B5608">
        <v>8004970</v>
      </c>
      <c r="D5608" s="11" t="s">
        <v>17812</v>
      </c>
      <c r="E5608" s="11" t="s">
        <v>17813</v>
      </c>
    </row>
    <row r="5609" spans="1:5">
      <c r="A5609" s="11" t="s">
        <v>17814</v>
      </c>
      <c r="B5609">
        <v>8004971</v>
      </c>
      <c r="D5609" s="11" t="s">
        <v>17815</v>
      </c>
      <c r="E5609" s="11" t="s">
        <v>17816</v>
      </c>
    </row>
    <row r="5610" spans="1:5">
      <c r="A5610" s="11" t="s">
        <v>17817</v>
      </c>
      <c r="B5610">
        <v>8070994</v>
      </c>
      <c r="D5610" s="11" t="s">
        <v>17818</v>
      </c>
      <c r="E5610" s="11" t="s">
        <v>17819</v>
      </c>
    </row>
    <row r="5611" spans="1:5">
      <c r="A5611" s="11" t="s">
        <v>17820</v>
      </c>
      <c r="B5611">
        <v>8070995</v>
      </c>
      <c r="D5611" s="11" t="s">
        <v>17821</v>
      </c>
      <c r="E5611" s="11" t="s">
        <v>17822</v>
      </c>
    </row>
    <row r="5612" spans="1:5">
      <c r="A5612" s="11" t="s">
        <v>17823</v>
      </c>
      <c r="B5612">
        <v>8004972</v>
      </c>
      <c r="D5612" s="11" t="s">
        <v>17824</v>
      </c>
      <c r="E5612" s="11" t="s">
        <v>17825</v>
      </c>
    </row>
    <row r="5613" spans="1:5">
      <c r="A5613" s="11" t="s">
        <v>17826</v>
      </c>
      <c r="B5613">
        <v>8000307</v>
      </c>
      <c r="D5613" s="11" t="s">
        <v>17827</v>
      </c>
      <c r="E5613" s="11" t="s">
        <v>17828</v>
      </c>
    </row>
    <row r="5614" spans="1:5">
      <c r="A5614" s="11" t="s">
        <v>17829</v>
      </c>
      <c r="B5614">
        <v>8000887</v>
      </c>
      <c r="D5614" s="11" t="s">
        <v>17830</v>
      </c>
      <c r="E5614" s="11" t="s">
        <v>17831</v>
      </c>
    </row>
    <row r="5615" spans="1:5">
      <c r="A5615" s="11" t="s">
        <v>17832</v>
      </c>
      <c r="B5615">
        <v>8004975</v>
      </c>
      <c r="D5615" s="11" t="s">
        <v>17833</v>
      </c>
      <c r="E5615" s="11" t="s">
        <v>17834</v>
      </c>
    </row>
    <row r="5616" spans="1:5">
      <c r="A5616" s="11" t="s">
        <v>17835</v>
      </c>
      <c r="B5616">
        <v>8012729</v>
      </c>
      <c r="D5616" s="11" t="s">
        <v>17836</v>
      </c>
      <c r="E5616" s="11" t="s">
        <v>17837</v>
      </c>
    </row>
    <row r="5617" spans="1:5">
      <c r="A5617" s="11" t="s">
        <v>17838</v>
      </c>
      <c r="B5617">
        <v>8079760</v>
      </c>
      <c r="D5617" s="11" t="s">
        <v>17839</v>
      </c>
      <c r="E5617" s="11" t="s">
        <v>17840</v>
      </c>
    </row>
    <row r="5618" spans="1:5">
      <c r="A5618" s="11" t="s">
        <v>17841</v>
      </c>
      <c r="B5618">
        <v>8004978</v>
      </c>
      <c r="D5618" s="11" t="s">
        <v>17842</v>
      </c>
      <c r="E5618" s="11" t="s">
        <v>17843</v>
      </c>
    </row>
    <row r="5619" spans="1:5">
      <c r="A5619" s="11" t="s">
        <v>17844</v>
      </c>
      <c r="B5619">
        <v>8004979</v>
      </c>
      <c r="D5619" s="11" t="s">
        <v>17845</v>
      </c>
      <c r="E5619" s="11" t="s">
        <v>17846</v>
      </c>
    </row>
    <row r="5620" spans="1:5">
      <c r="A5620" s="11" t="s">
        <v>236</v>
      </c>
      <c r="B5620">
        <v>8004981</v>
      </c>
      <c r="D5620" s="11" t="s">
        <v>238</v>
      </c>
      <c r="E5620" s="11" t="s">
        <v>239</v>
      </c>
    </row>
    <row r="5621" spans="1:5">
      <c r="A5621" s="11" t="s">
        <v>1221</v>
      </c>
      <c r="B5621">
        <v>8000309</v>
      </c>
      <c r="D5621" s="11" t="s">
        <v>17847</v>
      </c>
      <c r="E5621" s="11" t="s">
        <v>17848</v>
      </c>
    </row>
    <row r="5622" spans="1:5">
      <c r="A5622" s="11" t="s">
        <v>17849</v>
      </c>
      <c r="B5622">
        <v>8001298</v>
      </c>
      <c r="D5622" s="11" t="s">
        <v>17850</v>
      </c>
      <c r="E5622" s="11" t="s">
        <v>17851</v>
      </c>
    </row>
    <row r="5623" spans="1:5">
      <c r="A5623" s="11" t="s">
        <v>17852</v>
      </c>
      <c r="B5623">
        <v>8004983</v>
      </c>
      <c r="D5623" s="11" t="s">
        <v>17853</v>
      </c>
      <c r="E5623" s="11" t="s">
        <v>17854</v>
      </c>
    </row>
    <row r="5624" spans="1:5">
      <c r="A5624" s="11" t="s">
        <v>17855</v>
      </c>
      <c r="B5624">
        <v>8004987</v>
      </c>
      <c r="D5624" s="11" t="s">
        <v>17856</v>
      </c>
      <c r="E5624" s="11" t="s">
        <v>17857</v>
      </c>
    </row>
    <row r="5625" spans="1:5">
      <c r="A5625" s="11" t="s">
        <v>137</v>
      </c>
      <c r="B5625">
        <v>8012731</v>
      </c>
      <c r="D5625" s="11" t="s">
        <v>602</v>
      </c>
      <c r="E5625" s="11" t="s">
        <v>603</v>
      </c>
    </row>
    <row r="5626" spans="1:5">
      <c r="A5626" s="11" t="s">
        <v>310</v>
      </c>
      <c r="B5626">
        <v>8004988</v>
      </c>
      <c r="D5626" s="11" t="s">
        <v>312</v>
      </c>
      <c r="E5626" s="11" t="s">
        <v>313</v>
      </c>
    </row>
    <row r="5627" spans="1:5">
      <c r="A5627" s="11" t="s">
        <v>17858</v>
      </c>
      <c r="B5627">
        <v>8012734</v>
      </c>
      <c r="D5627" s="11" t="s">
        <v>17859</v>
      </c>
      <c r="E5627" s="11" t="s">
        <v>17860</v>
      </c>
    </row>
    <row r="5628" spans="1:5">
      <c r="A5628" s="11" t="s">
        <v>17861</v>
      </c>
      <c r="B5628">
        <v>8012735</v>
      </c>
      <c r="D5628" s="11" t="s">
        <v>17862</v>
      </c>
      <c r="E5628" s="11" t="s">
        <v>17863</v>
      </c>
    </row>
    <row r="5629" spans="1:5">
      <c r="A5629" s="11" t="s">
        <v>17864</v>
      </c>
      <c r="B5629">
        <v>8012737</v>
      </c>
      <c r="D5629" s="11" t="s">
        <v>17865</v>
      </c>
      <c r="E5629" s="11" t="s">
        <v>17866</v>
      </c>
    </row>
    <row r="5630" spans="1:5">
      <c r="A5630" s="11" t="s">
        <v>17867</v>
      </c>
      <c r="B5630">
        <v>8004993</v>
      </c>
      <c r="D5630" s="11" t="s">
        <v>17868</v>
      </c>
      <c r="E5630" s="11" t="s">
        <v>17869</v>
      </c>
    </row>
    <row r="5631" spans="1:5">
      <c r="A5631" s="11" t="s">
        <v>17870</v>
      </c>
      <c r="B5631">
        <v>8004994</v>
      </c>
      <c r="D5631" s="11" t="s">
        <v>17871</v>
      </c>
      <c r="E5631" s="11" t="s">
        <v>17872</v>
      </c>
    </row>
    <row r="5632" spans="1:5">
      <c r="A5632" s="11" t="s">
        <v>17873</v>
      </c>
      <c r="B5632">
        <v>8004995</v>
      </c>
      <c r="D5632" s="11" t="s">
        <v>17874</v>
      </c>
      <c r="E5632" s="11" t="s">
        <v>17875</v>
      </c>
    </row>
    <row r="5633" spans="1:5">
      <c r="A5633" s="11" t="s">
        <v>17876</v>
      </c>
      <c r="B5633">
        <v>8004997</v>
      </c>
      <c r="D5633" s="11" t="s">
        <v>17877</v>
      </c>
      <c r="E5633" s="11" t="s">
        <v>17878</v>
      </c>
    </row>
    <row r="5634" spans="1:5">
      <c r="A5634" s="11" t="s">
        <v>17879</v>
      </c>
      <c r="B5634">
        <v>8007012</v>
      </c>
      <c r="D5634" s="11" t="s">
        <v>17880</v>
      </c>
      <c r="E5634" s="11" t="s">
        <v>17881</v>
      </c>
    </row>
    <row r="5635" spans="1:5">
      <c r="A5635" s="11" t="s">
        <v>17882</v>
      </c>
      <c r="B5635">
        <v>8004999</v>
      </c>
      <c r="D5635" s="11" t="s">
        <v>17883</v>
      </c>
      <c r="E5635" s="11" t="s">
        <v>17884</v>
      </c>
    </row>
    <row r="5636" spans="1:5">
      <c r="A5636" s="11" t="s">
        <v>17885</v>
      </c>
      <c r="B5636">
        <v>8012738</v>
      </c>
      <c r="D5636" s="11" t="s">
        <v>17886</v>
      </c>
      <c r="E5636" s="11" t="s">
        <v>17887</v>
      </c>
    </row>
    <row r="5637" spans="1:5">
      <c r="A5637" s="11" t="s">
        <v>17888</v>
      </c>
      <c r="B5637">
        <v>8012739</v>
      </c>
      <c r="D5637" s="11" t="s">
        <v>17889</v>
      </c>
      <c r="E5637" s="11" t="s">
        <v>17890</v>
      </c>
    </row>
    <row r="5638" spans="1:5">
      <c r="A5638" s="11" t="s">
        <v>17891</v>
      </c>
      <c r="B5638">
        <v>8005002</v>
      </c>
      <c r="D5638" s="11" t="s">
        <v>17892</v>
      </c>
      <c r="E5638" s="11" t="s">
        <v>17893</v>
      </c>
    </row>
    <row r="5639" spans="1:5">
      <c r="A5639" s="11" t="s">
        <v>17894</v>
      </c>
      <c r="B5639">
        <v>8005005</v>
      </c>
      <c r="D5639" s="11" t="s">
        <v>17895</v>
      </c>
      <c r="E5639" s="11" t="s">
        <v>17896</v>
      </c>
    </row>
    <row r="5640" spans="1:5">
      <c r="A5640" s="11" t="s">
        <v>17897</v>
      </c>
      <c r="B5640">
        <v>8005007</v>
      </c>
      <c r="D5640" s="11" t="s">
        <v>17898</v>
      </c>
      <c r="E5640" s="11" t="s">
        <v>17899</v>
      </c>
    </row>
    <row r="5641" spans="1:5">
      <c r="A5641" s="11" t="s">
        <v>17900</v>
      </c>
      <c r="B5641">
        <v>8005008</v>
      </c>
      <c r="D5641" s="11" t="s">
        <v>17901</v>
      </c>
      <c r="E5641" s="11" t="s">
        <v>17902</v>
      </c>
    </row>
    <row r="5642" spans="1:5">
      <c r="A5642" s="11" t="s">
        <v>17903</v>
      </c>
      <c r="B5642">
        <v>8005010</v>
      </c>
      <c r="D5642" s="11" t="s">
        <v>17904</v>
      </c>
      <c r="E5642" s="11" t="s">
        <v>17905</v>
      </c>
    </row>
    <row r="5643" spans="1:5">
      <c r="A5643" s="11" t="s">
        <v>17906</v>
      </c>
      <c r="B5643">
        <v>8005011</v>
      </c>
      <c r="D5643" s="11" t="s">
        <v>17907</v>
      </c>
      <c r="E5643" s="11" t="s">
        <v>17908</v>
      </c>
    </row>
    <row r="5644" spans="1:5">
      <c r="A5644" s="11" t="s">
        <v>17909</v>
      </c>
      <c r="B5644">
        <v>8012740</v>
      </c>
      <c r="D5644" s="11" t="s">
        <v>17910</v>
      </c>
      <c r="E5644" s="11" t="s">
        <v>17911</v>
      </c>
    </row>
    <row r="5645" spans="1:5">
      <c r="A5645" s="11" t="s">
        <v>17912</v>
      </c>
      <c r="B5645">
        <v>8005013</v>
      </c>
      <c r="D5645" s="11" t="s">
        <v>17913</v>
      </c>
      <c r="E5645" s="11" t="s">
        <v>17914</v>
      </c>
    </row>
    <row r="5646" spans="1:5">
      <c r="A5646" s="11" t="s">
        <v>17915</v>
      </c>
      <c r="B5646">
        <v>8005014</v>
      </c>
      <c r="D5646" s="11" t="s">
        <v>17916</v>
      </c>
      <c r="E5646" s="11" t="s">
        <v>17917</v>
      </c>
    </row>
    <row r="5647" spans="1:5">
      <c r="A5647" s="11" t="s">
        <v>17918</v>
      </c>
      <c r="B5647">
        <v>8005015</v>
      </c>
      <c r="D5647" s="11" t="s">
        <v>17919</v>
      </c>
      <c r="E5647" s="11" t="s">
        <v>17920</v>
      </c>
    </row>
    <row r="5648" spans="1:5">
      <c r="A5648" s="11" t="s">
        <v>17921</v>
      </c>
      <c r="B5648">
        <v>8005016</v>
      </c>
      <c r="D5648" s="11" t="s">
        <v>17922</v>
      </c>
      <c r="E5648" s="11" t="s">
        <v>17923</v>
      </c>
    </row>
    <row r="5649" spans="1:5">
      <c r="A5649" s="11" t="s">
        <v>17924</v>
      </c>
      <c r="B5649">
        <v>8005019</v>
      </c>
      <c r="D5649" s="11" t="s">
        <v>17925</v>
      </c>
      <c r="E5649" s="11" t="s">
        <v>17926</v>
      </c>
    </row>
    <row r="5650" spans="1:5">
      <c r="A5650" s="11" t="s">
        <v>17927</v>
      </c>
      <c r="B5650">
        <v>8012742</v>
      </c>
      <c r="D5650" s="11" t="s">
        <v>17928</v>
      </c>
      <c r="E5650" s="11" t="s">
        <v>17929</v>
      </c>
    </row>
    <row r="5651" spans="1:5">
      <c r="A5651" s="11" t="s">
        <v>17930</v>
      </c>
      <c r="B5651">
        <v>8005020</v>
      </c>
      <c r="D5651" s="11" t="s">
        <v>17931</v>
      </c>
      <c r="E5651" s="11" t="s">
        <v>17932</v>
      </c>
    </row>
    <row r="5652" spans="1:5">
      <c r="A5652" s="11" t="s">
        <v>17933</v>
      </c>
      <c r="B5652">
        <v>8005023</v>
      </c>
      <c r="D5652" s="11" t="s">
        <v>17934</v>
      </c>
      <c r="E5652" s="11" t="s">
        <v>17935</v>
      </c>
    </row>
    <row r="5653" spans="1:5">
      <c r="A5653" s="11" t="s">
        <v>17936</v>
      </c>
      <c r="B5653">
        <v>8010124</v>
      </c>
      <c r="D5653" s="11" t="s">
        <v>17937</v>
      </c>
      <c r="E5653" s="11" t="s">
        <v>17938</v>
      </c>
    </row>
    <row r="5654" spans="1:5">
      <c r="A5654" s="11" t="s">
        <v>17939</v>
      </c>
      <c r="B5654">
        <v>8012743</v>
      </c>
      <c r="D5654" s="11" t="s">
        <v>17940</v>
      </c>
      <c r="E5654" s="11" t="s">
        <v>17941</v>
      </c>
    </row>
    <row r="5655" spans="1:5">
      <c r="A5655" s="11" t="s">
        <v>17942</v>
      </c>
      <c r="B5655">
        <v>8079094</v>
      </c>
      <c r="D5655" s="11" t="s">
        <v>17943</v>
      </c>
      <c r="E5655" s="11" t="s">
        <v>17944</v>
      </c>
    </row>
    <row r="5656" spans="1:5">
      <c r="A5656" s="11" t="s">
        <v>17945</v>
      </c>
      <c r="B5656">
        <v>8005026</v>
      </c>
      <c r="D5656" s="11" t="s">
        <v>17946</v>
      </c>
      <c r="E5656" s="11" t="s">
        <v>17947</v>
      </c>
    </row>
    <row r="5657" spans="1:5">
      <c r="A5657" s="11" t="s">
        <v>17948</v>
      </c>
      <c r="B5657">
        <v>8005027</v>
      </c>
      <c r="D5657" s="11" t="s">
        <v>17949</v>
      </c>
      <c r="E5657" s="11" t="s">
        <v>17950</v>
      </c>
    </row>
    <row r="5658" spans="1:5">
      <c r="A5658" s="11" t="s">
        <v>17951</v>
      </c>
      <c r="B5658">
        <v>8081949</v>
      </c>
      <c r="D5658" s="11" t="s">
        <v>17952</v>
      </c>
      <c r="E5658" s="11" t="s">
        <v>17953</v>
      </c>
    </row>
    <row r="5659" spans="1:5">
      <c r="A5659" s="11" t="s">
        <v>17954</v>
      </c>
      <c r="B5659">
        <v>8081950</v>
      </c>
      <c r="D5659" s="11" t="s">
        <v>17955</v>
      </c>
      <c r="E5659" s="11" t="s">
        <v>17956</v>
      </c>
    </row>
    <row r="5660" spans="1:5">
      <c r="A5660" s="11" t="s">
        <v>17957</v>
      </c>
      <c r="B5660">
        <v>8005030</v>
      </c>
      <c r="D5660" s="11" t="s">
        <v>17958</v>
      </c>
      <c r="E5660" s="11" t="s">
        <v>17959</v>
      </c>
    </row>
    <row r="5661" spans="1:5">
      <c r="A5661" s="11" t="s">
        <v>17960</v>
      </c>
      <c r="B5661">
        <v>8003305</v>
      </c>
      <c r="D5661" s="11" t="s">
        <v>17961</v>
      </c>
      <c r="E5661" s="11" t="s">
        <v>17962</v>
      </c>
    </row>
    <row r="5662" spans="1:5">
      <c r="A5662" s="11" t="s">
        <v>17963</v>
      </c>
      <c r="B5662">
        <v>8003860</v>
      </c>
      <c r="D5662" s="11" t="s">
        <v>17964</v>
      </c>
      <c r="E5662" s="11" t="s">
        <v>17965</v>
      </c>
    </row>
    <row r="5663" spans="1:5">
      <c r="A5663" s="11" t="s">
        <v>17966</v>
      </c>
      <c r="B5663">
        <v>8000310</v>
      </c>
      <c r="D5663" s="11" t="s">
        <v>17967</v>
      </c>
      <c r="E5663" s="11" t="s">
        <v>17968</v>
      </c>
    </row>
    <row r="5664" spans="1:5">
      <c r="A5664" s="11" t="s">
        <v>17969</v>
      </c>
      <c r="B5664">
        <v>8075946</v>
      </c>
      <c r="D5664" s="11" t="s">
        <v>1539</v>
      </c>
      <c r="E5664" s="11" t="s">
        <v>1539</v>
      </c>
    </row>
    <row r="5665" spans="1:5">
      <c r="A5665" s="11" t="s">
        <v>17970</v>
      </c>
      <c r="B5665">
        <v>8005033</v>
      </c>
      <c r="D5665" s="11" t="s">
        <v>17971</v>
      </c>
      <c r="E5665" s="11" t="s">
        <v>17972</v>
      </c>
    </row>
    <row r="5666" spans="1:5">
      <c r="A5666" s="11" t="s">
        <v>17973</v>
      </c>
      <c r="B5666">
        <v>8005034</v>
      </c>
      <c r="D5666" s="11" t="s">
        <v>17974</v>
      </c>
      <c r="E5666" s="11" t="s">
        <v>17975</v>
      </c>
    </row>
    <row r="5667" spans="1:5">
      <c r="A5667" s="11" t="s">
        <v>17976</v>
      </c>
      <c r="B5667">
        <v>8000311</v>
      </c>
      <c r="D5667" s="11" t="s">
        <v>17977</v>
      </c>
      <c r="E5667" s="11" t="s">
        <v>17978</v>
      </c>
    </row>
    <row r="5668" spans="1:5">
      <c r="A5668" s="11" t="s">
        <v>17979</v>
      </c>
      <c r="B5668">
        <v>8005035</v>
      </c>
      <c r="D5668" s="11" t="s">
        <v>17980</v>
      </c>
      <c r="E5668" s="11" t="s">
        <v>17981</v>
      </c>
    </row>
    <row r="5669" spans="1:5">
      <c r="A5669" s="11" t="s">
        <v>17982</v>
      </c>
      <c r="B5669">
        <v>8005037</v>
      </c>
      <c r="D5669" s="11" t="s">
        <v>17983</v>
      </c>
      <c r="E5669" s="11" t="s">
        <v>17984</v>
      </c>
    </row>
    <row r="5670" spans="1:5">
      <c r="A5670" s="11" t="s">
        <v>17985</v>
      </c>
      <c r="B5670">
        <v>8000312</v>
      </c>
      <c r="D5670" s="11" t="s">
        <v>17986</v>
      </c>
      <c r="E5670" s="11" t="s">
        <v>17987</v>
      </c>
    </row>
    <row r="5671" spans="1:5">
      <c r="A5671" s="11" t="s">
        <v>17988</v>
      </c>
      <c r="B5671">
        <v>8000313</v>
      </c>
      <c r="D5671" s="11" t="s">
        <v>17989</v>
      </c>
      <c r="E5671" s="11" t="s">
        <v>17990</v>
      </c>
    </row>
    <row r="5672" spans="1:5">
      <c r="A5672" s="11" t="s">
        <v>17991</v>
      </c>
      <c r="B5672">
        <v>8005001</v>
      </c>
      <c r="D5672" s="11" t="s">
        <v>17992</v>
      </c>
      <c r="E5672" s="11" t="s">
        <v>17993</v>
      </c>
    </row>
    <row r="5673" spans="1:5">
      <c r="A5673" s="11" t="s">
        <v>402</v>
      </c>
      <c r="B5673">
        <v>8012749</v>
      </c>
      <c r="D5673" s="11" t="s">
        <v>404</v>
      </c>
      <c r="E5673" s="11" t="s">
        <v>405</v>
      </c>
    </row>
    <row r="5674" spans="1:5">
      <c r="A5674" s="11" t="s">
        <v>17994</v>
      </c>
      <c r="B5674">
        <v>8005044</v>
      </c>
      <c r="D5674" s="11" t="s">
        <v>17995</v>
      </c>
      <c r="E5674" s="11" t="s">
        <v>17996</v>
      </c>
    </row>
    <row r="5675" spans="1:5">
      <c r="A5675" s="11" t="s">
        <v>17997</v>
      </c>
      <c r="B5675">
        <v>8005045</v>
      </c>
      <c r="D5675" s="11" t="s">
        <v>17998</v>
      </c>
      <c r="E5675" s="11" t="s">
        <v>17999</v>
      </c>
    </row>
    <row r="5676" spans="1:5">
      <c r="A5676" s="11" t="s">
        <v>18000</v>
      </c>
      <c r="B5676">
        <v>8071011</v>
      </c>
      <c r="D5676" s="11" t="s">
        <v>18001</v>
      </c>
      <c r="E5676" s="11" t="s">
        <v>18002</v>
      </c>
    </row>
    <row r="5677" spans="1:5">
      <c r="A5677" s="11" t="s">
        <v>18003</v>
      </c>
      <c r="B5677">
        <v>8012750</v>
      </c>
      <c r="D5677" s="11" t="s">
        <v>18004</v>
      </c>
      <c r="E5677" s="11" t="s">
        <v>18005</v>
      </c>
    </row>
    <row r="5678" spans="1:5">
      <c r="A5678" s="11" t="s">
        <v>18006</v>
      </c>
      <c r="B5678">
        <v>8012751</v>
      </c>
      <c r="D5678" s="11" t="s">
        <v>18007</v>
      </c>
      <c r="E5678" s="11" t="s">
        <v>18008</v>
      </c>
    </row>
    <row r="5679" spans="1:5">
      <c r="A5679" s="11" t="s">
        <v>18009</v>
      </c>
      <c r="B5679">
        <v>8081180</v>
      </c>
      <c r="D5679" s="11" t="s">
        <v>18010</v>
      </c>
      <c r="E5679" s="11" t="s">
        <v>18011</v>
      </c>
    </row>
    <row r="5680" spans="1:5">
      <c r="A5680" s="11" t="s">
        <v>18012</v>
      </c>
      <c r="B5680">
        <v>8005047</v>
      </c>
      <c r="D5680" s="11" t="s">
        <v>18013</v>
      </c>
      <c r="E5680" s="11" t="s">
        <v>18014</v>
      </c>
    </row>
    <row r="5681" spans="1:5">
      <c r="A5681" s="11" t="s">
        <v>18015</v>
      </c>
      <c r="B5681">
        <v>8005049</v>
      </c>
      <c r="D5681" s="11" t="s">
        <v>18016</v>
      </c>
      <c r="E5681" s="11" t="s">
        <v>18017</v>
      </c>
    </row>
    <row r="5682" spans="1:5">
      <c r="A5682" s="11" t="s">
        <v>18018</v>
      </c>
      <c r="B5682">
        <v>8081096</v>
      </c>
      <c r="D5682" s="11" t="s">
        <v>18019</v>
      </c>
      <c r="E5682" s="11" t="s">
        <v>18020</v>
      </c>
    </row>
    <row r="5683" spans="1:5">
      <c r="A5683" s="11" t="s">
        <v>18021</v>
      </c>
      <c r="B5683">
        <v>8079613</v>
      </c>
      <c r="D5683" s="11" t="s">
        <v>18022</v>
      </c>
      <c r="E5683" s="11" t="s">
        <v>18023</v>
      </c>
    </row>
    <row r="5684" spans="1:5">
      <c r="A5684" s="11" t="s">
        <v>18024</v>
      </c>
      <c r="B5684">
        <v>8012756</v>
      </c>
      <c r="D5684" s="11" t="s">
        <v>18025</v>
      </c>
      <c r="E5684" s="11" t="s">
        <v>18026</v>
      </c>
    </row>
    <row r="5685" spans="1:5">
      <c r="A5685" s="11" t="s">
        <v>18027</v>
      </c>
      <c r="B5685">
        <v>8012757</v>
      </c>
      <c r="D5685" s="11" t="s">
        <v>18028</v>
      </c>
      <c r="E5685" s="11" t="s">
        <v>18029</v>
      </c>
    </row>
    <row r="5686" spans="1:5">
      <c r="A5686" s="11" t="s">
        <v>18030</v>
      </c>
      <c r="B5686">
        <v>8012758</v>
      </c>
      <c r="D5686" s="11" t="s">
        <v>18031</v>
      </c>
      <c r="E5686" s="11" t="s">
        <v>18032</v>
      </c>
    </row>
    <row r="5687" spans="1:5">
      <c r="A5687" s="11" t="s">
        <v>18033</v>
      </c>
      <c r="B5687">
        <v>8005050</v>
      </c>
      <c r="D5687" s="11" t="s">
        <v>18034</v>
      </c>
      <c r="E5687" s="11" t="s">
        <v>18035</v>
      </c>
    </row>
    <row r="5688" spans="1:5">
      <c r="A5688" s="11" t="s">
        <v>18036</v>
      </c>
      <c r="B5688">
        <v>8012759</v>
      </c>
      <c r="D5688" s="11" t="s">
        <v>18037</v>
      </c>
      <c r="E5688" s="11" t="s">
        <v>18038</v>
      </c>
    </row>
    <row r="5689" spans="1:5">
      <c r="A5689" s="11" t="s">
        <v>18039</v>
      </c>
      <c r="B5689">
        <v>8000314</v>
      </c>
      <c r="D5689" s="11" t="s">
        <v>18040</v>
      </c>
      <c r="E5689" s="11" t="s">
        <v>18041</v>
      </c>
    </row>
    <row r="5690" spans="1:5">
      <c r="A5690" s="11" t="s">
        <v>18042</v>
      </c>
      <c r="B5690">
        <v>8005052</v>
      </c>
      <c r="D5690" s="11" t="s">
        <v>18043</v>
      </c>
      <c r="E5690" s="11" t="s">
        <v>18044</v>
      </c>
    </row>
    <row r="5691" spans="1:5">
      <c r="A5691" s="11" t="s">
        <v>18045</v>
      </c>
      <c r="B5691">
        <v>8005053</v>
      </c>
      <c r="D5691" s="11" t="s">
        <v>18046</v>
      </c>
      <c r="E5691" s="11" t="s">
        <v>18047</v>
      </c>
    </row>
    <row r="5692" spans="1:5">
      <c r="A5692" s="11" t="s">
        <v>18048</v>
      </c>
      <c r="B5692">
        <v>8005054</v>
      </c>
      <c r="D5692" s="11" t="s">
        <v>18049</v>
      </c>
      <c r="E5692" s="11" t="s">
        <v>18050</v>
      </c>
    </row>
    <row r="5693" spans="1:5">
      <c r="A5693" s="11" t="s">
        <v>18051</v>
      </c>
      <c r="B5693">
        <v>8005055</v>
      </c>
      <c r="D5693" s="11" t="s">
        <v>18052</v>
      </c>
      <c r="E5693" s="11" t="s">
        <v>18053</v>
      </c>
    </row>
    <row r="5694" spans="1:5">
      <c r="A5694" s="11" t="s">
        <v>18054</v>
      </c>
      <c r="B5694">
        <v>8000315</v>
      </c>
      <c r="D5694" s="11" t="s">
        <v>18055</v>
      </c>
      <c r="E5694" s="11" t="s">
        <v>18056</v>
      </c>
    </row>
    <row r="5695" spans="1:5">
      <c r="A5695" s="11" t="s">
        <v>18057</v>
      </c>
      <c r="B5695">
        <v>8005058</v>
      </c>
      <c r="D5695" s="11" t="s">
        <v>18058</v>
      </c>
      <c r="E5695" s="11" t="s">
        <v>18059</v>
      </c>
    </row>
    <row r="5696" spans="1:5">
      <c r="A5696" s="11" t="s">
        <v>18060</v>
      </c>
      <c r="B5696">
        <v>8005057</v>
      </c>
      <c r="D5696" s="11" t="s">
        <v>18061</v>
      </c>
      <c r="E5696" s="11" t="s">
        <v>18062</v>
      </c>
    </row>
    <row r="5697" spans="1:5">
      <c r="A5697" s="11" t="s">
        <v>18063</v>
      </c>
      <c r="B5697">
        <v>8005059</v>
      </c>
      <c r="D5697" s="11" t="s">
        <v>18064</v>
      </c>
      <c r="E5697" s="11" t="s">
        <v>18065</v>
      </c>
    </row>
    <row r="5698" spans="1:5">
      <c r="A5698" s="11" t="s">
        <v>1092</v>
      </c>
      <c r="B5698">
        <v>8005062</v>
      </c>
      <c r="D5698" s="11" t="s">
        <v>1094</v>
      </c>
      <c r="E5698" s="11" t="s">
        <v>1095</v>
      </c>
    </row>
    <row r="5699" spans="1:5">
      <c r="A5699" s="11" t="s">
        <v>18066</v>
      </c>
      <c r="B5699">
        <v>8000316</v>
      </c>
      <c r="D5699" s="11" t="s">
        <v>18067</v>
      </c>
      <c r="E5699" s="11" t="s">
        <v>18068</v>
      </c>
    </row>
    <row r="5700" spans="1:5">
      <c r="A5700" s="11" t="s">
        <v>18069</v>
      </c>
      <c r="B5700">
        <v>8004000</v>
      </c>
      <c r="D5700" s="11" t="s">
        <v>18070</v>
      </c>
      <c r="E5700" s="11" t="s">
        <v>18071</v>
      </c>
    </row>
    <row r="5701" spans="1:5">
      <c r="A5701" s="11" t="s">
        <v>18072</v>
      </c>
      <c r="B5701">
        <v>8005064</v>
      </c>
      <c r="D5701" s="11" t="s">
        <v>18073</v>
      </c>
      <c r="E5701" s="11" t="s">
        <v>18074</v>
      </c>
    </row>
    <row r="5702" spans="1:5">
      <c r="A5702" s="11" t="s">
        <v>18075</v>
      </c>
      <c r="B5702">
        <v>8000317</v>
      </c>
      <c r="D5702" s="11" t="s">
        <v>18076</v>
      </c>
      <c r="E5702" s="11" t="s">
        <v>18077</v>
      </c>
    </row>
    <row r="5703" spans="1:5">
      <c r="A5703" s="11" t="s">
        <v>18078</v>
      </c>
      <c r="B5703">
        <v>8005065</v>
      </c>
      <c r="D5703" s="11" t="s">
        <v>18079</v>
      </c>
      <c r="E5703" s="11" t="s">
        <v>18080</v>
      </c>
    </row>
    <row r="5704" spans="1:5">
      <c r="A5704" s="11" t="s">
        <v>18081</v>
      </c>
      <c r="B5704">
        <v>8012760</v>
      </c>
      <c r="D5704" s="11" t="s">
        <v>18082</v>
      </c>
      <c r="E5704" s="11" t="s">
        <v>18083</v>
      </c>
    </row>
    <row r="5705" spans="1:5">
      <c r="A5705" s="11" t="s">
        <v>18084</v>
      </c>
      <c r="B5705">
        <v>8005067</v>
      </c>
      <c r="D5705" s="11" t="s">
        <v>18085</v>
      </c>
      <c r="E5705" s="11" t="s">
        <v>18086</v>
      </c>
    </row>
    <row r="5706" spans="1:5">
      <c r="A5706" s="11" t="s">
        <v>18087</v>
      </c>
      <c r="B5706">
        <v>8070890</v>
      </c>
      <c r="D5706" s="11" t="s">
        <v>18088</v>
      </c>
      <c r="E5706" s="11" t="s">
        <v>18089</v>
      </c>
    </row>
    <row r="5707" spans="1:5">
      <c r="A5707" s="11" t="s">
        <v>18090</v>
      </c>
      <c r="B5707">
        <v>8005068</v>
      </c>
      <c r="D5707" s="11" t="s">
        <v>18091</v>
      </c>
      <c r="E5707" s="11" t="s">
        <v>18092</v>
      </c>
    </row>
    <row r="5708" spans="1:5">
      <c r="A5708" s="11" t="s">
        <v>18093</v>
      </c>
      <c r="B5708">
        <v>8005072</v>
      </c>
      <c r="D5708" s="11" t="s">
        <v>18094</v>
      </c>
      <c r="E5708" s="11" t="s">
        <v>18095</v>
      </c>
    </row>
    <row r="5709" spans="1:5">
      <c r="A5709" s="11" t="s">
        <v>18096</v>
      </c>
      <c r="B5709">
        <v>8005069</v>
      </c>
      <c r="D5709" s="11" t="s">
        <v>18097</v>
      </c>
      <c r="E5709" s="11" t="s">
        <v>18098</v>
      </c>
    </row>
    <row r="5710" spans="1:5">
      <c r="A5710" s="11" t="s">
        <v>18099</v>
      </c>
      <c r="B5710">
        <v>8005071</v>
      </c>
      <c r="D5710" s="11" t="s">
        <v>18100</v>
      </c>
      <c r="E5710" s="11" t="s">
        <v>18101</v>
      </c>
    </row>
    <row r="5711" spans="1:5">
      <c r="A5711" s="11" t="s">
        <v>18102</v>
      </c>
      <c r="B5711">
        <v>8005070</v>
      </c>
      <c r="D5711" s="11" t="s">
        <v>18103</v>
      </c>
      <c r="E5711" s="11" t="s">
        <v>18104</v>
      </c>
    </row>
    <row r="5712" spans="1:5">
      <c r="A5712" s="11" t="s">
        <v>18105</v>
      </c>
      <c r="B5712">
        <v>8000318</v>
      </c>
      <c r="D5712" s="11" t="s">
        <v>18106</v>
      </c>
      <c r="E5712" s="11" t="s">
        <v>18107</v>
      </c>
    </row>
    <row r="5713" spans="1:5">
      <c r="A5713" s="11" t="s">
        <v>18108</v>
      </c>
      <c r="B5713">
        <v>8005073</v>
      </c>
      <c r="D5713" s="11" t="s">
        <v>18109</v>
      </c>
      <c r="E5713" s="11" t="s">
        <v>18110</v>
      </c>
    </row>
    <row r="5714" spans="1:5">
      <c r="A5714" s="11" t="s">
        <v>18111</v>
      </c>
      <c r="B5714">
        <v>8081095</v>
      </c>
      <c r="D5714" s="11" t="s">
        <v>18112</v>
      </c>
      <c r="E5714" s="11" t="s">
        <v>18113</v>
      </c>
    </row>
    <row r="5715" spans="1:5">
      <c r="A5715" s="11" t="s">
        <v>18114</v>
      </c>
      <c r="B5715">
        <v>8005074</v>
      </c>
      <c r="D5715" s="11" t="s">
        <v>18115</v>
      </c>
      <c r="E5715" s="11" t="s">
        <v>18116</v>
      </c>
    </row>
    <row r="5716" spans="1:5">
      <c r="A5716" s="11" t="s">
        <v>18117</v>
      </c>
      <c r="B5716">
        <v>8075074</v>
      </c>
      <c r="D5716" s="11" t="s">
        <v>18118</v>
      </c>
      <c r="E5716" s="11" t="s">
        <v>18119</v>
      </c>
    </row>
    <row r="5717" spans="1:5">
      <c r="A5717" s="11" t="s">
        <v>18120</v>
      </c>
      <c r="B5717">
        <v>8081094</v>
      </c>
      <c r="D5717" s="11" t="s">
        <v>18121</v>
      </c>
      <c r="E5717" s="11" t="s">
        <v>18122</v>
      </c>
    </row>
    <row r="5718" spans="1:5">
      <c r="A5718" s="11" t="s">
        <v>18123</v>
      </c>
      <c r="B5718">
        <v>8012762</v>
      </c>
      <c r="D5718" s="11" t="s">
        <v>18124</v>
      </c>
      <c r="E5718" s="11" t="s">
        <v>18125</v>
      </c>
    </row>
    <row r="5719" spans="1:5">
      <c r="A5719" s="11" t="s">
        <v>18126</v>
      </c>
      <c r="B5719">
        <v>8087031</v>
      </c>
      <c r="D5719" s="11" t="s">
        <v>18127</v>
      </c>
      <c r="E5719" s="11" t="s">
        <v>18128</v>
      </c>
    </row>
    <row r="5720" spans="1:5">
      <c r="A5720" s="11" t="s">
        <v>18129</v>
      </c>
      <c r="B5720">
        <v>8012763</v>
      </c>
      <c r="D5720" s="11" t="s">
        <v>18130</v>
      </c>
      <c r="E5720" s="11" t="s">
        <v>18131</v>
      </c>
    </row>
    <row r="5721" spans="1:5">
      <c r="A5721" s="11" t="s">
        <v>18132</v>
      </c>
      <c r="B5721">
        <v>8005077</v>
      </c>
      <c r="D5721" s="11" t="s">
        <v>18133</v>
      </c>
      <c r="E5721" s="11" t="s">
        <v>18134</v>
      </c>
    </row>
    <row r="5722" spans="1:5">
      <c r="A5722" s="11" t="s">
        <v>18135</v>
      </c>
      <c r="B5722">
        <v>8005080</v>
      </c>
      <c r="D5722" s="11" t="s">
        <v>18136</v>
      </c>
      <c r="E5722" s="11" t="s">
        <v>18137</v>
      </c>
    </row>
    <row r="5723" spans="1:5">
      <c r="A5723" s="11" t="s">
        <v>18138</v>
      </c>
      <c r="B5723">
        <v>8005083</v>
      </c>
      <c r="D5723" s="11" t="s">
        <v>18139</v>
      </c>
      <c r="E5723" s="11" t="s">
        <v>18140</v>
      </c>
    </row>
    <row r="5724" spans="1:5">
      <c r="A5724" s="11" t="s">
        <v>18141</v>
      </c>
      <c r="B5724">
        <v>8005086</v>
      </c>
      <c r="D5724" s="11" t="s">
        <v>18142</v>
      </c>
      <c r="E5724" s="11" t="s">
        <v>18143</v>
      </c>
    </row>
    <row r="5725" spans="1:5">
      <c r="A5725" s="11" t="s">
        <v>18144</v>
      </c>
      <c r="B5725">
        <v>8005087</v>
      </c>
      <c r="D5725" s="11" t="s">
        <v>18145</v>
      </c>
      <c r="E5725" s="11" t="s">
        <v>18146</v>
      </c>
    </row>
    <row r="5726" spans="1:5">
      <c r="A5726" s="11" t="s">
        <v>18147</v>
      </c>
      <c r="B5726">
        <v>8005089</v>
      </c>
      <c r="D5726" s="11" t="s">
        <v>18148</v>
      </c>
      <c r="E5726" s="11" t="s">
        <v>18149</v>
      </c>
    </row>
    <row r="5727" spans="1:5">
      <c r="A5727" s="11" t="s">
        <v>18150</v>
      </c>
      <c r="B5727">
        <v>8000126</v>
      </c>
      <c r="D5727" s="11" t="s">
        <v>18151</v>
      </c>
      <c r="E5727" s="11" t="s">
        <v>18152</v>
      </c>
    </row>
    <row r="5728" spans="1:5">
      <c r="A5728" s="11" t="s">
        <v>18153</v>
      </c>
      <c r="B5728">
        <v>8003605</v>
      </c>
      <c r="D5728" s="11" t="s">
        <v>18154</v>
      </c>
      <c r="E5728" s="11" t="s">
        <v>18155</v>
      </c>
    </row>
    <row r="5729" spans="1:5">
      <c r="A5729" s="11" t="s">
        <v>18156</v>
      </c>
      <c r="B5729">
        <v>8071653</v>
      </c>
      <c r="D5729" s="11" t="s">
        <v>18157</v>
      </c>
      <c r="E5729" s="11" t="s">
        <v>18158</v>
      </c>
    </row>
    <row r="5730" spans="1:5">
      <c r="A5730" s="11" t="s">
        <v>18159</v>
      </c>
      <c r="B5730">
        <v>8007284</v>
      </c>
      <c r="D5730" s="11" t="s">
        <v>18160</v>
      </c>
      <c r="E5730" s="11" t="s">
        <v>18161</v>
      </c>
    </row>
    <row r="5731" spans="1:5">
      <c r="A5731" s="11" t="s">
        <v>18162</v>
      </c>
      <c r="B5731">
        <v>8005090</v>
      </c>
      <c r="D5731" s="11" t="s">
        <v>18163</v>
      </c>
      <c r="E5731" s="11" t="s">
        <v>18164</v>
      </c>
    </row>
    <row r="5732" spans="1:5">
      <c r="A5732" s="11" t="s">
        <v>18165</v>
      </c>
      <c r="B5732">
        <v>8007299</v>
      </c>
      <c r="D5732" s="11" t="s">
        <v>18166</v>
      </c>
      <c r="E5732" s="11" t="s">
        <v>18167</v>
      </c>
    </row>
    <row r="5733" spans="1:5">
      <c r="A5733" s="11" t="s">
        <v>18168</v>
      </c>
      <c r="B5733">
        <v>8005091</v>
      </c>
      <c r="D5733" s="11" t="s">
        <v>18169</v>
      </c>
      <c r="E5733" s="11" t="s">
        <v>18170</v>
      </c>
    </row>
    <row r="5734" spans="1:5">
      <c r="A5734" s="11" t="s">
        <v>18171</v>
      </c>
      <c r="B5734">
        <v>8005093</v>
      </c>
      <c r="D5734" s="11" t="s">
        <v>18172</v>
      </c>
      <c r="E5734" s="11" t="s">
        <v>18173</v>
      </c>
    </row>
    <row r="5735" spans="1:5">
      <c r="A5735" s="11" t="s">
        <v>18174</v>
      </c>
      <c r="B5735">
        <v>8005092</v>
      </c>
      <c r="D5735" s="11" t="s">
        <v>18175</v>
      </c>
      <c r="E5735" s="11" t="s">
        <v>18176</v>
      </c>
    </row>
    <row r="5736" spans="1:5">
      <c r="A5736" s="11" t="s">
        <v>18177</v>
      </c>
      <c r="B5736">
        <v>8010297</v>
      </c>
      <c r="D5736" s="11" t="s">
        <v>18178</v>
      </c>
      <c r="E5736" s="11" t="s">
        <v>18179</v>
      </c>
    </row>
    <row r="5737" spans="1:5">
      <c r="A5737" s="11" t="s">
        <v>18180</v>
      </c>
      <c r="B5737">
        <v>8005094</v>
      </c>
      <c r="D5737" s="11" t="s">
        <v>18181</v>
      </c>
      <c r="E5737" s="11" t="s">
        <v>18182</v>
      </c>
    </row>
    <row r="5738" spans="1:5">
      <c r="A5738" s="11" t="s">
        <v>18183</v>
      </c>
      <c r="B5738">
        <v>8005095</v>
      </c>
      <c r="D5738" s="11" t="s">
        <v>18184</v>
      </c>
      <c r="E5738" s="11" t="s">
        <v>18185</v>
      </c>
    </row>
    <row r="5739" spans="1:5">
      <c r="A5739" s="11" t="s">
        <v>18186</v>
      </c>
      <c r="B5739">
        <v>8085385</v>
      </c>
      <c r="D5739" s="11" t="s">
        <v>18187</v>
      </c>
      <c r="E5739" s="11" t="s">
        <v>18188</v>
      </c>
    </row>
    <row r="5740" spans="1:5">
      <c r="A5740" s="11" t="s">
        <v>18189</v>
      </c>
      <c r="B5740">
        <v>8005096</v>
      </c>
      <c r="D5740" s="11" t="s">
        <v>18190</v>
      </c>
      <c r="E5740" s="11" t="s">
        <v>18191</v>
      </c>
    </row>
    <row r="5741" spans="1:5">
      <c r="A5741" s="11" t="s">
        <v>18192</v>
      </c>
      <c r="B5741">
        <v>8012766</v>
      </c>
      <c r="D5741" s="11" t="s">
        <v>18193</v>
      </c>
      <c r="E5741" s="11" t="s">
        <v>18194</v>
      </c>
    </row>
    <row r="5742" spans="1:5">
      <c r="A5742" s="11" t="s">
        <v>18195</v>
      </c>
      <c r="B5742">
        <v>8005097</v>
      </c>
      <c r="D5742" s="11" t="s">
        <v>18196</v>
      </c>
      <c r="E5742" s="11" t="s">
        <v>18197</v>
      </c>
    </row>
    <row r="5743" spans="1:5">
      <c r="A5743" s="11" t="s">
        <v>18198</v>
      </c>
      <c r="B5743">
        <v>8012767</v>
      </c>
      <c r="D5743" s="11" t="s">
        <v>18199</v>
      </c>
      <c r="E5743" s="11" t="s">
        <v>18200</v>
      </c>
    </row>
    <row r="5744" spans="1:5">
      <c r="A5744" s="11" t="s">
        <v>18201</v>
      </c>
      <c r="B5744">
        <v>8005098</v>
      </c>
      <c r="D5744" s="11" t="s">
        <v>18202</v>
      </c>
      <c r="E5744" s="11" t="s">
        <v>18203</v>
      </c>
    </row>
    <row r="5745" spans="1:5">
      <c r="A5745" s="11" t="s">
        <v>18204</v>
      </c>
      <c r="B5745">
        <v>8005100</v>
      </c>
      <c r="D5745" s="11" t="s">
        <v>18205</v>
      </c>
      <c r="E5745" s="11" t="s">
        <v>18206</v>
      </c>
    </row>
    <row r="5746" spans="1:5">
      <c r="A5746" s="11" t="s">
        <v>18207</v>
      </c>
      <c r="B5746">
        <v>8012769</v>
      </c>
      <c r="D5746" s="11" t="s">
        <v>18208</v>
      </c>
      <c r="E5746" s="11" t="s">
        <v>18209</v>
      </c>
    </row>
    <row r="5747" spans="1:5">
      <c r="A5747" s="11" t="s">
        <v>18210</v>
      </c>
      <c r="B5747">
        <v>8005101</v>
      </c>
      <c r="D5747" s="11" t="s">
        <v>18211</v>
      </c>
      <c r="E5747" s="11" t="s">
        <v>18212</v>
      </c>
    </row>
    <row r="5748" spans="1:5">
      <c r="A5748" s="11" t="s">
        <v>18213</v>
      </c>
      <c r="B5748">
        <v>8005102</v>
      </c>
      <c r="D5748" s="11" t="s">
        <v>18214</v>
      </c>
      <c r="E5748" s="11" t="s">
        <v>18215</v>
      </c>
    </row>
    <row r="5749" spans="1:5">
      <c r="A5749" s="11" t="s">
        <v>18216</v>
      </c>
      <c r="B5749">
        <v>8079059</v>
      </c>
      <c r="D5749" s="11" t="s">
        <v>18217</v>
      </c>
      <c r="E5749" s="11" t="s">
        <v>18218</v>
      </c>
    </row>
    <row r="5750" spans="1:5">
      <c r="A5750" s="11" t="s">
        <v>18219</v>
      </c>
      <c r="B5750">
        <v>8005103</v>
      </c>
      <c r="D5750" s="11" t="s">
        <v>18220</v>
      </c>
      <c r="E5750" s="11" t="s">
        <v>18221</v>
      </c>
    </row>
    <row r="5751" spans="1:5">
      <c r="A5751" s="11" t="s">
        <v>18222</v>
      </c>
      <c r="B5751">
        <v>8005104</v>
      </c>
      <c r="D5751" s="11" t="s">
        <v>18223</v>
      </c>
      <c r="E5751" s="11" t="s">
        <v>18224</v>
      </c>
    </row>
    <row r="5752" spans="1:5">
      <c r="A5752" s="11" t="s">
        <v>18225</v>
      </c>
      <c r="B5752">
        <v>8005105</v>
      </c>
      <c r="D5752" s="11" t="s">
        <v>18226</v>
      </c>
      <c r="E5752" s="11" t="s">
        <v>18227</v>
      </c>
    </row>
    <row r="5753" spans="1:5">
      <c r="A5753" s="11" t="s">
        <v>18228</v>
      </c>
      <c r="B5753">
        <v>8012770</v>
      </c>
      <c r="D5753" s="11" t="s">
        <v>18229</v>
      </c>
      <c r="E5753" s="11" t="s">
        <v>18230</v>
      </c>
    </row>
    <row r="5754" spans="1:5">
      <c r="A5754" s="11" t="s">
        <v>18231</v>
      </c>
      <c r="B5754">
        <v>8005107</v>
      </c>
      <c r="D5754" s="11" t="s">
        <v>18232</v>
      </c>
      <c r="E5754" s="11" t="s">
        <v>18233</v>
      </c>
    </row>
    <row r="5755" spans="1:5">
      <c r="A5755" s="11" t="s">
        <v>18234</v>
      </c>
      <c r="B5755">
        <v>8010299</v>
      </c>
      <c r="D5755" s="11" t="s">
        <v>18235</v>
      </c>
      <c r="E5755" s="11" t="s">
        <v>18236</v>
      </c>
    </row>
    <row r="5756" spans="1:5">
      <c r="A5756" s="11" t="s">
        <v>18237</v>
      </c>
      <c r="B5756">
        <v>8010298</v>
      </c>
      <c r="D5756" s="11" t="s">
        <v>18238</v>
      </c>
      <c r="E5756" s="11" t="s">
        <v>18239</v>
      </c>
    </row>
    <row r="5757" spans="1:5">
      <c r="A5757" s="11" t="s">
        <v>18240</v>
      </c>
      <c r="B5757">
        <v>8005111</v>
      </c>
      <c r="D5757" s="11" t="s">
        <v>18241</v>
      </c>
      <c r="E5757" s="11" t="s">
        <v>18242</v>
      </c>
    </row>
    <row r="5758" spans="1:5">
      <c r="A5758" s="11" t="s">
        <v>18243</v>
      </c>
      <c r="B5758">
        <v>8005113</v>
      </c>
      <c r="D5758" s="11" t="s">
        <v>18244</v>
      </c>
      <c r="E5758" s="11" t="s">
        <v>18245</v>
      </c>
    </row>
    <row r="5759" spans="1:5">
      <c r="A5759" s="11" t="s">
        <v>18246</v>
      </c>
      <c r="B5759">
        <v>8004402</v>
      </c>
      <c r="D5759" s="11" t="s">
        <v>18247</v>
      </c>
      <c r="E5759" s="11" t="s">
        <v>18248</v>
      </c>
    </row>
    <row r="5760" spans="1:5">
      <c r="A5760" s="11" t="s">
        <v>18249</v>
      </c>
      <c r="B5760">
        <v>8005116</v>
      </c>
      <c r="D5760" s="11" t="s">
        <v>18250</v>
      </c>
      <c r="E5760" s="11" t="s">
        <v>18251</v>
      </c>
    </row>
    <row r="5761" spans="1:5">
      <c r="A5761" s="11" t="s">
        <v>18252</v>
      </c>
      <c r="B5761">
        <v>8005119</v>
      </c>
      <c r="D5761" s="11" t="s">
        <v>18253</v>
      </c>
      <c r="E5761" s="11" t="s">
        <v>18254</v>
      </c>
    </row>
    <row r="5762" spans="1:5">
      <c r="A5762" s="11" t="s">
        <v>18255</v>
      </c>
      <c r="B5762">
        <v>8004633</v>
      </c>
      <c r="D5762" s="11" t="s">
        <v>18256</v>
      </c>
      <c r="E5762" s="11" t="s">
        <v>18257</v>
      </c>
    </row>
    <row r="5763" spans="1:5">
      <c r="A5763" s="11" t="s">
        <v>18258</v>
      </c>
      <c r="B5763">
        <v>8005122</v>
      </c>
      <c r="D5763" s="11" t="s">
        <v>18259</v>
      </c>
      <c r="E5763" s="11" t="s">
        <v>18260</v>
      </c>
    </row>
    <row r="5764" spans="1:5">
      <c r="A5764" s="11" t="s">
        <v>732</v>
      </c>
      <c r="B5764">
        <v>8000285</v>
      </c>
      <c r="D5764" s="11" t="s">
        <v>734</v>
      </c>
      <c r="E5764" s="11" t="s">
        <v>735</v>
      </c>
    </row>
    <row r="5765" spans="1:5">
      <c r="A5765" s="11" t="s">
        <v>18261</v>
      </c>
      <c r="B5765">
        <v>8006031</v>
      </c>
      <c r="D5765" s="11" t="s">
        <v>18262</v>
      </c>
      <c r="E5765" s="11" t="s">
        <v>18263</v>
      </c>
    </row>
    <row r="5766" spans="1:5">
      <c r="A5766" s="11" t="s">
        <v>18264</v>
      </c>
      <c r="B5766">
        <v>8012775</v>
      </c>
      <c r="D5766" s="11" t="s">
        <v>18265</v>
      </c>
      <c r="E5766" s="11" t="s">
        <v>18266</v>
      </c>
    </row>
    <row r="5767" spans="1:5">
      <c r="A5767" s="11" t="s">
        <v>18267</v>
      </c>
      <c r="B5767">
        <v>8001567</v>
      </c>
      <c r="D5767" s="11" t="s">
        <v>18268</v>
      </c>
      <c r="E5767" s="11" t="s">
        <v>18269</v>
      </c>
    </row>
    <row r="5768" spans="1:5">
      <c r="A5768" s="11" t="s">
        <v>18270</v>
      </c>
      <c r="B5768">
        <v>8002528</v>
      </c>
      <c r="D5768" s="11" t="s">
        <v>18271</v>
      </c>
      <c r="E5768" s="11" t="s">
        <v>18272</v>
      </c>
    </row>
    <row r="5769" spans="1:5">
      <c r="A5769" s="11" t="s">
        <v>18273</v>
      </c>
      <c r="B5769">
        <v>8003131</v>
      </c>
      <c r="D5769" s="11" t="s">
        <v>18274</v>
      </c>
      <c r="E5769" s="11" t="s">
        <v>18275</v>
      </c>
    </row>
    <row r="5770" spans="1:5">
      <c r="A5770" s="11" t="s">
        <v>18276</v>
      </c>
      <c r="B5770">
        <v>8004351</v>
      </c>
      <c r="D5770" s="11" t="s">
        <v>18277</v>
      </c>
      <c r="E5770" s="11" t="s">
        <v>18278</v>
      </c>
    </row>
    <row r="5771" spans="1:5">
      <c r="A5771" s="11" t="s">
        <v>181</v>
      </c>
      <c r="B5771">
        <v>8005156</v>
      </c>
      <c r="D5771" s="11" t="s">
        <v>183</v>
      </c>
      <c r="E5771" s="11" t="s">
        <v>184</v>
      </c>
    </row>
    <row r="5772" spans="1:5">
      <c r="A5772" s="11" t="s">
        <v>18279</v>
      </c>
      <c r="B5772">
        <v>8006293</v>
      </c>
      <c r="D5772" s="11" t="s">
        <v>18280</v>
      </c>
      <c r="E5772" s="11" t="s">
        <v>18281</v>
      </c>
    </row>
    <row r="5773" spans="1:5">
      <c r="A5773" s="11" t="s">
        <v>18282</v>
      </c>
      <c r="B5773">
        <v>8005120</v>
      </c>
      <c r="D5773" s="11" t="s">
        <v>18283</v>
      </c>
      <c r="E5773" s="11" t="s">
        <v>18284</v>
      </c>
    </row>
    <row r="5774" spans="1:5">
      <c r="A5774" s="11" t="s">
        <v>18285</v>
      </c>
      <c r="B5774">
        <v>8005121</v>
      </c>
      <c r="D5774" s="11" t="s">
        <v>18286</v>
      </c>
      <c r="E5774" s="11" t="s">
        <v>18287</v>
      </c>
    </row>
    <row r="5775" spans="1:5">
      <c r="A5775" s="11" t="s">
        <v>18288</v>
      </c>
      <c r="B5775">
        <v>8012777</v>
      </c>
      <c r="D5775" s="11" t="s">
        <v>18289</v>
      </c>
      <c r="E5775" s="11" t="s">
        <v>18290</v>
      </c>
    </row>
    <row r="5776" spans="1:5">
      <c r="A5776" s="11" t="s">
        <v>18291</v>
      </c>
      <c r="B5776">
        <v>8012781</v>
      </c>
      <c r="D5776" s="11" t="s">
        <v>18292</v>
      </c>
      <c r="E5776" s="11" t="s">
        <v>18293</v>
      </c>
    </row>
    <row r="5777" spans="1:5">
      <c r="A5777" s="11" t="s">
        <v>18294</v>
      </c>
      <c r="B5777">
        <v>8085023</v>
      </c>
      <c r="D5777" s="11" t="s">
        <v>18295</v>
      </c>
      <c r="E5777" s="11" t="s">
        <v>18296</v>
      </c>
    </row>
    <row r="5778" spans="1:5">
      <c r="A5778" s="11" t="s">
        <v>18297</v>
      </c>
      <c r="B5778">
        <v>8012785</v>
      </c>
      <c r="D5778" s="11" t="s">
        <v>18298</v>
      </c>
      <c r="E5778" s="11" t="s">
        <v>18299</v>
      </c>
    </row>
    <row r="5779" spans="1:5">
      <c r="A5779" s="11" t="s">
        <v>18300</v>
      </c>
      <c r="B5779">
        <v>8012787</v>
      </c>
      <c r="D5779" s="11" t="s">
        <v>18301</v>
      </c>
      <c r="E5779" s="11" t="s">
        <v>18302</v>
      </c>
    </row>
    <row r="5780" spans="1:5">
      <c r="A5780" s="11" t="s">
        <v>18303</v>
      </c>
      <c r="B5780">
        <v>8000256</v>
      </c>
      <c r="D5780" s="11" t="s">
        <v>18304</v>
      </c>
      <c r="E5780" s="11" t="s">
        <v>18305</v>
      </c>
    </row>
    <row r="5781" spans="1:5">
      <c r="A5781" s="11" t="s">
        <v>18306</v>
      </c>
      <c r="B5781">
        <v>8005145</v>
      </c>
      <c r="D5781" s="11" t="s">
        <v>18307</v>
      </c>
      <c r="E5781" s="11" t="s">
        <v>18308</v>
      </c>
    </row>
    <row r="5782" spans="1:5">
      <c r="A5782" s="11" t="s">
        <v>18309</v>
      </c>
      <c r="B5782">
        <v>8071455</v>
      </c>
      <c r="D5782" s="11" t="s">
        <v>18310</v>
      </c>
      <c r="E5782" s="11" t="s">
        <v>18311</v>
      </c>
    </row>
    <row r="5783" spans="1:5">
      <c r="A5783" s="11" t="s">
        <v>18312</v>
      </c>
      <c r="B5783">
        <v>8005146</v>
      </c>
      <c r="D5783" s="11" t="s">
        <v>18313</v>
      </c>
      <c r="E5783" s="11" t="s">
        <v>18314</v>
      </c>
    </row>
    <row r="5784" spans="1:5">
      <c r="A5784" s="11" t="s">
        <v>18315</v>
      </c>
      <c r="B5784">
        <v>8000319</v>
      </c>
      <c r="D5784" s="11" t="s">
        <v>18316</v>
      </c>
      <c r="E5784" s="11" t="s">
        <v>18317</v>
      </c>
    </row>
    <row r="5785" spans="1:5">
      <c r="A5785" s="11" t="s">
        <v>18318</v>
      </c>
      <c r="B5785">
        <v>8005148</v>
      </c>
      <c r="D5785" s="11" t="s">
        <v>18319</v>
      </c>
      <c r="E5785" s="11" t="s">
        <v>18320</v>
      </c>
    </row>
    <row r="5786" spans="1:5">
      <c r="A5786" s="11" t="s">
        <v>18321</v>
      </c>
      <c r="B5786">
        <v>8005149</v>
      </c>
      <c r="D5786" s="11" t="s">
        <v>18322</v>
      </c>
      <c r="E5786" s="11" t="s">
        <v>18323</v>
      </c>
    </row>
    <row r="5787" spans="1:5">
      <c r="A5787" s="11" t="s">
        <v>18324</v>
      </c>
      <c r="B5787">
        <v>8005127</v>
      </c>
      <c r="D5787" s="11" t="s">
        <v>18325</v>
      </c>
      <c r="E5787" s="11" t="s">
        <v>18326</v>
      </c>
    </row>
    <row r="5788" spans="1:5">
      <c r="A5788" s="11" t="s">
        <v>18327</v>
      </c>
      <c r="B5788">
        <v>8070810</v>
      </c>
      <c r="D5788" s="11" t="s">
        <v>18328</v>
      </c>
      <c r="E5788" s="11" t="s">
        <v>18329</v>
      </c>
    </row>
    <row r="5789" spans="1:5">
      <c r="A5789" s="11" t="s">
        <v>18330</v>
      </c>
      <c r="B5789">
        <v>8005151</v>
      </c>
      <c r="D5789" s="11" t="s">
        <v>18331</v>
      </c>
      <c r="E5789" s="11" t="s">
        <v>18332</v>
      </c>
    </row>
    <row r="5790" spans="1:5">
      <c r="A5790" s="11" t="s">
        <v>18333</v>
      </c>
      <c r="B5790">
        <v>8005152</v>
      </c>
      <c r="D5790" s="11" t="s">
        <v>18334</v>
      </c>
      <c r="E5790" s="11" t="s">
        <v>18335</v>
      </c>
    </row>
    <row r="5791" spans="1:5">
      <c r="A5791" s="11" t="s">
        <v>18336</v>
      </c>
      <c r="B5791">
        <v>8012788</v>
      </c>
      <c r="D5791" s="11" t="s">
        <v>18337</v>
      </c>
      <c r="E5791" s="11" t="s">
        <v>18338</v>
      </c>
    </row>
    <row r="5792" spans="1:5">
      <c r="A5792" s="11" t="s">
        <v>18339</v>
      </c>
      <c r="B5792">
        <v>8005153</v>
      </c>
      <c r="D5792" s="11" t="s">
        <v>18340</v>
      </c>
      <c r="E5792" s="11" t="s">
        <v>18341</v>
      </c>
    </row>
    <row r="5793" spans="1:5">
      <c r="A5793" s="11" t="s">
        <v>18342</v>
      </c>
      <c r="B5793">
        <v>8071771</v>
      </c>
      <c r="D5793" s="11" t="s">
        <v>18343</v>
      </c>
      <c r="E5793" s="11" t="s">
        <v>18344</v>
      </c>
    </row>
    <row r="5794" spans="1:5">
      <c r="A5794" s="11" t="s">
        <v>186</v>
      </c>
      <c r="B5794">
        <v>8005154</v>
      </c>
      <c r="D5794" s="11" t="s">
        <v>188</v>
      </c>
      <c r="E5794" s="11" t="s">
        <v>189</v>
      </c>
    </row>
    <row r="5795" spans="1:5">
      <c r="A5795" s="11" t="s">
        <v>18345</v>
      </c>
      <c r="B5795">
        <v>8005157</v>
      </c>
      <c r="D5795" s="11" t="s">
        <v>18346</v>
      </c>
      <c r="E5795" s="11" t="s">
        <v>18347</v>
      </c>
    </row>
    <row r="5796" spans="1:5">
      <c r="A5796" s="11" t="s">
        <v>18348</v>
      </c>
      <c r="B5796">
        <v>8005159</v>
      </c>
      <c r="D5796" s="11" t="s">
        <v>18349</v>
      </c>
      <c r="E5796" s="11" t="s">
        <v>18350</v>
      </c>
    </row>
    <row r="5797" spans="1:5">
      <c r="A5797" s="11" t="s">
        <v>18351</v>
      </c>
      <c r="B5797">
        <v>8071840</v>
      </c>
      <c r="D5797" s="11" t="s">
        <v>18352</v>
      </c>
      <c r="E5797" s="11" t="s">
        <v>18353</v>
      </c>
    </row>
    <row r="5798" spans="1:5">
      <c r="A5798" s="11" t="s">
        <v>1377</v>
      </c>
      <c r="B5798">
        <v>8010301</v>
      </c>
      <c r="D5798" s="11" t="s">
        <v>18354</v>
      </c>
      <c r="E5798" s="11" t="s">
        <v>18355</v>
      </c>
    </row>
    <row r="5799" spans="1:5">
      <c r="A5799" s="11" t="s">
        <v>18356</v>
      </c>
      <c r="B5799">
        <v>8005160</v>
      </c>
      <c r="D5799" s="11" t="s">
        <v>18357</v>
      </c>
      <c r="E5799" s="11" t="s">
        <v>18358</v>
      </c>
    </row>
    <row r="5800" spans="1:5">
      <c r="A5800" s="11" t="s">
        <v>18359</v>
      </c>
      <c r="B5800">
        <v>8071893</v>
      </c>
      <c r="D5800" s="11" t="s">
        <v>18360</v>
      </c>
      <c r="E5800" s="11" t="s">
        <v>18361</v>
      </c>
    </row>
    <row r="5801" spans="1:5">
      <c r="A5801" s="11" t="s">
        <v>18362</v>
      </c>
      <c r="B5801">
        <v>8005161</v>
      </c>
      <c r="D5801" s="11" t="s">
        <v>18363</v>
      </c>
      <c r="E5801" s="11" t="s">
        <v>18364</v>
      </c>
    </row>
    <row r="5802" spans="1:5">
      <c r="A5802" s="11" t="s">
        <v>18365</v>
      </c>
      <c r="B5802">
        <v>8005131</v>
      </c>
      <c r="D5802" s="11" t="s">
        <v>18366</v>
      </c>
      <c r="E5802" s="11" t="s">
        <v>18367</v>
      </c>
    </row>
    <row r="5803" spans="1:5">
      <c r="A5803" s="11" t="s">
        <v>18368</v>
      </c>
      <c r="B5803">
        <v>8081210</v>
      </c>
      <c r="D5803" s="11" t="s">
        <v>18369</v>
      </c>
      <c r="E5803" s="11" t="s">
        <v>18370</v>
      </c>
    </row>
    <row r="5804" spans="1:5">
      <c r="A5804" s="11" t="s">
        <v>18371</v>
      </c>
      <c r="B5804">
        <v>8005163</v>
      </c>
      <c r="D5804" s="11" t="s">
        <v>18372</v>
      </c>
      <c r="E5804" s="11" t="s">
        <v>18373</v>
      </c>
    </row>
    <row r="5805" spans="1:5">
      <c r="A5805" s="11" t="s">
        <v>18374</v>
      </c>
      <c r="B5805">
        <v>8005164</v>
      </c>
      <c r="D5805" s="11" t="s">
        <v>18375</v>
      </c>
      <c r="E5805" s="11" t="s">
        <v>18376</v>
      </c>
    </row>
    <row r="5806" spans="1:5">
      <c r="A5806" s="11" t="s">
        <v>18377</v>
      </c>
      <c r="B5806">
        <v>8005166</v>
      </c>
      <c r="D5806" s="11" t="s">
        <v>18378</v>
      </c>
      <c r="E5806" s="11" t="s">
        <v>18379</v>
      </c>
    </row>
    <row r="5807" spans="1:5">
      <c r="A5807" s="11" t="s">
        <v>18380</v>
      </c>
      <c r="B5807">
        <v>8005168</v>
      </c>
      <c r="D5807" s="11" t="s">
        <v>18381</v>
      </c>
      <c r="E5807" s="11" t="s">
        <v>18382</v>
      </c>
    </row>
    <row r="5808" spans="1:5">
      <c r="A5808" s="11" t="s">
        <v>18383</v>
      </c>
      <c r="B5808">
        <v>8002972</v>
      </c>
      <c r="D5808" s="11" t="s">
        <v>18384</v>
      </c>
      <c r="E5808" s="11" t="s">
        <v>18385</v>
      </c>
    </row>
    <row r="5809" spans="1:5">
      <c r="A5809" s="11" t="s">
        <v>18386</v>
      </c>
      <c r="B5809">
        <v>8000320</v>
      </c>
      <c r="D5809" s="11" t="s">
        <v>18387</v>
      </c>
      <c r="E5809" s="11" t="s">
        <v>18388</v>
      </c>
    </row>
    <row r="5810" spans="1:5">
      <c r="A5810" s="11" t="s">
        <v>18389</v>
      </c>
      <c r="B5810">
        <v>8005169</v>
      </c>
      <c r="D5810" s="11" t="s">
        <v>18390</v>
      </c>
      <c r="E5810" s="11" t="s">
        <v>18391</v>
      </c>
    </row>
    <row r="5811" spans="1:5">
      <c r="A5811" s="11" t="s">
        <v>18392</v>
      </c>
      <c r="B5811">
        <v>8005173</v>
      </c>
      <c r="D5811" s="11" t="s">
        <v>18393</v>
      </c>
      <c r="E5811" s="11" t="s">
        <v>18394</v>
      </c>
    </row>
    <row r="5812" spans="1:5">
      <c r="A5812" s="11" t="s">
        <v>18395</v>
      </c>
      <c r="B5812">
        <v>8071453</v>
      </c>
      <c r="D5812" s="11" t="s">
        <v>18396</v>
      </c>
      <c r="E5812" s="11" t="s">
        <v>18397</v>
      </c>
    </row>
    <row r="5813" spans="1:5">
      <c r="A5813" s="11" t="s">
        <v>18398</v>
      </c>
      <c r="B5813">
        <v>8012792</v>
      </c>
      <c r="D5813" s="11" t="s">
        <v>18399</v>
      </c>
      <c r="E5813" s="11" t="s">
        <v>18400</v>
      </c>
    </row>
    <row r="5814" spans="1:5">
      <c r="A5814" s="11" t="s">
        <v>18401</v>
      </c>
      <c r="B5814">
        <v>8005133</v>
      </c>
      <c r="D5814" s="11" t="s">
        <v>18402</v>
      </c>
      <c r="E5814" s="11" t="s">
        <v>18403</v>
      </c>
    </row>
    <row r="5815" spans="1:5">
      <c r="A5815" s="11" t="s">
        <v>18404</v>
      </c>
      <c r="B5815">
        <v>8005134</v>
      </c>
      <c r="D5815" s="11" t="s">
        <v>18405</v>
      </c>
      <c r="E5815" s="11" t="s">
        <v>18406</v>
      </c>
    </row>
    <row r="5816" spans="1:5">
      <c r="A5816" s="11" t="s">
        <v>18407</v>
      </c>
      <c r="B5816">
        <v>8005143</v>
      </c>
      <c r="D5816" s="11" t="s">
        <v>18408</v>
      </c>
      <c r="E5816" s="11" t="s">
        <v>18409</v>
      </c>
    </row>
    <row r="5817" spans="1:5">
      <c r="A5817" s="11" t="s">
        <v>18410</v>
      </c>
      <c r="B5817">
        <v>8005172</v>
      </c>
      <c r="D5817" s="11" t="s">
        <v>18411</v>
      </c>
      <c r="E5817" s="11" t="s">
        <v>18412</v>
      </c>
    </row>
    <row r="5818" spans="1:5">
      <c r="A5818" s="11" t="s">
        <v>18413</v>
      </c>
      <c r="B5818">
        <v>8012796</v>
      </c>
      <c r="D5818" s="11" t="s">
        <v>18414</v>
      </c>
      <c r="E5818" s="11" t="s">
        <v>18415</v>
      </c>
    </row>
    <row r="5819" spans="1:5">
      <c r="A5819" s="11" t="s">
        <v>18416</v>
      </c>
      <c r="B5819">
        <v>8010302</v>
      </c>
      <c r="D5819" s="11" t="s">
        <v>18417</v>
      </c>
      <c r="E5819" s="11" t="s">
        <v>18418</v>
      </c>
    </row>
    <row r="5820" spans="1:5">
      <c r="A5820" s="11" t="s">
        <v>18419</v>
      </c>
      <c r="B5820">
        <v>8012797</v>
      </c>
      <c r="D5820" s="11" t="s">
        <v>18420</v>
      </c>
      <c r="E5820" s="11" t="s">
        <v>18421</v>
      </c>
    </row>
    <row r="5821" spans="1:5">
      <c r="A5821" s="11" t="s">
        <v>18422</v>
      </c>
      <c r="B5821">
        <v>8005177</v>
      </c>
      <c r="D5821" s="11" t="s">
        <v>18423</v>
      </c>
      <c r="E5821" s="11" t="s">
        <v>18424</v>
      </c>
    </row>
    <row r="5822" spans="1:5">
      <c r="A5822" s="11" t="s">
        <v>18425</v>
      </c>
      <c r="B5822">
        <v>8005178</v>
      </c>
      <c r="D5822" s="11" t="s">
        <v>18426</v>
      </c>
      <c r="E5822" s="11" t="s">
        <v>18427</v>
      </c>
    </row>
    <row r="5823" spans="1:5">
      <c r="A5823" s="11" t="s">
        <v>18428</v>
      </c>
      <c r="B5823">
        <v>8010303</v>
      </c>
      <c r="D5823" s="11" t="s">
        <v>18429</v>
      </c>
      <c r="E5823" s="11" t="s">
        <v>18430</v>
      </c>
    </row>
    <row r="5824" spans="1:5">
      <c r="A5824" s="11" t="s">
        <v>18431</v>
      </c>
      <c r="B5824">
        <v>8010304</v>
      </c>
      <c r="D5824" s="11" t="s">
        <v>18432</v>
      </c>
      <c r="E5824" s="11" t="s">
        <v>18433</v>
      </c>
    </row>
    <row r="5825" spans="1:5">
      <c r="A5825" s="11" t="s">
        <v>18434</v>
      </c>
      <c r="B5825">
        <v>8070961</v>
      </c>
      <c r="D5825" s="11" t="s">
        <v>18435</v>
      </c>
      <c r="E5825" s="11" t="s">
        <v>18436</v>
      </c>
    </row>
    <row r="5826" spans="1:5">
      <c r="A5826" s="11" t="s">
        <v>18437</v>
      </c>
      <c r="B5826">
        <v>8012805</v>
      </c>
      <c r="D5826" s="11" t="s">
        <v>18438</v>
      </c>
      <c r="E5826" s="11" t="s">
        <v>18439</v>
      </c>
    </row>
    <row r="5827" spans="1:5">
      <c r="A5827" s="11" t="s">
        <v>18440</v>
      </c>
      <c r="B5827">
        <v>8012801</v>
      </c>
      <c r="D5827" s="11" t="s">
        <v>18441</v>
      </c>
      <c r="E5827" s="11" t="s">
        <v>18442</v>
      </c>
    </row>
    <row r="5828" spans="1:5">
      <c r="A5828" s="11" t="s">
        <v>18443</v>
      </c>
      <c r="B5828">
        <v>8012802</v>
      </c>
      <c r="D5828" s="11" t="s">
        <v>18444</v>
      </c>
      <c r="E5828" s="11" t="s">
        <v>18445</v>
      </c>
    </row>
    <row r="5829" spans="1:5">
      <c r="A5829" s="11" t="s">
        <v>18446</v>
      </c>
      <c r="B5829">
        <v>8079761</v>
      </c>
      <c r="D5829" s="11" t="s">
        <v>18447</v>
      </c>
      <c r="E5829" s="11" t="s">
        <v>18448</v>
      </c>
    </row>
    <row r="5830" spans="1:5">
      <c r="A5830" s="11" t="s">
        <v>18449</v>
      </c>
      <c r="B5830">
        <v>8079629</v>
      </c>
      <c r="D5830" s="11" t="s">
        <v>18450</v>
      </c>
      <c r="E5830" s="11" t="s">
        <v>18451</v>
      </c>
    </row>
    <row r="5831" spans="1:5">
      <c r="A5831" s="11" t="s">
        <v>18452</v>
      </c>
      <c r="B5831">
        <v>8012803</v>
      </c>
      <c r="D5831" s="11" t="s">
        <v>18453</v>
      </c>
      <c r="E5831" s="11" t="s">
        <v>18454</v>
      </c>
    </row>
    <row r="5832" spans="1:5">
      <c r="A5832" s="11" t="s">
        <v>18455</v>
      </c>
      <c r="B5832">
        <v>8011523</v>
      </c>
      <c r="D5832" s="11" t="s">
        <v>18456</v>
      </c>
      <c r="E5832" s="11" t="s">
        <v>18457</v>
      </c>
    </row>
    <row r="5833" spans="1:5">
      <c r="A5833" s="11" t="s">
        <v>18458</v>
      </c>
      <c r="B5833">
        <v>8012806</v>
      </c>
      <c r="D5833" s="11" t="s">
        <v>18459</v>
      </c>
      <c r="E5833" s="11" t="s">
        <v>18460</v>
      </c>
    </row>
    <row r="5834" spans="1:5">
      <c r="A5834" s="11" t="s">
        <v>18461</v>
      </c>
      <c r="B5834">
        <v>8079762</v>
      </c>
      <c r="D5834" s="11" t="s">
        <v>18462</v>
      </c>
      <c r="E5834" s="11" t="s">
        <v>18463</v>
      </c>
    </row>
    <row r="5835" spans="1:5">
      <c r="A5835" s="11" t="s">
        <v>18464</v>
      </c>
      <c r="B5835">
        <v>8012221</v>
      </c>
      <c r="D5835" s="11" t="s">
        <v>18465</v>
      </c>
      <c r="E5835" s="11" t="s">
        <v>18466</v>
      </c>
    </row>
    <row r="5836" spans="1:5">
      <c r="A5836" s="11" t="s">
        <v>18467</v>
      </c>
      <c r="B5836">
        <v>8079763</v>
      </c>
      <c r="D5836" s="11" t="s">
        <v>18468</v>
      </c>
      <c r="E5836" s="11" t="s">
        <v>18469</v>
      </c>
    </row>
    <row r="5837" spans="1:5">
      <c r="A5837" s="11" t="s">
        <v>18470</v>
      </c>
      <c r="B5837">
        <v>8012271</v>
      </c>
      <c r="D5837" s="11" t="s">
        <v>18471</v>
      </c>
      <c r="E5837" s="11" t="s">
        <v>18472</v>
      </c>
    </row>
    <row r="5838" spans="1:5">
      <c r="A5838" s="11" t="s">
        <v>18473</v>
      </c>
      <c r="B5838">
        <v>8012807</v>
      </c>
      <c r="D5838" s="11" t="s">
        <v>18474</v>
      </c>
      <c r="E5838" s="11" t="s">
        <v>18475</v>
      </c>
    </row>
    <row r="5839" spans="1:5">
      <c r="A5839" s="11" t="s">
        <v>18476</v>
      </c>
      <c r="B5839">
        <v>8071759</v>
      </c>
      <c r="D5839" s="11" t="s">
        <v>18477</v>
      </c>
      <c r="E5839" s="11" t="s">
        <v>18478</v>
      </c>
    </row>
    <row r="5840" spans="1:5">
      <c r="A5840" s="11" t="s">
        <v>18479</v>
      </c>
      <c r="B5840">
        <v>8012582</v>
      </c>
      <c r="D5840" s="11" t="s">
        <v>18480</v>
      </c>
      <c r="E5840" s="11" t="s">
        <v>18481</v>
      </c>
    </row>
    <row r="5841" spans="1:5">
      <c r="A5841" s="11" t="s">
        <v>18482</v>
      </c>
      <c r="B5841">
        <v>8005135</v>
      </c>
      <c r="D5841" s="11" t="s">
        <v>18483</v>
      </c>
      <c r="E5841" s="11" t="s">
        <v>18484</v>
      </c>
    </row>
    <row r="5842" spans="1:5">
      <c r="A5842" s="11" t="s">
        <v>18485</v>
      </c>
      <c r="B5842">
        <v>8005179</v>
      </c>
      <c r="D5842" s="11" t="s">
        <v>18486</v>
      </c>
      <c r="E5842" s="11" t="s">
        <v>18487</v>
      </c>
    </row>
    <row r="5843" spans="1:5">
      <c r="A5843" s="11" t="s">
        <v>18488</v>
      </c>
      <c r="B5843">
        <v>8005136</v>
      </c>
      <c r="D5843" s="11" t="s">
        <v>18489</v>
      </c>
      <c r="E5843" s="11" t="s">
        <v>18490</v>
      </c>
    </row>
    <row r="5844" spans="1:5">
      <c r="A5844" s="11" t="s">
        <v>18491</v>
      </c>
      <c r="B5844">
        <v>8070277</v>
      </c>
      <c r="D5844" s="11" t="s">
        <v>18492</v>
      </c>
      <c r="E5844" s="11" t="s">
        <v>18493</v>
      </c>
    </row>
    <row r="5845" spans="1:5">
      <c r="A5845" s="11" t="s">
        <v>18494</v>
      </c>
      <c r="B5845">
        <v>8005182</v>
      </c>
      <c r="D5845" s="11" t="s">
        <v>18495</v>
      </c>
      <c r="E5845" s="11" t="s">
        <v>18496</v>
      </c>
    </row>
    <row r="5846" spans="1:5">
      <c r="A5846" s="11" t="s">
        <v>18497</v>
      </c>
      <c r="B5846">
        <v>8000321</v>
      </c>
      <c r="D5846" s="11" t="s">
        <v>18498</v>
      </c>
      <c r="E5846" s="11" t="s">
        <v>18499</v>
      </c>
    </row>
    <row r="5847" spans="1:5">
      <c r="A5847" s="11" t="s">
        <v>18500</v>
      </c>
      <c r="B5847">
        <v>8005184</v>
      </c>
      <c r="D5847" s="11" t="s">
        <v>18501</v>
      </c>
      <c r="E5847" s="11" t="s">
        <v>18502</v>
      </c>
    </row>
    <row r="5848" spans="1:5">
      <c r="A5848" s="11" t="s">
        <v>18503</v>
      </c>
      <c r="B5848">
        <v>8005137</v>
      </c>
      <c r="D5848" s="11" t="s">
        <v>18504</v>
      </c>
      <c r="E5848" s="11" t="s">
        <v>18505</v>
      </c>
    </row>
    <row r="5849" spans="1:5">
      <c r="A5849" s="11" t="s">
        <v>18506</v>
      </c>
      <c r="B5849">
        <v>8005185</v>
      </c>
      <c r="D5849" s="11" t="s">
        <v>18507</v>
      </c>
      <c r="E5849" s="11" t="s">
        <v>18508</v>
      </c>
    </row>
    <row r="5850" spans="1:5">
      <c r="A5850" s="11" t="s">
        <v>18509</v>
      </c>
      <c r="B5850">
        <v>8005138</v>
      </c>
      <c r="D5850" s="11" t="s">
        <v>18510</v>
      </c>
      <c r="E5850" s="11" t="s">
        <v>18511</v>
      </c>
    </row>
    <row r="5851" spans="1:5">
      <c r="A5851" s="11" t="s">
        <v>18512</v>
      </c>
      <c r="B5851">
        <v>8005139</v>
      </c>
      <c r="D5851" s="11" t="s">
        <v>18513</v>
      </c>
      <c r="E5851" s="11" t="s">
        <v>18514</v>
      </c>
    </row>
    <row r="5852" spans="1:5">
      <c r="A5852" s="11" t="s">
        <v>18515</v>
      </c>
      <c r="B5852">
        <v>8005140</v>
      </c>
      <c r="D5852" s="11" t="s">
        <v>18516</v>
      </c>
      <c r="E5852" s="11" t="s">
        <v>18517</v>
      </c>
    </row>
    <row r="5853" spans="1:5">
      <c r="A5853" s="11" t="s">
        <v>18518</v>
      </c>
      <c r="B5853">
        <v>8005142</v>
      </c>
      <c r="D5853" s="11" t="s">
        <v>18519</v>
      </c>
      <c r="E5853" s="11" t="s">
        <v>18520</v>
      </c>
    </row>
    <row r="5854" spans="1:5">
      <c r="A5854" s="11" t="s">
        <v>18521</v>
      </c>
      <c r="B5854">
        <v>8005141</v>
      </c>
      <c r="D5854" s="11" t="s">
        <v>18522</v>
      </c>
      <c r="E5854" s="11" t="s">
        <v>18523</v>
      </c>
    </row>
    <row r="5855" spans="1:5">
      <c r="A5855" s="11" t="s">
        <v>18524</v>
      </c>
      <c r="B5855">
        <v>8005189</v>
      </c>
      <c r="D5855" s="11" t="s">
        <v>18525</v>
      </c>
      <c r="E5855" s="11" t="s">
        <v>18526</v>
      </c>
    </row>
    <row r="5856" spans="1:5">
      <c r="A5856" s="11" t="s">
        <v>860</v>
      </c>
      <c r="B5856">
        <v>8005190</v>
      </c>
      <c r="D5856" s="11" t="s">
        <v>862</v>
      </c>
      <c r="E5856" s="11" t="s">
        <v>863</v>
      </c>
    </row>
    <row r="5857" spans="1:5">
      <c r="A5857" s="11" t="s">
        <v>18527</v>
      </c>
      <c r="B5857">
        <v>8012811</v>
      </c>
      <c r="D5857" s="11" t="s">
        <v>18528</v>
      </c>
      <c r="E5857" s="11" t="s">
        <v>18529</v>
      </c>
    </row>
    <row r="5858" spans="1:5">
      <c r="A5858" s="11" t="s">
        <v>18530</v>
      </c>
      <c r="B5858">
        <v>8005181</v>
      </c>
      <c r="D5858" s="11" t="s">
        <v>18531</v>
      </c>
      <c r="E5858" s="11" t="s">
        <v>18532</v>
      </c>
    </row>
    <row r="5859" spans="1:5">
      <c r="A5859" s="11" t="s">
        <v>18533</v>
      </c>
      <c r="B5859">
        <v>8005194</v>
      </c>
      <c r="D5859" s="11" t="s">
        <v>18534</v>
      </c>
      <c r="E5859" s="11" t="s">
        <v>18535</v>
      </c>
    </row>
    <row r="5860" spans="1:5">
      <c r="A5860" s="11" t="s">
        <v>18536</v>
      </c>
      <c r="B5860">
        <v>8005195</v>
      </c>
      <c r="D5860" s="11" t="s">
        <v>18537</v>
      </c>
      <c r="E5860" s="11" t="s">
        <v>18538</v>
      </c>
    </row>
    <row r="5861" spans="1:5">
      <c r="A5861" s="11" t="s">
        <v>18539</v>
      </c>
      <c r="B5861">
        <v>8010305</v>
      </c>
      <c r="D5861" s="11" t="s">
        <v>18540</v>
      </c>
      <c r="E5861" s="11" t="s">
        <v>18541</v>
      </c>
    </row>
    <row r="5862" spans="1:5">
      <c r="A5862" s="11" t="s">
        <v>18542</v>
      </c>
      <c r="B5862">
        <v>8005197</v>
      </c>
      <c r="D5862" s="11" t="s">
        <v>18543</v>
      </c>
      <c r="E5862" s="11" t="s">
        <v>18544</v>
      </c>
    </row>
    <row r="5863" spans="1:5">
      <c r="A5863" s="11" t="s">
        <v>18545</v>
      </c>
      <c r="B5863">
        <v>8005198</v>
      </c>
      <c r="D5863" s="11" t="s">
        <v>18546</v>
      </c>
      <c r="E5863" s="11" t="s">
        <v>18547</v>
      </c>
    </row>
    <row r="5864" spans="1:5">
      <c r="A5864" s="11" t="s">
        <v>18548</v>
      </c>
      <c r="B5864">
        <v>8005199</v>
      </c>
      <c r="D5864" s="11" t="s">
        <v>18549</v>
      </c>
      <c r="E5864" s="11" t="s">
        <v>18550</v>
      </c>
    </row>
    <row r="5865" spans="1:5">
      <c r="A5865" s="11" t="s">
        <v>18551</v>
      </c>
      <c r="B5865">
        <v>8000322</v>
      </c>
      <c r="D5865" s="11" t="s">
        <v>18552</v>
      </c>
      <c r="E5865" s="11" t="s">
        <v>18553</v>
      </c>
    </row>
    <row r="5866" spans="1:5">
      <c r="A5866" s="11" t="s">
        <v>18554</v>
      </c>
      <c r="B5866">
        <v>8005200</v>
      </c>
      <c r="D5866" s="11" t="s">
        <v>18555</v>
      </c>
      <c r="E5866" s="11" t="s">
        <v>18556</v>
      </c>
    </row>
    <row r="5867" spans="1:5">
      <c r="A5867" s="11" t="s">
        <v>18557</v>
      </c>
      <c r="B5867">
        <v>8071251</v>
      </c>
      <c r="D5867" s="11" t="s">
        <v>18558</v>
      </c>
      <c r="E5867" s="11" t="s">
        <v>18559</v>
      </c>
    </row>
    <row r="5868" spans="1:5">
      <c r="A5868" s="11" t="s">
        <v>18560</v>
      </c>
      <c r="B5868">
        <v>8004280</v>
      </c>
      <c r="D5868" s="11" t="s">
        <v>18561</v>
      </c>
      <c r="E5868" s="11" t="s">
        <v>18562</v>
      </c>
    </row>
    <row r="5869" spans="1:5">
      <c r="A5869" s="11" t="s">
        <v>18563</v>
      </c>
      <c r="B5869">
        <v>8005202</v>
      </c>
      <c r="D5869" s="11" t="s">
        <v>18564</v>
      </c>
      <c r="E5869" s="11" t="s">
        <v>18565</v>
      </c>
    </row>
    <row r="5870" spans="1:5">
      <c r="A5870" s="11" t="s">
        <v>18566</v>
      </c>
      <c r="B5870">
        <v>8010300</v>
      </c>
      <c r="D5870" s="11" t="s">
        <v>18567</v>
      </c>
      <c r="E5870" s="11" t="s">
        <v>18568</v>
      </c>
    </row>
    <row r="5871" spans="1:5">
      <c r="A5871" s="11" t="s">
        <v>18569</v>
      </c>
      <c r="B5871">
        <v>8012818</v>
      </c>
      <c r="D5871" s="11" t="s">
        <v>18570</v>
      </c>
      <c r="E5871" s="11" t="s">
        <v>18571</v>
      </c>
    </row>
    <row r="5872" spans="1:5">
      <c r="A5872" s="11" t="s">
        <v>18572</v>
      </c>
      <c r="B5872">
        <v>8005208</v>
      </c>
      <c r="D5872" s="11" t="s">
        <v>18573</v>
      </c>
      <c r="E5872" s="11" t="s">
        <v>18574</v>
      </c>
    </row>
    <row r="5873" spans="1:5">
      <c r="A5873" s="11" t="s">
        <v>18575</v>
      </c>
      <c r="B5873">
        <v>8012816</v>
      </c>
      <c r="D5873" s="11" t="s">
        <v>18576</v>
      </c>
      <c r="E5873" s="11" t="s">
        <v>18577</v>
      </c>
    </row>
    <row r="5874" spans="1:5">
      <c r="A5874" s="11" t="s">
        <v>18578</v>
      </c>
      <c r="B5874">
        <v>8005209</v>
      </c>
      <c r="D5874" s="11" t="s">
        <v>18579</v>
      </c>
      <c r="E5874" s="11" t="s">
        <v>18580</v>
      </c>
    </row>
    <row r="5875" spans="1:5">
      <c r="A5875" s="11" t="s">
        <v>18581</v>
      </c>
      <c r="B5875">
        <v>8007196</v>
      </c>
      <c r="D5875" s="11" t="s">
        <v>18582</v>
      </c>
      <c r="E5875" s="11" t="s">
        <v>18583</v>
      </c>
    </row>
    <row r="5876" spans="1:5">
      <c r="A5876" s="11" t="s">
        <v>18584</v>
      </c>
      <c r="B5876">
        <v>8070079</v>
      </c>
      <c r="D5876" s="11" t="s">
        <v>18585</v>
      </c>
      <c r="E5876" s="11" t="s">
        <v>18586</v>
      </c>
    </row>
    <row r="5877" spans="1:5">
      <c r="A5877" s="11" t="s">
        <v>18587</v>
      </c>
      <c r="B5877">
        <v>8005213</v>
      </c>
      <c r="D5877" s="11" t="s">
        <v>18588</v>
      </c>
      <c r="E5877" s="11" t="s">
        <v>18589</v>
      </c>
    </row>
    <row r="5878" spans="1:5">
      <c r="A5878" s="11" t="s">
        <v>18590</v>
      </c>
      <c r="B5878">
        <v>8075969</v>
      </c>
      <c r="D5878" s="11" t="s">
        <v>1539</v>
      </c>
      <c r="E5878" s="11" t="s">
        <v>1539</v>
      </c>
    </row>
    <row r="5879" spans="1:5">
      <c r="A5879" s="11" t="s">
        <v>18591</v>
      </c>
      <c r="B5879">
        <v>8012819</v>
      </c>
      <c r="D5879" s="11" t="s">
        <v>18592</v>
      </c>
      <c r="E5879" s="11" t="s">
        <v>18593</v>
      </c>
    </row>
    <row r="5880" spans="1:5">
      <c r="A5880" s="11" t="s">
        <v>18594</v>
      </c>
      <c r="B5880">
        <v>8089152</v>
      </c>
      <c r="D5880" s="11" t="s">
        <v>18595</v>
      </c>
      <c r="E5880" s="11" t="s">
        <v>18596</v>
      </c>
    </row>
    <row r="5881" spans="1:5">
      <c r="A5881" s="11" t="s">
        <v>18597</v>
      </c>
      <c r="B5881">
        <v>8089153</v>
      </c>
      <c r="D5881" s="11" t="s">
        <v>18598</v>
      </c>
      <c r="E5881" s="11" t="s">
        <v>18599</v>
      </c>
    </row>
    <row r="5882" spans="1:5">
      <c r="A5882" s="11" t="s">
        <v>18600</v>
      </c>
      <c r="B5882">
        <v>8079614</v>
      </c>
      <c r="D5882" s="11" t="s">
        <v>18601</v>
      </c>
      <c r="E5882" s="11" t="s">
        <v>18602</v>
      </c>
    </row>
    <row r="5883" spans="1:5">
      <c r="A5883" s="11" t="s">
        <v>18603</v>
      </c>
      <c r="B5883">
        <v>8010306</v>
      </c>
      <c r="D5883" s="11" t="s">
        <v>18604</v>
      </c>
      <c r="E5883" s="11" t="s">
        <v>18605</v>
      </c>
    </row>
    <row r="5884" spans="1:5">
      <c r="A5884" s="11" t="s">
        <v>18606</v>
      </c>
      <c r="B5884">
        <v>8010307</v>
      </c>
      <c r="D5884" s="11" t="s">
        <v>18607</v>
      </c>
      <c r="E5884" s="11" t="s">
        <v>18608</v>
      </c>
    </row>
    <row r="5885" spans="1:5">
      <c r="A5885" s="11" t="s">
        <v>18609</v>
      </c>
      <c r="B5885">
        <v>8010308</v>
      </c>
      <c r="D5885" s="11" t="s">
        <v>18610</v>
      </c>
      <c r="E5885" s="11" t="s">
        <v>18611</v>
      </c>
    </row>
    <row r="5886" spans="1:5">
      <c r="A5886" s="11" t="s">
        <v>18612</v>
      </c>
      <c r="B5886">
        <v>8012821</v>
      </c>
      <c r="D5886" s="11" t="s">
        <v>18613</v>
      </c>
      <c r="E5886" s="11" t="s">
        <v>18614</v>
      </c>
    </row>
    <row r="5887" spans="1:5">
      <c r="A5887" s="11" t="s">
        <v>18615</v>
      </c>
      <c r="B5887">
        <v>8070664</v>
      </c>
      <c r="D5887" s="11" t="s">
        <v>18616</v>
      </c>
      <c r="E5887" s="11" t="s">
        <v>18617</v>
      </c>
    </row>
    <row r="5888" spans="1:5">
      <c r="A5888" s="11" t="s">
        <v>18618</v>
      </c>
      <c r="B5888">
        <v>8005222</v>
      </c>
      <c r="D5888" s="11" t="s">
        <v>18619</v>
      </c>
      <c r="E5888" s="11" t="s">
        <v>18620</v>
      </c>
    </row>
    <row r="5889" spans="1:5">
      <c r="A5889" s="11" t="s">
        <v>18621</v>
      </c>
      <c r="B5889">
        <v>8005223</v>
      </c>
      <c r="D5889" s="11" t="s">
        <v>18622</v>
      </c>
      <c r="E5889" s="11" t="s">
        <v>18623</v>
      </c>
    </row>
    <row r="5890" spans="1:5">
      <c r="A5890" s="11" t="s">
        <v>18624</v>
      </c>
      <c r="B5890">
        <v>8070644</v>
      </c>
      <c r="D5890" s="11" t="s">
        <v>18625</v>
      </c>
      <c r="E5890" s="11" t="s">
        <v>18626</v>
      </c>
    </row>
    <row r="5891" spans="1:5">
      <c r="A5891" s="11" t="s">
        <v>18627</v>
      </c>
      <c r="B5891">
        <v>8005217</v>
      </c>
      <c r="D5891" s="11" t="s">
        <v>18628</v>
      </c>
      <c r="E5891" s="11" t="s">
        <v>18629</v>
      </c>
    </row>
    <row r="5892" spans="1:5">
      <c r="A5892" s="11" t="s">
        <v>18630</v>
      </c>
      <c r="B5892">
        <v>8005214</v>
      </c>
      <c r="D5892" s="11" t="s">
        <v>18631</v>
      </c>
      <c r="E5892" s="11" t="s">
        <v>18632</v>
      </c>
    </row>
    <row r="5893" spans="1:5">
      <c r="A5893" s="11" t="s">
        <v>18633</v>
      </c>
      <c r="B5893">
        <v>8005225</v>
      </c>
      <c r="D5893" s="11" t="s">
        <v>18634</v>
      </c>
      <c r="E5893" s="11" t="s">
        <v>18635</v>
      </c>
    </row>
    <row r="5894" spans="1:5">
      <c r="A5894" s="11" t="s">
        <v>18636</v>
      </c>
      <c r="B5894">
        <v>8005227</v>
      </c>
      <c r="D5894" s="11" t="s">
        <v>18637</v>
      </c>
      <c r="E5894" s="11" t="s">
        <v>18638</v>
      </c>
    </row>
    <row r="5895" spans="1:5">
      <c r="A5895" s="11" t="s">
        <v>18639</v>
      </c>
      <c r="B5895">
        <v>8070524</v>
      </c>
      <c r="D5895" s="11" t="s">
        <v>18640</v>
      </c>
      <c r="E5895" s="11" t="s">
        <v>18641</v>
      </c>
    </row>
    <row r="5896" spans="1:5">
      <c r="A5896" s="11" t="s">
        <v>18642</v>
      </c>
      <c r="B5896">
        <v>8070525</v>
      </c>
      <c r="D5896" s="11" t="s">
        <v>18643</v>
      </c>
      <c r="E5896" s="11" t="s">
        <v>18644</v>
      </c>
    </row>
    <row r="5897" spans="1:5">
      <c r="A5897" s="11" t="s">
        <v>18645</v>
      </c>
      <c r="B5897">
        <v>8005218</v>
      </c>
      <c r="D5897" s="11" t="s">
        <v>18646</v>
      </c>
      <c r="E5897" s="11" t="s">
        <v>18647</v>
      </c>
    </row>
    <row r="5898" spans="1:5">
      <c r="A5898" s="11" t="s">
        <v>18648</v>
      </c>
      <c r="B5898">
        <v>8005228</v>
      </c>
      <c r="D5898" s="11" t="s">
        <v>18649</v>
      </c>
      <c r="E5898" s="11" t="s">
        <v>18650</v>
      </c>
    </row>
    <row r="5899" spans="1:5">
      <c r="A5899" s="11" t="s">
        <v>18651</v>
      </c>
      <c r="B5899">
        <v>8005229</v>
      </c>
      <c r="D5899" s="11" t="s">
        <v>18652</v>
      </c>
      <c r="E5899" s="11" t="s">
        <v>18653</v>
      </c>
    </row>
    <row r="5900" spans="1:5">
      <c r="A5900" s="11" t="s">
        <v>18654</v>
      </c>
      <c r="B5900">
        <v>8071343</v>
      </c>
      <c r="D5900" s="11" t="s">
        <v>18655</v>
      </c>
      <c r="E5900" s="11" t="s">
        <v>18656</v>
      </c>
    </row>
    <row r="5901" spans="1:5">
      <c r="A5901" s="11" t="s">
        <v>18657</v>
      </c>
      <c r="B5901">
        <v>8071342</v>
      </c>
      <c r="D5901" s="11" t="s">
        <v>18658</v>
      </c>
      <c r="E5901" s="11" t="s">
        <v>18659</v>
      </c>
    </row>
    <row r="5902" spans="1:5">
      <c r="A5902" s="11" t="s">
        <v>18660</v>
      </c>
      <c r="B5902">
        <v>8012823</v>
      </c>
      <c r="D5902" s="11" t="s">
        <v>18661</v>
      </c>
      <c r="E5902" s="11" t="s">
        <v>18662</v>
      </c>
    </row>
    <row r="5903" spans="1:5">
      <c r="A5903" s="11" t="s">
        <v>18663</v>
      </c>
      <c r="B5903">
        <v>8005231</v>
      </c>
      <c r="D5903" s="11" t="s">
        <v>18664</v>
      </c>
      <c r="E5903" s="11" t="s">
        <v>18665</v>
      </c>
    </row>
    <row r="5904" spans="1:5">
      <c r="A5904" s="11" t="s">
        <v>18666</v>
      </c>
      <c r="B5904">
        <v>8007886</v>
      </c>
      <c r="D5904" s="11" t="s">
        <v>18667</v>
      </c>
      <c r="E5904" s="11" t="s">
        <v>18668</v>
      </c>
    </row>
    <row r="5905" spans="1:5">
      <c r="A5905" s="11" t="s">
        <v>18669</v>
      </c>
      <c r="B5905">
        <v>8007845</v>
      </c>
      <c r="D5905" s="11" t="s">
        <v>18670</v>
      </c>
      <c r="E5905" s="11" t="s">
        <v>18671</v>
      </c>
    </row>
    <row r="5906" spans="1:5">
      <c r="A5906" s="11" t="s">
        <v>201</v>
      </c>
      <c r="B5906">
        <v>8005219</v>
      </c>
      <c r="D5906" s="11" t="s">
        <v>203</v>
      </c>
      <c r="E5906" s="11" t="s">
        <v>204</v>
      </c>
    </row>
    <row r="5907" spans="1:5">
      <c r="A5907" s="11" t="s">
        <v>206</v>
      </c>
      <c r="B5907">
        <v>8005220</v>
      </c>
      <c r="D5907" s="11" t="s">
        <v>208</v>
      </c>
      <c r="E5907" s="11" t="s">
        <v>209</v>
      </c>
    </row>
    <row r="5908" spans="1:5">
      <c r="A5908" s="11" t="s">
        <v>18672</v>
      </c>
      <c r="B5908">
        <v>8005221</v>
      </c>
      <c r="D5908" s="11" t="s">
        <v>18673</v>
      </c>
      <c r="E5908" s="11" t="s">
        <v>18674</v>
      </c>
    </row>
    <row r="5909" spans="1:5">
      <c r="A5909" s="11" t="s">
        <v>18675</v>
      </c>
      <c r="B5909">
        <v>8005236</v>
      </c>
      <c r="D5909" s="11" t="s">
        <v>18676</v>
      </c>
      <c r="E5909" s="11" t="s">
        <v>18677</v>
      </c>
    </row>
    <row r="5910" spans="1:5">
      <c r="A5910" s="11" t="s">
        <v>18678</v>
      </c>
      <c r="B5910">
        <v>8012824</v>
      </c>
      <c r="D5910" s="11" t="s">
        <v>18679</v>
      </c>
      <c r="E5910" s="11" t="s">
        <v>18680</v>
      </c>
    </row>
    <row r="5911" spans="1:5">
      <c r="A5911" s="11" t="s">
        <v>18681</v>
      </c>
      <c r="B5911">
        <v>8005238</v>
      </c>
      <c r="D5911" s="11" t="s">
        <v>18682</v>
      </c>
      <c r="E5911" s="11" t="s">
        <v>18683</v>
      </c>
    </row>
    <row r="5912" spans="1:5">
      <c r="A5912" s="11" t="s">
        <v>18684</v>
      </c>
      <c r="B5912">
        <v>8007851</v>
      </c>
      <c r="D5912" s="11" t="s">
        <v>18685</v>
      </c>
      <c r="E5912" s="11" t="s">
        <v>18686</v>
      </c>
    </row>
    <row r="5913" spans="1:5">
      <c r="A5913" s="11" t="s">
        <v>18687</v>
      </c>
      <c r="B5913">
        <v>8010309</v>
      </c>
      <c r="D5913" s="11" t="s">
        <v>18688</v>
      </c>
      <c r="E5913" s="11" t="s">
        <v>18689</v>
      </c>
    </row>
    <row r="5914" spans="1:5">
      <c r="A5914" s="11" t="s">
        <v>960</v>
      </c>
      <c r="B5914">
        <v>8000323</v>
      </c>
      <c r="D5914" s="11" t="s">
        <v>962</v>
      </c>
      <c r="E5914" s="11" t="s">
        <v>963</v>
      </c>
    </row>
    <row r="5915" spans="1:5">
      <c r="A5915" s="11" t="s">
        <v>18690</v>
      </c>
      <c r="B5915">
        <v>8005241</v>
      </c>
      <c r="D5915" s="11" t="s">
        <v>18691</v>
      </c>
      <c r="E5915" s="11" t="s">
        <v>18692</v>
      </c>
    </row>
    <row r="5916" spans="1:5">
      <c r="A5916" s="11" t="s">
        <v>18693</v>
      </c>
      <c r="B5916">
        <v>8005243</v>
      </c>
      <c r="D5916" s="11" t="s">
        <v>18694</v>
      </c>
      <c r="E5916" s="11" t="s">
        <v>18695</v>
      </c>
    </row>
    <row r="5917" spans="1:5">
      <c r="A5917" s="11" t="s">
        <v>18696</v>
      </c>
      <c r="B5917">
        <v>8005245</v>
      </c>
      <c r="D5917" s="11" t="s">
        <v>18697</v>
      </c>
      <c r="E5917" s="11" t="s">
        <v>18698</v>
      </c>
    </row>
    <row r="5918" spans="1:5">
      <c r="A5918" s="11" t="s">
        <v>18699</v>
      </c>
      <c r="B5918">
        <v>8005246</v>
      </c>
      <c r="D5918" s="11" t="s">
        <v>18700</v>
      </c>
      <c r="E5918" s="11" t="s">
        <v>18701</v>
      </c>
    </row>
    <row r="5919" spans="1:5">
      <c r="A5919" s="11" t="s">
        <v>18702</v>
      </c>
      <c r="B5919">
        <v>8005247</v>
      </c>
      <c r="D5919" s="11" t="s">
        <v>18703</v>
      </c>
      <c r="E5919" s="11" t="s">
        <v>18704</v>
      </c>
    </row>
    <row r="5920" spans="1:5">
      <c r="A5920" s="11" t="s">
        <v>18705</v>
      </c>
      <c r="B5920">
        <v>8081220</v>
      </c>
      <c r="D5920" s="11" t="s">
        <v>18706</v>
      </c>
      <c r="E5920" s="11" t="s">
        <v>18707</v>
      </c>
    </row>
    <row r="5921" spans="1:5">
      <c r="A5921" s="11" t="s">
        <v>18708</v>
      </c>
      <c r="B5921">
        <v>8079764</v>
      </c>
      <c r="D5921" s="11" t="s">
        <v>1539</v>
      </c>
      <c r="E5921" s="11" t="s">
        <v>1539</v>
      </c>
    </row>
    <row r="5922" spans="1:5">
      <c r="A5922" s="11" t="s">
        <v>18709</v>
      </c>
      <c r="B5922">
        <v>8005249</v>
      </c>
      <c r="D5922" s="11" t="s">
        <v>18710</v>
      </c>
      <c r="E5922" s="11" t="s">
        <v>18711</v>
      </c>
    </row>
    <row r="5923" spans="1:5">
      <c r="A5923" s="11" t="s">
        <v>18712</v>
      </c>
      <c r="B5923">
        <v>8012827</v>
      </c>
      <c r="D5923" s="11" t="s">
        <v>18713</v>
      </c>
      <c r="E5923" s="11" t="s">
        <v>18714</v>
      </c>
    </row>
    <row r="5924" spans="1:5">
      <c r="A5924" s="11" t="s">
        <v>18715</v>
      </c>
      <c r="B5924">
        <v>8005250</v>
      </c>
      <c r="D5924" s="11" t="s">
        <v>18716</v>
      </c>
      <c r="E5924" s="11" t="s">
        <v>18717</v>
      </c>
    </row>
    <row r="5925" spans="1:5">
      <c r="A5925" s="11" t="s">
        <v>18718</v>
      </c>
      <c r="B5925">
        <v>8012830</v>
      </c>
      <c r="D5925" s="11" t="s">
        <v>18719</v>
      </c>
      <c r="E5925" s="11" t="s">
        <v>18720</v>
      </c>
    </row>
    <row r="5926" spans="1:5">
      <c r="A5926" s="11" t="s">
        <v>18721</v>
      </c>
      <c r="B5926">
        <v>8012831</v>
      </c>
      <c r="D5926" s="11" t="s">
        <v>18722</v>
      </c>
      <c r="E5926" s="11" t="s">
        <v>18723</v>
      </c>
    </row>
    <row r="5927" spans="1:5">
      <c r="A5927" s="11" t="s">
        <v>18724</v>
      </c>
      <c r="B5927">
        <v>8005253</v>
      </c>
      <c r="D5927" s="11" t="s">
        <v>18725</v>
      </c>
      <c r="E5927" s="11" t="s">
        <v>18726</v>
      </c>
    </row>
    <row r="5928" spans="1:5">
      <c r="A5928" s="11" t="s">
        <v>18727</v>
      </c>
      <c r="B5928">
        <v>8012832</v>
      </c>
      <c r="D5928" s="11" t="s">
        <v>18728</v>
      </c>
      <c r="E5928" s="11" t="s">
        <v>18729</v>
      </c>
    </row>
    <row r="5929" spans="1:5">
      <c r="A5929" s="11" t="s">
        <v>18730</v>
      </c>
      <c r="B5929">
        <v>8005256</v>
      </c>
      <c r="D5929" s="11" t="s">
        <v>18731</v>
      </c>
      <c r="E5929" s="11" t="s">
        <v>18732</v>
      </c>
    </row>
    <row r="5930" spans="1:5">
      <c r="A5930" s="11" t="s">
        <v>18733</v>
      </c>
      <c r="B5930">
        <v>8005258</v>
      </c>
      <c r="D5930" s="11" t="s">
        <v>18734</v>
      </c>
      <c r="E5930" s="11" t="s">
        <v>18735</v>
      </c>
    </row>
    <row r="5931" spans="1:5">
      <c r="A5931" s="11" t="s">
        <v>18736</v>
      </c>
      <c r="B5931">
        <v>8004029</v>
      </c>
      <c r="D5931" s="11" t="s">
        <v>18737</v>
      </c>
      <c r="E5931" s="11" t="s">
        <v>18738</v>
      </c>
    </row>
    <row r="5932" spans="1:5">
      <c r="A5932" s="11" t="s">
        <v>18739</v>
      </c>
      <c r="B5932">
        <v>8005259</v>
      </c>
      <c r="D5932" s="11" t="s">
        <v>18740</v>
      </c>
      <c r="E5932" s="11" t="s">
        <v>18741</v>
      </c>
    </row>
    <row r="5933" spans="1:5">
      <c r="A5933" s="11" t="s">
        <v>18742</v>
      </c>
      <c r="B5933">
        <v>8005260</v>
      </c>
      <c r="D5933" s="11" t="s">
        <v>18743</v>
      </c>
      <c r="E5933" s="11" t="s">
        <v>18744</v>
      </c>
    </row>
    <row r="5934" spans="1:5">
      <c r="A5934" s="11" t="s">
        <v>18745</v>
      </c>
      <c r="B5934">
        <v>8005262</v>
      </c>
      <c r="D5934" s="11" t="s">
        <v>18746</v>
      </c>
      <c r="E5934" s="11" t="s">
        <v>18747</v>
      </c>
    </row>
    <row r="5935" spans="1:5">
      <c r="A5935" s="11" t="s">
        <v>18748</v>
      </c>
      <c r="B5935">
        <v>8005265</v>
      </c>
      <c r="D5935" s="11" t="s">
        <v>18749</v>
      </c>
      <c r="E5935" s="11" t="s">
        <v>18750</v>
      </c>
    </row>
    <row r="5936" spans="1:5">
      <c r="A5936" s="11" t="s">
        <v>18751</v>
      </c>
      <c r="B5936">
        <v>8005269</v>
      </c>
      <c r="D5936" s="11" t="s">
        <v>18752</v>
      </c>
      <c r="E5936" s="11" t="s">
        <v>18753</v>
      </c>
    </row>
    <row r="5937" spans="1:5">
      <c r="A5937" s="11" t="s">
        <v>18754</v>
      </c>
      <c r="B5937">
        <v>8005270</v>
      </c>
      <c r="D5937" s="11" t="s">
        <v>18755</v>
      </c>
      <c r="E5937" s="11" t="s">
        <v>18756</v>
      </c>
    </row>
    <row r="5938" spans="1:5">
      <c r="A5938" s="11" t="s">
        <v>18757</v>
      </c>
      <c r="B5938">
        <v>8000325</v>
      </c>
      <c r="D5938" s="11" t="s">
        <v>18758</v>
      </c>
      <c r="E5938" s="11" t="s">
        <v>18759</v>
      </c>
    </row>
    <row r="5939" spans="1:5">
      <c r="A5939" s="11" t="s">
        <v>18760</v>
      </c>
      <c r="B5939">
        <v>8005274</v>
      </c>
      <c r="D5939" s="11" t="s">
        <v>18761</v>
      </c>
      <c r="E5939" s="11" t="s">
        <v>18762</v>
      </c>
    </row>
    <row r="5940" spans="1:5">
      <c r="A5940" s="11" t="s">
        <v>18763</v>
      </c>
      <c r="B5940">
        <v>8005275</v>
      </c>
      <c r="D5940" s="11" t="s">
        <v>18764</v>
      </c>
      <c r="E5940" s="11" t="s">
        <v>18765</v>
      </c>
    </row>
    <row r="5941" spans="1:5">
      <c r="A5941" s="11" t="s">
        <v>18766</v>
      </c>
      <c r="B5941">
        <v>8070526</v>
      </c>
      <c r="D5941" s="11" t="s">
        <v>18767</v>
      </c>
      <c r="E5941" s="11" t="s">
        <v>18768</v>
      </c>
    </row>
    <row r="5942" spans="1:5">
      <c r="A5942" s="11" t="s">
        <v>18769</v>
      </c>
      <c r="B5942">
        <v>8070527</v>
      </c>
      <c r="D5942" s="11" t="s">
        <v>18770</v>
      </c>
      <c r="E5942" s="11" t="s">
        <v>18771</v>
      </c>
    </row>
    <row r="5943" spans="1:5">
      <c r="A5943" s="11" t="s">
        <v>18772</v>
      </c>
      <c r="B5943">
        <v>8005276</v>
      </c>
      <c r="D5943" s="11" t="s">
        <v>18773</v>
      </c>
      <c r="E5943" s="11" t="s">
        <v>18774</v>
      </c>
    </row>
    <row r="5944" spans="1:5">
      <c r="A5944" s="11" t="s">
        <v>18775</v>
      </c>
      <c r="B5944">
        <v>8010310</v>
      </c>
      <c r="D5944" s="11" t="s">
        <v>18776</v>
      </c>
      <c r="E5944" s="11" t="s">
        <v>18777</v>
      </c>
    </row>
    <row r="5945" spans="1:5">
      <c r="A5945" s="11" t="s">
        <v>18778</v>
      </c>
      <c r="B5945">
        <v>8012835</v>
      </c>
      <c r="D5945" s="11" t="s">
        <v>18779</v>
      </c>
      <c r="E5945" s="11" t="s">
        <v>18780</v>
      </c>
    </row>
    <row r="5946" spans="1:5">
      <c r="A5946" s="11" t="s">
        <v>18781</v>
      </c>
      <c r="B5946">
        <v>8005279</v>
      </c>
      <c r="D5946" s="11" t="s">
        <v>18782</v>
      </c>
      <c r="E5946" s="11" t="s">
        <v>18783</v>
      </c>
    </row>
    <row r="5947" spans="1:5">
      <c r="A5947" s="11" t="s">
        <v>18784</v>
      </c>
      <c r="B5947">
        <v>8005282</v>
      </c>
      <c r="D5947" s="11" t="s">
        <v>18785</v>
      </c>
      <c r="E5947" s="11" t="s">
        <v>18786</v>
      </c>
    </row>
    <row r="5948" spans="1:5">
      <c r="A5948" s="11" t="s">
        <v>18787</v>
      </c>
      <c r="B5948">
        <v>8012838</v>
      </c>
      <c r="D5948" s="11" t="s">
        <v>18788</v>
      </c>
      <c r="E5948" s="11" t="s">
        <v>18789</v>
      </c>
    </row>
    <row r="5949" spans="1:5">
      <c r="A5949" s="11" t="s">
        <v>18790</v>
      </c>
      <c r="B5949">
        <v>8010311</v>
      </c>
      <c r="D5949" s="11" t="s">
        <v>18791</v>
      </c>
      <c r="E5949" s="11" t="s">
        <v>18792</v>
      </c>
    </row>
    <row r="5950" spans="1:5">
      <c r="A5950" s="11" t="s">
        <v>18793</v>
      </c>
      <c r="B5950">
        <v>8012839</v>
      </c>
      <c r="D5950" s="11" t="s">
        <v>18794</v>
      </c>
      <c r="E5950" s="11" t="s">
        <v>18795</v>
      </c>
    </row>
    <row r="5951" spans="1:5">
      <c r="A5951" s="11" t="s">
        <v>18796</v>
      </c>
      <c r="B5951">
        <v>8079765</v>
      </c>
      <c r="D5951" s="11" t="s">
        <v>18797</v>
      </c>
      <c r="E5951" s="11" t="s">
        <v>18798</v>
      </c>
    </row>
    <row r="5952" spans="1:5">
      <c r="A5952" s="11" t="s">
        <v>18799</v>
      </c>
      <c r="B5952">
        <v>8012840</v>
      </c>
      <c r="D5952" s="11" t="s">
        <v>18800</v>
      </c>
      <c r="E5952" s="11" t="s">
        <v>18801</v>
      </c>
    </row>
    <row r="5953" spans="1:5">
      <c r="A5953" s="11" t="s">
        <v>18802</v>
      </c>
      <c r="B5953">
        <v>8005287</v>
      </c>
      <c r="D5953" s="11" t="s">
        <v>18803</v>
      </c>
      <c r="E5953" s="11" t="s">
        <v>18804</v>
      </c>
    </row>
    <row r="5954" spans="1:5">
      <c r="A5954" s="11" t="s">
        <v>18805</v>
      </c>
      <c r="B5954">
        <v>8005288</v>
      </c>
      <c r="D5954" s="11" t="s">
        <v>18806</v>
      </c>
      <c r="E5954" s="11" t="s">
        <v>18807</v>
      </c>
    </row>
    <row r="5955" spans="1:5">
      <c r="A5955" s="11" t="s">
        <v>18808</v>
      </c>
      <c r="B5955">
        <v>8010312</v>
      </c>
      <c r="D5955" s="11" t="s">
        <v>18809</v>
      </c>
      <c r="E5955" s="11" t="s">
        <v>18810</v>
      </c>
    </row>
    <row r="5956" spans="1:5">
      <c r="A5956" s="11" t="s">
        <v>18811</v>
      </c>
      <c r="B5956">
        <v>8012841</v>
      </c>
      <c r="D5956" s="11" t="s">
        <v>18812</v>
      </c>
      <c r="E5956" s="11" t="s">
        <v>18813</v>
      </c>
    </row>
    <row r="5957" spans="1:5">
      <c r="A5957" s="11" t="s">
        <v>18814</v>
      </c>
      <c r="B5957">
        <v>8070025</v>
      </c>
      <c r="D5957" s="11" t="s">
        <v>18815</v>
      </c>
      <c r="E5957" s="11" t="s">
        <v>18816</v>
      </c>
    </row>
    <row r="5958" spans="1:5">
      <c r="A5958" s="11" t="s">
        <v>18817</v>
      </c>
      <c r="B5958">
        <v>8005289</v>
      </c>
      <c r="D5958" s="11" t="s">
        <v>18818</v>
      </c>
      <c r="E5958" s="11" t="s">
        <v>18819</v>
      </c>
    </row>
    <row r="5959" spans="1:5">
      <c r="A5959" s="11" t="s">
        <v>18820</v>
      </c>
      <c r="B5959">
        <v>8012842</v>
      </c>
      <c r="D5959" s="11" t="s">
        <v>18821</v>
      </c>
      <c r="E5959" s="11" t="s">
        <v>18822</v>
      </c>
    </row>
    <row r="5960" spans="1:5">
      <c r="A5960" s="11" t="s">
        <v>18823</v>
      </c>
      <c r="B5960">
        <v>8005292</v>
      </c>
      <c r="D5960" s="11" t="s">
        <v>18824</v>
      </c>
      <c r="E5960" s="11" t="s">
        <v>18825</v>
      </c>
    </row>
    <row r="5961" spans="1:5">
      <c r="A5961" s="11" t="s">
        <v>18826</v>
      </c>
      <c r="B5961">
        <v>8007287</v>
      </c>
      <c r="D5961" s="11" t="s">
        <v>18827</v>
      </c>
      <c r="E5961" s="11" t="s">
        <v>18828</v>
      </c>
    </row>
    <row r="5962" spans="1:5">
      <c r="A5962" s="11" t="s">
        <v>18829</v>
      </c>
      <c r="B5962">
        <v>8005293</v>
      </c>
      <c r="D5962" s="11" t="s">
        <v>18830</v>
      </c>
      <c r="E5962" s="11" t="s">
        <v>18831</v>
      </c>
    </row>
    <row r="5963" spans="1:5">
      <c r="A5963" s="11" t="s">
        <v>18832</v>
      </c>
      <c r="B5963">
        <v>8012843</v>
      </c>
      <c r="D5963" s="11" t="s">
        <v>18833</v>
      </c>
      <c r="E5963" s="11" t="s">
        <v>18834</v>
      </c>
    </row>
    <row r="5964" spans="1:5">
      <c r="A5964" s="11" t="s">
        <v>18835</v>
      </c>
      <c r="B5964">
        <v>8089147</v>
      </c>
      <c r="D5964" s="11" t="s">
        <v>18836</v>
      </c>
      <c r="E5964" s="11" t="s">
        <v>18837</v>
      </c>
    </row>
    <row r="5965" spans="1:5">
      <c r="A5965" s="11" t="s">
        <v>18838</v>
      </c>
      <c r="B5965">
        <v>8005297</v>
      </c>
      <c r="D5965" s="11" t="s">
        <v>18839</v>
      </c>
      <c r="E5965" s="11" t="s">
        <v>18840</v>
      </c>
    </row>
    <row r="5966" spans="1:5">
      <c r="A5966" s="11" t="s">
        <v>18841</v>
      </c>
      <c r="B5966">
        <v>8012826</v>
      </c>
      <c r="D5966" s="11" t="s">
        <v>18842</v>
      </c>
      <c r="E5966" s="11" t="s">
        <v>18843</v>
      </c>
    </row>
    <row r="5967" spans="1:5">
      <c r="A5967" s="11" t="s">
        <v>18844</v>
      </c>
      <c r="B5967">
        <v>8005298</v>
      </c>
      <c r="D5967" s="11" t="s">
        <v>18845</v>
      </c>
      <c r="E5967" s="11" t="s">
        <v>18846</v>
      </c>
    </row>
    <row r="5968" spans="1:5">
      <c r="A5968" s="11" t="s">
        <v>18847</v>
      </c>
      <c r="B5968">
        <v>8005299</v>
      </c>
      <c r="D5968" s="11" t="s">
        <v>18848</v>
      </c>
      <c r="E5968" s="11" t="s">
        <v>18849</v>
      </c>
    </row>
    <row r="5969" spans="1:5">
      <c r="A5969" s="11" t="s">
        <v>18850</v>
      </c>
      <c r="B5969">
        <v>8077776</v>
      </c>
      <c r="D5969" s="11" t="s">
        <v>18851</v>
      </c>
      <c r="E5969" s="11" t="s">
        <v>18852</v>
      </c>
    </row>
    <row r="5970" spans="1:5">
      <c r="A5970" s="11" t="s">
        <v>18853</v>
      </c>
      <c r="B5970">
        <v>8005302</v>
      </c>
      <c r="D5970" s="11" t="s">
        <v>18854</v>
      </c>
      <c r="E5970" s="11" t="s">
        <v>18855</v>
      </c>
    </row>
    <row r="5971" spans="1:5">
      <c r="A5971" s="11" t="s">
        <v>18856</v>
      </c>
      <c r="B5971">
        <v>8004352</v>
      </c>
      <c r="D5971" s="11" t="s">
        <v>18857</v>
      </c>
      <c r="E5971" s="11" t="s">
        <v>18858</v>
      </c>
    </row>
    <row r="5972" spans="1:5">
      <c r="A5972" s="11" t="s">
        <v>18859</v>
      </c>
      <c r="B5972">
        <v>8005306</v>
      </c>
      <c r="D5972" s="11" t="s">
        <v>18860</v>
      </c>
      <c r="E5972" s="11" t="s">
        <v>18861</v>
      </c>
    </row>
    <row r="5973" spans="1:5">
      <c r="A5973" s="11" t="s">
        <v>18862</v>
      </c>
      <c r="B5973">
        <v>8005311</v>
      </c>
      <c r="D5973" s="11" t="s">
        <v>18863</v>
      </c>
      <c r="E5973" s="11" t="s">
        <v>18864</v>
      </c>
    </row>
    <row r="5974" spans="1:5">
      <c r="A5974" s="11" t="s">
        <v>18865</v>
      </c>
      <c r="B5974">
        <v>8007857</v>
      </c>
      <c r="D5974" s="11" t="s">
        <v>18866</v>
      </c>
      <c r="E5974" s="11" t="s">
        <v>18867</v>
      </c>
    </row>
    <row r="5975" spans="1:5">
      <c r="A5975" s="11" t="s">
        <v>18868</v>
      </c>
      <c r="B5975">
        <v>8005312</v>
      </c>
      <c r="D5975" s="11" t="s">
        <v>18869</v>
      </c>
      <c r="E5975" s="11" t="s">
        <v>18870</v>
      </c>
    </row>
    <row r="5976" spans="1:5">
      <c r="A5976" s="11" t="s">
        <v>18871</v>
      </c>
      <c r="B5976">
        <v>8012852</v>
      </c>
      <c r="D5976" s="11" t="s">
        <v>18872</v>
      </c>
      <c r="E5976" s="11" t="s">
        <v>18873</v>
      </c>
    </row>
    <row r="5977" spans="1:5">
      <c r="A5977" s="11" t="s">
        <v>18874</v>
      </c>
      <c r="B5977">
        <v>8012854</v>
      </c>
      <c r="D5977" s="11" t="s">
        <v>18875</v>
      </c>
      <c r="E5977" s="11" t="s">
        <v>18876</v>
      </c>
    </row>
    <row r="5978" spans="1:5">
      <c r="A5978" s="11" t="s">
        <v>18877</v>
      </c>
      <c r="B5978">
        <v>8005316</v>
      </c>
      <c r="D5978" s="11" t="s">
        <v>18878</v>
      </c>
      <c r="E5978" s="11" t="s">
        <v>18879</v>
      </c>
    </row>
    <row r="5979" spans="1:5">
      <c r="A5979" s="11" t="s">
        <v>18880</v>
      </c>
      <c r="B5979">
        <v>8007072</v>
      </c>
      <c r="D5979" s="11" t="s">
        <v>18881</v>
      </c>
      <c r="E5979" s="11" t="s">
        <v>18882</v>
      </c>
    </row>
    <row r="5980" spans="1:5">
      <c r="A5980" s="11" t="s">
        <v>18883</v>
      </c>
      <c r="B5980">
        <v>8005317</v>
      </c>
      <c r="D5980" s="11" t="s">
        <v>18884</v>
      </c>
      <c r="E5980" s="11" t="s">
        <v>18885</v>
      </c>
    </row>
    <row r="5981" spans="1:5">
      <c r="A5981" s="11" t="s">
        <v>18886</v>
      </c>
      <c r="B5981">
        <v>8005319</v>
      </c>
      <c r="D5981" s="11" t="s">
        <v>18887</v>
      </c>
      <c r="E5981" s="11" t="s">
        <v>18888</v>
      </c>
    </row>
    <row r="5982" spans="1:5">
      <c r="A5982" s="11" t="s">
        <v>18889</v>
      </c>
      <c r="B5982">
        <v>8005320</v>
      </c>
      <c r="D5982" s="11" t="s">
        <v>18890</v>
      </c>
      <c r="E5982" s="11" t="s">
        <v>18891</v>
      </c>
    </row>
    <row r="5983" spans="1:5">
      <c r="A5983" s="11" t="s">
        <v>18892</v>
      </c>
      <c r="B5983">
        <v>8081011</v>
      </c>
      <c r="D5983" s="11" t="s">
        <v>18893</v>
      </c>
      <c r="E5983" s="11" t="s">
        <v>18894</v>
      </c>
    </row>
    <row r="5984" spans="1:5">
      <c r="A5984" s="11" t="s">
        <v>18895</v>
      </c>
      <c r="B5984">
        <v>8005321</v>
      </c>
      <c r="D5984" s="11" t="s">
        <v>18896</v>
      </c>
      <c r="E5984" s="11" t="s">
        <v>18897</v>
      </c>
    </row>
    <row r="5985" spans="1:5">
      <c r="A5985" s="11" t="s">
        <v>18898</v>
      </c>
      <c r="B5985">
        <v>8012853</v>
      </c>
      <c r="D5985" s="11" t="s">
        <v>18899</v>
      </c>
      <c r="E5985" s="11" t="s">
        <v>18900</v>
      </c>
    </row>
    <row r="5986" spans="1:5">
      <c r="A5986" s="11" t="s">
        <v>18901</v>
      </c>
      <c r="B5986">
        <v>8005322</v>
      </c>
      <c r="D5986" s="11" t="s">
        <v>18902</v>
      </c>
      <c r="E5986" s="11" t="s">
        <v>18903</v>
      </c>
    </row>
    <row r="5987" spans="1:5">
      <c r="A5987" s="11" t="s">
        <v>18904</v>
      </c>
      <c r="B5987">
        <v>8070529</v>
      </c>
      <c r="D5987" s="11" t="s">
        <v>18905</v>
      </c>
      <c r="E5987" s="11" t="s">
        <v>18906</v>
      </c>
    </row>
    <row r="5988" spans="1:5">
      <c r="A5988" s="11" t="s">
        <v>18907</v>
      </c>
      <c r="B5988">
        <v>8012856</v>
      </c>
      <c r="D5988" s="11" t="s">
        <v>18908</v>
      </c>
      <c r="E5988" s="11" t="s">
        <v>18909</v>
      </c>
    </row>
    <row r="5989" spans="1:5">
      <c r="A5989" s="11" t="s">
        <v>18910</v>
      </c>
      <c r="B5989">
        <v>8005327</v>
      </c>
      <c r="D5989" s="11" t="s">
        <v>18911</v>
      </c>
      <c r="E5989" s="11" t="s">
        <v>18912</v>
      </c>
    </row>
    <row r="5990" spans="1:5">
      <c r="A5990" s="11" t="s">
        <v>18913</v>
      </c>
      <c r="B5990">
        <v>8071454</v>
      </c>
      <c r="D5990" s="11" t="s">
        <v>18914</v>
      </c>
      <c r="E5990" s="11" t="s">
        <v>18915</v>
      </c>
    </row>
    <row r="5991" spans="1:5">
      <c r="A5991" s="11" t="s">
        <v>18916</v>
      </c>
      <c r="B5991">
        <v>8005330</v>
      </c>
      <c r="D5991" s="11" t="s">
        <v>18917</v>
      </c>
      <c r="E5991" s="11" t="s">
        <v>18918</v>
      </c>
    </row>
    <row r="5992" spans="1:5">
      <c r="A5992" s="11" t="s">
        <v>18919</v>
      </c>
      <c r="B5992">
        <v>8012859</v>
      </c>
      <c r="D5992" s="11" t="s">
        <v>18920</v>
      </c>
      <c r="E5992" s="11" t="s">
        <v>18921</v>
      </c>
    </row>
    <row r="5993" spans="1:5">
      <c r="A5993" s="11" t="s">
        <v>18922</v>
      </c>
      <c r="B5993">
        <v>8005332</v>
      </c>
      <c r="D5993" s="11" t="s">
        <v>18923</v>
      </c>
      <c r="E5993" s="11" t="s">
        <v>18924</v>
      </c>
    </row>
    <row r="5994" spans="1:5">
      <c r="A5994" s="11" t="s">
        <v>18925</v>
      </c>
      <c r="B5994">
        <v>8005333</v>
      </c>
      <c r="D5994" s="11" t="s">
        <v>18926</v>
      </c>
      <c r="E5994" s="11" t="s">
        <v>18927</v>
      </c>
    </row>
    <row r="5995" spans="1:5">
      <c r="A5995" s="11" t="s">
        <v>18928</v>
      </c>
      <c r="B5995">
        <v>8005334</v>
      </c>
      <c r="D5995" s="11" t="s">
        <v>18929</v>
      </c>
      <c r="E5995" s="11" t="s">
        <v>18930</v>
      </c>
    </row>
    <row r="5996" spans="1:5">
      <c r="A5996" s="11" t="s">
        <v>18931</v>
      </c>
      <c r="B5996">
        <v>8005335</v>
      </c>
      <c r="D5996" s="11" t="s">
        <v>18932</v>
      </c>
      <c r="E5996" s="11" t="s">
        <v>18933</v>
      </c>
    </row>
    <row r="5997" spans="1:5">
      <c r="A5997" s="11" t="s">
        <v>18934</v>
      </c>
      <c r="B5997">
        <v>8005329</v>
      </c>
      <c r="D5997" s="11" t="s">
        <v>18935</v>
      </c>
      <c r="E5997" s="11" t="s">
        <v>18936</v>
      </c>
    </row>
    <row r="5998" spans="1:5">
      <c r="A5998" s="11" t="s">
        <v>18937</v>
      </c>
      <c r="B5998">
        <v>8005336</v>
      </c>
      <c r="D5998" s="11" t="s">
        <v>18938</v>
      </c>
      <c r="E5998" s="11" t="s">
        <v>18939</v>
      </c>
    </row>
    <row r="5999" spans="1:5">
      <c r="A5999" s="11" t="s">
        <v>18940</v>
      </c>
      <c r="B5999">
        <v>8005338</v>
      </c>
      <c r="D5999" s="11" t="s">
        <v>18941</v>
      </c>
      <c r="E5999" s="11" t="s">
        <v>18942</v>
      </c>
    </row>
    <row r="6000" spans="1:5">
      <c r="A6000" s="11" t="s">
        <v>18943</v>
      </c>
      <c r="B6000">
        <v>8005339</v>
      </c>
      <c r="D6000" s="11" t="s">
        <v>18944</v>
      </c>
      <c r="E6000" s="11" t="s">
        <v>18945</v>
      </c>
    </row>
    <row r="6001" spans="1:5">
      <c r="A6001" s="11" t="s">
        <v>18946</v>
      </c>
      <c r="B6001">
        <v>8005340</v>
      </c>
      <c r="D6001" s="11" t="s">
        <v>18947</v>
      </c>
      <c r="E6001" s="11" t="s">
        <v>18948</v>
      </c>
    </row>
    <row r="6002" spans="1:5">
      <c r="A6002" s="11" t="s">
        <v>18949</v>
      </c>
      <c r="B6002">
        <v>8005343</v>
      </c>
      <c r="D6002" s="11" t="s">
        <v>18950</v>
      </c>
      <c r="E6002" s="11" t="s">
        <v>18951</v>
      </c>
    </row>
    <row r="6003" spans="1:5">
      <c r="A6003" s="11" t="s">
        <v>18952</v>
      </c>
      <c r="B6003">
        <v>8017022</v>
      </c>
      <c r="D6003" s="11" t="s">
        <v>18953</v>
      </c>
      <c r="E6003" s="11" t="s">
        <v>18954</v>
      </c>
    </row>
    <row r="6004" spans="1:5">
      <c r="A6004" s="11" t="s">
        <v>18955</v>
      </c>
      <c r="B6004">
        <v>8012862</v>
      </c>
      <c r="D6004" s="11" t="s">
        <v>18956</v>
      </c>
      <c r="E6004" s="11" t="s">
        <v>18957</v>
      </c>
    </row>
    <row r="6005" spans="1:5">
      <c r="A6005" s="11" t="s">
        <v>18958</v>
      </c>
      <c r="B6005">
        <v>8070531</v>
      </c>
      <c r="D6005" s="11" t="s">
        <v>18959</v>
      </c>
      <c r="E6005" s="11" t="s">
        <v>18960</v>
      </c>
    </row>
    <row r="6006" spans="1:5">
      <c r="A6006" s="11" t="s">
        <v>18961</v>
      </c>
      <c r="B6006">
        <v>8000326</v>
      </c>
      <c r="D6006" s="11" t="s">
        <v>18962</v>
      </c>
      <c r="E6006" s="11" t="s">
        <v>18963</v>
      </c>
    </row>
    <row r="6007" spans="1:5">
      <c r="A6007" s="11" t="s">
        <v>18964</v>
      </c>
      <c r="B6007">
        <v>8005345</v>
      </c>
      <c r="D6007" s="11" t="s">
        <v>18965</v>
      </c>
      <c r="E6007" s="11" t="s">
        <v>18966</v>
      </c>
    </row>
    <row r="6008" spans="1:5">
      <c r="A6008" s="11" t="s">
        <v>18967</v>
      </c>
      <c r="B6008">
        <v>8005346</v>
      </c>
      <c r="D6008" s="11" t="s">
        <v>18968</v>
      </c>
      <c r="E6008" s="11" t="s">
        <v>18969</v>
      </c>
    </row>
    <row r="6009" spans="1:5">
      <c r="A6009" s="11" t="s">
        <v>18970</v>
      </c>
      <c r="B6009">
        <v>8005350</v>
      </c>
      <c r="D6009" s="11" t="s">
        <v>18971</v>
      </c>
      <c r="E6009" s="11" t="s">
        <v>18972</v>
      </c>
    </row>
    <row r="6010" spans="1:5">
      <c r="A6010" s="11" t="s">
        <v>18973</v>
      </c>
      <c r="B6010">
        <v>8005347</v>
      </c>
      <c r="D6010" s="11" t="s">
        <v>18974</v>
      </c>
      <c r="E6010" s="11" t="s">
        <v>18975</v>
      </c>
    </row>
    <row r="6011" spans="1:5">
      <c r="A6011" s="11" t="s">
        <v>18976</v>
      </c>
      <c r="B6011">
        <v>8007280</v>
      </c>
      <c r="D6011" s="11" t="s">
        <v>18977</v>
      </c>
      <c r="E6011" s="11" t="s">
        <v>18978</v>
      </c>
    </row>
    <row r="6012" spans="1:5">
      <c r="A6012" s="11" t="s">
        <v>18979</v>
      </c>
      <c r="B6012">
        <v>8070861</v>
      </c>
      <c r="D6012" s="11" t="s">
        <v>18980</v>
      </c>
      <c r="E6012" s="11" t="s">
        <v>18981</v>
      </c>
    </row>
    <row r="6013" spans="1:5">
      <c r="A6013" s="11" t="s">
        <v>18982</v>
      </c>
      <c r="B6013">
        <v>8012864</v>
      </c>
      <c r="D6013" s="11" t="s">
        <v>18983</v>
      </c>
      <c r="E6013" s="11" t="s">
        <v>18984</v>
      </c>
    </row>
    <row r="6014" spans="1:5">
      <c r="A6014" s="11" t="s">
        <v>18985</v>
      </c>
      <c r="B6014">
        <v>8005352</v>
      </c>
      <c r="D6014" s="11" t="s">
        <v>18986</v>
      </c>
      <c r="E6014" s="11" t="s">
        <v>18987</v>
      </c>
    </row>
    <row r="6015" spans="1:5">
      <c r="A6015" s="11" t="s">
        <v>18988</v>
      </c>
      <c r="B6015">
        <v>8012865</v>
      </c>
      <c r="D6015" s="11" t="s">
        <v>18989</v>
      </c>
      <c r="E6015" s="11" t="s">
        <v>18990</v>
      </c>
    </row>
    <row r="6016" spans="1:5">
      <c r="A6016" s="11" t="s">
        <v>18991</v>
      </c>
      <c r="B6016">
        <v>8012863</v>
      </c>
      <c r="D6016" s="11" t="s">
        <v>18992</v>
      </c>
      <c r="E6016" s="11" t="s">
        <v>18993</v>
      </c>
    </row>
    <row r="6017" spans="1:5">
      <c r="A6017" s="11" t="s">
        <v>18994</v>
      </c>
      <c r="B6017">
        <v>8012867</v>
      </c>
      <c r="D6017" s="11" t="s">
        <v>18995</v>
      </c>
      <c r="E6017" s="11" t="s">
        <v>18996</v>
      </c>
    </row>
    <row r="6018" spans="1:5">
      <c r="A6018" s="11" t="s">
        <v>18997</v>
      </c>
      <c r="B6018">
        <v>8071077</v>
      </c>
      <c r="D6018" s="11" t="s">
        <v>18998</v>
      </c>
      <c r="E6018" s="11" t="s">
        <v>18999</v>
      </c>
    </row>
    <row r="6019" spans="1:5">
      <c r="A6019" s="11" t="s">
        <v>19000</v>
      </c>
      <c r="B6019">
        <v>8005355</v>
      </c>
      <c r="D6019" s="11" t="s">
        <v>19001</v>
      </c>
      <c r="E6019" s="11" t="s">
        <v>19002</v>
      </c>
    </row>
    <row r="6020" spans="1:5">
      <c r="A6020" s="11" t="s">
        <v>19003</v>
      </c>
      <c r="B6020">
        <v>8005356</v>
      </c>
      <c r="D6020" s="11" t="s">
        <v>19004</v>
      </c>
      <c r="E6020" s="11" t="s">
        <v>19005</v>
      </c>
    </row>
    <row r="6021" spans="1:5">
      <c r="A6021" s="11" t="s">
        <v>19006</v>
      </c>
      <c r="B6021">
        <v>8007222</v>
      </c>
      <c r="D6021" s="11" t="s">
        <v>19007</v>
      </c>
      <c r="E6021" s="11" t="s">
        <v>19008</v>
      </c>
    </row>
    <row r="6022" spans="1:5">
      <c r="A6022" s="11" t="s">
        <v>19009</v>
      </c>
      <c r="B6022">
        <v>8012870</v>
      </c>
      <c r="D6022" s="11" t="s">
        <v>19010</v>
      </c>
      <c r="E6022" s="11" t="s">
        <v>19011</v>
      </c>
    </row>
    <row r="6023" spans="1:5">
      <c r="A6023" s="11" t="s">
        <v>19012</v>
      </c>
      <c r="B6023">
        <v>8005362</v>
      </c>
      <c r="D6023" s="11" t="s">
        <v>19013</v>
      </c>
      <c r="E6023" s="11" t="s">
        <v>19014</v>
      </c>
    </row>
    <row r="6024" spans="1:5">
      <c r="A6024" s="11" t="s">
        <v>19015</v>
      </c>
      <c r="B6024">
        <v>8012874</v>
      </c>
      <c r="D6024" s="11" t="s">
        <v>19016</v>
      </c>
      <c r="E6024" s="11" t="s">
        <v>19017</v>
      </c>
    </row>
    <row r="6025" spans="1:5">
      <c r="A6025" s="11" t="s">
        <v>19018</v>
      </c>
      <c r="B6025">
        <v>8005364</v>
      </c>
      <c r="D6025" s="11" t="s">
        <v>19019</v>
      </c>
      <c r="E6025" s="11" t="s">
        <v>19020</v>
      </c>
    </row>
    <row r="6026" spans="1:5">
      <c r="A6026" s="11" t="s">
        <v>19021</v>
      </c>
      <c r="B6026">
        <v>8005365</v>
      </c>
      <c r="D6026" s="11" t="s">
        <v>19022</v>
      </c>
      <c r="E6026" s="11" t="s">
        <v>19023</v>
      </c>
    </row>
    <row r="6027" spans="1:5">
      <c r="A6027" s="11" t="s">
        <v>1171</v>
      </c>
      <c r="B6027">
        <v>8005367</v>
      </c>
      <c r="D6027" s="11" t="s">
        <v>1173</v>
      </c>
      <c r="E6027" s="11" t="s">
        <v>1174</v>
      </c>
    </row>
    <row r="6028" spans="1:5">
      <c r="A6028" s="11" t="s">
        <v>19024</v>
      </c>
      <c r="B6028">
        <v>8005369</v>
      </c>
      <c r="D6028" s="11" t="s">
        <v>19025</v>
      </c>
      <c r="E6028" s="11" t="s">
        <v>19026</v>
      </c>
    </row>
    <row r="6029" spans="1:5">
      <c r="A6029" s="11" t="s">
        <v>79</v>
      </c>
      <c r="B6029">
        <v>8005371</v>
      </c>
      <c r="D6029" s="11" t="s">
        <v>552</v>
      </c>
      <c r="E6029" s="11" t="s">
        <v>553</v>
      </c>
    </row>
    <row r="6030" spans="1:5">
      <c r="A6030" s="11" t="s">
        <v>19027</v>
      </c>
      <c r="B6030">
        <v>8000891</v>
      </c>
      <c r="D6030" s="11" t="s">
        <v>19028</v>
      </c>
      <c r="E6030" s="11" t="s">
        <v>19029</v>
      </c>
    </row>
    <row r="6031" spans="1:5">
      <c r="A6031" s="11" t="s">
        <v>19030</v>
      </c>
      <c r="B6031">
        <v>8079003</v>
      </c>
      <c r="D6031" s="11" t="s">
        <v>19031</v>
      </c>
      <c r="E6031" s="11" t="s">
        <v>19032</v>
      </c>
    </row>
    <row r="6032" spans="1:5">
      <c r="A6032" s="11" t="s">
        <v>19033</v>
      </c>
      <c r="B6032">
        <v>8010319</v>
      </c>
      <c r="D6032" s="11" t="s">
        <v>19034</v>
      </c>
      <c r="E6032" s="11" t="s">
        <v>19035</v>
      </c>
    </row>
    <row r="6033" spans="1:5">
      <c r="A6033" s="11" t="s">
        <v>19036</v>
      </c>
      <c r="B6033">
        <v>8010315</v>
      </c>
      <c r="D6033" s="11" t="s">
        <v>19037</v>
      </c>
      <c r="E6033" s="11" t="s">
        <v>19038</v>
      </c>
    </row>
    <row r="6034" spans="1:5">
      <c r="A6034" s="11" t="s">
        <v>410</v>
      </c>
      <c r="B6034">
        <v>8012881</v>
      </c>
      <c r="D6034" s="11" t="s">
        <v>412</v>
      </c>
      <c r="E6034" s="11" t="s">
        <v>413</v>
      </c>
    </row>
    <row r="6035" spans="1:5">
      <c r="A6035" s="11" t="s">
        <v>19039</v>
      </c>
      <c r="B6035">
        <v>8005374</v>
      </c>
      <c r="D6035" s="11" t="s">
        <v>19040</v>
      </c>
      <c r="E6035" s="11" t="s">
        <v>19041</v>
      </c>
    </row>
    <row r="6036" spans="1:5">
      <c r="A6036" s="11" t="s">
        <v>19042</v>
      </c>
      <c r="B6036">
        <v>8079136</v>
      </c>
      <c r="D6036" s="11" t="s">
        <v>19043</v>
      </c>
      <c r="E6036" s="11" t="s">
        <v>19044</v>
      </c>
    </row>
    <row r="6037" spans="1:5">
      <c r="A6037" s="11" t="s">
        <v>19045</v>
      </c>
      <c r="B6037">
        <v>8079138</v>
      </c>
      <c r="D6037" s="11" t="s">
        <v>19046</v>
      </c>
      <c r="E6037" s="11" t="s">
        <v>19047</v>
      </c>
    </row>
    <row r="6038" spans="1:5">
      <c r="A6038" s="11" t="s">
        <v>19048</v>
      </c>
      <c r="B6038">
        <v>8005378</v>
      </c>
      <c r="D6038" s="11" t="s">
        <v>19049</v>
      </c>
      <c r="E6038" s="11" t="s">
        <v>19050</v>
      </c>
    </row>
    <row r="6039" spans="1:5">
      <c r="A6039" s="11" t="s">
        <v>19051</v>
      </c>
      <c r="B6039">
        <v>8005379</v>
      </c>
      <c r="D6039" s="11" t="s">
        <v>19052</v>
      </c>
      <c r="E6039" s="11" t="s">
        <v>19053</v>
      </c>
    </row>
    <row r="6040" spans="1:5">
      <c r="A6040" s="11" t="s">
        <v>19054</v>
      </c>
      <c r="B6040">
        <v>8070974</v>
      </c>
      <c r="D6040" s="11" t="s">
        <v>19055</v>
      </c>
      <c r="E6040" s="11" t="s">
        <v>19056</v>
      </c>
    </row>
    <row r="6041" spans="1:5">
      <c r="A6041" s="11" t="s">
        <v>19057</v>
      </c>
      <c r="B6041">
        <v>8005381</v>
      </c>
      <c r="D6041" s="11" t="s">
        <v>19058</v>
      </c>
      <c r="E6041" s="11" t="s">
        <v>19059</v>
      </c>
    </row>
    <row r="6042" spans="1:5">
      <c r="A6042" s="11" t="s">
        <v>19060</v>
      </c>
      <c r="B6042">
        <v>8012884</v>
      </c>
      <c r="D6042" s="11" t="s">
        <v>19061</v>
      </c>
      <c r="E6042" s="11" t="s">
        <v>19062</v>
      </c>
    </row>
    <row r="6043" spans="1:5">
      <c r="A6043" s="11" t="s">
        <v>19063</v>
      </c>
      <c r="B6043">
        <v>8012885</v>
      </c>
      <c r="D6043" s="11" t="s">
        <v>19064</v>
      </c>
      <c r="E6043" s="11" t="s">
        <v>19065</v>
      </c>
    </row>
    <row r="6044" spans="1:5">
      <c r="A6044" s="11" t="s">
        <v>19066</v>
      </c>
      <c r="B6044">
        <v>8071307</v>
      </c>
      <c r="D6044" s="11" t="s">
        <v>19067</v>
      </c>
      <c r="E6044" s="11" t="s">
        <v>19068</v>
      </c>
    </row>
    <row r="6045" spans="1:5">
      <c r="A6045" s="11" t="s">
        <v>19069</v>
      </c>
      <c r="B6045">
        <v>8071803</v>
      </c>
      <c r="D6045" s="11" t="s">
        <v>19070</v>
      </c>
      <c r="E6045" s="11" t="s">
        <v>19071</v>
      </c>
    </row>
    <row r="6046" spans="1:5">
      <c r="A6046" s="11" t="s">
        <v>1149</v>
      </c>
      <c r="B6046">
        <v>8012888</v>
      </c>
      <c r="D6046" s="11" t="s">
        <v>1151</v>
      </c>
      <c r="E6046" s="11" t="s">
        <v>1152</v>
      </c>
    </row>
    <row r="6047" spans="1:5">
      <c r="A6047" s="11" t="s">
        <v>19072</v>
      </c>
      <c r="B6047">
        <v>8012892</v>
      </c>
      <c r="D6047" s="11" t="s">
        <v>19073</v>
      </c>
      <c r="E6047" s="11" t="s">
        <v>19074</v>
      </c>
    </row>
    <row r="6048" spans="1:5">
      <c r="A6048" s="11" t="s">
        <v>19075</v>
      </c>
      <c r="B6048">
        <v>8012890</v>
      </c>
      <c r="D6048" s="11" t="s">
        <v>19076</v>
      </c>
      <c r="E6048" s="11" t="s">
        <v>19077</v>
      </c>
    </row>
    <row r="6049" spans="1:5">
      <c r="A6049" s="11" t="s">
        <v>19078</v>
      </c>
      <c r="B6049">
        <v>8012889</v>
      </c>
      <c r="D6049" s="11" t="s">
        <v>19079</v>
      </c>
      <c r="E6049" s="11" t="s">
        <v>19080</v>
      </c>
    </row>
    <row r="6050" spans="1:5">
      <c r="A6050" s="11" t="s">
        <v>19081</v>
      </c>
      <c r="B6050">
        <v>8000328</v>
      </c>
      <c r="D6050" s="11" t="s">
        <v>19082</v>
      </c>
      <c r="E6050" s="11" t="s">
        <v>19083</v>
      </c>
    </row>
    <row r="6051" spans="1:5">
      <c r="A6051" s="11" t="s">
        <v>19084</v>
      </c>
      <c r="B6051">
        <v>8005383</v>
      </c>
      <c r="D6051" s="11" t="s">
        <v>19085</v>
      </c>
      <c r="E6051" s="11" t="s">
        <v>19086</v>
      </c>
    </row>
    <row r="6052" spans="1:5">
      <c r="A6052" s="11" t="s">
        <v>19087</v>
      </c>
      <c r="B6052">
        <v>8005386</v>
      </c>
      <c r="D6052" s="11" t="s">
        <v>19088</v>
      </c>
      <c r="E6052" s="11" t="s">
        <v>19089</v>
      </c>
    </row>
    <row r="6053" spans="1:5">
      <c r="A6053" s="11" t="s">
        <v>19090</v>
      </c>
      <c r="B6053">
        <v>8012895</v>
      </c>
      <c r="D6053" s="11" t="s">
        <v>19091</v>
      </c>
      <c r="E6053" s="11" t="s">
        <v>19092</v>
      </c>
    </row>
    <row r="6054" spans="1:5">
      <c r="A6054" s="11" t="s">
        <v>19093</v>
      </c>
      <c r="B6054">
        <v>8000440</v>
      </c>
      <c r="D6054" s="11" t="s">
        <v>19094</v>
      </c>
      <c r="E6054" s="11" t="s">
        <v>19095</v>
      </c>
    </row>
    <row r="6055" spans="1:5">
      <c r="A6055" s="11" t="s">
        <v>19096</v>
      </c>
      <c r="B6055">
        <v>8007163</v>
      </c>
      <c r="D6055" s="11" t="s">
        <v>19097</v>
      </c>
      <c r="E6055" s="11" t="s">
        <v>19098</v>
      </c>
    </row>
    <row r="6056" spans="1:5">
      <c r="A6056" s="11" t="s">
        <v>19099</v>
      </c>
      <c r="B6056">
        <v>8005388</v>
      </c>
      <c r="D6056" s="11" t="s">
        <v>19100</v>
      </c>
      <c r="E6056" s="11" t="s">
        <v>19101</v>
      </c>
    </row>
    <row r="6057" spans="1:5">
      <c r="A6057" s="11" t="s">
        <v>19102</v>
      </c>
      <c r="B6057">
        <v>8005390</v>
      </c>
      <c r="D6057" s="11" t="s">
        <v>19103</v>
      </c>
      <c r="E6057" s="11" t="s">
        <v>19104</v>
      </c>
    </row>
    <row r="6058" spans="1:5">
      <c r="A6058" s="11" t="s">
        <v>19105</v>
      </c>
      <c r="B6058">
        <v>8005391</v>
      </c>
      <c r="D6058" s="11" t="s">
        <v>19106</v>
      </c>
      <c r="E6058" s="11" t="s">
        <v>19107</v>
      </c>
    </row>
    <row r="6059" spans="1:5">
      <c r="A6059" s="11" t="s">
        <v>19108</v>
      </c>
      <c r="B6059">
        <v>8070670</v>
      </c>
      <c r="D6059" s="11" t="s">
        <v>19109</v>
      </c>
      <c r="E6059" s="11" t="s">
        <v>19110</v>
      </c>
    </row>
    <row r="6060" spans="1:5">
      <c r="A6060" s="11" t="s">
        <v>19111</v>
      </c>
      <c r="B6060">
        <v>8005392</v>
      </c>
      <c r="D6060" s="11" t="s">
        <v>19112</v>
      </c>
      <c r="E6060" s="11" t="s">
        <v>19113</v>
      </c>
    </row>
    <row r="6061" spans="1:5">
      <c r="A6061" s="11" t="s">
        <v>302</v>
      </c>
      <c r="B6061">
        <v>8007283</v>
      </c>
      <c r="D6061" s="11" t="s">
        <v>304</v>
      </c>
      <c r="E6061" s="11" t="s">
        <v>305</v>
      </c>
    </row>
    <row r="6062" spans="1:5">
      <c r="A6062" s="11" t="s">
        <v>19114</v>
      </c>
      <c r="B6062">
        <v>8072211</v>
      </c>
      <c r="D6062" s="11" t="s">
        <v>19115</v>
      </c>
      <c r="E6062" s="11" t="s">
        <v>19116</v>
      </c>
    </row>
    <row r="6063" spans="1:5">
      <c r="A6063" s="11" t="s">
        <v>19117</v>
      </c>
      <c r="B6063">
        <v>8029359</v>
      </c>
      <c r="D6063" s="11" t="s">
        <v>19118</v>
      </c>
      <c r="E6063" s="11" t="s">
        <v>19119</v>
      </c>
    </row>
    <row r="6064" spans="1:5">
      <c r="A6064" s="11" t="s">
        <v>19120</v>
      </c>
      <c r="B6064">
        <v>8012898</v>
      </c>
      <c r="D6064" s="11" t="s">
        <v>19121</v>
      </c>
      <c r="E6064" s="11" t="s">
        <v>19122</v>
      </c>
    </row>
    <row r="6065" spans="1:5">
      <c r="A6065" s="11" t="s">
        <v>19123</v>
      </c>
      <c r="B6065">
        <v>8012904</v>
      </c>
      <c r="D6065" s="11" t="s">
        <v>19124</v>
      </c>
      <c r="E6065" s="11" t="s">
        <v>19125</v>
      </c>
    </row>
    <row r="6066" spans="1:5">
      <c r="A6066" s="11" t="s">
        <v>19126</v>
      </c>
      <c r="B6066">
        <v>8089126</v>
      </c>
      <c r="D6066" s="11" t="s">
        <v>1539</v>
      </c>
      <c r="E6066" s="11" t="s">
        <v>1539</v>
      </c>
    </row>
    <row r="6067" spans="1:5">
      <c r="A6067" s="11" t="s">
        <v>19127</v>
      </c>
      <c r="B6067">
        <v>8012899</v>
      </c>
      <c r="D6067" s="11" t="s">
        <v>19128</v>
      </c>
      <c r="E6067" s="11" t="s">
        <v>19129</v>
      </c>
    </row>
    <row r="6068" spans="1:5">
      <c r="A6068" s="11" t="s">
        <v>19130</v>
      </c>
      <c r="B6068">
        <v>8007167</v>
      </c>
      <c r="D6068" s="11" t="s">
        <v>19131</v>
      </c>
      <c r="E6068" s="11" t="s">
        <v>19132</v>
      </c>
    </row>
    <row r="6069" spans="1:5">
      <c r="A6069" s="11" t="s">
        <v>19133</v>
      </c>
      <c r="B6069">
        <v>8070532</v>
      </c>
      <c r="D6069" s="11" t="s">
        <v>19134</v>
      </c>
      <c r="E6069" s="11" t="s">
        <v>19135</v>
      </c>
    </row>
    <row r="6070" spans="1:5">
      <c r="A6070" s="11" t="s">
        <v>19136</v>
      </c>
      <c r="B6070">
        <v>8012902</v>
      </c>
      <c r="D6070" s="11" t="s">
        <v>19137</v>
      </c>
      <c r="E6070" s="11" t="s">
        <v>19138</v>
      </c>
    </row>
    <row r="6071" spans="1:5">
      <c r="A6071" s="11" t="s">
        <v>19139</v>
      </c>
      <c r="B6071">
        <v>8010317</v>
      </c>
      <c r="D6071" s="11" t="s">
        <v>19140</v>
      </c>
      <c r="E6071" s="11" t="s">
        <v>19141</v>
      </c>
    </row>
    <row r="6072" spans="1:5">
      <c r="A6072" s="11" t="s">
        <v>19142</v>
      </c>
      <c r="B6072">
        <v>8070533</v>
      </c>
      <c r="D6072" s="11" t="s">
        <v>19143</v>
      </c>
      <c r="E6072" s="11" t="s">
        <v>19144</v>
      </c>
    </row>
    <row r="6073" spans="1:5">
      <c r="A6073" s="11" t="s">
        <v>19145</v>
      </c>
      <c r="B6073">
        <v>8012903</v>
      </c>
      <c r="D6073" s="11" t="s">
        <v>19146</v>
      </c>
      <c r="E6073" s="11" t="s">
        <v>19147</v>
      </c>
    </row>
    <row r="6074" spans="1:5">
      <c r="A6074" s="11" t="s">
        <v>19148</v>
      </c>
      <c r="B6074">
        <v>8005417</v>
      </c>
      <c r="D6074" s="11" t="s">
        <v>19149</v>
      </c>
      <c r="E6074" s="11" t="s">
        <v>19150</v>
      </c>
    </row>
    <row r="6075" spans="1:5">
      <c r="A6075" s="11" t="s">
        <v>19151</v>
      </c>
      <c r="B6075">
        <v>8081260</v>
      </c>
      <c r="D6075" s="11" t="s">
        <v>19152</v>
      </c>
      <c r="E6075" s="11" t="s">
        <v>19153</v>
      </c>
    </row>
    <row r="6076" spans="1:5">
      <c r="A6076" s="11" t="s">
        <v>19154</v>
      </c>
      <c r="B6076">
        <v>8010318</v>
      </c>
      <c r="D6076" s="11" t="s">
        <v>19155</v>
      </c>
      <c r="E6076" s="11" t="s">
        <v>19156</v>
      </c>
    </row>
    <row r="6077" spans="1:5">
      <c r="A6077" s="11" t="s">
        <v>19157</v>
      </c>
      <c r="B6077">
        <v>8012907</v>
      </c>
      <c r="D6077" s="11" t="s">
        <v>19158</v>
      </c>
      <c r="E6077" s="11" t="s">
        <v>19159</v>
      </c>
    </row>
    <row r="6078" spans="1:5">
      <c r="A6078" s="11" t="s">
        <v>19160</v>
      </c>
      <c r="B6078">
        <v>8013465</v>
      </c>
      <c r="D6078" s="11" t="s">
        <v>19161</v>
      </c>
      <c r="E6078" s="11" t="s">
        <v>19162</v>
      </c>
    </row>
    <row r="6079" spans="1:5">
      <c r="A6079" s="11" t="s">
        <v>19163</v>
      </c>
      <c r="B6079">
        <v>8081270</v>
      </c>
      <c r="D6079" s="11" t="s">
        <v>19164</v>
      </c>
      <c r="E6079" s="11" t="s">
        <v>19165</v>
      </c>
    </row>
    <row r="6080" spans="1:5">
      <c r="A6080" s="11" t="s">
        <v>19166</v>
      </c>
      <c r="B6080">
        <v>8012908</v>
      </c>
      <c r="D6080" s="11" t="s">
        <v>19167</v>
      </c>
      <c r="E6080" s="11" t="s">
        <v>19168</v>
      </c>
    </row>
    <row r="6081" spans="1:5">
      <c r="A6081" s="11" t="s">
        <v>19169</v>
      </c>
      <c r="B6081">
        <v>8000343</v>
      </c>
      <c r="D6081" s="11" t="s">
        <v>19170</v>
      </c>
      <c r="E6081" s="11" t="s">
        <v>19171</v>
      </c>
    </row>
    <row r="6082" spans="1:5">
      <c r="A6082" s="11" t="s">
        <v>19172</v>
      </c>
      <c r="B6082">
        <v>8001248</v>
      </c>
      <c r="D6082" s="11" t="s">
        <v>19173</v>
      </c>
      <c r="E6082" s="11" t="s">
        <v>19174</v>
      </c>
    </row>
    <row r="6083" spans="1:5">
      <c r="A6083" s="11" t="s">
        <v>19175</v>
      </c>
      <c r="B6083">
        <v>8003255</v>
      </c>
      <c r="D6083" s="11" t="s">
        <v>19176</v>
      </c>
      <c r="E6083" s="11" t="s">
        <v>19177</v>
      </c>
    </row>
    <row r="6084" spans="1:5">
      <c r="A6084" s="11" t="s">
        <v>19178</v>
      </c>
      <c r="B6084">
        <v>8004523</v>
      </c>
      <c r="D6084" s="11" t="s">
        <v>19179</v>
      </c>
      <c r="E6084" s="11" t="s">
        <v>19180</v>
      </c>
    </row>
    <row r="6085" spans="1:5">
      <c r="A6085" s="11" t="s">
        <v>19181</v>
      </c>
      <c r="B6085">
        <v>8010109</v>
      </c>
      <c r="D6085" s="11" t="s">
        <v>19182</v>
      </c>
      <c r="E6085" s="11" t="s">
        <v>19183</v>
      </c>
    </row>
    <row r="6086" spans="1:5">
      <c r="A6086" s="11" t="s">
        <v>19184</v>
      </c>
      <c r="B6086">
        <v>8089486</v>
      </c>
      <c r="D6086" s="11" t="s">
        <v>19185</v>
      </c>
      <c r="E6086" s="11" t="s">
        <v>19186</v>
      </c>
    </row>
    <row r="6087" spans="1:5">
      <c r="A6087" s="11" t="s">
        <v>19187</v>
      </c>
      <c r="B6087">
        <v>8012910</v>
      </c>
      <c r="D6087" s="11" t="s">
        <v>19188</v>
      </c>
      <c r="E6087" s="11" t="s">
        <v>19189</v>
      </c>
    </row>
    <row r="6088" spans="1:5">
      <c r="A6088" s="11" t="s">
        <v>19190</v>
      </c>
      <c r="B6088">
        <v>8071847</v>
      </c>
      <c r="D6088" s="11" t="s">
        <v>19191</v>
      </c>
      <c r="E6088" s="11" t="s">
        <v>19192</v>
      </c>
    </row>
    <row r="6089" spans="1:5">
      <c r="A6089" s="11" t="s">
        <v>19193</v>
      </c>
      <c r="B6089">
        <v>8005405</v>
      </c>
      <c r="D6089" s="11" t="s">
        <v>19194</v>
      </c>
      <c r="E6089" s="11" t="s">
        <v>19195</v>
      </c>
    </row>
    <row r="6090" spans="1:5">
      <c r="A6090" s="11" t="s">
        <v>19196</v>
      </c>
      <c r="B6090">
        <v>8081290</v>
      </c>
      <c r="D6090" s="11" t="s">
        <v>19197</v>
      </c>
      <c r="E6090" s="11" t="s">
        <v>19198</v>
      </c>
    </row>
    <row r="6091" spans="1:5">
      <c r="A6091" s="11" t="s">
        <v>19199</v>
      </c>
      <c r="B6091">
        <v>8012914</v>
      </c>
      <c r="D6091" s="11" t="s">
        <v>19200</v>
      </c>
      <c r="E6091" s="11" t="s">
        <v>19201</v>
      </c>
    </row>
    <row r="6092" spans="1:5">
      <c r="A6092" s="11" t="s">
        <v>19202</v>
      </c>
      <c r="B6092">
        <v>8005418</v>
      </c>
      <c r="D6092" s="11" t="s">
        <v>19203</v>
      </c>
      <c r="E6092" s="11" t="s">
        <v>19204</v>
      </c>
    </row>
    <row r="6093" spans="1:5">
      <c r="A6093" s="11" t="s">
        <v>19205</v>
      </c>
      <c r="B6093">
        <v>8005406</v>
      </c>
      <c r="D6093" s="11" t="s">
        <v>19206</v>
      </c>
      <c r="E6093" s="11" t="s">
        <v>19207</v>
      </c>
    </row>
    <row r="6094" spans="1:5">
      <c r="A6094" s="11" t="s">
        <v>19208</v>
      </c>
      <c r="B6094">
        <v>8010321</v>
      </c>
      <c r="D6094" s="11" t="s">
        <v>19209</v>
      </c>
      <c r="E6094" s="11" t="s">
        <v>19210</v>
      </c>
    </row>
    <row r="6095" spans="1:5">
      <c r="A6095" s="11" t="s">
        <v>19211</v>
      </c>
      <c r="B6095">
        <v>8007315</v>
      </c>
      <c r="D6095" s="11" t="s">
        <v>19212</v>
      </c>
      <c r="E6095" s="11" t="s">
        <v>19213</v>
      </c>
    </row>
    <row r="6096" spans="1:5">
      <c r="A6096" s="11" t="s">
        <v>19214</v>
      </c>
      <c r="B6096">
        <v>8005409</v>
      </c>
      <c r="D6096" s="11" t="s">
        <v>19215</v>
      </c>
      <c r="E6096" s="11" t="s">
        <v>19216</v>
      </c>
    </row>
    <row r="6097" spans="1:5">
      <c r="A6097" s="11" t="s">
        <v>19217</v>
      </c>
      <c r="B6097">
        <v>8012918</v>
      </c>
      <c r="D6097" s="11" t="s">
        <v>19218</v>
      </c>
      <c r="E6097" s="11" t="s">
        <v>19219</v>
      </c>
    </row>
    <row r="6098" spans="1:5">
      <c r="A6098" s="11" t="s">
        <v>19220</v>
      </c>
      <c r="B6098">
        <v>8012919</v>
      </c>
      <c r="D6098" s="11" t="s">
        <v>19221</v>
      </c>
      <c r="E6098" s="11" t="s">
        <v>19222</v>
      </c>
    </row>
    <row r="6099" spans="1:5">
      <c r="A6099" s="11" t="s">
        <v>19223</v>
      </c>
      <c r="B6099">
        <v>8070987</v>
      </c>
      <c r="D6099" s="11" t="s">
        <v>19224</v>
      </c>
      <c r="E6099" s="11" t="s">
        <v>19225</v>
      </c>
    </row>
    <row r="6100" spans="1:5">
      <c r="A6100" s="11" t="s">
        <v>19226</v>
      </c>
      <c r="B6100">
        <v>8005400</v>
      </c>
      <c r="D6100" s="11" t="s">
        <v>19227</v>
      </c>
      <c r="E6100" s="11" t="s">
        <v>19228</v>
      </c>
    </row>
    <row r="6101" spans="1:5">
      <c r="A6101" s="11" t="s">
        <v>19229</v>
      </c>
      <c r="B6101">
        <v>8005412</v>
      </c>
      <c r="D6101" s="11" t="s">
        <v>19230</v>
      </c>
      <c r="E6101" s="11" t="s">
        <v>19231</v>
      </c>
    </row>
    <row r="6102" spans="1:5">
      <c r="A6102" s="11" t="s">
        <v>19232</v>
      </c>
      <c r="B6102">
        <v>8081300</v>
      </c>
      <c r="D6102" s="11" t="s">
        <v>19233</v>
      </c>
      <c r="E6102" s="11" t="s">
        <v>19234</v>
      </c>
    </row>
    <row r="6103" spans="1:5">
      <c r="A6103" s="11" t="s">
        <v>19235</v>
      </c>
      <c r="B6103">
        <v>8071848</v>
      </c>
      <c r="D6103" s="11" t="s">
        <v>19236</v>
      </c>
      <c r="E6103" s="11" t="s">
        <v>19237</v>
      </c>
    </row>
    <row r="6104" spans="1:5">
      <c r="A6104" s="11" t="s">
        <v>19238</v>
      </c>
      <c r="B6104">
        <v>8071849</v>
      </c>
      <c r="D6104" s="11" t="s">
        <v>19239</v>
      </c>
      <c r="E6104" s="11" t="s">
        <v>19240</v>
      </c>
    </row>
    <row r="6105" spans="1:5">
      <c r="A6105" s="11" t="s">
        <v>19241</v>
      </c>
      <c r="B6105">
        <v>8012923</v>
      </c>
      <c r="D6105" s="11" t="s">
        <v>19242</v>
      </c>
      <c r="E6105" s="11" t="s">
        <v>19243</v>
      </c>
    </row>
    <row r="6106" spans="1:5">
      <c r="A6106" s="11" t="s">
        <v>19244</v>
      </c>
      <c r="B6106">
        <v>8005420</v>
      </c>
      <c r="D6106" s="11" t="s">
        <v>19245</v>
      </c>
      <c r="E6106" s="11" t="s">
        <v>19246</v>
      </c>
    </row>
    <row r="6107" spans="1:5">
      <c r="A6107" s="11" t="s">
        <v>19247</v>
      </c>
      <c r="B6107">
        <v>8005425</v>
      </c>
      <c r="D6107" s="11" t="s">
        <v>19248</v>
      </c>
      <c r="E6107" s="11" t="s">
        <v>19249</v>
      </c>
    </row>
    <row r="6108" spans="1:5">
      <c r="A6108" s="11" t="s">
        <v>19250</v>
      </c>
      <c r="B6108">
        <v>8005426</v>
      </c>
      <c r="D6108" s="11" t="s">
        <v>19251</v>
      </c>
      <c r="E6108" s="11" t="s">
        <v>19252</v>
      </c>
    </row>
    <row r="6109" spans="1:5">
      <c r="A6109" s="11" t="s">
        <v>19253</v>
      </c>
      <c r="B6109">
        <v>8005421</v>
      </c>
      <c r="D6109" s="11" t="s">
        <v>19254</v>
      </c>
      <c r="E6109" s="11" t="s">
        <v>19255</v>
      </c>
    </row>
    <row r="6110" spans="1:5">
      <c r="A6110" s="11" t="s">
        <v>19256</v>
      </c>
      <c r="B6110">
        <v>8005423</v>
      </c>
      <c r="D6110" s="11" t="s">
        <v>19257</v>
      </c>
      <c r="E6110" s="11" t="s">
        <v>19258</v>
      </c>
    </row>
    <row r="6111" spans="1:5">
      <c r="A6111" s="11" t="s">
        <v>19259</v>
      </c>
      <c r="B6111">
        <v>8005413</v>
      </c>
      <c r="D6111" s="11" t="s">
        <v>19260</v>
      </c>
      <c r="E6111" s="11" t="s">
        <v>19261</v>
      </c>
    </row>
    <row r="6112" spans="1:5">
      <c r="A6112" s="11" t="s">
        <v>19262</v>
      </c>
      <c r="B6112">
        <v>8005424</v>
      </c>
      <c r="D6112" s="11" t="s">
        <v>19263</v>
      </c>
      <c r="E6112" s="11" t="s">
        <v>19264</v>
      </c>
    </row>
    <row r="6113" spans="1:5">
      <c r="A6113" s="11" t="s">
        <v>19265</v>
      </c>
      <c r="B6113">
        <v>8007191</v>
      </c>
      <c r="D6113" s="11" t="s">
        <v>19266</v>
      </c>
      <c r="E6113" s="11" t="s">
        <v>19267</v>
      </c>
    </row>
    <row r="6114" spans="1:5">
      <c r="A6114" s="11" t="s">
        <v>19268</v>
      </c>
      <c r="B6114">
        <v>8002695</v>
      </c>
      <c r="D6114" s="11" t="s">
        <v>19269</v>
      </c>
      <c r="E6114" s="11" t="s">
        <v>19270</v>
      </c>
    </row>
    <row r="6115" spans="1:5">
      <c r="A6115" s="11" t="s">
        <v>19271</v>
      </c>
      <c r="B6115">
        <v>8005415</v>
      </c>
      <c r="D6115" s="11" t="s">
        <v>19272</v>
      </c>
      <c r="E6115" s="11" t="s">
        <v>19273</v>
      </c>
    </row>
    <row r="6116" spans="1:5">
      <c r="A6116" s="11" t="s">
        <v>19274</v>
      </c>
      <c r="B6116">
        <v>8005431</v>
      </c>
      <c r="D6116" s="11" t="s">
        <v>19275</v>
      </c>
      <c r="E6116" s="11" t="s">
        <v>19276</v>
      </c>
    </row>
    <row r="6117" spans="1:5">
      <c r="A6117" s="11" t="s">
        <v>19277</v>
      </c>
      <c r="B6117">
        <v>8005432</v>
      </c>
      <c r="D6117" s="11" t="s">
        <v>19278</v>
      </c>
      <c r="E6117" s="11" t="s">
        <v>19279</v>
      </c>
    </row>
    <row r="6118" spans="1:5">
      <c r="A6118" s="11" t="s">
        <v>19280</v>
      </c>
      <c r="B6118">
        <v>8005433</v>
      </c>
      <c r="D6118" s="11" t="s">
        <v>19281</v>
      </c>
      <c r="E6118" s="11" t="s">
        <v>19282</v>
      </c>
    </row>
    <row r="6119" spans="1:5">
      <c r="A6119" s="11" t="s">
        <v>19283</v>
      </c>
      <c r="B6119">
        <v>8076072</v>
      </c>
      <c r="D6119" s="11" t="s">
        <v>19284</v>
      </c>
      <c r="E6119" s="11" t="s">
        <v>19285</v>
      </c>
    </row>
    <row r="6120" spans="1:5">
      <c r="A6120" s="11" t="s">
        <v>19286</v>
      </c>
      <c r="B6120">
        <v>8005435</v>
      </c>
      <c r="D6120" s="11" t="s">
        <v>19287</v>
      </c>
      <c r="E6120" s="11" t="s">
        <v>19288</v>
      </c>
    </row>
    <row r="6121" spans="1:5">
      <c r="A6121" s="11" t="s">
        <v>19289</v>
      </c>
      <c r="B6121">
        <v>8012927</v>
      </c>
      <c r="D6121" s="11" t="s">
        <v>19290</v>
      </c>
      <c r="E6121" s="11" t="s">
        <v>19291</v>
      </c>
    </row>
    <row r="6122" spans="1:5">
      <c r="A6122" s="11" t="s">
        <v>19292</v>
      </c>
      <c r="B6122">
        <v>8005436</v>
      </c>
      <c r="D6122" s="11" t="s">
        <v>19293</v>
      </c>
      <c r="E6122" s="11" t="s">
        <v>19294</v>
      </c>
    </row>
    <row r="6123" spans="1:5">
      <c r="A6123" s="11" t="s">
        <v>19295</v>
      </c>
      <c r="B6123">
        <v>8007080</v>
      </c>
      <c r="D6123" s="11" t="s">
        <v>19296</v>
      </c>
      <c r="E6123" s="11" t="s">
        <v>19297</v>
      </c>
    </row>
    <row r="6124" spans="1:5">
      <c r="A6124" s="11" t="s">
        <v>19298</v>
      </c>
      <c r="B6124">
        <v>8010322</v>
      </c>
      <c r="D6124" s="11" t="s">
        <v>19299</v>
      </c>
      <c r="E6124" s="11" t="s">
        <v>19300</v>
      </c>
    </row>
    <row r="6125" spans="1:5">
      <c r="A6125" s="11" t="s">
        <v>19301</v>
      </c>
      <c r="B6125">
        <v>8005439</v>
      </c>
      <c r="D6125" s="11" t="s">
        <v>19302</v>
      </c>
      <c r="E6125" s="11" t="s">
        <v>19303</v>
      </c>
    </row>
    <row r="6126" spans="1:5">
      <c r="A6126" s="11" t="s">
        <v>19304</v>
      </c>
      <c r="B6126">
        <v>8005440</v>
      </c>
      <c r="D6126" s="11" t="s">
        <v>19305</v>
      </c>
      <c r="E6126" s="11" t="s">
        <v>19306</v>
      </c>
    </row>
    <row r="6127" spans="1:5">
      <c r="A6127" s="11" t="s">
        <v>19307</v>
      </c>
      <c r="B6127">
        <v>8005442</v>
      </c>
      <c r="D6127" s="11" t="s">
        <v>19308</v>
      </c>
      <c r="E6127" s="11" t="s">
        <v>19309</v>
      </c>
    </row>
    <row r="6128" spans="1:5">
      <c r="A6128" s="11" t="s">
        <v>19310</v>
      </c>
      <c r="B6128">
        <v>8000329</v>
      </c>
      <c r="D6128" s="11" t="s">
        <v>19311</v>
      </c>
      <c r="E6128" s="11" t="s">
        <v>19312</v>
      </c>
    </row>
    <row r="6129" spans="1:5">
      <c r="A6129" s="11" t="s">
        <v>19313</v>
      </c>
      <c r="B6129">
        <v>8005449</v>
      </c>
      <c r="D6129" s="11" t="s">
        <v>19314</v>
      </c>
      <c r="E6129" s="11" t="s">
        <v>19315</v>
      </c>
    </row>
    <row r="6130" spans="1:5">
      <c r="A6130" s="11" t="s">
        <v>19316</v>
      </c>
      <c r="B6130">
        <v>8000330</v>
      </c>
      <c r="D6130" s="11" t="s">
        <v>19317</v>
      </c>
      <c r="E6130" s="11" t="s">
        <v>19318</v>
      </c>
    </row>
    <row r="6131" spans="1:5">
      <c r="A6131" s="11" t="s">
        <v>19319</v>
      </c>
      <c r="B6131">
        <v>8005444</v>
      </c>
      <c r="D6131" s="11" t="s">
        <v>19320</v>
      </c>
      <c r="E6131" s="11" t="s">
        <v>19321</v>
      </c>
    </row>
    <row r="6132" spans="1:5">
      <c r="A6132" s="11" t="s">
        <v>19322</v>
      </c>
      <c r="B6132">
        <v>8005445</v>
      </c>
      <c r="D6132" s="11" t="s">
        <v>19323</v>
      </c>
      <c r="E6132" s="11" t="s">
        <v>19324</v>
      </c>
    </row>
    <row r="6133" spans="1:5">
      <c r="A6133" s="11" t="s">
        <v>1215</v>
      </c>
      <c r="B6133">
        <v>8005451</v>
      </c>
      <c r="D6133" s="11" t="s">
        <v>19325</v>
      </c>
      <c r="E6133" s="11" t="s">
        <v>19326</v>
      </c>
    </row>
    <row r="6134" spans="1:5">
      <c r="A6134" s="11" t="s">
        <v>19327</v>
      </c>
      <c r="B6134">
        <v>8070156</v>
      </c>
      <c r="D6134" s="11" t="s">
        <v>19328</v>
      </c>
      <c r="E6134" s="11" t="s">
        <v>19329</v>
      </c>
    </row>
    <row r="6135" spans="1:5">
      <c r="A6135" s="11" t="s">
        <v>19330</v>
      </c>
      <c r="B6135">
        <v>8005453</v>
      </c>
      <c r="D6135" s="11" t="s">
        <v>19331</v>
      </c>
      <c r="E6135" s="11" t="s">
        <v>19332</v>
      </c>
    </row>
    <row r="6136" spans="1:5">
      <c r="A6136" s="11" t="s">
        <v>19333</v>
      </c>
      <c r="B6136">
        <v>8071002</v>
      </c>
      <c r="D6136" s="11" t="s">
        <v>19334</v>
      </c>
      <c r="E6136" s="11" t="s">
        <v>19335</v>
      </c>
    </row>
    <row r="6137" spans="1:5">
      <c r="A6137" s="11" t="s">
        <v>19336</v>
      </c>
      <c r="B6137">
        <v>8005454</v>
      </c>
      <c r="D6137" s="11" t="s">
        <v>19337</v>
      </c>
      <c r="E6137" s="11" t="s">
        <v>19338</v>
      </c>
    </row>
    <row r="6138" spans="1:5">
      <c r="A6138" s="11" t="s">
        <v>19339</v>
      </c>
      <c r="B6138">
        <v>8005455</v>
      </c>
      <c r="D6138" s="11" t="s">
        <v>19340</v>
      </c>
      <c r="E6138" s="11" t="s">
        <v>19341</v>
      </c>
    </row>
    <row r="6139" spans="1:5">
      <c r="A6139" s="11" t="s">
        <v>19342</v>
      </c>
      <c r="B6139">
        <v>8005456</v>
      </c>
      <c r="D6139" s="11" t="s">
        <v>19343</v>
      </c>
      <c r="E6139" s="11" t="s">
        <v>19344</v>
      </c>
    </row>
    <row r="6140" spans="1:5">
      <c r="A6140" s="11" t="s">
        <v>19345</v>
      </c>
      <c r="B6140">
        <v>8012929</v>
      </c>
      <c r="D6140" s="11" t="s">
        <v>19346</v>
      </c>
      <c r="E6140" s="11" t="s">
        <v>19347</v>
      </c>
    </row>
    <row r="6141" spans="1:5">
      <c r="A6141" s="11" t="s">
        <v>19348</v>
      </c>
      <c r="B6141">
        <v>8006401</v>
      </c>
      <c r="D6141" s="11" t="s">
        <v>19349</v>
      </c>
      <c r="E6141" s="11" t="s">
        <v>19350</v>
      </c>
    </row>
    <row r="6142" spans="1:5">
      <c r="A6142" s="11" t="s">
        <v>19351</v>
      </c>
      <c r="B6142">
        <v>8000027</v>
      </c>
      <c r="D6142" s="11" t="s">
        <v>19352</v>
      </c>
      <c r="E6142" s="11" t="s">
        <v>19353</v>
      </c>
    </row>
    <row r="6143" spans="1:5">
      <c r="A6143" s="11" t="s">
        <v>19354</v>
      </c>
      <c r="B6143">
        <v>8012933</v>
      </c>
      <c r="D6143" s="11" t="s">
        <v>19355</v>
      </c>
      <c r="E6143" s="11" t="s">
        <v>19356</v>
      </c>
    </row>
    <row r="6144" spans="1:5">
      <c r="A6144" s="11" t="s">
        <v>19357</v>
      </c>
      <c r="B6144">
        <v>8012934</v>
      </c>
      <c r="D6144" s="11" t="s">
        <v>19358</v>
      </c>
      <c r="E6144" s="11" t="s">
        <v>19359</v>
      </c>
    </row>
    <row r="6145" spans="1:5">
      <c r="A6145" s="11" t="s">
        <v>19360</v>
      </c>
      <c r="B6145">
        <v>8081563</v>
      </c>
      <c r="D6145" s="11" t="s">
        <v>19361</v>
      </c>
      <c r="E6145" s="11" t="s">
        <v>19362</v>
      </c>
    </row>
    <row r="6146" spans="1:5">
      <c r="A6146" s="11" t="s">
        <v>19363</v>
      </c>
      <c r="B6146">
        <v>8005457</v>
      </c>
      <c r="D6146" s="11" t="s">
        <v>19364</v>
      </c>
      <c r="E6146" s="11" t="s">
        <v>19365</v>
      </c>
    </row>
    <row r="6147" spans="1:5">
      <c r="A6147" s="11" t="s">
        <v>191</v>
      </c>
      <c r="B6147">
        <v>8012937</v>
      </c>
      <c r="D6147" s="11" t="s">
        <v>193</v>
      </c>
      <c r="E6147" s="11" t="s">
        <v>194</v>
      </c>
    </row>
    <row r="6148" spans="1:5">
      <c r="A6148" s="11" t="s">
        <v>19366</v>
      </c>
      <c r="B6148">
        <v>8005465</v>
      </c>
      <c r="D6148" s="11" t="s">
        <v>19367</v>
      </c>
      <c r="E6148" s="11" t="s">
        <v>19368</v>
      </c>
    </row>
    <row r="6149" spans="1:5">
      <c r="A6149" s="11" t="s">
        <v>19369</v>
      </c>
      <c r="B6149">
        <v>8005466</v>
      </c>
      <c r="D6149" s="11" t="s">
        <v>19370</v>
      </c>
      <c r="E6149" s="11" t="s">
        <v>19371</v>
      </c>
    </row>
    <row r="6150" spans="1:5">
      <c r="A6150" s="11" t="s">
        <v>19372</v>
      </c>
      <c r="B6150">
        <v>8005468</v>
      </c>
      <c r="D6150" s="11" t="s">
        <v>19373</v>
      </c>
      <c r="E6150" s="11" t="s">
        <v>19374</v>
      </c>
    </row>
    <row r="6151" spans="1:5">
      <c r="A6151" s="11" t="s">
        <v>19375</v>
      </c>
      <c r="B6151">
        <v>8006715</v>
      </c>
      <c r="D6151" s="11" t="s">
        <v>19376</v>
      </c>
      <c r="E6151" s="11" t="s">
        <v>19377</v>
      </c>
    </row>
    <row r="6152" spans="1:5">
      <c r="A6152" s="11" t="s">
        <v>19378</v>
      </c>
      <c r="B6152">
        <v>8012938</v>
      </c>
      <c r="D6152" s="11" t="s">
        <v>19379</v>
      </c>
      <c r="E6152" s="11" t="s">
        <v>19380</v>
      </c>
    </row>
    <row r="6153" spans="1:5">
      <c r="A6153" s="11" t="s">
        <v>19381</v>
      </c>
      <c r="B6153">
        <v>8010323</v>
      </c>
      <c r="D6153" s="11" t="s">
        <v>19382</v>
      </c>
      <c r="E6153" s="11" t="s">
        <v>19383</v>
      </c>
    </row>
    <row r="6154" spans="1:5">
      <c r="A6154" s="11" t="s">
        <v>19384</v>
      </c>
      <c r="B6154">
        <v>8012939</v>
      </c>
      <c r="D6154" s="11" t="s">
        <v>19385</v>
      </c>
      <c r="E6154" s="11" t="s">
        <v>19386</v>
      </c>
    </row>
    <row r="6155" spans="1:5">
      <c r="A6155" s="11" t="s">
        <v>19387</v>
      </c>
      <c r="B6155">
        <v>8005469</v>
      </c>
      <c r="D6155" s="11" t="s">
        <v>19388</v>
      </c>
      <c r="E6155" s="11" t="s">
        <v>19389</v>
      </c>
    </row>
    <row r="6156" spans="1:5">
      <c r="A6156" s="11" t="s">
        <v>19390</v>
      </c>
      <c r="B6156">
        <v>8012941</v>
      </c>
      <c r="D6156" s="11" t="s">
        <v>19391</v>
      </c>
      <c r="E6156" s="11" t="s">
        <v>19392</v>
      </c>
    </row>
    <row r="6157" spans="1:5">
      <c r="A6157" s="11" t="s">
        <v>19393</v>
      </c>
      <c r="B6157">
        <v>8012942</v>
      </c>
      <c r="D6157" s="11" t="s">
        <v>19394</v>
      </c>
      <c r="E6157" s="11" t="s">
        <v>19395</v>
      </c>
    </row>
    <row r="6158" spans="1:5">
      <c r="A6158" s="11" t="s">
        <v>19396</v>
      </c>
      <c r="B6158">
        <v>8012943</v>
      </c>
      <c r="D6158" s="11" t="s">
        <v>19397</v>
      </c>
      <c r="E6158" s="11" t="s">
        <v>19398</v>
      </c>
    </row>
    <row r="6159" spans="1:5">
      <c r="A6159" s="11" t="s">
        <v>19399</v>
      </c>
      <c r="B6159">
        <v>8012944</v>
      </c>
      <c r="D6159" s="11" t="s">
        <v>19400</v>
      </c>
      <c r="E6159" s="11" t="s">
        <v>19401</v>
      </c>
    </row>
    <row r="6160" spans="1:5">
      <c r="A6160" s="11" t="s">
        <v>19402</v>
      </c>
      <c r="B6160">
        <v>8005476</v>
      </c>
      <c r="D6160" s="11" t="s">
        <v>19403</v>
      </c>
      <c r="E6160" s="11" t="s">
        <v>6297</v>
      </c>
    </row>
    <row r="6161" spans="1:5">
      <c r="A6161" s="11" t="s">
        <v>19404</v>
      </c>
      <c r="B6161">
        <v>8005480</v>
      </c>
      <c r="D6161" s="11" t="s">
        <v>19405</v>
      </c>
      <c r="E6161" s="11" t="s">
        <v>19406</v>
      </c>
    </row>
    <row r="6162" spans="1:5">
      <c r="A6162" s="11" t="s">
        <v>1218</v>
      </c>
      <c r="B6162">
        <v>8007860</v>
      </c>
      <c r="D6162" s="11" t="s">
        <v>19407</v>
      </c>
      <c r="E6162" s="11" t="s">
        <v>19408</v>
      </c>
    </row>
    <row r="6163" spans="1:5">
      <c r="A6163" s="11" t="s">
        <v>19409</v>
      </c>
      <c r="B6163">
        <v>8012946</v>
      </c>
      <c r="D6163" s="11" t="s">
        <v>19410</v>
      </c>
      <c r="E6163" s="11" t="s">
        <v>19411</v>
      </c>
    </row>
    <row r="6164" spans="1:5">
      <c r="A6164" s="11" t="s">
        <v>19412</v>
      </c>
      <c r="B6164">
        <v>8000032</v>
      </c>
      <c r="D6164" s="11" t="s">
        <v>19413</v>
      </c>
      <c r="E6164" s="11" t="s">
        <v>19414</v>
      </c>
    </row>
    <row r="6165" spans="1:5">
      <c r="A6165" s="11" t="s">
        <v>19415</v>
      </c>
      <c r="B6165">
        <v>8005479</v>
      </c>
      <c r="D6165" s="11" t="s">
        <v>19416</v>
      </c>
      <c r="E6165" s="11" t="s">
        <v>19417</v>
      </c>
    </row>
    <row r="6166" spans="1:5">
      <c r="A6166" s="11" t="s">
        <v>19418</v>
      </c>
      <c r="B6166">
        <v>8005481</v>
      </c>
      <c r="D6166" s="11" t="s">
        <v>19419</v>
      </c>
      <c r="E6166" s="11" t="s">
        <v>19420</v>
      </c>
    </row>
    <row r="6167" spans="1:5">
      <c r="A6167" s="11" t="s">
        <v>19421</v>
      </c>
      <c r="B6167">
        <v>8012947</v>
      </c>
      <c r="D6167" s="11" t="s">
        <v>19422</v>
      </c>
      <c r="E6167" s="11" t="s">
        <v>19423</v>
      </c>
    </row>
    <row r="6168" spans="1:5">
      <c r="A6168" s="11" t="s">
        <v>19424</v>
      </c>
      <c r="B6168">
        <v>8005485</v>
      </c>
      <c r="D6168" s="11" t="s">
        <v>19425</v>
      </c>
      <c r="E6168" s="11" t="s">
        <v>19426</v>
      </c>
    </row>
    <row r="6169" spans="1:5">
      <c r="A6169" s="11" t="s">
        <v>19427</v>
      </c>
      <c r="B6169">
        <v>8000033</v>
      </c>
      <c r="D6169" s="11" t="s">
        <v>19428</v>
      </c>
      <c r="E6169" s="11" t="s">
        <v>19429</v>
      </c>
    </row>
    <row r="6170" spans="1:5">
      <c r="A6170" s="11" t="s">
        <v>19430</v>
      </c>
      <c r="B6170">
        <v>8005488</v>
      </c>
      <c r="D6170" s="11" t="s">
        <v>19431</v>
      </c>
      <c r="E6170" s="11" t="s">
        <v>19432</v>
      </c>
    </row>
    <row r="6171" spans="1:5">
      <c r="A6171" s="11" t="s">
        <v>19433</v>
      </c>
      <c r="B6171">
        <v>8005489</v>
      </c>
      <c r="D6171" s="11" t="s">
        <v>19434</v>
      </c>
      <c r="E6171" s="11" t="s">
        <v>19435</v>
      </c>
    </row>
    <row r="6172" spans="1:5">
      <c r="A6172" s="11" t="s">
        <v>19436</v>
      </c>
      <c r="B6172">
        <v>8005490</v>
      </c>
      <c r="D6172" s="11" t="s">
        <v>19437</v>
      </c>
      <c r="E6172" s="11" t="s">
        <v>19438</v>
      </c>
    </row>
    <row r="6173" spans="1:5">
      <c r="A6173" s="11" t="s">
        <v>19439</v>
      </c>
      <c r="B6173">
        <v>8012949</v>
      </c>
      <c r="D6173" s="11" t="s">
        <v>19440</v>
      </c>
      <c r="E6173" s="11" t="s">
        <v>19441</v>
      </c>
    </row>
    <row r="6174" spans="1:5">
      <c r="A6174" s="11" t="s">
        <v>19442</v>
      </c>
      <c r="B6174">
        <v>8071495</v>
      </c>
      <c r="D6174" s="11" t="s">
        <v>19443</v>
      </c>
      <c r="E6174" s="11" t="s">
        <v>19444</v>
      </c>
    </row>
    <row r="6175" spans="1:5">
      <c r="A6175" s="11" t="s">
        <v>19445</v>
      </c>
      <c r="B6175">
        <v>8010324</v>
      </c>
      <c r="D6175" s="11" t="s">
        <v>19446</v>
      </c>
      <c r="E6175" s="11" t="s">
        <v>19447</v>
      </c>
    </row>
    <row r="6176" spans="1:5">
      <c r="A6176" s="11" t="s">
        <v>19448</v>
      </c>
      <c r="B6176">
        <v>8017239</v>
      </c>
      <c r="D6176" s="11" t="s">
        <v>19449</v>
      </c>
      <c r="E6176" s="11" t="s">
        <v>19450</v>
      </c>
    </row>
    <row r="6177" spans="1:5">
      <c r="A6177" s="11" t="s">
        <v>19451</v>
      </c>
      <c r="B6177">
        <v>8012940</v>
      </c>
      <c r="D6177" s="11" t="s">
        <v>19452</v>
      </c>
      <c r="E6177" s="11" t="s">
        <v>19453</v>
      </c>
    </row>
    <row r="6178" spans="1:5">
      <c r="A6178" s="11" t="s">
        <v>19454</v>
      </c>
      <c r="B6178">
        <v>8012951</v>
      </c>
      <c r="D6178" s="11" t="s">
        <v>19455</v>
      </c>
      <c r="E6178" s="11" t="s">
        <v>19456</v>
      </c>
    </row>
    <row r="6179" spans="1:5">
      <c r="A6179" s="11" t="s">
        <v>19457</v>
      </c>
      <c r="B6179">
        <v>8010325</v>
      </c>
      <c r="D6179" s="11" t="s">
        <v>19458</v>
      </c>
      <c r="E6179" s="11" t="s">
        <v>19459</v>
      </c>
    </row>
    <row r="6180" spans="1:5">
      <c r="A6180" s="11" t="s">
        <v>19460</v>
      </c>
      <c r="B6180">
        <v>8012953</v>
      </c>
      <c r="D6180" s="11" t="s">
        <v>19461</v>
      </c>
      <c r="E6180" s="11" t="s">
        <v>19462</v>
      </c>
    </row>
    <row r="6181" spans="1:5">
      <c r="A6181" s="11" t="s">
        <v>19463</v>
      </c>
      <c r="B6181">
        <v>8012960</v>
      </c>
      <c r="D6181" s="11" t="s">
        <v>19464</v>
      </c>
      <c r="E6181" s="11" t="s">
        <v>19465</v>
      </c>
    </row>
    <row r="6182" spans="1:5">
      <c r="A6182" s="11" t="s">
        <v>19466</v>
      </c>
      <c r="B6182">
        <v>8012954</v>
      </c>
      <c r="D6182" s="11" t="s">
        <v>19467</v>
      </c>
      <c r="E6182" s="11" t="s">
        <v>19468</v>
      </c>
    </row>
    <row r="6183" spans="1:5">
      <c r="A6183" s="11" t="s">
        <v>19469</v>
      </c>
      <c r="B6183">
        <v>8013354</v>
      </c>
      <c r="D6183" s="11" t="s">
        <v>19470</v>
      </c>
      <c r="E6183" s="11" t="s">
        <v>19471</v>
      </c>
    </row>
    <row r="6184" spans="1:5">
      <c r="A6184" s="11" t="s">
        <v>19472</v>
      </c>
      <c r="B6184">
        <v>8000037</v>
      </c>
      <c r="D6184" s="11" t="s">
        <v>19473</v>
      </c>
      <c r="E6184" s="11" t="s">
        <v>19474</v>
      </c>
    </row>
    <row r="6185" spans="1:5">
      <c r="A6185" s="11" t="s">
        <v>19475</v>
      </c>
      <c r="B6185">
        <v>8001836</v>
      </c>
      <c r="D6185" s="11" t="s">
        <v>19476</v>
      </c>
      <c r="E6185" s="11" t="s">
        <v>19477</v>
      </c>
    </row>
    <row r="6186" spans="1:5">
      <c r="A6186" s="11" t="s">
        <v>19478</v>
      </c>
      <c r="B6186">
        <v>8070693</v>
      </c>
      <c r="D6186" s="11" t="s">
        <v>19479</v>
      </c>
      <c r="E6186" s="11" t="s">
        <v>19480</v>
      </c>
    </row>
    <row r="6187" spans="1:5">
      <c r="A6187" s="11" t="s">
        <v>19481</v>
      </c>
      <c r="B6187">
        <v>8005494</v>
      </c>
      <c r="D6187" s="11" t="s">
        <v>19482</v>
      </c>
      <c r="E6187" s="11" t="s">
        <v>19483</v>
      </c>
    </row>
    <row r="6188" spans="1:5">
      <c r="A6188" s="11" t="s">
        <v>19484</v>
      </c>
      <c r="B6188">
        <v>8005492</v>
      </c>
      <c r="D6188" s="11" t="s">
        <v>19485</v>
      </c>
      <c r="E6188" s="11" t="s">
        <v>19486</v>
      </c>
    </row>
    <row r="6189" spans="1:5">
      <c r="A6189" s="11" t="s">
        <v>19487</v>
      </c>
      <c r="B6189">
        <v>8005493</v>
      </c>
      <c r="D6189" s="11" t="s">
        <v>19488</v>
      </c>
      <c r="E6189" s="11" t="s">
        <v>19489</v>
      </c>
    </row>
    <row r="6190" spans="1:5">
      <c r="A6190" s="11" t="s">
        <v>19490</v>
      </c>
      <c r="B6190">
        <v>8007326</v>
      </c>
      <c r="D6190" s="11" t="s">
        <v>19491</v>
      </c>
      <c r="E6190" s="11" t="s">
        <v>19492</v>
      </c>
    </row>
    <row r="6191" spans="1:5">
      <c r="A6191" s="11" t="s">
        <v>19493</v>
      </c>
      <c r="B6191">
        <v>8070650</v>
      </c>
      <c r="D6191" s="11" t="s">
        <v>19494</v>
      </c>
      <c r="E6191" s="11" t="s">
        <v>19495</v>
      </c>
    </row>
    <row r="6192" spans="1:5">
      <c r="A6192" s="11" t="s">
        <v>19496</v>
      </c>
      <c r="B6192">
        <v>8005495</v>
      </c>
      <c r="D6192" s="11" t="s">
        <v>19497</v>
      </c>
      <c r="E6192" s="11" t="s">
        <v>19498</v>
      </c>
    </row>
    <row r="6193" spans="1:5">
      <c r="A6193" s="11" t="s">
        <v>19499</v>
      </c>
      <c r="B6193">
        <v>8005497</v>
      </c>
      <c r="D6193" s="11" t="s">
        <v>19500</v>
      </c>
      <c r="E6193" s="11" t="s">
        <v>19501</v>
      </c>
    </row>
    <row r="6194" spans="1:5">
      <c r="A6194" s="11" t="s">
        <v>19502</v>
      </c>
      <c r="B6194">
        <v>8012958</v>
      </c>
      <c r="D6194" s="11" t="s">
        <v>1539</v>
      </c>
      <c r="E6194" s="11" t="s">
        <v>1539</v>
      </c>
    </row>
    <row r="6195" spans="1:5">
      <c r="A6195" s="11" t="s">
        <v>19503</v>
      </c>
      <c r="B6195">
        <v>8012959</v>
      </c>
      <c r="D6195" s="11" t="s">
        <v>19504</v>
      </c>
      <c r="E6195" s="11" t="s">
        <v>19505</v>
      </c>
    </row>
    <row r="6196" spans="1:5">
      <c r="A6196" s="11" t="s">
        <v>19506</v>
      </c>
      <c r="B6196">
        <v>8005498</v>
      </c>
      <c r="D6196" s="11" t="s">
        <v>19507</v>
      </c>
      <c r="E6196" s="11" t="s">
        <v>19508</v>
      </c>
    </row>
    <row r="6197" spans="1:5">
      <c r="A6197" s="11" t="s">
        <v>19509</v>
      </c>
      <c r="B6197">
        <v>8005499</v>
      </c>
      <c r="D6197" s="11" t="s">
        <v>19510</v>
      </c>
      <c r="E6197" s="11" t="s">
        <v>19511</v>
      </c>
    </row>
    <row r="6198" spans="1:5">
      <c r="A6198" s="11" t="s">
        <v>19512</v>
      </c>
      <c r="B6198">
        <v>8000042</v>
      </c>
      <c r="D6198" s="11" t="s">
        <v>19513</v>
      </c>
      <c r="E6198" s="11" t="s">
        <v>19514</v>
      </c>
    </row>
    <row r="6199" spans="1:5">
      <c r="A6199" s="11" t="s">
        <v>19515</v>
      </c>
      <c r="B6199">
        <v>8013492</v>
      </c>
      <c r="D6199" s="11" t="s">
        <v>19516</v>
      </c>
      <c r="E6199" s="11" t="s">
        <v>19517</v>
      </c>
    </row>
    <row r="6200" spans="1:5">
      <c r="A6200" s="11" t="s">
        <v>19518</v>
      </c>
      <c r="B6200">
        <v>8010183</v>
      </c>
      <c r="D6200" s="11" t="s">
        <v>19519</v>
      </c>
      <c r="E6200" s="11" t="s">
        <v>19520</v>
      </c>
    </row>
    <row r="6201" spans="1:5">
      <c r="A6201" s="11" t="s">
        <v>19521</v>
      </c>
      <c r="B6201">
        <v>8089141</v>
      </c>
      <c r="D6201" s="11" t="s">
        <v>19522</v>
      </c>
      <c r="E6201" s="11" t="s">
        <v>19523</v>
      </c>
    </row>
    <row r="6202" spans="1:5">
      <c r="A6202" s="11" t="s">
        <v>19524</v>
      </c>
      <c r="B6202">
        <v>8012961</v>
      </c>
      <c r="D6202" s="11" t="s">
        <v>19525</v>
      </c>
      <c r="E6202" s="11" t="s">
        <v>19526</v>
      </c>
    </row>
    <row r="6203" spans="1:5">
      <c r="A6203" s="11" t="s">
        <v>19527</v>
      </c>
      <c r="B6203">
        <v>8012962</v>
      </c>
      <c r="D6203" s="11" t="s">
        <v>19528</v>
      </c>
      <c r="E6203" s="11" t="s">
        <v>19529</v>
      </c>
    </row>
    <row r="6204" spans="1:5">
      <c r="A6204" s="11" t="s">
        <v>19530</v>
      </c>
      <c r="B6204">
        <v>8012963</v>
      </c>
      <c r="D6204" s="11" t="s">
        <v>19531</v>
      </c>
      <c r="E6204" s="11" t="s">
        <v>19532</v>
      </c>
    </row>
    <row r="6205" spans="1:5">
      <c r="A6205" s="11" t="s">
        <v>19533</v>
      </c>
      <c r="B6205">
        <v>8012964</v>
      </c>
      <c r="D6205" s="11" t="s">
        <v>19534</v>
      </c>
      <c r="E6205" s="11" t="s">
        <v>19535</v>
      </c>
    </row>
    <row r="6206" spans="1:5">
      <c r="A6206" s="11" t="s">
        <v>19536</v>
      </c>
      <c r="B6206">
        <v>8012965</v>
      </c>
      <c r="D6206" s="11" t="s">
        <v>19537</v>
      </c>
      <c r="E6206" s="11" t="s">
        <v>19538</v>
      </c>
    </row>
    <row r="6207" spans="1:5">
      <c r="A6207" s="11" t="s">
        <v>1362</v>
      </c>
      <c r="B6207">
        <v>8005502</v>
      </c>
      <c r="D6207" s="11" t="s">
        <v>19539</v>
      </c>
      <c r="E6207" s="11" t="s">
        <v>19540</v>
      </c>
    </row>
    <row r="6208" spans="1:5">
      <c r="A6208" s="11" t="s">
        <v>19541</v>
      </c>
      <c r="B6208">
        <v>8012966</v>
      </c>
      <c r="D6208" s="11" t="s">
        <v>19542</v>
      </c>
      <c r="E6208" s="11" t="s">
        <v>19543</v>
      </c>
    </row>
    <row r="6209" spans="1:5">
      <c r="A6209" s="11" t="s">
        <v>19544</v>
      </c>
      <c r="B6209">
        <v>8081060</v>
      </c>
      <c r="D6209" s="11" t="s">
        <v>19545</v>
      </c>
      <c r="E6209" s="11" t="s">
        <v>19546</v>
      </c>
    </row>
    <row r="6210" spans="1:5">
      <c r="A6210" s="11" t="s">
        <v>19547</v>
      </c>
      <c r="B6210">
        <v>8005504</v>
      </c>
      <c r="D6210" s="11" t="s">
        <v>19548</v>
      </c>
      <c r="E6210" s="11" t="s">
        <v>19549</v>
      </c>
    </row>
    <row r="6211" spans="1:5">
      <c r="A6211" s="11" t="s">
        <v>19550</v>
      </c>
      <c r="B6211">
        <v>8005505</v>
      </c>
      <c r="D6211" s="11" t="s">
        <v>19551</v>
      </c>
      <c r="E6211" s="11" t="s">
        <v>19552</v>
      </c>
    </row>
    <row r="6212" spans="1:5">
      <c r="A6212" s="11" t="s">
        <v>19553</v>
      </c>
      <c r="B6212">
        <v>8081586</v>
      </c>
      <c r="D6212" s="11" t="s">
        <v>19554</v>
      </c>
      <c r="E6212" s="11" t="s">
        <v>19555</v>
      </c>
    </row>
    <row r="6213" spans="1:5">
      <c r="A6213" s="11" t="s">
        <v>19556</v>
      </c>
      <c r="B6213">
        <v>8012967</v>
      </c>
      <c r="D6213" s="11" t="s">
        <v>19557</v>
      </c>
      <c r="E6213" s="11" t="s">
        <v>19558</v>
      </c>
    </row>
    <row r="6214" spans="1:5">
      <c r="A6214" s="11" t="s">
        <v>19559</v>
      </c>
      <c r="B6214">
        <v>8012968</v>
      </c>
      <c r="D6214" s="11" t="s">
        <v>19560</v>
      </c>
      <c r="E6214" s="11" t="s">
        <v>19561</v>
      </c>
    </row>
    <row r="6215" spans="1:5">
      <c r="A6215" s="11" t="s">
        <v>19562</v>
      </c>
      <c r="B6215">
        <v>8005506</v>
      </c>
      <c r="D6215" s="11" t="s">
        <v>19563</v>
      </c>
      <c r="E6215" s="11" t="s">
        <v>19564</v>
      </c>
    </row>
    <row r="6216" spans="1:5">
      <c r="A6216" s="11" t="s">
        <v>19565</v>
      </c>
      <c r="B6216">
        <v>8012973</v>
      </c>
      <c r="D6216" s="11" t="s">
        <v>19566</v>
      </c>
      <c r="E6216" s="11" t="s">
        <v>19567</v>
      </c>
    </row>
    <row r="6217" spans="1:5">
      <c r="A6217" s="11" t="s">
        <v>19568</v>
      </c>
      <c r="B6217">
        <v>8011788</v>
      </c>
      <c r="D6217" s="11" t="s">
        <v>19569</v>
      </c>
      <c r="E6217" s="11" t="s">
        <v>19570</v>
      </c>
    </row>
    <row r="6218" spans="1:5">
      <c r="A6218" s="11" t="s">
        <v>19571</v>
      </c>
      <c r="B6218">
        <v>8012974</v>
      </c>
      <c r="D6218" s="11" t="s">
        <v>19572</v>
      </c>
      <c r="E6218" s="11" t="s">
        <v>19573</v>
      </c>
    </row>
    <row r="6219" spans="1:5">
      <c r="A6219" s="11" t="s">
        <v>19574</v>
      </c>
      <c r="B6219">
        <v>8005507</v>
      </c>
      <c r="D6219" s="11" t="s">
        <v>19575</v>
      </c>
      <c r="E6219" s="11" t="s">
        <v>19576</v>
      </c>
    </row>
    <row r="6220" spans="1:5">
      <c r="A6220" s="11" t="s">
        <v>19577</v>
      </c>
      <c r="B6220">
        <v>8012975</v>
      </c>
      <c r="D6220" s="11" t="s">
        <v>19578</v>
      </c>
      <c r="E6220" s="11" t="s">
        <v>19579</v>
      </c>
    </row>
    <row r="6221" spans="1:5">
      <c r="A6221" s="11" t="s">
        <v>19580</v>
      </c>
      <c r="B6221">
        <v>8000043</v>
      </c>
      <c r="D6221" s="11" t="s">
        <v>19581</v>
      </c>
      <c r="E6221" s="11" t="s">
        <v>19582</v>
      </c>
    </row>
    <row r="6222" spans="1:5">
      <c r="A6222" s="11" t="s">
        <v>19583</v>
      </c>
      <c r="B6222">
        <v>8005508</v>
      </c>
      <c r="D6222" s="11" t="s">
        <v>19584</v>
      </c>
      <c r="E6222" s="11" t="s">
        <v>19585</v>
      </c>
    </row>
    <row r="6223" spans="1:5">
      <c r="A6223" s="11" t="s">
        <v>19586</v>
      </c>
      <c r="B6223">
        <v>8005510</v>
      </c>
      <c r="D6223" s="11" t="s">
        <v>19587</v>
      </c>
      <c r="E6223" s="11" t="s">
        <v>19588</v>
      </c>
    </row>
    <row r="6224" spans="1:5">
      <c r="A6224" s="11" t="s">
        <v>19589</v>
      </c>
      <c r="B6224">
        <v>8012976</v>
      </c>
      <c r="D6224" s="11" t="s">
        <v>19590</v>
      </c>
      <c r="E6224" s="11" t="s">
        <v>19591</v>
      </c>
    </row>
    <row r="6225" spans="1:5">
      <c r="A6225" s="11" t="s">
        <v>19592</v>
      </c>
      <c r="B6225">
        <v>8005511</v>
      </c>
      <c r="D6225" s="11" t="s">
        <v>19593</v>
      </c>
      <c r="E6225" s="11" t="s">
        <v>19594</v>
      </c>
    </row>
    <row r="6226" spans="1:5">
      <c r="A6226" s="11" t="s">
        <v>19595</v>
      </c>
      <c r="B6226">
        <v>8005512</v>
      </c>
      <c r="D6226" s="11" t="s">
        <v>19596</v>
      </c>
      <c r="E6226" s="11" t="s">
        <v>19597</v>
      </c>
    </row>
    <row r="6227" spans="1:5">
      <c r="A6227" s="11" t="s">
        <v>19598</v>
      </c>
      <c r="B6227">
        <v>8012977</v>
      </c>
      <c r="D6227" s="11" t="s">
        <v>19599</v>
      </c>
      <c r="E6227" s="11" t="s">
        <v>19600</v>
      </c>
    </row>
    <row r="6228" spans="1:5">
      <c r="A6228" s="11" t="s">
        <v>19601</v>
      </c>
      <c r="B6228">
        <v>8012979</v>
      </c>
      <c r="D6228" s="11" t="s">
        <v>19602</v>
      </c>
      <c r="E6228" s="11" t="s">
        <v>19603</v>
      </c>
    </row>
    <row r="6229" spans="1:5">
      <c r="A6229" s="11" t="s">
        <v>19604</v>
      </c>
      <c r="B6229">
        <v>8012981</v>
      </c>
      <c r="D6229" s="11" t="s">
        <v>19605</v>
      </c>
      <c r="E6229" s="11" t="s">
        <v>19606</v>
      </c>
    </row>
    <row r="6230" spans="1:5">
      <c r="A6230" s="11" t="s">
        <v>19607</v>
      </c>
      <c r="B6230">
        <v>8005516</v>
      </c>
      <c r="D6230" s="11" t="s">
        <v>19608</v>
      </c>
      <c r="E6230" s="11" t="s">
        <v>19609</v>
      </c>
    </row>
    <row r="6231" spans="1:5">
      <c r="A6231" s="11" t="s">
        <v>19610</v>
      </c>
      <c r="B6231">
        <v>8005517</v>
      </c>
      <c r="D6231" s="11" t="s">
        <v>19611</v>
      </c>
      <c r="E6231" s="11" t="s">
        <v>19612</v>
      </c>
    </row>
    <row r="6232" spans="1:5">
      <c r="A6232" s="11" t="s">
        <v>19613</v>
      </c>
      <c r="B6232">
        <v>8081098</v>
      </c>
      <c r="D6232" s="11" t="s">
        <v>19614</v>
      </c>
      <c r="E6232" s="11" t="s">
        <v>19615</v>
      </c>
    </row>
    <row r="6233" spans="1:5">
      <c r="A6233" s="11" t="s">
        <v>19616</v>
      </c>
      <c r="B6233">
        <v>8005520</v>
      </c>
      <c r="D6233" s="11" t="s">
        <v>19617</v>
      </c>
      <c r="E6233" s="11" t="s">
        <v>19618</v>
      </c>
    </row>
    <row r="6234" spans="1:5">
      <c r="A6234" s="11" t="s">
        <v>19619</v>
      </c>
      <c r="B6234">
        <v>8005518</v>
      </c>
      <c r="D6234" s="11" t="s">
        <v>19620</v>
      </c>
      <c r="E6234" s="11" t="s">
        <v>19621</v>
      </c>
    </row>
    <row r="6235" spans="1:5">
      <c r="A6235" s="11" t="s">
        <v>19622</v>
      </c>
      <c r="B6235">
        <v>8017447</v>
      </c>
      <c r="D6235" s="11" t="s">
        <v>1539</v>
      </c>
      <c r="E6235" s="11" t="s">
        <v>1539</v>
      </c>
    </row>
    <row r="6236" spans="1:5">
      <c r="A6236" s="11" t="s">
        <v>19623</v>
      </c>
      <c r="B6236">
        <v>8007835</v>
      </c>
      <c r="D6236" s="11" t="s">
        <v>19624</v>
      </c>
      <c r="E6236" s="11" t="s">
        <v>19625</v>
      </c>
    </row>
    <row r="6237" spans="1:5">
      <c r="A6237" s="11" t="s">
        <v>19626</v>
      </c>
      <c r="B6237">
        <v>8070859</v>
      </c>
      <c r="D6237" s="11" t="s">
        <v>19627</v>
      </c>
      <c r="E6237" s="11" t="s">
        <v>19628</v>
      </c>
    </row>
    <row r="6238" spans="1:5">
      <c r="A6238" s="11" t="s">
        <v>566</v>
      </c>
      <c r="B6238">
        <v>8005523</v>
      </c>
      <c r="D6238" s="11" t="s">
        <v>568</v>
      </c>
      <c r="E6238" s="11" t="s">
        <v>569</v>
      </c>
    </row>
    <row r="6239" spans="1:5">
      <c r="A6239" s="11" t="s">
        <v>19629</v>
      </c>
      <c r="B6239">
        <v>8005522</v>
      </c>
      <c r="D6239" s="11" t="s">
        <v>19630</v>
      </c>
      <c r="E6239" s="11" t="s">
        <v>19631</v>
      </c>
    </row>
    <row r="6240" spans="1:5">
      <c r="A6240" s="11" t="s">
        <v>19632</v>
      </c>
      <c r="B6240">
        <v>8012983</v>
      </c>
      <c r="D6240" s="11" t="s">
        <v>19633</v>
      </c>
      <c r="E6240" s="11" t="s">
        <v>19634</v>
      </c>
    </row>
    <row r="6241" spans="1:5">
      <c r="A6241" s="11" t="s">
        <v>19635</v>
      </c>
      <c r="B6241">
        <v>8070258</v>
      </c>
      <c r="D6241" s="11" t="s">
        <v>19636</v>
      </c>
      <c r="E6241" s="11" t="s">
        <v>19637</v>
      </c>
    </row>
    <row r="6242" spans="1:5">
      <c r="A6242" s="11" t="s">
        <v>19638</v>
      </c>
      <c r="B6242">
        <v>8007811</v>
      </c>
      <c r="D6242" s="11" t="s">
        <v>19639</v>
      </c>
      <c r="E6242" s="11" t="s">
        <v>19640</v>
      </c>
    </row>
    <row r="6243" spans="1:5">
      <c r="A6243" s="11" t="s">
        <v>19641</v>
      </c>
      <c r="B6243">
        <v>8005525</v>
      </c>
      <c r="D6243" s="11" t="s">
        <v>19642</v>
      </c>
      <c r="E6243" s="11" t="s">
        <v>19643</v>
      </c>
    </row>
    <row r="6244" spans="1:5">
      <c r="A6244" s="11" t="s">
        <v>19644</v>
      </c>
      <c r="B6244">
        <v>8005526</v>
      </c>
      <c r="D6244" s="11" t="s">
        <v>19645</v>
      </c>
      <c r="E6244" s="11" t="s">
        <v>19646</v>
      </c>
    </row>
    <row r="6245" spans="1:5">
      <c r="A6245" s="11" t="s">
        <v>19647</v>
      </c>
      <c r="B6245">
        <v>8012984</v>
      </c>
      <c r="D6245" s="11" t="s">
        <v>19648</v>
      </c>
      <c r="E6245" s="11" t="s">
        <v>19649</v>
      </c>
    </row>
    <row r="6246" spans="1:5">
      <c r="A6246" s="11" t="s">
        <v>19650</v>
      </c>
      <c r="B6246">
        <v>8005532</v>
      </c>
      <c r="D6246" s="11" t="s">
        <v>19651</v>
      </c>
      <c r="E6246" s="11" t="s">
        <v>19652</v>
      </c>
    </row>
    <row r="6247" spans="1:5">
      <c r="A6247" s="11" t="s">
        <v>19653</v>
      </c>
      <c r="B6247">
        <v>8001065</v>
      </c>
      <c r="D6247" s="11" t="s">
        <v>19654</v>
      </c>
      <c r="E6247" s="11" t="s">
        <v>19655</v>
      </c>
    </row>
    <row r="6248" spans="1:5">
      <c r="A6248" s="11" t="s">
        <v>19656</v>
      </c>
      <c r="B6248">
        <v>8010327</v>
      </c>
      <c r="D6248" s="11" t="s">
        <v>19657</v>
      </c>
      <c r="E6248" s="11" t="s">
        <v>19658</v>
      </c>
    </row>
    <row r="6249" spans="1:5">
      <c r="A6249" s="11" t="s">
        <v>19659</v>
      </c>
      <c r="B6249">
        <v>8005536</v>
      </c>
      <c r="D6249" s="11" t="s">
        <v>19660</v>
      </c>
      <c r="E6249" s="11" t="s">
        <v>19661</v>
      </c>
    </row>
    <row r="6250" spans="1:5">
      <c r="A6250" s="11" t="s">
        <v>19662</v>
      </c>
      <c r="B6250">
        <v>8012986</v>
      </c>
      <c r="D6250" s="11" t="s">
        <v>19663</v>
      </c>
      <c r="E6250" s="11" t="s">
        <v>19664</v>
      </c>
    </row>
    <row r="6251" spans="1:5">
      <c r="A6251" s="11" t="s">
        <v>19665</v>
      </c>
      <c r="B6251">
        <v>8005539</v>
      </c>
      <c r="D6251" s="11" t="s">
        <v>19666</v>
      </c>
      <c r="E6251" s="11" t="s">
        <v>19667</v>
      </c>
    </row>
    <row r="6252" spans="1:5">
      <c r="A6252" s="11" t="s">
        <v>19668</v>
      </c>
      <c r="B6252">
        <v>8005540</v>
      </c>
      <c r="D6252" s="11" t="s">
        <v>19669</v>
      </c>
      <c r="E6252" s="11" t="s">
        <v>19670</v>
      </c>
    </row>
    <row r="6253" spans="1:5">
      <c r="A6253" s="11" t="s">
        <v>19671</v>
      </c>
      <c r="B6253">
        <v>8005543</v>
      </c>
      <c r="D6253" s="11" t="s">
        <v>19672</v>
      </c>
      <c r="E6253" s="11" t="s">
        <v>19673</v>
      </c>
    </row>
    <row r="6254" spans="1:5">
      <c r="A6254" s="11" t="s">
        <v>19674</v>
      </c>
      <c r="B6254">
        <v>8005544</v>
      </c>
      <c r="D6254" s="11" t="s">
        <v>19675</v>
      </c>
      <c r="E6254" s="11" t="s">
        <v>19676</v>
      </c>
    </row>
    <row r="6255" spans="1:5">
      <c r="A6255" s="11" t="s">
        <v>19677</v>
      </c>
      <c r="B6255">
        <v>8005545</v>
      </c>
      <c r="D6255" s="11" t="s">
        <v>19678</v>
      </c>
      <c r="E6255" s="11" t="s">
        <v>19679</v>
      </c>
    </row>
    <row r="6256" spans="1:5">
      <c r="A6256" s="11" t="s">
        <v>19680</v>
      </c>
      <c r="B6256">
        <v>8005547</v>
      </c>
      <c r="D6256" s="11" t="s">
        <v>19681</v>
      </c>
      <c r="E6256" s="11" t="s">
        <v>19682</v>
      </c>
    </row>
    <row r="6257" spans="1:5">
      <c r="A6257" s="11" t="s">
        <v>19683</v>
      </c>
      <c r="B6257">
        <v>8005551</v>
      </c>
      <c r="D6257" s="11" t="s">
        <v>19684</v>
      </c>
      <c r="E6257" s="11" t="s">
        <v>19685</v>
      </c>
    </row>
    <row r="6258" spans="1:5">
      <c r="A6258" s="11" t="s">
        <v>19686</v>
      </c>
      <c r="B6258">
        <v>8012989</v>
      </c>
      <c r="D6258" s="11" t="s">
        <v>19687</v>
      </c>
      <c r="E6258" s="11" t="s">
        <v>19688</v>
      </c>
    </row>
    <row r="6259" spans="1:5">
      <c r="A6259" s="11" t="s">
        <v>19689</v>
      </c>
      <c r="B6259">
        <v>8005555</v>
      </c>
      <c r="D6259" s="11" t="s">
        <v>19690</v>
      </c>
      <c r="E6259" s="11" t="s">
        <v>19691</v>
      </c>
    </row>
    <row r="6260" spans="1:5">
      <c r="A6260" s="11" t="s">
        <v>19692</v>
      </c>
      <c r="B6260">
        <v>8075556</v>
      </c>
      <c r="D6260" s="11" t="s">
        <v>1539</v>
      </c>
      <c r="E6260" s="11" t="s">
        <v>1539</v>
      </c>
    </row>
    <row r="6261" spans="1:5">
      <c r="A6261" s="11" t="s">
        <v>19693</v>
      </c>
      <c r="B6261">
        <v>8005556</v>
      </c>
      <c r="D6261" s="11" t="s">
        <v>19694</v>
      </c>
      <c r="E6261" s="11" t="s">
        <v>19695</v>
      </c>
    </row>
    <row r="6262" spans="1:5">
      <c r="A6262" s="11" t="s">
        <v>19696</v>
      </c>
      <c r="B6262">
        <v>8007438</v>
      </c>
      <c r="D6262" s="11" t="s">
        <v>19697</v>
      </c>
      <c r="E6262" s="11" t="s">
        <v>19698</v>
      </c>
    </row>
    <row r="6263" spans="1:5">
      <c r="A6263" s="11" t="s">
        <v>19699</v>
      </c>
      <c r="B6263">
        <v>8005557</v>
      </c>
      <c r="D6263" s="11" t="s">
        <v>19700</v>
      </c>
      <c r="E6263" s="11" t="s">
        <v>19701</v>
      </c>
    </row>
    <row r="6264" spans="1:5">
      <c r="A6264" s="11" t="s">
        <v>19702</v>
      </c>
      <c r="B6264">
        <v>8000046</v>
      </c>
      <c r="D6264" s="11" t="s">
        <v>19703</v>
      </c>
      <c r="E6264" s="11" t="s">
        <v>19704</v>
      </c>
    </row>
    <row r="6265" spans="1:5">
      <c r="A6265" s="11" t="s">
        <v>19705</v>
      </c>
      <c r="B6265">
        <v>8003018</v>
      </c>
      <c r="D6265" s="11" t="s">
        <v>19706</v>
      </c>
      <c r="E6265" s="11" t="s">
        <v>19707</v>
      </c>
    </row>
    <row r="6266" spans="1:5">
      <c r="A6266" s="11" t="s">
        <v>19708</v>
      </c>
      <c r="B6266">
        <v>8003020</v>
      </c>
      <c r="D6266" s="11" t="s">
        <v>19709</v>
      </c>
      <c r="E6266" s="11" t="s">
        <v>19710</v>
      </c>
    </row>
    <row r="6267" spans="1:5">
      <c r="A6267" s="11" t="s">
        <v>19711</v>
      </c>
      <c r="B6267">
        <v>8005559</v>
      </c>
      <c r="D6267" s="11" t="s">
        <v>19712</v>
      </c>
      <c r="E6267" s="11" t="s">
        <v>19713</v>
      </c>
    </row>
    <row r="6268" spans="1:5">
      <c r="A6268" s="11" t="s">
        <v>19714</v>
      </c>
      <c r="B6268">
        <v>8005561</v>
      </c>
      <c r="D6268" s="11" t="s">
        <v>19715</v>
      </c>
      <c r="E6268" s="11" t="s">
        <v>19716</v>
      </c>
    </row>
    <row r="6269" spans="1:5">
      <c r="A6269" s="11" t="s">
        <v>19717</v>
      </c>
      <c r="B6269">
        <v>8005562</v>
      </c>
      <c r="D6269" s="11" t="s">
        <v>19718</v>
      </c>
      <c r="E6269" s="11" t="s">
        <v>19719</v>
      </c>
    </row>
    <row r="6270" spans="1:5">
      <c r="A6270" s="11" t="s">
        <v>19720</v>
      </c>
      <c r="B6270">
        <v>8000060</v>
      </c>
      <c r="D6270" s="11" t="s">
        <v>19721</v>
      </c>
      <c r="E6270" s="11" t="s">
        <v>19722</v>
      </c>
    </row>
    <row r="6271" spans="1:5">
      <c r="A6271" s="11" t="s">
        <v>19723</v>
      </c>
      <c r="B6271">
        <v>8012992</v>
      </c>
      <c r="D6271" s="11" t="s">
        <v>19724</v>
      </c>
      <c r="E6271" s="11" t="s">
        <v>19725</v>
      </c>
    </row>
    <row r="6272" spans="1:5">
      <c r="A6272" s="11" t="s">
        <v>19726</v>
      </c>
      <c r="B6272">
        <v>8005566</v>
      </c>
      <c r="D6272" s="11" t="s">
        <v>19727</v>
      </c>
      <c r="E6272" s="11" t="s">
        <v>19728</v>
      </c>
    </row>
    <row r="6273" spans="1:5">
      <c r="A6273" s="11" t="s">
        <v>19729</v>
      </c>
      <c r="B6273">
        <v>8000069</v>
      </c>
      <c r="D6273" s="11" t="s">
        <v>19730</v>
      </c>
      <c r="E6273" s="11" t="s">
        <v>19731</v>
      </c>
    </row>
    <row r="6274" spans="1:5">
      <c r="A6274" s="11" t="s">
        <v>19732</v>
      </c>
      <c r="B6274">
        <v>8005568</v>
      </c>
      <c r="D6274" s="11" t="s">
        <v>19733</v>
      </c>
      <c r="E6274" s="11" t="s">
        <v>19734</v>
      </c>
    </row>
    <row r="6275" spans="1:5">
      <c r="A6275" s="11" t="s">
        <v>19735</v>
      </c>
      <c r="B6275">
        <v>8005569</v>
      </c>
      <c r="D6275" s="11" t="s">
        <v>19736</v>
      </c>
      <c r="E6275" s="11" t="s">
        <v>19737</v>
      </c>
    </row>
    <row r="6276" spans="1:5">
      <c r="A6276" s="11" t="s">
        <v>19738</v>
      </c>
      <c r="B6276">
        <v>8012993</v>
      </c>
      <c r="D6276" s="11" t="s">
        <v>19739</v>
      </c>
      <c r="E6276" s="11" t="s">
        <v>19740</v>
      </c>
    </row>
    <row r="6277" spans="1:5">
      <c r="A6277" s="11" t="s">
        <v>19741</v>
      </c>
      <c r="B6277">
        <v>8017023</v>
      </c>
      <c r="D6277" s="11" t="s">
        <v>19742</v>
      </c>
      <c r="E6277" s="11" t="s">
        <v>19743</v>
      </c>
    </row>
    <row r="6278" spans="1:5">
      <c r="A6278" s="11" t="s">
        <v>19744</v>
      </c>
      <c r="B6278">
        <v>8012996</v>
      </c>
      <c r="D6278" s="11" t="s">
        <v>19745</v>
      </c>
      <c r="E6278" s="11" t="s">
        <v>19746</v>
      </c>
    </row>
    <row r="6279" spans="1:5">
      <c r="A6279" s="11" t="s">
        <v>19747</v>
      </c>
      <c r="B6279">
        <v>8000072</v>
      </c>
      <c r="D6279" s="11" t="s">
        <v>19748</v>
      </c>
      <c r="E6279" s="11" t="s">
        <v>19749</v>
      </c>
    </row>
    <row r="6280" spans="1:5">
      <c r="A6280" s="11" t="s">
        <v>1503</v>
      </c>
      <c r="B6280">
        <v>8005572</v>
      </c>
      <c r="D6280" s="11" t="s">
        <v>19750</v>
      </c>
      <c r="E6280" s="11" t="s">
        <v>19751</v>
      </c>
    </row>
    <row r="6281" spans="1:5">
      <c r="A6281" s="11" t="s">
        <v>19752</v>
      </c>
      <c r="B6281">
        <v>8074450</v>
      </c>
      <c r="D6281" s="11" t="s">
        <v>19753</v>
      </c>
      <c r="E6281" s="11" t="s">
        <v>19754</v>
      </c>
    </row>
    <row r="6282" spans="1:5">
      <c r="A6282" s="11" t="s">
        <v>19755</v>
      </c>
      <c r="B6282">
        <v>8005573</v>
      </c>
      <c r="D6282" s="11" t="s">
        <v>19756</v>
      </c>
      <c r="E6282" s="11" t="s">
        <v>19757</v>
      </c>
    </row>
    <row r="6283" spans="1:5">
      <c r="A6283" s="11" t="s">
        <v>19758</v>
      </c>
      <c r="B6283">
        <v>8005574</v>
      </c>
      <c r="D6283" s="11" t="s">
        <v>19759</v>
      </c>
      <c r="E6283" s="11" t="s">
        <v>19760</v>
      </c>
    </row>
    <row r="6284" spans="1:5">
      <c r="A6284" s="11" t="s">
        <v>19761</v>
      </c>
      <c r="B6284">
        <v>8005575</v>
      </c>
      <c r="D6284" s="11" t="s">
        <v>19762</v>
      </c>
      <c r="E6284" s="11" t="s">
        <v>19763</v>
      </c>
    </row>
    <row r="6285" spans="1:5">
      <c r="A6285" s="11" t="s">
        <v>19764</v>
      </c>
      <c r="B6285">
        <v>8079616</v>
      </c>
      <c r="D6285" s="11" t="s">
        <v>19765</v>
      </c>
      <c r="E6285" s="11" t="s">
        <v>19766</v>
      </c>
    </row>
    <row r="6286" spans="1:5">
      <c r="A6286" s="11" t="s">
        <v>19767</v>
      </c>
      <c r="B6286">
        <v>8005560</v>
      </c>
      <c r="D6286" s="11" t="s">
        <v>19768</v>
      </c>
      <c r="E6286" s="11" t="s">
        <v>19769</v>
      </c>
    </row>
    <row r="6287" spans="1:5">
      <c r="A6287" s="11" t="s">
        <v>19770</v>
      </c>
      <c r="B6287">
        <v>8000073</v>
      </c>
      <c r="D6287" s="11" t="s">
        <v>19771</v>
      </c>
      <c r="E6287" s="11" t="s">
        <v>19772</v>
      </c>
    </row>
    <row r="6288" spans="1:5">
      <c r="A6288" s="11" t="s">
        <v>19773</v>
      </c>
      <c r="B6288">
        <v>8012998</v>
      </c>
      <c r="D6288" s="11" t="s">
        <v>19774</v>
      </c>
      <c r="E6288" s="11" t="s">
        <v>19775</v>
      </c>
    </row>
    <row r="6289" spans="1:5">
      <c r="A6289" s="11" t="s">
        <v>19776</v>
      </c>
      <c r="B6289">
        <v>8005576</v>
      </c>
      <c r="D6289" s="11" t="s">
        <v>19777</v>
      </c>
      <c r="E6289" s="11" t="s">
        <v>19778</v>
      </c>
    </row>
    <row r="6290" spans="1:5">
      <c r="A6290" s="11" t="s">
        <v>19779</v>
      </c>
      <c r="B6290">
        <v>8005577</v>
      </c>
      <c r="D6290" s="11" t="s">
        <v>19780</v>
      </c>
      <c r="E6290" s="11" t="s">
        <v>19781</v>
      </c>
    </row>
    <row r="6291" spans="1:5">
      <c r="A6291" s="11" t="s">
        <v>19782</v>
      </c>
      <c r="B6291">
        <v>8070097</v>
      </c>
      <c r="D6291" s="11" t="s">
        <v>19783</v>
      </c>
      <c r="E6291" s="11" t="s">
        <v>19784</v>
      </c>
    </row>
    <row r="6292" spans="1:5">
      <c r="A6292" s="11" t="s">
        <v>19785</v>
      </c>
      <c r="B6292">
        <v>8005578</v>
      </c>
      <c r="D6292" s="11" t="s">
        <v>19786</v>
      </c>
      <c r="E6292" s="11" t="s">
        <v>19787</v>
      </c>
    </row>
    <row r="6293" spans="1:5">
      <c r="A6293" s="11" t="s">
        <v>19788</v>
      </c>
      <c r="B6293">
        <v>8005587</v>
      </c>
      <c r="D6293" s="11" t="s">
        <v>19789</v>
      </c>
      <c r="E6293" s="11" t="s">
        <v>19790</v>
      </c>
    </row>
    <row r="6294" spans="1:5">
      <c r="A6294" s="11" t="s">
        <v>19791</v>
      </c>
      <c r="B6294">
        <v>8005588</v>
      </c>
      <c r="D6294" s="11" t="s">
        <v>19792</v>
      </c>
      <c r="E6294" s="11" t="s">
        <v>19793</v>
      </c>
    </row>
    <row r="6295" spans="1:5">
      <c r="A6295" s="11" t="s">
        <v>19794</v>
      </c>
      <c r="B6295">
        <v>8005580</v>
      </c>
      <c r="D6295" s="11" t="s">
        <v>19795</v>
      </c>
      <c r="E6295" s="11" t="s">
        <v>19796</v>
      </c>
    </row>
    <row r="6296" spans="1:5">
      <c r="A6296" s="11" t="s">
        <v>19797</v>
      </c>
      <c r="B6296">
        <v>8005581</v>
      </c>
      <c r="D6296" s="11" t="s">
        <v>19798</v>
      </c>
      <c r="E6296" s="11" t="s">
        <v>19799</v>
      </c>
    </row>
    <row r="6297" spans="1:5">
      <c r="A6297" s="11" t="s">
        <v>19800</v>
      </c>
      <c r="B6297">
        <v>8005582</v>
      </c>
      <c r="D6297" s="11" t="s">
        <v>19801</v>
      </c>
      <c r="E6297" s="11" t="s">
        <v>19802</v>
      </c>
    </row>
    <row r="6298" spans="1:5">
      <c r="A6298" s="11" t="s">
        <v>19803</v>
      </c>
      <c r="B6298">
        <v>8013000</v>
      </c>
      <c r="D6298" s="11" t="s">
        <v>19804</v>
      </c>
      <c r="E6298" s="11" t="s">
        <v>19805</v>
      </c>
    </row>
    <row r="6299" spans="1:5">
      <c r="A6299" s="11" t="s">
        <v>19806</v>
      </c>
      <c r="B6299">
        <v>8000076</v>
      </c>
      <c r="D6299" s="11" t="s">
        <v>19807</v>
      </c>
      <c r="E6299" s="11" t="s">
        <v>19808</v>
      </c>
    </row>
    <row r="6300" spans="1:5">
      <c r="A6300" s="11" t="s">
        <v>19809</v>
      </c>
      <c r="B6300">
        <v>8013002</v>
      </c>
      <c r="D6300" s="11" t="s">
        <v>19810</v>
      </c>
      <c r="E6300" s="11" t="s">
        <v>19811</v>
      </c>
    </row>
    <row r="6301" spans="1:5">
      <c r="A6301" s="11" t="s">
        <v>19812</v>
      </c>
      <c r="B6301">
        <v>8013003</v>
      </c>
      <c r="D6301" s="11" t="s">
        <v>19813</v>
      </c>
      <c r="E6301" s="11" t="s">
        <v>19814</v>
      </c>
    </row>
    <row r="6302" spans="1:5">
      <c r="A6302" s="11" t="s">
        <v>19815</v>
      </c>
      <c r="B6302">
        <v>8005597</v>
      </c>
      <c r="D6302" s="11" t="s">
        <v>19816</v>
      </c>
      <c r="E6302" s="11" t="s">
        <v>19817</v>
      </c>
    </row>
    <row r="6303" spans="1:5">
      <c r="A6303" s="11" t="s">
        <v>19818</v>
      </c>
      <c r="B6303">
        <v>8000087</v>
      </c>
      <c r="D6303" s="11" t="s">
        <v>19819</v>
      </c>
      <c r="E6303" s="11" t="s">
        <v>19820</v>
      </c>
    </row>
    <row r="6304" spans="1:5">
      <c r="A6304" s="11" t="s">
        <v>19821</v>
      </c>
      <c r="B6304">
        <v>8005598</v>
      </c>
      <c r="D6304" s="11" t="s">
        <v>19822</v>
      </c>
      <c r="E6304" s="11" t="s">
        <v>19823</v>
      </c>
    </row>
    <row r="6305" spans="1:5">
      <c r="A6305" s="11" t="s">
        <v>19824</v>
      </c>
      <c r="B6305">
        <v>8070917</v>
      </c>
      <c r="D6305" s="11" t="s">
        <v>19825</v>
      </c>
      <c r="E6305" s="11" t="s">
        <v>19826</v>
      </c>
    </row>
    <row r="6306" spans="1:5">
      <c r="A6306" s="11" t="s">
        <v>19827</v>
      </c>
      <c r="B6306">
        <v>8006714</v>
      </c>
      <c r="D6306" s="11" t="s">
        <v>19828</v>
      </c>
      <c r="E6306" s="11" t="s">
        <v>19829</v>
      </c>
    </row>
    <row r="6307" spans="1:5">
      <c r="A6307" s="11" t="s">
        <v>1113</v>
      </c>
      <c r="B6307">
        <v>8005590</v>
      </c>
      <c r="D6307" s="11" t="s">
        <v>1115</v>
      </c>
      <c r="E6307" s="11" t="s">
        <v>1116</v>
      </c>
    </row>
    <row r="6308" spans="1:5">
      <c r="A6308" s="11" t="s">
        <v>19830</v>
      </c>
      <c r="B6308">
        <v>8070865</v>
      </c>
      <c r="D6308" s="11" t="s">
        <v>19831</v>
      </c>
      <c r="E6308" s="11" t="s">
        <v>19832</v>
      </c>
    </row>
    <row r="6309" spans="1:5">
      <c r="A6309" s="11" t="s">
        <v>19833</v>
      </c>
      <c r="B6309">
        <v>8007866</v>
      </c>
      <c r="D6309" s="11" t="s">
        <v>19834</v>
      </c>
      <c r="E6309" s="11" t="s">
        <v>19835</v>
      </c>
    </row>
    <row r="6310" spans="1:5">
      <c r="A6310" s="11" t="s">
        <v>19836</v>
      </c>
      <c r="B6310">
        <v>8005585</v>
      </c>
      <c r="D6310" s="11" t="s">
        <v>19837</v>
      </c>
      <c r="E6310" s="11" t="s">
        <v>19838</v>
      </c>
    </row>
    <row r="6311" spans="1:5">
      <c r="A6311" s="11" t="s">
        <v>19839</v>
      </c>
      <c r="B6311">
        <v>8013004</v>
      </c>
      <c r="D6311" s="11" t="s">
        <v>19840</v>
      </c>
      <c r="E6311" s="11" t="s">
        <v>19841</v>
      </c>
    </row>
    <row r="6312" spans="1:5">
      <c r="A6312" s="11" t="s">
        <v>19842</v>
      </c>
      <c r="B6312">
        <v>8005592</v>
      </c>
      <c r="D6312" s="11" t="s">
        <v>19843</v>
      </c>
      <c r="E6312" s="11" t="s">
        <v>19844</v>
      </c>
    </row>
    <row r="6313" spans="1:5">
      <c r="A6313" s="11" t="s">
        <v>19845</v>
      </c>
      <c r="B6313">
        <v>8005593</v>
      </c>
      <c r="D6313" s="11" t="s">
        <v>19846</v>
      </c>
      <c r="E6313" s="11" t="s">
        <v>19847</v>
      </c>
    </row>
    <row r="6314" spans="1:5">
      <c r="A6314" s="11" t="s">
        <v>19848</v>
      </c>
      <c r="B6314">
        <v>8013005</v>
      </c>
      <c r="D6314" s="11" t="s">
        <v>19849</v>
      </c>
      <c r="E6314" s="11" t="s">
        <v>19850</v>
      </c>
    </row>
    <row r="6315" spans="1:5">
      <c r="A6315" s="11" t="s">
        <v>19851</v>
      </c>
      <c r="B6315">
        <v>8005594</v>
      </c>
      <c r="D6315" s="11" t="s">
        <v>19852</v>
      </c>
      <c r="E6315" s="11" t="s">
        <v>19853</v>
      </c>
    </row>
    <row r="6316" spans="1:5">
      <c r="A6316" s="11" t="s">
        <v>19854</v>
      </c>
      <c r="B6316">
        <v>8000088</v>
      </c>
      <c r="D6316" s="11" t="s">
        <v>19855</v>
      </c>
      <c r="E6316" s="11" t="s">
        <v>19856</v>
      </c>
    </row>
    <row r="6317" spans="1:5">
      <c r="A6317" s="11" t="s">
        <v>19857</v>
      </c>
      <c r="B6317">
        <v>8000445</v>
      </c>
      <c r="D6317" s="11" t="s">
        <v>19858</v>
      </c>
      <c r="E6317" s="11" t="s">
        <v>19859</v>
      </c>
    </row>
    <row r="6318" spans="1:5">
      <c r="A6318" s="11" t="s">
        <v>19860</v>
      </c>
      <c r="B6318">
        <v>8071244</v>
      </c>
      <c r="D6318" s="11" t="s">
        <v>19861</v>
      </c>
      <c r="E6318" s="11" t="s">
        <v>19862</v>
      </c>
    </row>
    <row r="6319" spans="1:5">
      <c r="A6319" s="11" t="s">
        <v>19863</v>
      </c>
      <c r="B6319">
        <v>8010328</v>
      </c>
      <c r="D6319" s="11" t="s">
        <v>19864</v>
      </c>
      <c r="E6319" s="11" t="s">
        <v>19865</v>
      </c>
    </row>
    <row r="6320" spans="1:5">
      <c r="A6320" s="11" t="s">
        <v>19866</v>
      </c>
      <c r="B6320">
        <v>8005600</v>
      </c>
      <c r="D6320" s="11" t="s">
        <v>19867</v>
      </c>
      <c r="E6320" s="11" t="s">
        <v>19868</v>
      </c>
    </row>
    <row r="6321" spans="1:5">
      <c r="A6321" s="11" t="s">
        <v>19869</v>
      </c>
      <c r="B6321">
        <v>8005601</v>
      </c>
      <c r="D6321" s="11" t="s">
        <v>19870</v>
      </c>
      <c r="E6321" s="11" t="s">
        <v>19871</v>
      </c>
    </row>
    <row r="6322" spans="1:5">
      <c r="A6322" s="11" t="s">
        <v>19872</v>
      </c>
      <c r="B6322">
        <v>8005602</v>
      </c>
      <c r="D6322" s="11" t="s">
        <v>19873</v>
      </c>
      <c r="E6322" s="11" t="s">
        <v>19874</v>
      </c>
    </row>
    <row r="6323" spans="1:5">
      <c r="A6323" s="11" t="s">
        <v>19875</v>
      </c>
      <c r="B6323">
        <v>8010329</v>
      </c>
      <c r="D6323" s="11" t="s">
        <v>19876</v>
      </c>
      <c r="E6323" s="11" t="s">
        <v>19877</v>
      </c>
    </row>
    <row r="6324" spans="1:5">
      <c r="A6324" s="11" t="s">
        <v>19878</v>
      </c>
      <c r="B6324">
        <v>8013007</v>
      </c>
      <c r="D6324" s="11" t="s">
        <v>19879</v>
      </c>
      <c r="E6324" s="11" t="s">
        <v>19880</v>
      </c>
    </row>
    <row r="6325" spans="1:5">
      <c r="A6325" s="11" t="s">
        <v>1224</v>
      </c>
      <c r="B6325">
        <v>8013008</v>
      </c>
      <c r="D6325" s="11" t="s">
        <v>19881</v>
      </c>
      <c r="E6325" s="11" t="s">
        <v>19882</v>
      </c>
    </row>
    <row r="6326" spans="1:5">
      <c r="A6326" s="11" t="s">
        <v>19883</v>
      </c>
      <c r="B6326">
        <v>8013009</v>
      </c>
      <c r="D6326" s="11" t="s">
        <v>19884</v>
      </c>
      <c r="E6326" s="11" t="s">
        <v>19885</v>
      </c>
    </row>
    <row r="6327" spans="1:5">
      <c r="A6327" s="11" t="s">
        <v>19886</v>
      </c>
      <c r="B6327">
        <v>8013010</v>
      </c>
      <c r="D6327" s="11" t="s">
        <v>19887</v>
      </c>
      <c r="E6327" s="11" t="s">
        <v>19888</v>
      </c>
    </row>
    <row r="6328" spans="1:5">
      <c r="A6328" s="11" t="s">
        <v>19889</v>
      </c>
      <c r="B6328">
        <v>8013011</v>
      </c>
      <c r="D6328" s="11" t="s">
        <v>19890</v>
      </c>
      <c r="E6328" s="11" t="s">
        <v>19891</v>
      </c>
    </row>
    <row r="6329" spans="1:5">
      <c r="A6329" s="11" t="s">
        <v>19892</v>
      </c>
      <c r="B6329">
        <v>8005607</v>
      </c>
      <c r="D6329" s="11" t="s">
        <v>19893</v>
      </c>
      <c r="E6329" s="11" t="s">
        <v>19894</v>
      </c>
    </row>
    <row r="6330" spans="1:5">
      <c r="A6330" s="11" t="s">
        <v>19895</v>
      </c>
      <c r="B6330">
        <v>8005608</v>
      </c>
      <c r="D6330" s="11" t="s">
        <v>19896</v>
      </c>
      <c r="E6330" s="11" t="s">
        <v>19897</v>
      </c>
    </row>
    <row r="6331" spans="1:5">
      <c r="A6331" s="11" t="s">
        <v>19898</v>
      </c>
      <c r="B6331">
        <v>8005609</v>
      </c>
      <c r="D6331" s="11" t="s">
        <v>19899</v>
      </c>
      <c r="E6331" s="11" t="s">
        <v>19900</v>
      </c>
    </row>
    <row r="6332" spans="1:5">
      <c r="A6332" s="11" t="s">
        <v>19901</v>
      </c>
      <c r="B6332">
        <v>8005610</v>
      </c>
      <c r="D6332" s="11" t="s">
        <v>19902</v>
      </c>
      <c r="E6332" s="11" t="s">
        <v>19903</v>
      </c>
    </row>
    <row r="6333" spans="1:5">
      <c r="A6333" s="11" t="s">
        <v>19904</v>
      </c>
      <c r="B6333">
        <v>8071122</v>
      </c>
      <c r="D6333" s="11" t="s">
        <v>19905</v>
      </c>
      <c r="E6333" s="11" t="s">
        <v>19906</v>
      </c>
    </row>
    <row r="6334" spans="1:5">
      <c r="A6334" s="11" t="s">
        <v>19907</v>
      </c>
      <c r="B6334">
        <v>8017040</v>
      </c>
      <c r="D6334" s="11" t="s">
        <v>19908</v>
      </c>
      <c r="E6334" s="11" t="s">
        <v>19909</v>
      </c>
    </row>
    <row r="6335" spans="1:5">
      <c r="A6335" s="11" t="s">
        <v>19910</v>
      </c>
      <c r="B6335">
        <v>8017024</v>
      </c>
      <c r="D6335" s="11" t="s">
        <v>19911</v>
      </c>
      <c r="E6335" s="11" t="s">
        <v>19912</v>
      </c>
    </row>
    <row r="6336" spans="1:5">
      <c r="A6336" s="11" t="s">
        <v>19913</v>
      </c>
      <c r="B6336">
        <v>8005586</v>
      </c>
      <c r="D6336" s="11" t="s">
        <v>19914</v>
      </c>
      <c r="E6336" s="11" t="s">
        <v>19915</v>
      </c>
    </row>
    <row r="6337" spans="1:5">
      <c r="A6337" s="11" t="s">
        <v>19916</v>
      </c>
      <c r="B6337">
        <v>8005613</v>
      </c>
      <c r="D6337" s="11" t="s">
        <v>19917</v>
      </c>
      <c r="E6337" s="11" t="s">
        <v>19918</v>
      </c>
    </row>
    <row r="6338" spans="1:5">
      <c r="A6338" s="11" t="s">
        <v>19919</v>
      </c>
      <c r="B6338">
        <v>8005614</v>
      </c>
      <c r="D6338" s="11" t="s">
        <v>19920</v>
      </c>
      <c r="E6338" s="11" t="s">
        <v>19921</v>
      </c>
    </row>
    <row r="6339" spans="1:5">
      <c r="A6339" s="11" t="s">
        <v>19922</v>
      </c>
      <c r="B6339">
        <v>8005616</v>
      </c>
      <c r="D6339" s="11" t="s">
        <v>19923</v>
      </c>
      <c r="E6339" s="11" t="s">
        <v>19924</v>
      </c>
    </row>
    <row r="6340" spans="1:5">
      <c r="A6340" s="11" t="s">
        <v>19925</v>
      </c>
      <c r="B6340">
        <v>8005617</v>
      </c>
      <c r="D6340" s="11" t="s">
        <v>19926</v>
      </c>
      <c r="E6340" s="11" t="s">
        <v>19927</v>
      </c>
    </row>
    <row r="6341" spans="1:5">
      <c r="A6341" s="11" t="s">
        <v>19928</v>
      </c>
      <c r="B6341">
        <v>8007066</v>
      </c>
      <c r="D6341" s="11" t="s">
        <v>19929</v>
      </c>
      <c r="E6341" s="11" t="s">
        <v>19930</v>
      </c>
    </row>
    <row r="6342" spans="1:5">
      <c r="A6342" s="11" t="s">
        <v>19931</v>
      </c>
      <c r="B6342">
        <v>8005622</v>
      </c>
      <c r="D6342" s="11" t="s">
        <v>19932</v>
      </c>
      <c r="E6342" s="11" t="s">
        <v>19933</v>
      </c>
    </row>
    <row r="6343" spans="1:5">
      <c r="A6343" s="11" t="s">
        <v>19934</v>
      </c>
      <c r="B6343">
        <v>8071776</v>
      </c>
      <c r="D6343" s="11" t="s">
        <v>19935</v>
      </c>
      <c r="E6343" s="11" t="s">
        <v>19936</v>
      </c>
    </row>
    <row r="6344" spans="1:5">
      <c r="A6344" s="11" t="s">
        <v>19937</v>
      </c>
      <c r="B6344">
        <v>8013015</v>
      </c>
      <c r="D6344" s="11" t="s">
        <v>19938</v>
      </c>
      <c r="E6344" s="11" t="s">
        <v>19939</v>
      </c>
    </row>
    <row r="6345" spans="1:5">
      <c r="A6345" s="11" t="s">
        <v>19940</v>
      </c>
      <c r="B6345">
        <v>8005623</v>
      </c>
      <c r="D6345" s="11" t="s">
        <v>19941</v>
      </c>
      <c r="E6345" s="11" t="s">
        <v>19942</v>
      </c>
    </row>
    <row r="6346" spans="1:5">
      <c r="A6346" s="11" t="s">
        <v>19943</v>
      </c>
      <c r="B6346">
        <v>8005624</v>
      </c>
      <c r="D6346" s="11" t="s">
        <v>19944</v>
      </c>
      <c r="E6346" s="11" t="s">
        <v>19945</v>
      </c>
    </row>
    <row r="6347" spans="1:5">
      <c r="A6347" s="11" t="s">
        <v>19946</v>
      </c>
      <c r="B6347">
        <v>8005625</v>
      </c>
      <c r="D6347" s="11" t="s">
        <v>19947</v>
      </c>
      <c r="E6347" s="11" t="s">
        <v>19948</v>
      </c>
    </row>
    <row r="6348" spans="1:5">
      <c r="A6348" s="11" t="s">
        <v>1020</v>
      </c>
      <c r="B6348">
        <v>8005628</v>
      </c>
      <c r="D6348" s="11" t="s">
        <v>1022</v>
      </c>
      <c r="E6348" s="11" t="s">
        <v>1023</v>
      </c>
    </row>
    <row r="6349" spans="1:5">
      <c r="A6349" s="11" t="s">
        <v>19949</v>
      </c>
      <c r="B6349">
        <v>8005626</v>
      </c>
      <c r="D6349" s="11" t="s">
        <v>19950</v>
      </c>
      <c r="E6349" s="11" t="s">
        <v>19951</v>
      </c>
    </row>
    <row r="6350" spans="1:5">
      <c r="A6350" s="11" t="s">
        <v>19952</v>
      </c>
      <c r="B6350">
        <v>8005629</v>
      </c>
      <c r="D6350" s="11" t="s">
        <v>19953</v>
      </c>
      <c r="E6350" s="11" t="s">
        <v>19954</v>
      </c>
    </row>
    <row r="6351" spans="1:5">
      <c r="A6351" s="11" t="s">
        <v>19955</v>
      </c>
      <c r="B6351">
        <v>8005630</v>
      </c>
      <c r="D6351" s="11" t="s">
        <v>19956</v>
      </c>
      <c r="E6351" s="11" t="s">
        <v>19957</v>
      </c>
    </row>
    <row r="6352" spans="1:5">
      <c r="A6352" s="11" t="s">
        <v>19958</v>
      </c>
      <c r="B6352">
        <v>8007767</v>
      </c>
      <c r="D6352" s="11" t="s">
        <v>19959</v>
      </c>
      <c r="E6352" s="11" t="s">
        <v>19960</v>
      </c>
    </row>
    <row r="6353" spans="1:5">
      <c r="A6353" s="11" t="s">
        <v>19961</v>
      </c>
      <c r="B6353">
        <v>8079048</v>
      </c>
      <c r="D6353" s="11" t="s">
        <v>19962</v>
      </c>
      <c r="E6353" s="11" t="s">
        <v>19963</v>
      </c>
    </row>
    <row r="6354" spans="1:5">
      <c r="A6354" s="11" t="s">
        <v>19964</v>
      </c>
      <c r="B6354">
        <v>8013017</v>
      </c>
      <c r="D6354" s="11" t="s">
        <v>19965</v>
      </c>
      <c r="E6354" s="11" t="s">
        <v>19966</v>
      </c>
    </row>
    <row r="6355" spans="1:5">
      <c r="A6355" s="11" t="s">
        <v>19967</v>
      </c>
      <c r="B6355">
        <v>8079768</v>
      </c>
      <c r="D6355" s="11" t="s">
        <v>19968</v>
      </c>
      <c r="E6355" s="11" t="s">
        <v>19969</v>
      </c>
    </row>
    <row r="6356" spans="1:5">
      <c r="A6356" s="11" t="s">
        <v>19970</v>
      </c>
      <c r="B6356">
        <v>8013018</v>
      </c>
      <c r="D6356" s="11" t="s">
        <v>19971</v>
      </c>
      <c r="E6356" s="11" t="s">
        <v>19972</v>
      </c>
    </row>
    <row r="6357" spans="1:5">
      <c r="A6357" s="11" t="s">
        <v>19973</v>
      </c>
      <c r="B6357">
        <v>8010330</v>
      </c>
      <c r="D6357" s="11" t="s">
        <v>19974</v>
      </c>
      <c r="E6357" s="11" t="s">
        <v>19975</v>
      </c>
    </row>
    <row r="6358" spans="1:5">
      <c r="A6358" s="11" t="s">
        <v>19976</v>
      </c>
      <c r="B6358">
        <v>8005637</v>
      </c>
      <c r="D6358" s="11" t="s">
        <v>19977</v>
      </c>
      <c r="E6358" s="11" t="s">
        <v>19978</v>
      </c>
    </row>
    <row r="6359" spans="1:5">
      <c r="A6359" s="11" t="s">
        <v>19979</v>
      </c>
      <c r="B6359">
        <v>8005638</v>
      </c>
      <c r="D6359" s="11" t="s">
        <v>19980</v>
      </c>
      <c r="E6359" s="11" t="s">
        <v>19981</v>
      </c>
    </row>
    <row r="6360" spans="1:5">
      <c r="A6360" s="11" t="s">
        <v>19982</v>
      </c>
      <c r="B6360">
        <v>8005640</v>
      </c>
      <c r="D6360" s="11" t="s">
        <v>19983</v>
      </c>
      <c r="E6360" s="11" t="s">
        <v>19984</v>
      </c>
    </row>
    <row r="6361" spans="1:5">
      <c r="A6361" s="11" t="s">
        <v>19985</v>
      </c>
      <c r="B6361">
        <v>8005639</v>
      </c>
      <c r="D6361" s="11" t="s">
        <v>19986</v>
      </c>
      <c r="E6361" s="11" t="s">
        <v>19987</v>
      </c>
    </row>
    <row r="6362" spans="1:5">
      <c r="A6362" s="11" t="s">
        <v>19988</v>
      </c>
      <c r="B6362">
        <v>8070767</v>
      </c>
      <c r="D6362" s="11" t="s">
        <v>19989</v>
      </c>
      <c r="E6362" s="11" t="s">
        <v>19990</v>
      </c>
    </row>
    <row r="6363" spans="1:5">
      <c r="A6363" s="11" t="s">
        <v>19991</v>
      </c>
      <c r="B6363">
        <v>8070766</v>
      </c>
      <c r="D6363" s="11" t="s">
        <v>19992</v>
      </c>
      <c r="E6363" s="11" t="s">
        <v>19993</v>
      </c>
    </row>
    <row r="6364" spans="1:5">
      <c r="A6364" s="11" t="s">
        <v>19994</v>
      </c>
      <c r="B6364">
        <v>8070768</v>
      </c>
      <c r="D6364" s="11" t="s">
        <v>19995</v>
      </c>
      <c r="E6364" s="11" t="s">
        <v>19996</v>
      </c>
    </row>
    <row r="6365" spans="1:5">
      <c r="A6365" s="11" t="s">
        <v>19997</v>
      </c>
      <c r="B6365">
        <v>8010331</v>
      </c>
      <c r="D6365" s="11" t="s">
        <v>19998</v>
      </c>
      <c r="E6365" s="11" t="s">
        <v>19999</v>
      </c>
    </row>
    <row r="6366" spans="1:5">
      <c r="A6366" s="11" t="s">
        <v>20000</v>
      </c>
      <c r="B6366">
        <v>8005644</v>
      </c>
      <c r="D6366" s="11" t="s">
        <v>20001</v>
      </c>
      <c r="E6366" s="11" t="s">
        <v>20002</v>
      </c>
    </row>
    <row r="6367" spans="1:5">
      <c r="A6367" s="11" t="s">
        <v>20003</v>
      </c>
      <c r="B6367">
        <v>8005645</v>
      </c>
      <c r="D6367" s="11" t="s">
        <v>20004</v>
      </c>
      <c r="E6367" s="11" t="s">
        <v>20005</v>
      </c>
    </row>
    <row r="6368" spans="1:5">
      <c r="A6368" s="11" t="s">
        <v>20006</v>
      </c>
      <c r="B6368">
        <v>8075961</v>
      </c>
      <c r="D6368" s="11" t="s">
        <v>1539</v>
      </c>
      <c r="E6368" s="11" t="s">
        <v>1539</v>
      </c>
    </row>
    <row r="6369" spans="1:5">
      <c r="A6369" s="11" t="s">
        <v>1060</v>
      </c>
      <c r="B6369">
        <v>8005646</v>
      </c>
      <c r="D6369" s="11" t="s">
        <v>1062</v>
      </c>
      <c r="E6369" s="11" t="s">
        <v>1063</v>
      </c>
    </row>
    <row r="6370" spans="1:5">
      <c r="A6370" s="11" t="s">
        <v>20007</v>
      </c>
      <c r="B6370">
        <v>8075960</v>
      </c>
      <c r="D6370" s="11" t="s">
        <v>1539</v>
      </c>
      <c r="E6370" s="11" t="s">
        <v>1539</v>
      </c>
    </row>
    <row r="6371" spans="1:5">
      <c r="A6371" s="11" t="s">
        <v>20008</v>
      </c>
      <c r="B6371">
        <v>8005648</v>
      </c>
      <c r="D6371" s="11" t="s">
        <v>20009</v>
      </c>
      <c r="E6371" s="11" t="s">
        <v>20010</v>
      </c>
    </row>
    <row r="6372" spans="1:5">
      <c r="A6372" s="11" t="s">
        <v>20011</v>
      </c>
      <c r="B6372">
        <v>8005649</v>
      </c>
      <c r="D6372" s="11" t="s">
        <v>20012</v>
      </c>
      <c r="E6372" s="11" t="s">
        <v>20013</v>
      </c>
    </row>
    <row r="6373" spans="1:5">
      <c r="A6373" s="11" t="s">
        <v>20014</v>
      </c>
      <c r="B6373">
        <v>8005652</v>
      </c>
      <c r="D6373" s="11" t="s">
        <v>20015</v>
      </c>
      <c r="E6373" s="11" t="s">
        <v>20016</v>
      </c>
    </row>
    <row r="6374" spans="1:5">
      <c r="A6374" s="11" t="s">
        <v>20017</v>
      </c>
      <c r="B6374">
        <v>8005653</v>
      </c>
      <c r="D6374" s="11" t="s">
        <v>20018</v>
      </c>
      <c r="E6374" s="11" t="s">
        <v>20019</v>
      </c>
    </row>
    <row r="6375" spans="1:5">
      <c r="A6375" s="11" t="s">
        <v>20020</v>
      </c>
      <c r="B6375">
        <v>8005655</v>
      </c>
      <c r="D6375" s="11" t="s">
        <v>20021</v>
      </c>
      <c r="E6375" s="11" t="s">
        <v>20022</v>
      </c>
    </row>
    <row r="6376" spans="1:5">
      <c r="A6376" s="11" t="s">
        <v>20023</v>
      </c>
      <c r="B6376">
        <v>8005656</v>
      </c>
      <c r="D6376" s="11" t="s">
        <v>20024</v>
      </c>
      <c r="E6376" s="11" t="s">
        <v>20025</v>
      </c>
    </row>
    <row r="6377" spans="1:5">
      <c r="A6377" s="11" t="s">
        <v>20026</v>
      </c>
      <c r="B6377">
        <v>8005658</v>
      </c>
      <c r="D6377" s="11" t="s">
        <v>20027</v>
      </c>
      <c r="E6377" s="11" t="s">
        <v>20028</v>
      </c>
    </row>
    <row r="6378" spans="1:5">
      <c r="A6378" s="11" t="s">
        <v>20029</v>
      </c>
      <c r="B6378">
        <v>8005659</v>
      </c>
      <c r="D6378" s="11" t="s">
        <v>20030</v>
      </c>
      <c r="E6378" s="11" t="s">
        <v>20031</v>
      </c>
    </row>
    <row r="6379" spans="1:5">
      <c r="A6379" s="11" t="s">
        <v>20032</v>
      </c>
      <c r="B6379">
        <v>8071778</v>
      </c>
      <c r="D6379" s="11" t="s">
        <v>20033</v>
      </c>
      <c r="E6379" s="11" t="s">
        <v>20034</v>
      </c>
    </row>
    <row r="6380" spans="1:5">
      <c r="A6380" s="11" t="s">
        <v>20035</v>
      </c>
      <c r="B6380">
        <v>8000089</v>
      </c>
      <c r="D6380" s="11" t="s">
        <v>20036</v>
      </c>
      <c r="E6380" s="11" t="s">
        <v>20037</v>
      </c>
    </row>
    <row r="6381" spans="1:5">
      <c r="A6381" s="11" t="s">
        <v>20038</v>
      </c>
      <c r="B6381">
        <v>8013026</v>
      </c>
      <c r="D6381" s="11" t="s">
        <v>20039</v>
      </c>
      <c r="E6381" s="11" t="s">
        <v>20040</v>
      </c>
    </row>
    <row r="6382" spans="1:5">
      <c r="A6382" s="11" t="s">
        <v>20041</v>
      </c>
      <c r="B6382">
        <v>8013022</v>
      </c>
      <c r="D6382" s="11" t="s">
        <v>20042</v>
      </c>
      <c r="E6382" s="11" t="s">
        <v>20043</v>
      </c>
    </row>
    <row r="6383" spans="1:5">
      <c r="A6383" s="11" t="s">
        <v>20044</v>
      </c>
      <c r="B6383">
        <v>8005661</v>
      </c>
      <c r="D6383" s="11" t="s">
        <v>20045</v>
      </c>
      <c r="E6383" s="11" t="s">
        <v>20046</v>
      </c>
    </row>
    <row r="6384" spans="1:5">
      <c r="A6384" s="11" t="s">
        <v>20047</v>
      </c>
      <c r="B6384">
        <v>8005662</v>
      </c>
      <c r="D6384" s="11" t="s">
        <v>20048</v>
      </c>
      <c r="E6384" s="11" t="s">
        <v>20049</v>
      </c>
    </row>
    <row r="6385" spans="1:5">
      <c r="A6385" s="11" t="s">
        <v>20050</v>
      </c>
      <c r="B6385">
        <v>8013023</v>
      </c>
      <c r="D6385" s="11" t="s">
        <v>20051</v>
      </c>
      <c r="E6385" s="11" t="s">
        <v>20052</v>
      </c>
    </row>
    <row r="6386" spans="1:5">
      <c r="A6386" s="11" t="s">
        <v>20053</v>
      </c>
      <c r="B6386">
        <v>711071</v>
      </c>
      <c r="D6386" s="11" t="s">
        <v>20054</v>
      </c>
      <c r="E6386" s="11" t="s">
        <v>20055</v>
      </c>
    </row>
    <row r="6387" spans="1:5">
      <c r="A6387" s="11" t="s">
        <v>20056</v>
      </c>
      <c r="B6387">
        <v>8005665</v>
      </c>
      <c r="D6387" s="11" t="s">
        <v>20057</v>
      </c>
      <c r="E6387" s="11" t="s">
        <v>20058</v>
      </c>
    </row>
    <row r="6388" spans="1:5">
      <c r="A6388" s="11" t="s">
        <v>20059</v>
      </c>
      <c r="B6388">
        <v>8005666</v>
      </c>
      <c r="D6388" s="11" t="s">
        <v>20060</v>
      </c>
      <c r="E6388" s="11" t="s">
        <v>20061</v>
      </c>
    </row>
    <row r="6389" spans="1:5">
      <c r="A6389" s="11" t="s">
        <v>20062</v>
      </c>
      <c r="B6389">
        <v>8013025</v>
      </c>
      <c r="D6389" s="11" t="s">
        <v>20063</v>
      </c>
      <c r="E6389" s="11" t="s">
        <v>20064</v>
      </c>
    </row>
    <row r="6390" spans="1:5">
      <c r="A6390" s="11" t="s">
        <v>20065</v>
      </c>
      <c r="B6390">
        <v>8005668</v>
      </c>
      <c r="D6390" s="11" t="s">
        <v>20066</v>
      </c>
      <c r="E6390" s="11" t="s">
        <v>20067</v>
      </c>
    </row>
    <row r="6391" spans="1:5">
      <c r="A6391" s="11" t="s">
        <v>20068</v>
      </c>
      <c r="B6391">
        <v>8071537</v>
      </c>
      <c r="D6391" s="11" t="s">
        <v>20069</v>
      </c>
      <c r="E6391" s="11" t="s">
        <v>20070</v>
      </c>
    </row>
    <row r="6392" spans="1:5">
      <c r="A6392" s="11" t="s">
        <v>20071</v>
      </c>
      <c r="B6392">
        <v>8077773</v>
      </c>
      <c r="D6392" s="11" t="s">
        <v>20072</v>
      </c>
      <c r="E6392" s="11" t="s">
        <v>20073</v>
      </c>
    </row>
    <row r="6393" spans="1:5">
      <c r="A6393" s="11" t="s">
        <v>20074</v>
      </c>
      <c r="B6393">
        <v>8005673</v>
      </c>
      <c r="D6393" s="11" t="s">
        <v>20075</v>
      </c>
      <c r="E6393" s="11" t="s">
        <v>20076</v>
      </c>
    </row>
    <row r="6394" spans="1:5">
      <c r="A6394" s="11" t="s">
        <v>20077</v>
      </c>
      <c r="B6394">
        <v>8005674</v>
      </c>
      <c r="D6394" s="11" t="s">
        <v>20078</v>
      </c>
      <c r="E6394" s="11" t="s">
        <v>20079</v>
      </c>
    </row>
    <row r="6395" spans="1:5">
      <c r="A6395" s="11" t="s">
        <v>20080</v>
      </c>
      <c r="B6395">
        <v>8013432</v>
      </c>
      <c r="D6395" s="11" t="s">
        <v>20081</v>
      </c>
      <c r="E6395" s="11" t="s">
        <v>20082</v>
      </c>
    </row>
    <row r="6396" spans="1:5">
      <c r="A6396" s="11" t="s">
        <v>20083</v>
      </c>
      <c r="B6396">
        <v>8005676</v>
      </c>
      <c r="D6396" s="11" t="s">
        <v>20084</v>
      </c>
      <c r="E6396" s="11" t="s">
        <v>20085</v>
      </c>
    </row>
    <row r="6397" spans="1:5">
      <c r="A6397" s="11" t="s">
        <v>20086</v>
      </c>
      <c r="B6397">
        <v>8005675</v>
      </c>
      <c r="D6397" s="11" t="s">
        <v>20087</v>
      </c>
      <c r="E6397" s="11" t="s">
        <v>20088</v>
      </c>
    </row>
    <row r="6398" spans="1:5">
      <c r="A6398" s="11" t="s">
        <v>20089</v>
      </c>
      <c r="B6398">
        <v>8010332</v>
      </c>
      <c r="D6398" s="11" t="s">
        <v>20090</v>
      </c>
      <c r="E6398" s="11" t="s">
        <v>20091</v>
      </c>
    </row>
    <row r="6399" spans="1:5">
      <c r="A6399" s="11" t="s">
        <v>20092</v>
      </c>
      <c r="B6399">
        <v>8013029</v>
      </c>
      <c r="D6399" s="11" t="s">
        <v>20093</v>
      </c>
      <c r="E6399" s="11" t="s">
        <v>20094</v>
      </c>
    </row>
    <row r="6400" spans="1:5">
      <c r="A6400" s="11" t="s">
        <v>20095</v>
      </c>
      <c r="B6400">
        <v>8005678</v>
      </c>
      <c r="D6400" s="11" t="s">
        <v>20096</v>
      </c>
      <c r="E6400" s="11" t="s">
        <v>20097</v>
      </c>
    </row>
    <row r="6401" spans="1:5">
      <c r="A6401" s="11" t="s">
        <v>20098</v>
      </c>
      <c r="B6401">
        <v>8007332</v>
      </c>
      <c r="D6401" s="11" t="s">
        <v>20099</v>
      </c>
      <c r="E6401" s="11" t="s">
        <v>20100</v>
      </c>
    </row>
    <row r="6402" spans="1:5">
      <c r="A6402" s="11" t="s">
        <v>20101</v>
      </c>
      <c r="B6402">
        <v>8007333</v>
      </c>
      <c r="D6402" s="11" t="s">
        <v>20102</v>
      </c>
      <c r="E6402" s="11" t="s">
        <v>20103</v>
      </c>
    </row>
    <row r="6403" spans="1:5">
      <c r="A6403" s="11" t="s">
        <v>20104</v>
      </c>
      <c r="B6403">
        <v>8005682</v>
      </c>
      <c r="D6403" s="11" t="s">
        <v>20105</v>
      </c>
      <c r="E6403" s="11" t="s">
        <v>20106</v>
      </c>
    </row>
    <row r="6404" spans="1:5">
      <c r="A6404" s="11" t="s">
        <v>20107</v>
      </c>
      <c r="B6404">
        <v>8005686</v>
      </c>
      <c r="D6404" s="11" t="s">
        <v>20108</v>
      </c>
      <c r="E6404" s="11" t="s">
        <v>20109</v>
      </c>
    </row>
    <row r="6405" spans="1:5">
      <c r="A6405" s="11" t="s">
        <v>20110</v>
      </c>
      <c r="B6405">
        <v>8011847</v>
      </c>
      <c r="D6405" s="11" t="s">
        <v>20111</v>
      </c>
      <c r="E6405" s="11" t="s">
        <v>20112</v>
      </c>
    </row>
    <row r="6406" spans="1:5">
      <c r="A6406" s="11" t="s">
        <v>20113</v>
      </c>
      <c r="B6406">
        <v>8005687</v>
      </c>
      <c r="D6406" s="11" t="s">
        <v>20114</v>
      </c>
      <c r="E6406" s="11" t="s">
        <v>20115</v>
      </c>
    </row>
    <row r="6407" spans="1:5">
      <c r="A6407" s="11" t="s">
        <v>20116</v>
      </c>
      <c r="B6407">
        <v>8013033</v>
      </c>
      <c r="D6407" s="11" t="s">
        <v>20117</v>
      </c>
      <c r="E6407" s="11" t="s">
        <v>20118</v>
      </c>
    </row>
    <row r="6408" spans="1:5">
      <c r="A6408" s="11" t="s">
        <v>20119</v>
      </c>
      <c r="B6408">
        <v>8005688</v>
      </c>
      <c r="D6408" s="11" t="s">
        <v>20120</v>
      </c>
      <c r="E6408" s="11" t="s">
        <v>20121</v>
      </c>
    </row>
    <row r="6409" spans="1:5">
      <c r="A6409" s="11" t="s">
        <v>20122</v>
      </c>
      <c r="B6409">
        <v>8000091</v>
      </c>
      <c r="D6409" s="11" t="s">
        <v>20123</v>
      </c>
      <c r="E6409" s="11" t="s">
        <v>20124</v>
      </c>
    </row>
    <row r="6410" spans="1:5">
      <c r="A6410" s="11" t="s">
        <v>20125</v>
      </c>
      <c r="B6410">
        <v>8013034</v>
      </c>
      <c r="D6410" s="11" t="s">
        <v>20126</v>
      </c>
      <c r="E6410" s="11" t="s">
        <v>20127</v>
      </c>
    </row>
    <row r="6411" spans="1:5">
      <c r="A6411" s="11" t="s">
        <v>20128</v>
      </c>
      <c r="B6411">
        <v>8013036</v>
      </c>
      <c r="D6411" s="11" t="s">
        <v>20129</v>
      </c>
      <c r="E6411" s="11" t="s">
        <v>20130</v>
      </c>
    </row>
    <row r="6412" spans="1:5">
      <c r="A6412" s="11" t="s">
        <v>20131</v>
      </c>
      <c r="B6412">
        <v>8005689</v>
      </c>
      <c r="D6412" s="11" t="s">
        <v>20132</v>
      </c>
      <c r="E6412" s="11" t="s">
        <v>20133</v>
      </c>
    </row>
    <row r="6413" spans="1:5">
      <c r="A6413" s="11" t="s">
        <v>20134</v>
      </c>
      <c r="B6413">
        <v>8005690</v>
      </c>
      <c r="D6413" s="11" t="s">
        <v>20135</v>
      </c>
      <c r="E6413" s="11" t="s">
        <v>20136</v>
      </c>
    </row>
    <row r="6414" spans="1:5">
      <c r="A6414" s="11" t="s">
        <v>20137</v>
      </c>
      <c r="B6414">
        <v>8079137</v>
      </c>
      <c r="D6414" s="11" t="s">
        <v>20138</v>
      </c>
      <c r="E6414" s="11" t="s">
        <v>20139</v>
      </c>
    </row>
    <row r="6415" spans="1:5">
      <c r="A6415" s="11" t="s">
        <v>20140</v>
      </c>
      <c r="B6415">
        <v>8005692</v>
      </c>
      <c r="D6415" s="11" t="s">
        <v>20141</v>
      </c>
      <c r="E6415" s="11" t="s">
        <v>20142</v>
      </c>
    </row>
    <row r="6416" spans="1:5">
      <c r="A6416" s="11" t="s">
        <v>20143</v>
      </c>
      <c r="B6416">
        <v>8013037</v>
      </c>
      <c r="D6416" s="11" t="s">
        <v>20144</v>
      </c>
      <c r="E6416" s="11" t="s">
        <v>20145</v>
      </c>
    </row>
    <row r="6417" spans="1:5">
      <c r="A6417" s="11" t="s">
        <v>20146</v>
      </c>
      <c r="B6417">
        <v>8070545</v>
      </c>
      <c r="D6417" s="11" t="s">
        <v>20147</v>
      </c>
      <c r="E6417" s="11" t="s">
        <v>20148</v>
      </c>
    </row>
    <row r="6418" spans="1:5">
      <c r="A6418" s="11" t="s">
        <v>20149</v>
      </c>
      <c r="B6418">
        <v>8005699</v>
      </c>
      <c r="D6418" s="11" t="s">
        <v>20150</v>
      </c>
      <c r="E6418" s="11" t="s">
        <v>20151</v>
      </c>
    </row>
    <row r="6419" spans="1:5">
      <c r="A6419" s="11" t="s">
        <v>20152</v>
      </c>
      <c r="B6419">
        <v>8005700</v>
      </c>
      <c r="D6419" s="11" t="s">
        <v>20153</v>
      </c>
      <c r="E6419" s="11" t="s">
        <v>20154</v>
      </c>
    </row>
    <row r="6420" spans="1:5">
      <c r="A6420" s="11" t="s">
        <v>20155</v>
      </c>
      <c r="B6420">
        <v>8074479</v>
      </c>
      <c r="D6420" s="11" t="s">
        <v>20156</v>
      </c>
      <c r="E6420" s="11" t="s">
        <v>20157</v>
      </c>
    </row>
    <row r="6421" spans="1:5">
      <c r="A6421" s="11" t="s">
        <v>20158</v>
      </c>
      <c r="B6421">
        <v>8005701</v>
      </c>
      <c r="D6421" s="11" t="s">
        <v>20159</v>
      </c>
      <c r="E6421" s="11" t="s">
        <v>20160</v>
      </c>
    </row>
    <row r="6422" spans="1:5">
      <c r="A6422" s="11" t="s">
        <v>20161</v>
      </c>
      <c r="B6422">
        <v>8017025</v>
      </c>
      <c r="D6422" s="11" t="s">
        <v>20162</v>
      </c>
      <c r="E6422" s="11" t="s">
        <v>20163</v>
      </c>
    </row>
    <row r="6423" spans="1:5">
      <c r="A6423" s="11" t="s">
        <v>20164</v>
      </c>
      <c r="B6423">
        <v>8005703</v>
      </c>
      <c r="D6423" s="11" t="s">
        <v>20165</v>
      </c>
      <c r="E6423" s="11" t="s">
        <v>20166</v>
      </c>
    </row>
    <row r="6424" spans="1:5">
      <c r="A6424" s="11" t="s">
        <v>20167</v>
      </c>
      <c r="B6424">
        <v>8007858</v>
      </c>
      <c r="D6424" s="11" t="s">
        <v>20168</v>
      </c>
      <c r="E6424" s="11" t="s">
        <v>20169</v>
      </c>
    </row>
    <row r="6425" spans="1:5">
      <c r="A6425" s="11" t="s">
        <v>20170</v>
      </c>
      <c r="B6425">
        <v>8013039</v>
      </c>
      <c r="D6425" s="11" t="s">
        <v>20171</v>
      </c>
      <c r="E6425" s="11" t="s">
        <v>20172</v>
      </c>
    </row>
    <row r="6426" spans="1:5">
      <c r="A6426" s="11" t="s">
        <v>20173</v>
      </c>
      <c r="B6426">
        <v>8001096</v>
      </c>
      <c r="D6426" s="11" t="s">
        <v>20174</v>
      </c>
      <c r="E6426" s="11" t="s">
        <v>20175</v>
      </c>
    </row>
    <row r="6427" spans="1:5">
      <c r="A6427" s="11" t="s">
        <v>20176</v>
      </c>
      <c r="B6427">
        <v>8000062</v>
      </c>
      <c r="D6427" s="11" t="s">
        <v>20177</v>
      </c>
      <c r="E6427" s="11" t="s">
        <v>20178</v>
      </c>
    </row>
    <row r="6428" spans="1:5">
      <c r="A6428" s="11" t="s">
        <v>20179</v>
      </c>
      <c r="B6428">
        <v>8005712</v>
      </c>
      <c r="D6428" s="11" t="s">
        <v>20180</v>
      </c>
      <c r="E6428" s="11" t="s">
        <v>20181</v>
      </c>
    </row>
    <row r="6429" spans="1:5">
      <c r="A6429" s="11" t="s">
        <v>20182</v>
      </c>
      <c r="B6429">
        <v>8005704</v>
      </c>
      <c r="D6429" s="11" t="s">
        <v>20183</v>
      </c>
      <c r="E6429" s="11" t="s">
        <v>20184</v>
      </c>
    </row>
    <row r="6430" spans="1:5">
      <c r="A6430" s="11" t="s">
        <v>20185</v>
      </c>
      <c r="B6430">
        <v>8005702</v>
      </c>
      <c r="D6430" s="11" t="s">
        <v>20186</v>
      </c>
      <c r="E6430" s="11" t="s">
        <v>20187</v>
      </c>
    </row>
    <row r="6431" spans="1:5">
      <c r="A6431" s="11" t="s">
        <v>20188</v>
      </c>
      <c r="B6431">
        <v>8013040</v>
      </c>
      <c r="D6431" s="11" t="s">
        <v>20189</v>
      </c>
      <c r="E6431" s="11" t="s">
        <v>20190</v>
      </c>
    </row>
    <row r="6432" spans="1:5">
      <c r="A6432" s="11" t="s">
        <v>20191</v>
      </c>
      <c r="B6432">
        <v>8005706</v>
      </c>
      <c r="D6432" s="11" t="s">
        <v>20192</v>
      </c>
      <c r="E6432" s="11" t="s">
        <v>20193</v>
      </c>
    </row>
    <row r="6433" spans="1:5">
      <c r="A6433" s="11" t="s">
        <v>20194</v>
      </c>
      <c r="B6433">
        <v>8005708</v>
      </c>
      <c r="D6433" s="11" t="s">
        <v>20195</v>
      </c>
      <c r="E6433" s="11" t="s">
        <v>20196</v>
      </c>
    </row>
    <row r="6434" spans="1:5">
      <c r="A6434" s="11" t="s">
        <v>20197</v>
      </c>
      <c r="B6434">
        <v>8005283</v>
      </c>
      <c r="D6434" s="11" t="s">
        <v>20198</v>
      </c>
      <c r="E6434" s="11" t="s">
        <v>20199</v>
      </c>
    </row>
    <row r="6435" spans="1:5">
      <c r="A6435" s="11" t="s">
        <v>20200</v>
      </c>
      <c r="B6435">
        <v>8005709</v>
      </c>
      <c r="D6435" s="11" t="s">
        <v>20201</v>
      </c>
      <c r="E6435" s="11" t="s">
        <v>20202</v>
      </c>
    </row>
    <row r="6436" spans="1:5">
      <c r="A6436" s="11" t="s">
        <v>20203</v>
      </c>
      <c r="B6436">
        <v>8010333</v>
      </c>
      <c r="D6436" s="11" t="s">
        <v>20204</v>
      </c>
      <c r="E6436" s="11" t="s">
        <v>20205</v>
      </c>
    </row>
    <row r="6437" spans="1:5">
      <c r="A6437" s="11" t="s">
        <v>20206</v>
      </c>
      <c r="B6437">
        <v>8071329</v>
      </c>
      <c r="D6437" s="11" t="s">
        <v>20207</v>
      </c>
      <c r="E6437" s="11" t="s">
        <v>20208</v>
      </c>
    </row>
    <row r="6438" spans="1:5">
      <c r="A6438" s="11" t="s">
        <v>20209</v>
      </c>
      <c r="B6438">
        <v>8005714</v>
      </c>
      <c r="D6438" s="11" t="s">
        <v>20210</v>
      </c>
      <c r="E6438" s="11" t="s">
        <v>20211</v>
      </c>
    </row>
    <row r="6439" spans="1:5">
      <c r="A6439" s="11" t="s">
        <v>20212</v>
      </c>
      <c r="B6439">
        <v>8005713</v>
      </c>
      <c r="D6439" s="11" t="s">
        <v>20213</v>
      </c>
      <c r="E6439" s="11" t="s">
        <v>20214</v>
      </c>
    </row>
    <row r="6440" spans="1:5">
      <c r="A6440" s="11" t="s">
        <v>20215</v>
      </c>
      <c r="B6440">
        <v>8005715</v>
      </c>
      <c r="D6440" s="11" t="s">
        <v>20216</v>
      </c>
      <c r="E6440" s="11" t="s">
        <v>20217</v>
      </c>
    </row>
    <row r="6441" spans="1:5">
      <c r="A6441" s="11" t="s">
        <v>20218</v>
      </c>
      <c r="B6441">
        <v>8005717</v>
      </c>
      <c r="D6441" s="11" t="s">
        <v>20219</v>
      </c>
      <c r="E6441" s="11" t="s">
        <v>20220</v>
      </c>
    </row>
    <row r="6442" spans="1:5">
      <c r="A6442" s="11" t="s">
        <v>20221</v>
      </c>
      <c r="B6442">
        <v>8070547</v>
      </c>
      <c r="D6442" s="11" t="s">
        <v>20222</v>
      </c>
      <c r="E6442" s="11" t="s">
        <v>20223</v>
      </c>
    </row>
    <row r="6443" spans="1:5">
      <c r="A6443" s="11" t="s">
        <v>20224</v>
      </c>
      <c r="B6443">
        <v>8007659</v>
      </c>
      <c r="D6443" s="11" t="s">
        <v>20225</v>
      </c>
      <c r="E6443" s="11" t="s">
        <v>20226</v>
      </c>
    </row>
    <row r="6444" spans="1:5">
      <c r="A6444" s="11" t="s">
        <v>20227</v>
      </c>
      <c r="B6444">
        <v>8010334</v>
      </c>
      <c r="D6444" s="11" t="s">
        <v>20228</v>
      </c>
      <c r="E6444" s="11" t="s">
        <v>20229</v>
      </c>
    </row>
    <row r="6445" spans="1:5">
      <c r="A6445" s="11" t="s">
        <v>20230</v>
      </c>
      <c r="B6445">
        <v>8013045</v>
      </c>
      <c r="D6445" s="11" t="s">
        <v>20231</v>
      </c>
      <c r="E6445" s="11" t="s">
        <v>20232</v>
      </c>
    </row>
    <row r="6446" spans="1:5">
      <c r="A6446" s="11" t="s">
        <v>20233</v>
      </c>
      <c r="B6446">
        <v>8013046</v>
      </c>
      <c r="D6446" s="11" t="s">
        <v>20234</v>
      </c>
      <c r="E6446" s="11" t="s">
        <v>20235</v>
      </c>
    </row>
    <row r="6447" spans="1:5">
      <c r="A6447" s="11" t="s">
        <v>20236</v>
      </c>
      <c r="B6447">
        <v>8010335</v>
      </c>
      <c r="D6447" s="11" t="s">
        <v>20237</v>
      </c>
      <c r="E6447" s="11" t="s">
        <v>20238</v>
      </c>
    </row>
    <row r="6448" spans="1:5">
      <c r="A6448" s="11" t="s">
        <v>20239</v>
      </c>
      <c r="B6448">
        <v>8013047</v>
      </c>
      <c r="D6448" s="11" t="s">
        <v>20240</v>
      </c>
      <c r="E6448" s="11" t="s">
        <v>20241</v>
      </c>
    </row>
    <row r="6449" spans="1:5">
      <c r="A6449" s="11" t="s">
        <v>20242</v>
      </c>
      <c r="B6449">
        <v>8005720</v>
      </c>
      <c r="D6449" s="11" t="s">
        <v>20243</v>
      </c>
      <c r="E6449" s="11" t="s">
        <v>20244</v>
      </c>
    </row>
    <row r="6450" spans="1:5">
      <c r="A6450" s="11" t="s">
        <v>20245</v>
      </c>
      <c r="B6450">
        <v>8013051</v>
      </c>
      <c r="D6450" s="11" t="s">
        <v>20246</v>
      </c>
      <c r="E6450" s="11" t="s">
        <v>20247</v>
      </c>
    </row>
    <row r="6451" spans="1:5">
      <c r="A6451" s="11" t="s">
        <v>20248</v>
      </c>
      <c r="B6451">
        <v>8017026</v>
      </c>
      <c r="D6451" s="11" t="s">
        <v>20249</v>
      </c>
      <c r="E6451" s="11" t="s">
        <v>20250</v>
      </c>
    </row>
    <row r="6452" spans="1:5">
      <c r="A6452" s="11" t="s">
        <v>20251</v>
      </c>
      <c r="B6452">
        <v>8017027</v>
      </c>
      <c r="D6452" s="11" t="s">
        <v>20252</v>
      </c>
      <c r="E6452" s="11" t="s">
        <v>20253</v>
      </c>
    </row>
    <row r="6453" spans="1:5">
      <c r="A6453" s="11" t="s">
        <v>20254</v>
      </c>
      <c r="B6453">
        <v>8005722</v>
      </c>
      <c r="D6453" s="11" t="s">
        <v>20255</v>
      </c>
      <c r="E6453" s="11" t="s">
        <v>20256</v>
      </c>
    </row>
    <row r="6454" spans="1:5">
      <c r="A6454" s="11" t="s">
        <v>20257</v>
      </c>
      <c r="B6454">
        <v>8070548</v>
      </c>
      <c r="D6454" s="11" t="s">
        <v>20258</v>
      </c>
      <c r="E6454" s="11" t="s">
        <v>20259</v>
      </c>
    </row>
    <row r="6455" spans="1:5">
      <c r="A6455" s="11" t="s">
        <v>20260</v>
      </c>
      <c r="B6455">
        <v>8005724</v>
      </c>
      <c r="D6455" s="11" t="s">
        <v>20261</v>
      </c>
      <c r="E6455" s="11" t="s">
        <v>20262</v>
      </c>
    </row>
    <row r="6456" spans="1:5">
      <c r="A6456" s="11" t="s">
        <v>20263</v>
      </c>
      <c r="B6456">
        <v>8005723</v>
      </c>
      <c r="D6456" s="11" t="s">
        <v>20264</v>
      </c>
      <c r="E6456" s="11" t="s">
        <v>20265</v>
      </c>
    </row>
    <row r="6457" spans="1:5">
      <c r="A6457" s="11" t="s">
        <v>20266</v>
      </c>
      <c r="B6457">
        <v>8005725</v>
      </c>
      <c r="D6457" s="11" t="s">
        <v>20267</v>
      </c>
      <c r="E6457" s="11" t="s">
        <v>20268</v>
      </c>
    </row>
    <row r="6458" spans="1:5">
      <c r="A6458" s="11" t="s">
        <v>20269</v>
      </c>
      <c r="B6458">
        <v>8005726</v>
      </c>
      <c r="D6458" s="11" t="s">
        <v>20270</v>
      </c>
      <c r="E6458" s="11" t="s">
        <v>20271</v>
      </c>
    </row>
    <row r="6459" spans="1:5">
      <c r="A6459" s="11" t="s">
        <v>20272</v>
      </c>
      <c r="B6459">
        <v>8007134</v>
      </c>
      <c r="D6459" s="11" t="s">
        <v>20273</v>
      </c>
      <c r="E6459" s="11" t="s">
        <v>20274</v>
      </c>
    </row>
    <row r="6460" spans="1:5">
      <c r="A6460" s="11" t="s">
        <v>20275</v>
      </c>
      <c r="B6460">
        <v>8005933</v>
      </c>
      <c r="D6460" s="11" t="s">
        <v>20276</v>
      </c>
      <c r="E6460" s="11" t="s">
        <v>20277</v>
      </c>
    </row>
    <row r="6461" spans="1:5">
      <c r="A6461" s="11" t="s">
        <v>20278</v>
      </c>
      <c r="B6461">
        <v>8017028</v>
      </c>
      <c r="D6461" s="11" t="s">
        <v>20279</v>
      </c>
      <c r="E6461" s="11" t="s">
        <v>20280</v>
      </c>
    </row>
    <row r="6462" spans="1:5">
      <c r="A6462" s="11" t="s">
        <v>20281</v>
      </c>
      <c r="B6462">
        <v>8005731</v>
      </c>
      <c r="D6462" s="11" t="s">
        <v>20282</v>
      </c>
      <c r="E6462" s="11" t="s">
        <v>20283</v>
      </c>
    </row>
    <row r="6463" spans="1:5">
      <c r="A6463" s="11" t="s">
        <v>20284</v>
      </c>
      <c r="B6463">
        <v>8077774</v>
      </c>
      <c r="D6463" s="11" t="s">
        <v>20285</v>
      </c>
      <c r="E6463" s="11" t="s">
        <v>20286</v>
      </c>
    </row>
    <row r="6464" spans="1:5">
      <c r="A6464" s="11" t="s">
        <v>20287</v>
      </c>
      <c r="B6464">
        <v>8005734</v>
      </c>
      <c r="D6464" s="11" t="s">
        <v>20288</v>
      </c>
      <c r="E6464" s="11" t="s">
        <v>20289</v>
      </c>
    </row>
    <row r="6465" spans="1:5">
      <c r="A6465" s="11" t="s">
        <v>20290</v>
      </c>
      <c r="B6465">
        <v>8005735</v>
      </c>
      <c r="D6465" s="11" t="s">
        <v>20291</v>
      </c>
      <c r="E6465" s="11" t="s">
        <v>20292</v>
      </c>
    </row>
    <row r="6466" spans="1:5">
      <c r="A6466" s="11" t="s">
        <v>20293</v>
      </c>
      <c r="B6466">
        <v>8005736</v>
      </c>
      <c r="D6466" s="11" t="s">
        <v>20294</v>
      </c>
      <c r="E6466" s="11" t="s">
        <v>20295</v>
      </c>
    </row>
    <row r="6467" spans="1:5">
      <c r="A6467" s="11" t="s">
        <v>20296</v>
      </c>
      <c r="B6467">
        <v>8005737</v>
      </c>
      <c r="D6467" s="11" t="s">
        <v>20297</v>
      </c>
      <c r="E6467" s="11" t="s">
        <v>20298</v>
      </c>
    </row>
    <row r="6468" spans="1:5">
      <c r="A6468" s="11" t="s">
        <v>20299</v>
      </c>
      <c r="B6468">
        <v>8005738</v>
      </c>
      <c r="D6468" s="11" t="s">
        <v>20300</v>
      </c>
      <c r="E6468" s="11" t="s">
        <v>20301</v>
      </c>
    </row>
    <row r="6469" spans="1:5">
      <c r="A6469" s="11" t="s">
        <v>20302</v>
      </c>
      <c r="B6469">
        <v>8005739</v>
      </c>
      <c r="D6469" s="11" t="s">
        <v>20303</v>
      </c>
      <c r="E6469" s="11" t="s">
        <v>20304</v>
      </c>
    </row>
    <row r="6470" spans="1:5">
      <c r="A6470" s="11" t="s">
        <v>20305</v>
      </c>
      <c r="B6470">
        <v>8005740</v>
      </c>
      <c r="D6470" s="11" t="s">
        <v>20306</v>
      </c>
      <c r="E6470" s="11" t="s">
        <v>20307</v>
      </c>
    </row>
    <row r="6471" spans="1:5">
      <c r="A6471" s="11" t="s">
        <v>20308</v>
      </c>
      <c r="B6471">
        <v>8013056</v>
      </c>
      <c r="D6471" s="11" t="s">
        <v>20309</v>
      </c>
      <c r="E6471" s="11" t="s">
        <v>20310</v>
      </c>
    </row>
    <row r="6472" spans="1:5">
      <c r="A6472" s="11" t="s">
        <v>20311</v>
      </c>
      <c r="B6472">
        <v>8000348</v>
      </c>
      <c r="D6472" s="11" t="s">
        <v>20312</v>
      </c>
      <c r="E6472" s="11" t="s">
        <v>20313</v>
      </c>
    </row>
    <row r="6473" spans="1:5">
      <c r="A6473" s="11" t="s">
        <v>20314</v>
      </c>
      <c r="B6473">
        <v>8005741</v>
      </c>
      <c r="D6473" s="11" t="s">
        <v>20315</v>
      </c>
      <c r="E6473" s="11" t="s">
        <v>20316</v>
      </c>
    </row>
    <row r="6474" spans="1:5">
      <c r="A6474" s="11" t="s">
        <v>20317</v>
      </c>
      <c r="B6474">
        <v>8005745</v>
      </c>
      <c r="D6474" s="11" t="s">
        <v>20318</v>
      </c>
      <c r="E6474" s="11" t="s">
        <v>20319</v>
      </c>
    </row>
    <row r="6475" spans="1:5">
      <c r="A6475" s="11" t="s">
        <v>20320</v>
      </c>
      <c r="B6475">
        <v>8005743</v>
      </c>
      <c r="D6475" s="11" t="s">
        <v>20321</v>
      </c>
      <c r="E6475" s="11" t="s">
        <v>20322</v>
      </c>
    </row>
    <row r="6476" spans="1:5">
      <c r="A6476" s="11" t="s">
        <v>20323</v>
      </c>
      <c r="B6476">
        <v>8005744</v>
      </c>
      <c r="D6476" s="11" t="s">
        <v>20324</v>
      </c>
      <c r="E6476" s="11" t="s">
        <v>20325</v>
      </c>
    </row>
    <row r="6477" spans="1:5">
      <c r="A6477" s="11" t="s">
        <v>20326</v>
      </c>
      <c r="B6477">
        <v>8017415</v>
      </c>
      <c r="D6477" s="11" t="s">
        <v>20327</v>
      </c>
      <c r="E6477" s="11" t="s">
        <v>20328</v>
      </c>
    </row>
    <row r="6478" spans="1:5">
      <c r="A6478" s="11" t="s">
        <v>20329</v>
      </c>
      <c r="B6478">
        <v>8010337</v>
      </c>
      <c r="D6478" s="11" t="s">
        <v>20330</v>
      </c>
      <c r="E6478" s="11" t="s">
        <v>20331</v>
      </c>
    </row>
    <row r="6479" spans="1:5">
      <c r="A6479" s="11" t="s">
        <v>20332</v>
      </c>
      <c r="B6479">
        <v>8071811</v>
      </c>
      <c r="D6479" s="11" t="s">
        <v>20333</v>
      </c>
      <c r="E6479" s="11" t="s">
        <v>20334</v>
      </c>
    </row>
    <row r="6480" spans="1:5">
      <c r="A6480" s="11" t="s">
        <v>20335</v>
      </c>
      <c r="B6480">
        <v>8013057</v>
      </c>
      <c r="D6480" s="11" t="s">
        <v>20336</v>
      </c>
      <c r="E6480" s="11" t="s">
        <v>20337</v>
      </c>
    </row>
    <row r="6481" spans="1:5">
      <c r="A6481" s="11" t="s">
        <v>20338</v>
      </c>
      <c r="B6481">
        <v>8079044</v>
      </c>
      <c r="D6481" s="11" t="s">
        <v>20339</v>
      </c>
      <c r="E6481" s="11" t="s">
        <v>20340</v>
      </c>
    </row>
    <row r="6482" spans="1:5">
      <c r="A6482" s="11" t="s">
        <v>20341</v>
      </c>
      <c r="B6482">
        <v>8005746</v>
      </c>
      <c r="D6482" s="11" t="s">
        <v>20342</v>
      </c>
      <c r="E6482" s="11" t="s">
        <v>20343</v>
      </c>
    </row>
    <row r="6483" spans="1:5">
      <c r="A6483" s="11" t="s">
        <v>20344</v>
      </c>
      <c r="B6483">
        <v>8013058</v>
      </c>
      <c r="D6483" s="11" t="s">
        <v>20345</v>
      </c>
      <c r="E6483" s="11" t="s">
        <v>20346</v>
      </c>
    </row>
    <row r="6484" spans="1:5">
      <c r="A6484" s="11" t="s">
        <v>20347</v>
      </c>
      <c r="B6484">
        <v>8005747</v>
      </c>
      <c r="D6484" s="11" t="s">
        <v>20348</v>
      </c>
      <c r="E6484" s="11" t="s">
        <v>20349</v>
      </c>
    </row>
    <row r="6485" spans="1:5">
      <c r="A6485" s="11" t="s">
        <v>20350</v>
      </c>
      <c r="B6485">
        <v>8013061</v>
      </c>
      <c r="D6485" s="11" t="s">
        <v>20351</v>
      </c>
      <c r="E6485" s="11" t="s">
        <v>20352</v>
      </c>
    </row>
    <row r="6486" spans="1:5">
      <c r="A6486" s="11" t="s">
        <v>20353</v>
      </c>
      <c r="B6486">
        <v>8087030</v>
      </c>
      <c r="D6486" s="11" t="s">
        <v>20354</v>
      </c>
      <c r="E6486" s="11" t="s">
        <v>20355</v>
      </c>
    </row>
    <row r="6487" spans="1:5">
      <c r="A6487" s="11" t="s">
        <v>20356</v>
      </c>
      <c r="B6487">
        <v>8081012</v>
      </c>
      <c r="D6487" s="11" t="s">
        <v>1539</v>
      </c>
      <c r="E6487" s="11" t="s">
        <v>1539</v>
      </c>
    </row>
    <row r="6488" spans="1:5">
      <c r="A6488" s="11" t="s">
        <v>20357</v>
      </c>
      <c r="B6488">
        <v>8010338</v>
      </c>
      <c r="D6488" s="11" t="s">
        <v>20358</v>
      </c>
      <c r="E6488" s="11" t="s">
        <v>20359</v>
      </c>
    </row>
    <row r="6489" spans="1:5">
      <c r="A6489" s="11" t="s">
        <v>20360</v>
      </c>
      <c r="B6489">
        <v>8079770</v>
      </c>
      <c r="D6489" s="11" t="s">
        <v>20361</v>
      </c>
      <c r="E6489" s="11" t="s">
        <v>20362</v>
      </c>
    </row>
    <row r="6490" spans="1:5">
      <c r="A6490" s="11" t="s">
        <v>20363</v>
      </c>
      <c r="B6490">
        <v>8013062</v>
      </c>
      <c r="D6490" s="11" t="s">
        <v>20364</v>
      </c>
      <c r="E6490" s="11" t="s">
        <v>20365</v>
      </c>
    </row>
    <row r="6491" spans="1:5">
      <c r="A6491" s="11" t="s">
        <v>20366</v>
      </c>
      <c r="B6491">
        <v>8011778</v>
      </c>
      <c r="D6491" s="11" t="s">
        <v>20367</v>
      </c>
      <c r="E6491" s="11" t="s">
        <v>20368</v>
      </c>
    </row>
    <row r="6492" spans="1:5">
      <c r="A6492" s="11" t="s">
        <v>20369</v>
      </c>
      <c r="B6492">
        <v>8010339</v>
      </c>
      <c r="D6492" s="11" t="s">
        <v>20370</v>
      </c>
      <c r="E6492" s="11" t="s">
        <v>20371</v>
      </c>
    </row>
    <row r="6493" spans="1:5">
      <c r="A6493" s="11" t="s">
        <v>20372</v>
      </c>
      <c r="B6493">
        <v>8017029</v>
      </c>
      <c r="D6493" s="11" t="s">
        <v>20373</v>
      </c>
      <c r="E6493" s="11" t="s">
        <v>20374</v>
      </c>
    </row>
    <row r="6494" spans="1:5">
      <c r="A6494" s="11" t="s">
        <v>20375</v>
      </c>
      <c r="B6494">
        <v>8084109</v>
      </c>
      <c r="D6494" s="11" t="s">
        <v>20376</v>
      </c>
      <c r="E6494" s="11" t="s">
        <v>20377</v>
      </c>
    </row>
    <row r="6495" spans="1:5">
      <c r="A6495" s="11" t="s">
        <v>20378</v>
      </c>
      <c r="B6495">
        <v>8005750</v>
      </c>
      <c r="D6495" s="11" t="s">
        <v>20379</v>
      </c>
      <c r="E6495" s="11" t="s">
        <v>20380</v>
      </c>
    </row>
    <row r="6496" spans="1:5">
      <c r="A6496" s="11" t="s">
        <v>20381</v>
      </c>
      <c r="B6496">
        <v>8010340</v>
      </c>
      <c r="D6496" s="11" t="s">
        <v>20382</v>
      </c>
      <c r="E6496" s="11" t="s">
        <v>20383</v>
      </c>
    </row>
    <row r="6497" spans="1:5">
      <c r="A6497" s="11" t="s">
        <v>20384</v>
      </c>
      <c r="B6497">
        <v>8005752</v>
      </c>
      <c r="D6497" s="11" t="s">
        <v>20385</v>
      </c>
      <c r="E6497" s="11" t="s">
        <v>20386</v>
      </c>
    </row>
    <row r="6498" spans="1:5">
      <c r="A6498" s="11" t="s">
        <v>20387</v>
      </c>
      <c r="B6498">
        <v>8005749</v>
      </c>
      <c r="D6498" s="11" t="s">
        <v>20388</v>
      </c>
      <c r="E6498" s="11" t="s">
        <v>20389</v>
      </c>
    </row>
    <row r="6499" spans="1:5">
      <c r="A6499" s="11" t="s">
        <v>20390</v>
      </c>
      <c r="B6499">
        <v>8000095</v>
      </c>
      <c r="D6499" s="11" t="s">
        <v>20391</v>
      </c>
      <c r="E6499" s="11" t="s">
        <v>20392</v>
      </c>
    </row>
    <row r="6500" spans="1:5">
      <c r="A6500" s="11" t="s">
        <v>20393</v>
      </c>
      <c r="B6500">
        <v>8006744</v>
      </c>
      <c r="D6500" s="11" t="s">
        <v>20394</v>
      </c>
      <c r="E6500" s="11" t="s">
        <v>20395</v>
      </c>
    </row>
    <row r="6501" spans="1:5">
      <c r="A6501" s="11" t="s">
        <v>20396</v>
      </c>
      <c r="B6501">
        <v>8006745</v>
      </c>
      <c r="D6501" s="11" t="s">
        <v>20397</v>
      </c>
      <c r="E6501" s="11" t="s">
        <v>20398</v>
      </c>
    </row>
    <row r="6502" spans="1:5">
      <c r="A6502" s="11" t="s">
        <v>20399</v>
      </c>
      <c r="B6502">
        <v>8010341</v>
      </c>
      <c r="D6502" s="11" t="s">
        <v>20400</v>
      </c>
      <c r="E6502" s="11" t="s">
        <v>20401</v>
      </c>
    </row>
    <row r="6503" spans="1:5">
      <c r="A6503" s="11" t="s">
        <v>20402</v>
      </c>
      <c r="B6503">
        <v>8089187</v>
      </c>
      <c r="D6503" s="11" t="s">
        <v>20403</v>
      </c>
      <c r="E6503" s="11" t="s">
        <v>20404</v>
      </c>
    </row>
    <row r="6504" spans="1:5">
      <c r="A6504" s="11" t="s">
        <v>20405</v>
      </c>
      <c r="B6504">
        <v>8013064</v>
      </c>
      <c r="D6504" s="11" t="s">
        <v>20406</v>
      </c>
      <c r="E6504" s="11" t="s">
        <v>20407</v>
      </c>
    </row>
    <row r="6505" spans="1:5">
      <c r="A6505" s="11" t="s">
        <v>20408</v>
      </c>
      <c r="B6505">
        <v>8081420</v>
      </c>
      <c r="D6505" s="11" t="s">
        <v>20409</v>
      </c>
      <c r="E6505" s="11" t="s">
        <v>20410</v>
      </c>
    </row>
    <row r="6506" spans="1:5">
      <c r="A6506" s="11" t="s">
        <v>20411</v>
      </c>
      <c r="B6506">
        <v>8080680</v>
      </c>
      <c r="D6506" s="11" t="s">
        <v>20412</v>
      </c>
      <c r="E6506" s="11" t="s">
        <v>20413</v>
      </c>
    </row>
    <row r="6507" spans="1:5">
      <c r="A6507" s="11" t="s">
        <v>20414</v>
      </c>
      <c r="B6507">
        <v>8010342</v>
      </c>
      <c r="D6507" s="11" t="s">
        <v>20415</v>
      </c>
      <c r="E6507" s="11" t="s">
        <v>20416</v>
      </c>
    </row>
    <row r="6508" spans="1:5">
      <c r="A6508" s="11" t="s">
        <v>20417</v>
      </c>
      <c r="B6508">
        <v>8013069</v>
      </c>
      <c r="D6508" s="11" t="s">
        <v>20418</v>
      </c>
      <c r="E6508" s="11" t="s">
        <v>20419</v>
      </c>
    </row>
    <row r="6509" spans="1:5">
      <c r="A6509" s="11" t="s">
        <v>20420</v>
      </c>
      <c r="B6509">
        <v>8005760</v>
      </c>
      <c r="D6509" s="11" t="s">
        <v>20421</v>
      </c>
      <c r="E6509" s="11" t="s">
        <v>20422</v>
      </c>
    </row>
    <row r="6510" spans="1:5">
      <c r="A6510" s="11" t="s">
        <v>20423</v>
      </c>
      <c r="B6510">
        <v>8005761</v>
      </c>
      <c r="D6510" s="11" t="s">
        <v>20424</v>
      </c>
      <c r="E6510" s="11" t="s">
        <v>20425</v>
      </c>
    </row>
    <row r="6511" spans="1:5">
      <c r="A6511" s="11" t="s">
        <v>20426</v>
      </c>
      <c r="B6511">
        <v>8071297</v>
      </c>
      <c r="D6511" s="11" t="s">
        <v>20427</v>
      </c>
      <c r="E6511" s="11" t="s">
        <v>20428</v>
      </c>
    </row>
    <row r="6512" spans="1:5">
      <c r="A6512" s="11" t="s">
        <v>20429</v>
      </c>
      <c r="B6512">
        <v>8070015</v>
      </c>
      <c r="D6512" s="11" t="s">
        <v>20430</v>
      </c>
      <c r="E6512" s="11" t="s">
        <v>20431</v>
      </c>
    </row>
    <row r="6513" spans="1:5">
      <c r="A6513" s="11" t="s">
        <v>20432</v>
      </c>
      <c r="B6513">
        <v>8005763</v>
      </c>
      <c r="D6513" s="11" t="s">
        <v>20433</v>
      </c>
      <c r="E6513" s="11" t="s">
        <v>20434</v>
      </c>
    </row>
    <row r="6514" spans="1:5">
      <c r="A6514" s="11" t="s">
        <v>20435</v>
      </c>
      <c r="B6514">
        <v>8087027</v>
      </c>
      <c r="D6514" s="11" t="s">
        <v>20436</v>
      </c>
      <c r="E6514" s="11" t="s">
        <v>20437</v>
      </c>
    </row>
    <row r="6515" spans="1:5">
      <c r="A6515" s="11" t="s">
        <v>20438</v>
      </c>
      <c r="B6515">
        <v>8007071</v>
      </c>
      <c r="D6515" s="11" t="s">
        <v>20439</v>
      </c>
      <c r="E6515" s="11" t="s">
        <v>20440</v>
      </c>
    </row>
    <row r="6516" spans="1:5">
      <c r="A6516" s="11" t="s">
        <v>20441</v>
      </c>
      <c r="B6516">
        <v>8005764</v>
      </c>
      <c r="D6516" s="11" t="s">
        <v>20442</v>
      </c>
      <c r="E6516" s="11" t="s">
        <v>20443</v>
      </c>
    </row>
    <row r="6517" spans="1:5">
      <c r="A6517" s="11" t="s">
        <v>20444</v>
      </c>
      <c r="B6517">
        <v>8001625</v>
      </c>
      <c r="D6517" s="11" t="s">
        <v>20445</v>
      </c>
      <c r="E6517" s="11" t="s">
        <v>20446</v>
      </c>
    </row>
    <row r="6518" spans="1:5">
      <c r="A6518" s="11" t="s">
        <v>20447</v>
      </c>
      <c r="B6518">
        <v>8010343</v>
      </c>
      <c r="D6518" s="11" t="s">
        <v>20448</v>
      </c>
      <c r="E6518" s="11" t="s">
        <v>20449</v>
      </c>
    </row>
    <row r="6519" spans="1:5">
      <c r="A6519" s="11" t="s">
        <v>20450</v>
      </c>
      <c r="B6519">
        <v>8005766</v>
      </c>
      <c r="D6519" s="11" t="s">
        <v>20451</v>
      </c>
      <c r="E6519" s="11" t="s">
        <v>20452</v>
      </c>
    </row>
    <row r="6520" spans="1:5">
      <c r="A6520" s="11" t="s">
        <v>20453</v>
      </c>
      <c r="B6520">
        <v>8006699</v>
      </c>
      <c r="D6520" s="11" t="s">
        <v>20454</v>
      </c>
      <c r="E6520" s="11" t="s">
        <v>20455</v>
      </c>
    </row>
    <row r="6521" spans="1:5">
      <c r="A6521" s="11" t="s">
        <v>20456</v>
      </c>
      <c r="B6521">
        <v>8005768</v>
      </c>
      <c r="D6521" s="11" t="s">
        <v>20457</v>
      </c>
      <c r="E6521" s="11" t="s">
        <v>20458</v>
      </c>
    </row>
    <row r="6522" spans="1:5">
      <c r="A6522" s="11" t="s">
        <v>980</v>
      </c>
      <c r="B6522">
        <v>8000096</v>
      </c>
      <c r="D6522" s="11" t="s">
        <v>982</v>
      </c>
      <c r="E6522" s="11" t="s">
        <v>983</v>
      </c>
    </row>
    <row r="6523" spans="1:5">
      <c r="A6523" s="11" t="s">
        <v>20459</v>
      </c>
      <c r="B6523">
        <v>8006743</v>
      </c>
      <c r="D6523" s="11" t="s">
        <v>20460</v>
      </c>
      <c r="E6523" s="11" t="s">
        <v>20461</v>
      </c>
    </row>
    <row r="6524" spans="1:5">
      <c r="A6524" s="11" t="s">
        <v>20462</v>
      </c>
      <c r="B6524">
        <v>8005767</v>
      </c>
      <c r="D6524" s="11" t="s">
        <v>20463</v>
      </c>
      <c r="E6524" s="11" t="s">
        <v>20464</v>
      </c>
    </row>
    <row r="6525" spans="1:5">
      <c r="A6525" s="11" t="s">
        <v>20465</v>
      </c>
      <c r="B6525">
        <v>8004357</v>
      </c>
      <c r="D6525" s="11" t="s">
        <v>20466</v>
      </c>
      <c r="E6525" s="11" t="s">
        <v>20467</v>
      </c>
    </row>
    <row r="6526" spans="1:5">
      <c r="A6526" s="11" t="s">
        <v>20468</v>
      </c>
      <c r="B6526">
        <v>8006698</v>
      </c>
      <c r="D6526" s="11" t="s">
        <v>20469</v>
      </c>
      <c r="E6526" s="11" t="s">
        <v>20470</v>
      </c>
    </row>
    <row r="6527" spans="1:5">
      <c r="A6527" s="11" t="s">
        <v>20471</v>
      </c>
      <c r="B6527">
        <v>8006700</v>
      </c>
      <c r="D6527" s="11" t="s">
        <v>20472</v>
      </c>
      <c r="E6527" s="11" t="s">
        <v>20473</v>
      </c>
    </row>
    <row r="6528" spans="1:5">
      <c r="A6528" s="11" t="s">
        <v>20474</v>
      </c>
      <c r="B6528">
        <v>8006513</v>
      </c>
      <c r="D6528" s="11" t="s">
        <v>20475</v>
      </c>
      <c r="E6528" s="11" t="s">
        <v>20476</v>
      </c>
    </row>
    <row r="6529" spans="1:5">
      <c r="A6529" s="11" t="s">
        <v>20477</v>
      </c>
      <c r="B6529">
        <v>8005769</v>
      </c>
      <c r="D6529" s="11" t="s">
        <v>20478</v>
      </c>
      <c r="E6529" s="11" t="s">
        <v>20479</v>
      </c>
    </row>
    <row r="6530" spans="1:5">
      <c r="A6530" s="11" t="s">
        <v>20480</v>
      </c>
      <c r="B6530">
        <v>8005770</v>
      </c>
      <c r="D6530" s="11" t="s">
        <v>20481</v>
      </c>
      <c r="E6530" s="11" t="s">
        <v>20482</v>
      </c>
    </row>
    <row r="6531" spans="1:5">
      <c r="A6531" s="11" t="s">
        <v>20483</v>
      </c>
      <c r="B6531">
        <v>8005771</v>
      </c>
      <c r="D6531" s="11" t="s">
        <v>20484</v>
      </c>
      <c r="E6531" s="11" t="s">
        <v>20485</v>
      </c>
    </row>
    <row r="6532" spans="1:5">
      <c r="A6532" s="11" t="s">
        <v>20486</v>
      </c>
      <c r="B6532">
        <v>8005772</v>
      </c>
      <c r="D6532" s="11" t="s">
        <v>20487</v>
      </c>
      <c r="E6532" s="11" t="s">
        <v>20488</v>
      </c>
    </row>
    <row r="6533" spans="1:5">
      <c r="A6533" s="11" t="s">
        <v>20489</v>
      </c>
      <c r="B6533">
        <v>8005779</v>
      </c>
      <c r="D6533" s="11" t="s">
        <v>20490</v>
      </c>
      <c r="E6533" s="11" t="s">
        <v>20491</v>
      </c>
    </row>
    <row r="6534" spans="1:5">
      <c r="A6534" s="11" t="s">
        <v>20492</v>
      </c>
      <c r="B6534">
        <v>8005773</v>
      </c>
      <c r="D6534" s="11" t="s">
        <v>20493</v>
      </c>
      <c r="E6534" s="11" t="s">
        <v>20494</v>
      </c>
    </row>
    <row r="6535" spans="1:5">
      <c r="A6535" s="11" t="s">
        <v>20495</v>
      </c>
      <c r="B6535">
        <v>8005774</v>
      </c>
      <c r="D6535" s="11" t="s">
        <v>20496</v>
      </c>
      <c r="E6535" s="11" t="s">
        <v>20497</v>
      </c>
    </row>
    <row r="6536" spans="1:5">
      <c r="A6536" s="11" t="s">
        <v>20498</v>
      </c>
      <c r="B6536">
        <v>8005775</v>
      </c>
      <c r="D6536" s="11" t="s">
        <v>20499</v>
      </c>
      <c r="E6536" s="11" t="s">
        <v>20500</v>
      </c>
    </row>
    <row r="6537" spans="1:5">
      <c r="A6537" s="11" t="s">
        <v>20501</v>
      </c>
      <c r="B6537">
        <v>8005776</v>
      </c>
      <c r="D6537" s="11" t="s">
        <v>20502</v>
      </c>
      <c r="E6537" s="11" t="s">
        <v>20503</v>
      </c>
    </row>
    <row r="6538" spans="1:5">
      <c r="A6538" s="11" t="s">
        <v>20504</v>
      </c>
      <c r="B6538">
        <v>8005777</v>
      </c>
      <c r="D6538" s="11" t="s">
        <v>20505</v>
      </c>
      <c r="E6538" s="11" t="s">
        <v>20506</v>
      </c>
    </row>
    <row r="6539" spans="1:5">
      <c r="A6539" s="11" t="s">
        <v>20507</v>
      </c>
      <c r="B6539">
        <v>8005778</v>
      </c>
      <c r="D6539" s="11" t="s">
        <v>20508</v>
      </c>
      <c r="E6539" s="11" t="s">
        <v>20509</v>
      </c>
    </row>
    <row r="6540" spans="1:5">
      <c r="A6540" s="11" t="s">
        <v>20510</v>
      </c>
      <c r="B6540">
        <v>8013071</v>
      </c>
      <c r="D6540" s="11" t="s">
        <v>20511</v>
      </c>
      <c r="E6540" s="11" t="s">
        <v>20512</v>
      </c>
    </row>
    <row r="6541" spans="1:5">
      <c r="A6541" s="11" t="s">
        <v>20513</v>
      </c>
      <c r="B6541">
        <v>8013072</v>
      </c>
      <c r="D6541" s="11" t="s">
        <v>20514</v>
      </c>
      <c r="E6541" s="11" t="s">
        <v>20515</v>
      </c>
    </row>
    <row r="6542" spans="1:5">
      <c r="A6542" s="11" t="s">
        <v>20516</v>
      </c>
      <c r="B6542">
        <v>8005781</v>
      </c>
      <c r="D6542" s="11" t="s">
        <v>20517</v>
      </c>
      <c r="E6542" s="11" t="s">
        <v>20518</v>
      </c>
    </row>
    <row r="6543" spans="1:5">
      <c r="A6543" s="11" t="s">
        <v>20519</v>
      </c>
      <c r="B6543">
        <v>8005782</v>
      </c>
      <c r="D6543" s="11" t="s">
        <v>20520</v>
      </c>
      <c r="E6543" s="11" t="s">
        <v>20521</v>
      </c>
    </row>
    <row r="6544" spans="1:5">
      <c r="A6544" s="11" t="s">
        <v>20522</v>
      </c>
      <c r="B6544">
        <v>8005780</v>
      </c>
      <c r="D6544" s="11" t="s">
        <v>20523</v>
      </c>
      <c r="E6544" s="11" t="s">
        <v>20524</v>
      </c>
    </row>
    <row r="6545" spans="1:5">
      <c r="A6545" s="11" t="s">
        <v>20525</v>
      </c>
      <c r="B6545">
        <v>8005783</v>
      </c>
      <c r="D6545" s="11" t="s">
        <v>20526</v>
      </c>
      <c r="E6545" s="11" t="s">
        <v>20527</v>
      </c>
    </row>
    <row r="6546" spans="1:5">
      <c r="A6546" s="11" t="s">
        <v>20528</v>
      </c>
      <c r="B6546">
        <v>8005789</v>
      </c>
      <c r="D6546" s="11" t="s">
        <v>20529</v>
      </c>
      <c r="E6546" s="11" t="s">
        <v>20530</v>
      </c>
    </row>
    <row r="6547" spans="1:5">
      <c r="A6547" s="11" t="s">
        <v>20531</v>
      </c>
      <c r="B6547">
        <v>8005788</v>
      </c>
      <c r="D6547" s="11" t="s">
        <v>20532</v>
      </c>
      <c r="E6547" s="11" t="s">
        <v>20533</v>
      </c>
    </row>
    <row r="6548" spans="1:5">
      <c r="A6548" s="11" t="s">
        <v>20534</v>
      </c>
      <c r="B6548">
        <v>8010345</v>
      </c>
      <c r="D6548" s="11" t="s">
        <v>20535</v>
      </c>
      <c r="E6548" s="11" t="s">
        <v>20536</v>
      </c>
    </row>
    <row r="6549" spans="1:5">
      <c r="A6549" s="11" t="s">
        <v>20537</v>
      </c>
      <c r="B6549">
        <v>8013077</v>
      </c>
      <c r="D6549" s="11" t="s">
        <v>20538</v>
      </c>
      <c r="E6549" s="11" t="s">
        <v>20539</v>
      </c>
    </row>
    <row r="6550" spans="1:5">
      <c r="A6550" s="11" t="s">
        <v>20540</v>
      </c>
      <c r="B6550">
        <v>8013079</v>
      </c>
      <c r="D6550" s="11" t="s">
        <v>20541</v>
      </c>
      <c r="E6550" s="11" t="s">
        <v>20542</v>
      </c>
    </row>
    <row r="6551" spans="1:5">
      <c r="A6551" s="11" t="s">
        <v>20543</v>
      </c>
      <c r="B6551">
        <v>8079100</v>
      </c>
      <c r="D6551" s="11" t="s">
        <v>20544</v>
      </c>
      <c r="E6551" s="11" t="s">
        <v>20545</v>
      </c>
    </row>
    <row r="6552" spans="1:5">
      <c r="A6552" s="11" t="s">
        <v>20546</v>
      </c>
      <c r="B6552">
        <v>8013073</v>
      </c>
      <c r="D6552" s="11" t="s">
        <v>20547</v>
      </c>
      <c r="E6552" s="11" t="s">
        <v>20548</v>
      </c>
    </row>
    <row r="6553" spans="1:5">
      <c r="A6553" s="11" t="s">
        <v>20549</v>
      </c>
      <c r="B6553">
        <v>8070981</v>
      </c>
      <c r="D6553" s="11" t="s">
        <v>20550</v>
      </c>
      <c r="E6553" s="11" t="s">
        <v>20551</v>
      </c>
    </row>
    <row r="6554" spans="1:5">
      <c r="A6554" s="11" t="s">
        <v>20552</v>
      </c>
      <c r="B6554">
        <v>8005791</v>
      </c>
      <c r="D6554" s="11" t="s">
        <v>20553</v>
      </c>
      <c r="E6554" s="11" t="s">
        <v>20554</v>
      </c>
    </row>
    <row r="6555" spans="1:5">
      <c r="A6555" s="11" t="s">
        <v>20555</v>
      </c>
      <c r="B6555">
        <v>8005786</v>
      </c>
      <c r="D6555" s="11" t="s">
        <v>20556</v>
      </c>
      <c r="E6555" s="11" t="s">
        <v>20557</v>
      </c>
    </row>
    <row r="6556" spans="1:5">
      <c r="A6556" s="11" t="s">
        <v>20558</v>
      </c>
      <c r="B6556">
        <v>8071025</v>
      </c>
      <c r="D6556" s="11" t="s">
        <v>20559</v>
      </c>
      <c r="E6556" s="11" t="s">
        <v>20560</v>
      </c>
    </row>
    <row r="6557" spans="1:5">
      <c r="A6557" s="11" t="s">
        <v>20561</v>
      </c>
      <c r="B6557">
        <v>8005792</v>
      </c>
      <c r="D6557" s="11" t="s">
        <v>20562</v>
      </c>
      <c r="E6557" s="11" t="s">
        <v>20563</v>
      </c>
    </row>
    <row r="6558" spans="1:5">
      <c r="A6558" s="11" t="s">
        <v>20564</v>
      </c>
      <c r="B6558">
        <v>8005793</v>
      </c>
      <c r="D6558" s="11" t="s">
        <v>20565</v>
      </c>
      <c r="E6558" s="11" t="s">
        <v>20566</v>
      </c>
    </row>
    <row r="6559" spans="1:5">
      <c r="A6559" s="11" t="s">
        <v>20567</v>
      </c>
      <c r="B6559">
        <v>8005794</v>
      </c>
      <c r="D6559" s="11" t="s">
        <v>20568</v>
      </c>
      <c r="E6559" s="11" t="s">
        <v>20569</v>
      </c>
    </row>
    <row r="6560" spans="1:5">
      <c r="A6560" s="11" t="s">
        <v>20570</v>
      </c>
      <c r="B6560">
        <v>8005795</v>
      </c>
      <c r="D6560" s="11" t="s">
        <v>20571</v>
      </c>
      <c r="E6560" s="11" t="s">
        <v>20572</v>
      </c>
    </row>
    <row r="6561" spans="1:5">
      <c r="A6561" s="11" t="s">
        <v>20573</v>
      </c>
      <c r="B6561">
        <v>8005796</v>
      </c>
      <c r="D6561" s="11" t="s">
        <v>20574</v>
      </c>
      <c r="E6561" s="11" t="s">
        <v>20575</v>
      </c>
    </row>
    <row r="6562" spans="1:5">
      <c r="A6562" s="11" t="s">
        <v>20576</v>
      </c>
      <c r="B6562">
        <v>8005797</v>
      </c>
      <c r="D6562" s="11" t="s">
        <v>20577</v>
      </c>
      <c r="E6562" s="11" t="s">
        <v>20578</v>
      </c>
    </row>
    <row r="6563" spans="1:5">
      <c r="A6563" s="11" t="s">
        <v>20579</v>
      </c>
      <c r="B6563">
        <v>8005798</v>
      </c>
      <c r="D6563" s="11" t="s">
        <v>20580</v>
      </c>
      <c r="E6563" s="11" t="s">
        <v>20581</v>
      </c>
    </row>
    <row r="6564" spans="1:5">
      <c r="A6564" s="11" t="s">
        <v>20582</v>
      </c>
      <c r="B6564">
        <v>8005799</v>
      </c>
      <c r="D6564" s="11" t="s">
        <v>20583</v>
      </c>
      <c r="E6564" s="11" t="s">
        <v>20584</v>
      </c>
    </row>
    <row r="6565" spans="1:5">
      <c r="A6565" s="11" t="s">
        <v>1508</v>
      </c>
      <c r="B6565">
        <v>8005800</v>
      </c>
      <c r="D6565" s="11" t="s">
        <v>20585</v>
      </c>
      <c r="E6565" s="11" t="s">
        <v>20586</v>
      </c>
    </row>
    <row r="6566" spans="1:5">
      <c r="A6566" s="11" t="s">
        <v>20587</v>
      </c>
      <c r="B6566">
        <v>8006019</v>
      </c>
      <c r="D6566" s="11" t="s">
        <v>20588</v>
      </c>
      <c r="E6566" s="11" t="s">
        <v>20589</v>
      </c>
    </row>
    <row r="6567" spans="1:5">
      <c r="A6567" s="11" t="s">
        <v>20590</v>
      </c>
      <c r="B6567">
        <v>8005802</v>
      </c>
      <c r="D6567" s="11" t="s">
        <v>20591</v>
      </c>
      <c r="E6567" s="11" t="s">
        <v>20592</v>
      </c>
    </row>
    <row r="6568" spans="1:5">
      <c r="A6568" s="11" t="s">
        <v>20593</v>
      </c>
      <c r="B6568">
        <v>8013074</v>
      </c>
      <c r="D6568" s="11" t="s">
        <v>20594</v>
      </c>
      <c r="E6568" s="11" t="s">
        <v>20595</v>
      </c>
    </row>
    <row r="6569" spans="1:5">
      <c r="A6569" s="11" t="s">
        <v>20596</v>
      </c>
      <c r="B6569">
        <v>8005805</v>
      </c>
      <c r="D6569" s="11" t="s">
        <v>20597</v>
      </c>
      <c r="E6569" s="11" t="s">
        <v>20598</v>
      </c>
    </row>
    <row r="6570" spans="1:5">
      <c r="A6570" s="11" t="s">
        <v>20599</v>
      </c>
      <c r="B6570">
        <v>8005787</v>
      </c>
      <c r="D6570" s="11" t="s">
        <v>20600</v>
      </c>
      <c r="E6570" s="11" t="s">
        <v>20601</v>
      </c>
    </row>
    <row r="6571" spans="1:5">
      <c r="A6571" s="11" t="s">
        <v>20602</v>
      </c>
      <c r="B6571">
        <v>8005790</v>
      </c>
      <c r="D6571" s="11" t="s">
        <v>20603</v>
      </c>
      <c r="E6571" s="11" t="s">
        <v>20604</v>
      </c>
    </row>
    <row r="6572" spans="1:5">
      <c r="A6572" s="11" t="s">
        <v>20605</v>
      </c>
      <c r="B6572">
        <v>8004616</v>
      </c>
      <c r="D6572" s="11" t="s">
        <v>20606</v>
      </c>
      <c r="E6572" s="11" t="s">
        <v>20607</v>
      </c>
    </row>
    <row r="6573" spans="1:5">
      <c r="A6573" s="11" t="s">
        <v>20608</v>
      </c>
      <c r="B6573">
        <v>8005809</v>
      </c>
      <c r="D6573" s="11" t="s">
        <v>20609</v>
      </c>
      <c r="E6573" s="11" t="s">
        <v>20610</v>
      </c>
    </row>
    <row r="6574" spans="1:5">
      <c r="A6574" s="11" t="s">
        <v>20611</v>
      </c>
      <c r="B6574">
        <v>8013080</v>
      </c>
      <c r="D6574" s="11" t="s">
        <v>20612</v>
      </c>
      <c r="E6574" s="11" t="s">
        <v>20613</v>
      </c>
    </row>
    <row r="6575" spans="1:5">
      <c r="A6575" s="11" t="s">
        <v>20614</v>
      </c>
      <c r="B6575">
        <v>8005811</v>
      </c>
      <c r="D6575" s="11" t="s">
        <v>20615</v>
      </c>
      <c r="E6575" s="11" t="s">
        <v>20616</v>
      </c>
    </row>
    <row r="6576" spans="1:5">
      <c r="A6576" s="11" t="s">
        <v>20617</v>
      </c>
      <c r="B6576">
        <v>8005812</v>
      </c>
      <c r="D6576" s="11" t="s">
        <v>20618</v>
      </c>
      <c r="E6576" s="11" t="s">
        <v>20619</v>
      </c>
    </row>
    <row r="6577" spans="1:5">
      <c r="A6577" s="11" t="s">
        <v>20620</v>
      </c>
      <c r="B6577">
        <v>8005813</v>
      </c>
      <c r="D6577" s="11" t="s">
        <v>20621</v>
      </c>
      <c r="E6577" s="11" t="s">
        <v>20622</v>
      </c>
    </row>
    <row r="6578" spans="1:5">
      <c r="A6578" s="11" t="s">
        <v>20623</v>
      </c>
      <c r="B6578">
        <v>8005820</v>
      </c>
      <c r="D6578" s="11" t="s">
        <v>20624</v>
      </c>
      <c r="E6578" s="11" t="s">
        <v>20625</v>
      </c>
    </row>
    <row r="6579" spans="1:5">
      <c r="A6579" s="11" t="s">
        <v>20626</v>
      </c>
      <c r="B6579">
        <v>8013083</v>
      </c>
      <c r="D6579" s="11" t="s">
        <v>20627</v>
      </c>
      <c r="E6579" s="11" t="s">
        <v>20628</v>
      </c>
    </row>
    <row r="6580" spans="1:5">
      <c r="A6580" s="11" t="s">
        <v>20629</v>
      </c>
      <c r="B6580">
        <v>8013084</v>
      </c>
      <c r="D6580" s="11" t="s">
        <v>20630</v>
      </c>
      <c r="E6580" s="11" t="s">
        <v>20631</v>
      </c>
    </row>
    <row r="6581" spans="1:5">
      <c r="A6581" s="11" t="s">
        <v>20632</v>
      </c>
      <c r="B6581">
        <v>8013085</v>
      </c>
      <c r="D6581" s="11" t="s">
        <v>20633</v>
      </c>
      <c r="E6581" s="11" t="s">
        <v>20634</v>
      </c>
    </row>
    <row r="6582" spans="1:5">
      <c r="A6582" s="11" t="s">
        <v>20635</v>
      </c>
      <c r="B6582">
        <v>8081026</v>
      </c>
      <c r="D6582" s="11" t="s">
        <v>20636</v>
      </c>
      <c r="E6582" s="11" t="s">
        <v>20637</v>
      </c>
    </row>
    <row r="6583" spans="1:5">
      <c r="A6583" s="11" t="s">
        <v>20638</v>
      </c>
      <c r="B6583">
        <v>8013087</v>
      </c>
      <c r="D6583" s="11" t="s">
        <v>20639</v>
      </c>
      <c r="E6583" s="11" t="s">
        <v>20640</v>
      </c>
    </row>
    <row r="6584" spans="1:5">
      <c r="A6584" s="11" t="s">
        <v>20641</v>
      </c>
      <c r="B6584">
        <v>8007051</v>
      </c>
      <c r="D6584" s="11" t="s">
        <v>20642</v>
      </c>
      <c r="E6584" s="11" t="s">
        <v>20643</v>
      </c>
    </row>
    <row r="6585" spans="1:5">
      <c r="A6585" s="11" t="s">
        <v>20644</v>
      </c>
      <c r="B6585">
        <v>8005823</v>
      </c>
      <c r="D6585" s="11" t="s">
        <v>20645</v>
      </c>
      <c r="E6585" s="11" t="s">
        <v>20646</v>
      </c>
    </row>
    <row r="6586" spans="1:5">
      <c r="A6586" s="11" t="s">
        <v>20647</v>
      </c>
      <c r="B6586">
        <v>8013089</v>
      </c>
      <c r="D6586" s="11" t="s">
        <v>20648</v>
      </c>
      <c r="E6586" s="11" t="s">
        <v>20649</v>
      </c>
    </row>
    <row r="6587" spans="1:5">
      <c r="A6587" s="11" t="s">
        <v>20650</v>
      </c>
      <c r="B6587">
        <v>8013090</v>
      </c>
      <c r="D6587" s="11" t="s">
        <v>20651</v>
      </c>
      <c r="E6587" s="11" t="s">
        <v>20652</v>
      </c>
    </row>
    <row r="6588" spans="1:5">
      <c r="A6588" s="11" t="s">
        <v>20653</v>
      </c>
      <c r="B6588">
        <v>8089127</v>
      </c>
      <c r="D6588" s="11" t="s">
        <v>1539</v>
      </c>
      <c r="E6588" s="11" t="s">
        <v>1539</v>
      </c>
    </row>
    <row r="6589" spans="1:5">
      <c r="A6589" s="11" t="s">
        <v>20654</v>
      </c>
      <c r="B6589">
        <v>8005824</v>
      </c>
      <c r="D6589" s="11" t="s">
        <v>20655</v>
      </c>
      <c r="E6589" s="11" t="s">
        <v>20656</v>
      </c>
    </row>
    <row r="6590" spans="1:5">
      <c r="A6590" s="11" t="s">
        <v>20657</v>
      </c>
      <c r="B6590">
        <v>8005825</v>
      </c>
      <c r="D6590" s="11" t="s">
        <v>20658</v>
      </c>
      <c r="E6590" s="11" t="s">
        <v>20659</v>
      </c>
    </row>
    <row r="6591" spans="1:5">
      <c r="A6591" s="11" t="s">
        <v>20660</v>
      </c>
      <c r="B6591">
        <v>8005826</v>
      </c>
      <c r="D6591" s="11" t="s">
        <v>20661</v>
      </c>
      <c r="E6591" s="11" t="s">
        <v>20662</v>
      </c>
    </row>
    <row r="6592" spans="1:5">
      <c r="A6592" s="11" t="s">
        <v>20663</v>
      </c>
      <c r="B6592">
        <v>8013092</v>
      </c>
      <c r="D6592" s="11" t="s">
        <v>20664</v>
      </c>
      <c r="E6592" s="11" t="s">
        <v>20665</v>
      </c>
    </row>
    <row r="6593" spans="1:5">
      <c r="A6593" s="11" t="s">
        <v>20666</v>
      </c>
      <c r="B6593">
        <v>8005827</v>
      </c>
      <c r="D6593" s="11" t="s">
        <v>20667</v>
      </c>
      <c r="E6593" s="11" t="s">
        <v>20668</v>
      </c>
    </row>
    <row r="6594" spans="1:5">
      <c r="A6594" s="11" t="s">
        <v>20669</v>
      </c>
      <c r="B6594">
        <v>8005828</v>
      </c>
      <c r="D6594" s="11" t="s">
        <v>20670</v>
      </c>
      <c r="E6594" s="11" t="s">
        <v>20671</v>
      </c>
    </row>
    <row r="6595" spans="1:5">
      <c r="A6595" s="11" t="s">
        <v>20672</v>
      </c>
      <c r="B6595">
        <v>8013093</v>
      </c>
      <c r="D6595" s="11" t="s">
        <v>20673</v>
      </c>
      <c r="E6595" s="11" t="s">
        <v>20674</v>
      </c>
    </row>
    <row r="6596" spans="1:5">
      <c r="A6596" s="11" t="s">
        <v>20675</v>
      </c>
      <c r="B6596">
        <v>8005831</v>
      </c>
      <c r="D6596" s="11" t="s">
        <v>20676</v>
      </c>
      <c r="E6596" s="11" t="s">
        <v>20677</v>
      </c>
    </row>
    <row r="6597" spans="1:5">
      <c r="A6597" s="11" t="s">
        <v>20678</v>
      </c>
      <c r="B6597">
        <v>8070363</v>
      </c>
      <c r="D6597" s="11" t="s">
        <v>20679</v>
      </c>
      <c r="E6597" s="11" t="s">
        <v>20680</v>
      </c>
    </row>
    <row r="6598" spans="1:5">
      <c r="A6598" s="11" t="s">
        <v>20681</v>
      </c>
      <c r="B6598">
        <v>8013095</v>
      </c>
      <c r="D6598" s="11" t="s">
        <v>20682</v>
      </c>
      <c r="E6598" s="11" t="s">
        <v>20683</v>
      </c>
    </row>
    <row r="6599" spans="1:5">
      <c r="A6599" s="11" t="s">
        <v>20684</v>
      </c>
      <c r="B6599">
        <v>8070555</v>
      </c>
      <c r="D6599" s="11" t="s">
        <v>20685</v>
      </c>
      <c r="E6599" s="11" t="s">
        <v>20686</v>
      </c>
    </row>
    <row r="6600" spans="1:5">
      <c r="A6600" s="11" t="s">
        <v>20687</v>
      </c>
      <c r="B6600">
        <v>8007632</v>
      </c>
      <c r="D6600" s="11" t="s">
        <v>20688</v>
      </c>
      <c r="E6600" s="11" t="s">
        <v>20689</v>
      </c>
    </row>
    <row r="6601" spans="1:5">
      <c r="A6601" s="11" t="s">
        <v>20690</v>
      </c>
      <c r="B6601">
        <v>8013097</v>
      </c>
      <c r="D6601" s="11" t="s">
        <v>20691</v>
      </c>
      <c r="E6601" s="11" t="s">
        <v>20692</v>
      </c>
    </row>
    <row r="6602" spans="1:5">
      <c r="A6602" s="11" t="s">
        <v>20693</v>
      </c>
      <c r="B6602">
        <v>8012445</v>
      </c>
      <c r="D6602" s="11" t="s">
        <v>20694</v>
      </c>
      <c r="E6602" s="11" t="s">
        <v>20695</v>
      </c>
    </row>
    <row r="6603" spans="1:5">
      <c r="A6603" s="11" t="s">
        <v>20696</v>
      </c>
      <c r="B6603">
        <v>8013098</v>
      </c>
      <c r="D6603" s="11" t="s">
        <v>20697</v>
      </c>
      <c r="E6603" s="11" t="s">
        <v>20698</v>
      </c>
    </row>
    <row r="6604" spans="1:5">
      <c r="A6604" s="11" t="s">
        <v>20699</v>
      </c>
      <c r="B6604">
        <v>8005833</v>
      </c>
      <c r="D6604" s="11" t="s">
        <v>20700</v>
      </c>
      <c r="E6604" s="11" t="s">
        <v>20701</v>
      </c>
    </row>
    <row r="6605" spans="1:5">
      <c r="A6605" s="11" t="s">
        <v>20702</v>
      </c>
      <c r="B6605">
        <v>8070666</v>
      </c>
      <c r="D6605" s="11" t="s">
        <v>20703</v>
      </c>
      <c r="E6605" s="11" t="s">
        <v>20704</v>
      </c>
    </row>
    <row r="6606" spans="1:5">
      <c r="A6606" s="11" t="s">
        <v>20705</v>
      </c>
      <c r="B6606">
        <v>8005839</v>
      </c>
      <c r="D6606" s="11" t="s">
        <v>20706</v>
      </c>
      <c r="E6606" s="11" t="s">
        <v>20707</v>
      </c>
    </row>
    <row r="6607" spans="1:5">
      <c r="A6607" s="11" t="s">
        <v>20708</v>
      </c>
      <c r="B6607">
        <v>8005834</v>
      </c>
      <c r="D6607" s="11" t="s">
        <v>20709</v>
      </c>
      <c r="E6607" s="11" t="s">
        <v>20710</v>
      </c>
    </row>
    <row r="6608" spans="1:5">
      <c r="A6608" s="11" t="s">
        <v>20711</v>
      </c>
      <c r="B6608">
        <v>8013100</v>
      </c>
      <c r="D6608" s="11" t="s">
        <v>20712</v>
      </c>
      <c r="E6608" s="11" t="s">
        <v>20713</v>
      </c>
    </row>
    <row r="6609" spans="1:5">
      <c r="A6609" s="11" t="s">
        <v>20714</v>
      </c>
      <c r="B6609">
        <v>8080450</v>
      </c>
      <c r="D6609" s="11" t="s">
        <v>20715</v>
      </c>
      <c r="E6609" s="11" t="s">
        <v>20716</v>
      </c>
    </row>
    <row r="6610" spans="1:5">
      <c r="A6610" s="11" t="s">
        <v>20717</v>
      </c>
      <c r="B6610">
        <v>8071754</v>
      </c>
      <c r="D6610" s="11" t="s">
        <v>20718</v>
      </c>
      <c r="E6610" s="11" t="s">
        <v>20719</v>
      </c>
    </row>
    <row r="6611" spans="1:5">
      <c r="A6611" s="11" t="s">
        <v>20720</v>
      </c>
      <c r="B6611">
        <v>8005835</v>
      </c>
      <c r="D6611" s="11" t="s">
        <v>20721</v>
      </c>
      <c r="E6611" s="11" t="s">
        <v>20722</v>
      </c>
    </row>
    <row r="6612" spans="1:5">
      <c r="A6612" s="11" t="s">
        <v>20723</v>
      </c>
      <c r="B6612">
        <v>8010347</v>
      </c>
      <c r="D6612" s="11" t="s">
        <v>20724</v>
      </c>
      <c r="E6612" s="11" t="s">
        <v>20725</v>
      </c>
    </row>
    <row r="6613" spans="1:5">
      <c r="A6613" s="11" t="s">
        <v>20726</v>
      </c>
      <c r="B6613">
        <v>8010117</v>
      </c>
      <c r="D6613" s="11" t="s">
        <v>20727</v>
      </c>
      <c r="E6613" s="11" t="s">
        <v>20728</v>
      </c>
    </row>
    <row r="6614" spans="1:5">
      <c r="A6614" s="11" t="s">
        <v>20729</v>
      </c>
      <c r="B6614">
        <v>8013102</v>
      </c>
      <c r="D6614" s="11" t="s">
        <v>20730</v>
      </c>
      <c r="E6614" s="11" t="s">
        <v>20731</v>
      </c>
    </row>
    <row r="6615" spans="1:5">
      <c r="A6615" s="11" t="s">
        <v>20732</v>
      </c>
      <c r="B6615">
        <v>8087076</v>
      </c>
      <c r="D6615" s="11" t="s">
        <v>20733</v>
      </c>
      <c r="E6615" s="11" t="s">
        <v>20734</v>
      </c>
    </row>
    <row r="6616" spans="1:5">
      <c r="A6616" s="11" t="s">
        <v>20735</v>
      </c>
      <c r="B6616">
        <v>8005836</v>
      </c>
      <c r="D6616" s="11" t="s">
        <v>20736</v>
      </c>
      <c r="E6616" s="11" t="s">
        <v>20737</v>
      </c>
    </row>
    <row r="6617" spans="1:5">
      <c r="A6617" s="11" t="s">
        <v>20738</v>
      </c>
      <c r="B6617">
        <v>8013104</v>
      </c>
      <c r="D6617" s="11" t="s">
        <v>20739</v>
      </c>
      <c r="E6617" s="11" t="s">
        <v>20740</v>
      </c>
    </row>
    <row r="6618" spans="1:5">
      <c r="A6618" s="11" t="s">
        <v>20741</v>
      </c>
      <c r="B6618">
        <v>8013105</v>
      </c>
      <c r="D6618" s="11" t="s">
        <v>20742</v>
      </c>
      <c r="E6618" s="11" t="s">
        <v>20743</v>
      </c>
    </row>
    <row r="6619" spans="1:5">
      <c r="A6619" s="11" t="s">
        <v>20744</v>
      </c>
      <c r="B6619">
        <v>8079771</v>
      </c>
      <c r="D6619" s="11" t="s">
        <v>20745</v>
      </c>
      <c r="E6619" s="11" t="s">
        <v>20746</v>
      </c>
    </row>
    <row r="6620" spans="1:5">
      <c r="A6620" s="11" t="s">
        <v>20747</v>
      </c>
      <c r="B6620">
        <v>8013106</v>
      </c>
      <c r="D6620" s="11" t="s">
        <v>20748</v>
      </c>
      <c r="E6620" s="11" t="s">
        <v>20749</v>
      </c>
    </row>
    <row r="6621" spans="1:5">
      <c r="A6621" s="11" t="s">
        <v>20750</v>
      </c>
      <c r="B6621">
        <v>8079604</v>
      </c>
      <c r="D6621" s="11" t="s">
        <v>20751</v>
      </c>
      <c r="E6621" s="11" t="s">
        <v>20752</v>
      </c>
    </row>
    <row r="6622" spans="1:5">
      <c r="A6622" s="11" t="s">
        <v>20753</v>
      </c>
      <c r="B6622">
        <v>8010348</v>
      </c>
      <c r="D6622" s="11" t="s">
        <v>20754</v>
      </c>
      <c r="E6622" s="11" t="s">
        <v>20755</v>
      </c>
    </row>
    <row r="6623" spans="1:5">
      <c r="A6623" s="11" t="s">
        <v>20756</v>
      </c>
      <c r="B6623">
        <v>8010349</v>
      </c>
      <c r="D6623" s="11" t="s">
        <v>20757</v>
      </c>
      <c r="E6623" s="11" t="s">
        <v>20758</v>
      </c>
    </row>
    <row r="6624" spans="1:5">
      <c r="A6624" s="11" t="s">
        <v>20759</v>
      </c>
      <c r="B6624">
        <v>8013537</v>
      </c>
      <c r="D6624" s="11" t="s">
        <v>20760</v>
      </c>
      <c r="E6624" s="11" t="s">
        <v>20761</v>
      </c>
    </row>
    <row r="6625" spans="1:5">
      <c r="A6625" s="11" t="s">
        <v>20762</v>
      </c>
      <c r="B6625">
        <v>8013110</v>
      </c>
      <c r="D6625" s="11" t="s">
        <v>20763</v>
      </c>
      <c r="E6625" s="11" t="s">
        <v>20764</v>
      </c>
    </row>
    <row r="6626" spans="1:5">
      <c r="A6626" s="11" t="s">
        <v>20765</v>
      </c>
      <c r="B6626">
        <v>8013111</v>
      </c>
      <c r="D6626" s="11" t="s">
        <v>20766</v>
      </c>
      <c r="E6626" s="11" t="s">
        <v>20767</v>
      </c>
    </row>
    <row r="6627" spans="1:5">
      <c r="A6627" s="11" t="s">
        <v>1382</v>
      </c>
      <c r="B6627">
        <v>8013112</v>
      </c>
      <c r="D6627" s="11" t="s">
        <v>20768</v>
      </c>
      <c r="E6627" s="11" t="s">
        <v>20769</v>
      </c>
    </row>
    <row r="6628" spans="1:5">
      <c r="A6628" s="11" t="s">
        <v>20770</v>
      </c>
      <c r="B6628">
        <v>8013125</v>
      </c>
      <c r="D6628" s="11" t="s">
        <v>20771</v>
      </c>
      <c r="E6628" s="11" t="s">
        <v>20772</v>
      </c>
    </row>
    <row r="6629" spans="1:5">
      <c r="A6629" s="11" t="s">
        <v>20773</v>
      </c>
      <c r="B6629">
        <v>8005843</v>
      </c>
      <c r="D6629" s="11" t="s">
        <v>20774</v>
      </c>
      <c r="E6629" s="11" t="s">
        <v>20775</v>
      </c>
    </row>
    <row r="6630" spans="1:5">
      <c r="A6630" s="11" t="s">
        <v>20776</v>
      </c>
      <c r="B6630">
        <v>8005845</v>
      </c>
      <c r="D6630" s="11" t="s">
        <v>20777</v>
      </c>
      <c r="E6630" s="11" t="s">
        <v>20778</v>
      </c>
    </row>
    <row r="6631" spans="1:5">
      <c r="A6631" s="11" t="s">
        <v>20779</v>
      </c>
      <c r="B6631">
        <v>8071071</v>
      </c>
      <c r="D6631" s="11" t="s">
        <v>20780</v>
      </c>
      <c r="E6631" s="11" t="s">
        <v>20781</v>
      </c>
    </row>
    <row r="6632" spans="1:5">
      <c r="A6632" s="11" t="s">
        <v>20782</v>
      </c>
      <c r="B6632">
        <v>8070690</v>
      </c>
      <c r="D6632" s="11" t="s">
        <v>20783</v>
      </c>
      <c r="E6632" s="11" t="s">
        <v>20784</v>
      </c>
    </row>
    <row r="6633" spans="1:5">
      <c r="A6633" s="11" t="s">
        <v>20785</v>
      </c>
      <c r="B6633">
        <v>8013113</v>
      </c>
      <c r="D6633" s="11" t="s">
        <v>20786</v>
      </c>
      <c r="E6633" s="11" t="s">
        <v>20787</v>
      </c>
    </row>
    <row r="6634" spans="1:5">
      <c r="A6634" s="11" t="s">
        <v>20788</v>
      </c>
      <c r="B6634">
        <v>8013117</v>
      </c>
      <c r="D6634" s="11" t="s">
        <v>20789</v>
      </c>
      <c r="E6634" s="11" t="s">
        <v>20790</v>
      </c>
    </row>
    <row r="6635" spans="1:5">
      <c r="A6635" s="11" t="s">
        <v>20791</v>
      </c>
      <c r="B6635">
        <v>8005852</v>
      </c>
      <c r="D6635" s="11" t="s">
        <v>20792</v>
      </c>
      <c r="E6635" s="11" t="s">
        <v>20793</v>
      </c>
    </row>
    <row r="6636" spans="1:5">
      <c r="A6636" s="11" t="s">
        <v>20794</v>
      </c>
      <c r="B6636">
        <v>8005855</v>
      </c>
      <c r="D6636" s="11" t="s">
        <v>20795</v>
      </c>
      <c r="E6636" s="11" t="s">
        <v>20796</v>
      </c>
    </row>
    <row r="6637" spans="1:5">
      <c r="A6637" s="11" t="s">
        <v>20797</v>
      </c>
      <c r="B6637">
        <v>8013114</v>
      </c>
      <c r="D6637" s="11" t="s">
        <v>20798</v>
      </c>
      <c r="E6637" s="11" t="s">
        <v>20799</v>
      </c>
    </row>
    <row r="6638" spans="1:5">
      <c r="A6638" s="11" t="s">
        <v>20800</v>
      </c>
      <c r="B6638">
        <v>8005856</v>
      </c>
      <c r="D6638" s="11" t="s">
        <v>20801</v>
      </c>
      <c r="E6638" s="11" t="s">
        <v>20802</v>
      </c>
    </row>
    <row r="6639" spans="1:5">
      <c r="A6639" s="11" t="s">
        <v>20803</v>
      </c>
      <c r="B6639">
        <v>8005857</v>
      </c>
      <c r="D6639" s="11" t="s">
        <v>20804</v>
      </c>
      <c r="E6639" s="11" t="s">
        <v>20805</v>
      </c>
    </row>
    <row r="6640" spans="1:5">
      <c r="A6640" s="11" t="s">
        <v>20806</v>
      </c>
      <c r="B6640">
        <v>8013115</v>
      </c>
      <c r="D6640" s="11" t="s">
        <v>20807</v>
      </c>
      <c r="E6640" s="11" t="s">
        <v>20808</v>
      </c>
    </row>
    <row r="6641" spans="1:5">
      <c r="A6641" s="11" t="s">
        <v>20809</v>
      </c>
      <c r="B6641">
        <v>8010350</v>
      </c>
      <c r="D6641" s="11" t="s">
        <v>20810</v>
      </c>
      <c r="E6641" s="11" t="s">
        <v>20811</v>
      </c>
    </row>
    <row r="6642" spans="1:5">
      <c r="A6642" s="11" t="s">
        <v>20812</v>
      </c>
      <c r="B6642">
        <v>8013116</v>
      </c>
      <c r="D6642" s="11" t="s">
        <v>20813</v>
      </c>
      <c r="E6642" s="11" t="s">
        <v>20814</v>
      </c>
    </row>
    <row r="6643" spans="1:5">
      <c r="A6643" s="11" t="s">
        <v>20815</v>
      </c>
      <c r="B6643">
        <v>8005858</v>
      </c>
      <c r="D6643" s="11" t="s">
        <v>20816</v>
      </c>
      <c r="E6643" s="11" t="s">
        <v>20817</v>
      </c>
    </row>
    <row r="6644" spans="1:5">
      <c r="A6644" s="11" t="s">
        <v>20818</v>
      </c>
      <c r="B6644">
        <v>8007867</v>
      </c>
      <c r="D6644" s="11" t="s">
        <v>20819</v>
      </c>
      <c r="E6644" s="11" t="s">
        <v>20820</v>
      </c>
    </row>
    <row r="6645" spans="1:5">
      <c r="A6645" s="11" t="s">
        <v>20821</v>
      </c>
      <c r="B6645">
        <v>8013120</v>
      </c>
      <c r="D6645" s="11" t="s">
        <v>20822</v>
      </c>
      <c r="E6645" s="11" t="s">
        <v>20823</v>
      </c>
    </row>
    <row r="6646" spans="1:5">
      <c r="A6646" s="11" t="s">
        <v>20824</v>
      </c>
      <c r="B6646">
        <v>8005864</v>
      </c>
      <c r="D6646" s="11" t="s">
        <v>20825</v>
      </c>
      <c r="E6646" s="11" t="s">
        <v>20826</v>
      </c>
    </row>
    <row r="6647" spans="1:5">
      <c r="A6647" s="11" t="s">
        <v>20827</v>
      </c>
      <c r="B6647">
        <v>8005865</v>
      </c>
      <c r="D6647" s="11" t="s">
        <v>20828</v>
      </c>
      <c r="E6647" s="11" t="s">
        <v>20829</v>
      </c>
    </row>
    <row r="6648" spans="1:5">
      <c r="A6648" s="11" t="s">
        <v>20830</v>
      </c>
      <c r="B6648">
        <v>8013123</v>
      </c>
      <c r="D6648" s="11" t="s">
        <v>20831</v>
      </c>
      <c r="E6648" s="11" t="s">
        <v>20832</v>
      </c>
    </row>
    <row r="6649" spans="1:5">
      <c r="A6649" s="11" t="s">
        <v>20833</v>
      </c>
      <c r="B6649">
        <v>8005867</v>
      </c>
      <c r="D6649" s="11" t="s">
        <v>20834</v>
      </c>
      <c r="E6649" s="11" t="s">
        <v>20835</v>
      </c>
    </row>
    <row r="6650" spans="1:5">
      <c r="A6650" s="11" t="s">
        <v>20836</v>
      </c>
      <c r="B6650">
        <v>8013124</v>
      </c>
      <c r="D6650" s="11" t="s">
        <v>20837</v>
      </c>
      <c r="E6650" s="11" t="s">
        <v>20838</v>
      </c>
    </row>
    <row r="6651" spans="1:5">
      <c r="A6651" s="11" t="s">
        <v>20839</v>
      </c>
      <c r="B6651">
        <v>8017030</v>
      </c>
      <c r="D6651" s="11" t="s">
        <v>20840</v>
      </c>
      <c r="E6651" s="11" t="s">
        <v>20841</v>
      </c>
    </row>
    <row r="6652" spans="1:5">
      <c r="A6652" s="11" t="s">
        <v>20842</v>
      </c>
      <c r="B6652">
        <v>8013127</v>
      </c>
      <c r="D6652" s="11" t="s">
        <v>20843</v>
      </c>
      <c r="E6652" s="11" t="s">
        <v>20844</v>
      </c>
    </row>
    <row r="6653" spans="1:5">
      <c r="A6653" s="11" t="s">
        <v>20845</v>
      </c>
      <c r="B6653">
        <v>8013128</v>
      </c>
      <c r="D6653" s="11" t="s">
        <v>20846</v>
      </c>
      <c r="E6653" s="11" t="s">
        <v>20847</v>
      </c>
    </row>
    <row r="6654" spans="1:5">
      <c r="A6654" s="11" t="s">
        <v>20848</v>
      </c>
      <c r="B6654">
        <v>8005871</v>
      </c>
      <c r="D6654" s="11" t="s">
        <v>20849</v>
      </c>
      <c r="E6654" s="11" t="s">
        <v>20850</v>
      </c>
    </row>
    <row r="6655" spans="1:5">
      <c r="A6655" s="11" t="s">
        <v>20851</v>
      </c>
      <c r="B6655">
        <v>8005874</v>
      </c>
      <c r="D6655" s="11" t="s">
        <v>20852</v>
      </c>
      <c r="E6655" s="11" t="s">
        <v>20853</v>
      </c>
    </row>
    <row r="6656" spans="1:5">
      <c r="A6656" s="11" t="s">
        <v>70</v>
      </c>
      <c r="B6656">
        <v>8005876</v>
      </c>
      <c r="D6656" s="11" t="s">
        <v>20854</v>
      </c>
      <c r="E6656" s="11" t="s">
        <v>20855</v>
      </c>
    </row>
    <row r="6657" spans="1:5">
      <c r="A6657" s="11" t="s">
        <v>20856</v>
      </c>
      <c r="B6657">
        <v>8006422</v>
      </c>
      <c r="D6657" s="11" t="s">
        <v>20857</v>
      </c>
      <c r="E6657" s="11" t="s">
        <v>20858</v>
      </c>
    </row>
    <row r="6658" spans="1:5">
      <c r="A6658" s="11" t="s">
        <v>20859</v>
      </c>
      <c r="B6658">
        <v>8080984</v>
      </c>
      <c r="D6658" s="11" t="s">
        <v>20860</v>
      </c>
      <c r="E6658" s="11" t="s">
        <v>20861</v>
      </c>
    </row>
    <row r="6659" spans="1:5">
      <c r="A6659" s="11" t="s">
        <v>20862</v>
      </c>
      <c r="B6659">
        <v>8001451</v>
      </c>
      <c r="D6659" s="11" t="s">
        <v>1539</v>
      </c>
      <c r="E6659" s="11" t="s">
        <v>1539</v>
      </c>
    </row>
    <row r="6660" spans="1:5">
      <c r="A6660" s="11" t="s">
        <v>20863</v>
      </c>
      <c r="B6660">
        <v>8005883</v>
      </c>
      <c r="D6660" s="11" t="s">
        <v>20864</v>
      </c>
      <c r="E6660" s="11" t="s">
        <v>20865</v>
      </c>
    </row>
    <row r="6661" spans="1:5">
      <c r="A6661" s="11" t="s">
        <v>20866</v>
      </c>
      <c r="B6661">
        <v>8005885</v>
      </c>
      <c r="D6661" s="11" t="s">
        <v>20867</v>
      </c>
      <c r="E6661" s="11" t="s">
        <v>20868</v>
      </c>
    </row>
    <row r="6662" spans="1:5">
      <c r="A6662" s="11" t="s">
        <v>20869</v>
      </c>
      <c r="B6662">
        <v>8071949</v>
      </c>
      <c r="D6662" s="11" t="s">
        <v>20870</v>
      </c>
      <c r="E6662" s="11" t="s">
        <v>20871</v>
      </c>
    </row>
    <row r="6663" spans="1:5">
      <c r="A6663" s="11" t="s">
        <v>20872</v>
      </c>
      <c r="B6663">
        <v>8013129</v>
      </c>
      <c r="D6663" s="11" t="s">
        <v>20873</v>
      </c>
      <c r="E6663" s="11" t="s">
        <v>20874</v>
      </c>
    </row>
    <row r="6664" spans="1:5">
      <c r="A6664" s="11" t="s">
        <v>20875</v>
      </c>
      <c r="B6664">
        <v>8010351</v>
      </c>
      <c r="D6664" s="11" t="s">
        <v>20876</v>
      </c>
      <c r="E6664" s="11" t="s">
        <v>20877</v>
      </c>
    </row>
    <row r="6665" spans="1:5">
      <c r="A6665" s="11" t="s">
        <v>20878</v>
      </c>
      <c r="B6665">
        <v>8013131</v>
      </c>
      <c r="D6665" s="11" t="s">
        <v>20879</v>
      </c>
      <c r="E6665" s="11" t="s">
        <v>20880</v>
      </c>
    </row>
    <row r="6666" spans="1:5">
      <c r="A6666" s="11" t="s">
        <v>20881</v>
      </c>
      <c r="B6666">
        <v>8005887</v>
      </c>
      <c r="D6666" s="11" t="s">
        <v>20882</v>
      </c>
      <c r="E6666" s="11" t="s">
        <v>20883</v>
      </c>
    </row>
    <row r="6667" spans="1:5">
      <c r="A6667" s="11" t="s">
        <v>20884</v>
      </c>
      <c r="B6667">
        <v>8005888</v>
      </c>
      <c r="D6667" s="11" t="s">
        <v>20885</v>
      </c>
      <c r="E6667" s="11" t="s">
        <v>20886</v>
      </c>
    </row>
    <row r="6668" spans="1:5">
      <c r="A6668" s="11" t="s">
        <v>20887</v>
      </c>
      <c r="B6668">
        <v>8005889</v>
      </c>
      <c r="D6668" s="11" t="s">
        <v>20888</v>
      </c>
      <c r="E6668" s="11" t="s">
        <v>20889</v>
      </c>
    </row>
    <row r="6669" spans="1:5">
      <c r="A6669" s="11" t="s">
        <v>20890</v>
      </c>
      <c r="B6669">
        <v>8005890</v>
      </c>
      <c r="D6669" s="11" t="s">
        <v>20891</v>
      </c>
      <c r="E6669" s="11" t="s">
        <v>20892</v>
      </c>
    </row>
    <row r="6670" spans="1:5">
      <c r="A6670" s="11" t="s">
        <v>20893</v>
      </c>
      <c r="B6670">
        <v>8005891</v>
      </c>
      <c r="D6670" s="11" t="s">
        <v>20894</v>
      </c>
      <c r="E6670" s="11" t="s">
        <v>20895</v>
      </c>
    </row>
    <row r="6671" spans="1:5">
      <c r="A6671" s="11" t="s">
        <v>20896</v>
      </c>
      <c r="B6671">
        <v>8005892</v>
      </c>
      <c r="D6671" s="11" t="s">
        <v>20897</v>
      </c>
      <c r="E6671" s="11" t="s">
        <v>20898</v>
      </c>
    </row>
    <row r="6672" spans="1:5">
      <c r="A6672" s="11" t="s">
        <v>20899</v>
      </c>
      <c r="B6672">
        <v>8013132</v>
      </c>
      <c r="D6672" s="11" t="s">
        <v>20900</v>
      </c>
      <c r="E6672" s="11" t="s">
        <v>20901</v>
      </c>
    </row>
    <row r="6673" spans="1:5">
      <c r="A6673" s="11" t="s">
        <v>20902</v>
      </c>
      <c r="B6673">
        <v>8013133</v>
      </c>
      <c r="D6673" s="11" t="s">
        <v>20903</v>
      </c>
      <c r="E6673" s="11" t="s">
        <v>20904</v>
      </c>
    </row>
    <row r="6674" spans="1:5">
      <c r="A6674" s="11" t="s">
        <v>20905</v>
      </c>
      <c r="B6674">
        <v>8013135</v>
      </c>
      <c r="D6674" s="11" t="s">
        <v>20906</v>
      </c>
      <c r="E6674" s="11" t="s">
        <v>20907</v>
      </c>
    </row>
    <row r="6675" spans="1:5">
      <c r="A6675" s="11" t="s">
        <v>20908</v>
      </c>
      <c r="B6675">
        <v>8005893</v>
      </c>
      <c r="D6675" s="11" t="s">
        <v>20909</v>
      </c>
      <c r="E6675" s="11" t="s">
        <v>20910</v>
      </c>
    </row>
    <row r="6676" spans="1:5">
      <c r="A6676" s="11" t="s">
        <v>20911</v>
      </c>
      <c r="B6676">
        <v>8005894</v>
      </c>
      <c r="D6676" s="11" t="s">
        <v>20912</v>
      </c>
      <c r="E6676" s="11" t="s">
        <v>20913</v>
      </c>
    </row>
    <row r="6677" spans="1:5">
      <c r="A6677" s="11" t="s">
        <v>20914</v>
      </c>
      <c r="B6677">
        <v>8000116</v>
      </c>
      <c r="D6677" s="11" t="s">
        <v>20915</v>
      </c>
      <c r="E6677" s="11" t="s">
        <v>20916</v>
      </c>
    </row>
    <row r="6678" spans="1:5">
      <c r="A6678" s="11" t="s">
        <v>20917</v>
      </c>
      <c r="B6678">
        <v>8005873</v>
      </c>
      <c r="D6678" s="11" t="s">
        <v>20918</v>
      </c>
      <c r="E6678" s="11" t="s">
        <v>20919</v>
      </c>
    </row>
    <row r="6679" spans="1:5">
      <c r="A6679" s="11" t="s">
        <v>20920</v>
      </c>
      <c r="B6679">
        <v>8013137</v>
      </c>
      <c r="D6679" s="11" t="s">
        <v>20921</v>
      </c>
      <c r="E6679" s="11" t="s">
        <v>20922</v>
      </c>
    </row>
    <row r="6680" spans="1:5">
      <c r="A6680" s="11" t="s">
        <v>20923</v>
      </c>
      <c r="B6680">
        <v>8013138</v>
      </c>
      <c r="D6680" s="11" t="s">
        <v>20924</v>
      </c>
      <c r="E6680" s="11" t="s">
        <v>20925</v>
      </c>
    </row>
    <row r="6681" spans="1:5">
      <c r="A6681" s="11" t="s">
        <v>20926</v>
      </c>
      <c r="B6681">
        <v>8005895</v>
      </c>
      <c r="D6681" s="11" t="s">
        <v>20927</v>
      </c>
      <c r="E6681" s="11" t="s">
        <v>20928</v>
      </c>
    </row>
    <row r="6682" spans="1:5">
      <c r="A6682" s="11" t="s">
        <v>20929</v>
      </c>
      <c r="B6682">
        <v>8013141</v>
      </c>
      <c r="D6682" s="11" t="s">
        <v>20930</v>
      </c>
      <c r="E6682" s="11" t="s">
        <v>20931</v>
      </c>
    </row>
    <row r="6683" spans="1:5">
      <c r="A6683" s="11" t="s">
        <v>20932</v>
      </c>
      <c r="B6683">
        <v>8005896</v>
      </c>
      <c r="D6683" s="11" t="s">
        <v>20933</v>
      </c>
      <c r="E6683" s="11" t="s">
        <v>20934</v>
      </c>
    </row>
    <row r="6684" spans="1:5">
      <c r="A6684" s="11" t="s">
        <v>20935</v>
      </c>
      <c r="B6684">
        <v>8003179</v>
      </c>
      <c r="D6684" s="11" t="s">
        <v>20936</v>
      </c>
      <c r="E6684" s="11" t="s">
        <v>20937</v>
      </c>
    </row>
    <row r="6685" spans="1:5">
      <c r="A6685" s="11" t="s">
        <v>20938</v>
      </c>
      <c r="B6685">
        <v>8000122</v>
      </c>
      <c r="D6685" s="11" t="s">
        <v>20939</v>
      </c>
      <c r="E6685" s="11" t="s">
        <v>20940</v>
      </c>
    </row>
    <row r="6686" spans="1:5">
      <c r="A6686" s="11" t="s">
        <v>20941</v>
      </c>
      <c r="B6686">
        <v>8013144</v>
      </c>
      <c r="D6686" s="11" t="s">
        <v>20942</v>
      </c>
      <c r="E6686" s="11" t="s">
        <v>20943</v>
      </c>
    </row>
    <row r="6687" spans="1:5">
      <c r="A6687" s="11" t="s">
        <v>20944</v>
      </c>
      <c r="B6687">
        <v>8013145</v>
      </c>
      <c r="D6687" s="11" t="s">
        <v>20945</v>
      </c>
      <c r="E6687" s="11" t="s">
        <v>20946</v>
      </c>
    </row>
    <row r="6688" spans="1:5">
      <c r="A6688" s="11" t="s">
        <v>20947</v>
      </c>
      <c r="B6688">
        <v>8013146</v>
      </c>
      <c r="D6688" s="11" t="s">
        <v>20948</v>
      </c>
      <c r="E6688" s="11" t="s">
        <v>20949</v>
      </c>
    </row>
    <row r="6689" spans="1:5">
      <c r="A6689" s="11" t="s">
        <v>20950</v>
      </c>
      <c r="B6689">
        <v>8000129</v>
      </c>
      <c r="D6689" s="11" t="s">
        <v>20951</v>
      </c>
      <c r="E6689" s="11" t="s">
        <v>20952</v>
      </c>
    </row>
    <row r="6690" spans="1:5">
      <c r="A6690" s="11" t="s">
        <v>520</v>
      </c>
      <c r="B6690">
        <v>8005901</v>
      </c>
      <c r="D6690" s="11" t="s">
        <v>522</v>
      </c>
      <c r="E6690" s="11" t="s">
        <v>523</v>
      </c>
    </row>
    <row r="6691" spans="1:5">
      <c r="A6691" s="11" t="s">
        <v>20953</v>
      </c>
      <c r="B6691">
        <v>8005902</v>
      </c>
      <c r="D6691" s="11" t="s">
        <v>20954</v>
      </c>
      <c r="E6691" s="11" t="s">
        <v>20955</v>
      </c>
    </row>
    <row r="6692" spans="1:5">
      <c r="A6692" s="11" t="s">
        <v>20956</v>
      </c>
      <c r="B6692">
        <v>8013150</v>
      </c>
      <c r="D6692" s="11" t="s">
        <v>20957</v>
      </c>
      <c r="E6692" s="11" t="s">
        <v>20958</v>
      </c>
    </row>
    <row r="6693" spans="1:5">
      <c r="A6693" s="11" t="s">
        <v>20959</v>
      </c>
      <c r="B6693">
        <v>8005903</v>
      </c>
      <c r="D6693" s="11" t="s">
        <v>20960</v>
      </c>
      <c r="E6693" s="11" t="s">
        <v>20961</v>
      </c>
    </row>
    <row r="6694" spans="1:5">
      <c r="A6694" s="11" t="s">
        <v>20962</v>
      </c>
      <c r="B6694">
        <v>8005904</v>
      </c>
      <c r="D6694" s="11" t="s">
        <v>20963</v>
      </c>
      <c r="E6694" s="11" t="s">
        <v>20964</v>
      </c>
    </row>
    <row r="6695" spans="1:5">
      <c r="A6695" s="11" t="s">
        <v>20965</v>
      </c>
      <c r="B6695">
        <v>8000134</v>
      </c>
      <c r="D6695" s="11" t="s">
        <v>20966</v>
      </c>
      <c r="E6695" s="11" t="s">
        <v>20967</v>
      </c>
    </row>
    <row r="6696" spans="1:5">
      <c r="A6696" s="11" t="s">
        <v>20968</v>
      </c>
      <c r="B6696">
        <v>8005905</v>
      </c>
      <c r="D6696" s="11" t="s">
        <v>20969</v>
      </c>
      <c r="E6696" s="11" t="s">
        <v>20970</v>
      </c>
    </row>
    <row r="6697" spans="1:5">
      <c r="A6697" s="11" t="s">
        <v>20971</v>
      </c>
      <c r="B6697">
        <v>8005906</v>
      </c>
      <c r="D6697" s="11" t="s">
        <v>20972</v>
      </c>
      <c r="E6697" s="11" t="s">
        <v>20973</v>
      </c>
    </row>
    <row r="6698" spans="1:5">
      <c r="A6698" s="11" t="s">
        <v>20974</v>
      </c>
      <c r="B6698">
        <v>8001940</v>
      </c>
      <c r="D6698" s="11" t="s">
        <v>20975</v>
      </c>
      <c r="E6698" s="11" t="s">
        <v>20976</v>
      </c>
    </row>
    <row r="6699" spans="1:5">
      <c r="A6699" s="11" t="s">
        <v>20977</v>
      </c>
      <c r="B6699">
        <v>8004752</v>
      </c>
      <c r="D6699" s="11" t="s">
        <v>20978</v>
      </c>
      <c r="E6699" s="11" t="s">
        <v>20979</v>
      </c>
    </row>
    <row r="6700" spans="1:5">
      <c r="A6700" s="11" t="s">
        <v>20980</v>
      </c>
      <c r="B6700">
        <v>8006650</v>
      </c>
      <c r="D6700" s="11" t="s">
        <v>20981</v>
      </c>
      <c r="E6700" s="11" t="s">
        <v>20982</v>
      </c>
    </row>
    <row r="6701" spans="1:5">
      <c r="A6701" s="11" t="s">
        <v>20983</v>
      </c>
      <c r="B6701">
        <v>8005907</v>
      </c>
      <c r="D6701" s="11" t="s">
        <v>20984</v>
      </c>
      <c r="E6701" s="11" t="s">
        <v>20985</v>
      </c>
    </row>
    <row r="6702" spans="1:5">
      <c r="A6702" s="11" t="s">
        <v>20986</v>
      </c>
      <c r="B6702">
        <v>8010352</v>
      </c>
      <c r="D6702" s="11" t="s">
        <v>20987</v>
      </c>
      <c r="E6702" s="11" t="s">
        <v>20988</v>
      </c>
    </row>
    <row r="6703" spans="1:5">
      <c r="A6703" s="11" t="s">
        <v>20989</v>
      </c>
      <c r="B6703">
        <v>8007147</v>
      </c>
      <c r="D6703" s="11" t="s">
        <v>20990</v>
      </c>
      <c r="E6703" s="11" t="s">
        <v>20991</v>
      </c>
    </row>
    <row r="6704" spans="1:5">
      <c r="A6704" s="11" t="s">
        <v>20992</v>
      </c>
      <c r="B6704">
        <v>8005908</v>
      </c>
      <c r="D6704" s="11" t="s">
        <v>20993</v>
      </c>
      <c r="E6704" s="11" t="s">
        <v>20994</v>
      </c>
    </row>
    <row r="6705" spans="1:5">
      <c r="A6705" s="11" t="s">
        <v>20995</v>
      </c>
      <c r="B6705">
        <v>8070557</v>
      </c>
      <c r="D6705" s="11" t="s">
        <v>20996</v>
      </c>
      <c r="E6705" s="11" t="s">
        <v>20997</v>
      </c>
    </row>
    <row r="6706" spans="1:5">
      <c r="A6706" s="11" t="s">
        <v>20998</v>
      </c>
      <c r="B6706">
        <v>8000135</v>
      </c>
      <c r="D6706" s="11" t="s">
        <v>20999</v>
      </c>
      <c r="E6706" s="11" t="s">
        <v>21000</v>
      </c>
    </row>
    <row r="6707" spans="1:5">
      <c r="A6707" s="11" t="s">
        <v>21001</v>
      </c>
      <c r="B6707">
        <v>8005910</v>
      </c>
      <c r="D6707" s="11" t="s">
        <v>21002</v>
      </c>
      <c r="E6707" s="11" t="s">
        <v>21003</v>
      </c>
    </row>
    <row r="6708" spans="1:5">
      <c r="A6708" s="11" t="s">
        <v>21004</v>
      </c>
      <c r="B6708">
        <v>8005911</v>
      </c>
      <c r="D6708" s="11" t="s">
        <v>21005</v>
      </c>
      <c r="E6708" s="11" t="s">
        <v>21006</v>
      </c>
    </row>
    <row r="6709" spans="1:5">
      <c r="A6709" s="11" t="s">
        <v>21007</v>
      </c>
      <c r="B6709">
        <v>8007646</v>
      </c>
      <c r="D6709" s="11" t="s">
        <v>21008</v>
      </c>
      <c r="E6709" s="11" t="s">
        <v>21009</v>
      </c>
    </row>
    <row r="6710" spans="1:5">
      <c r="A6710" s="11" t="s">
        <v>21010</v>
      </c>
      <c r="B6710">
        <v>8005912</v>
      </c>
      <c r="D6710" s="11" t="s">
        <v>21011</v>
      </c>
      <c r="E6710" s="11" t="s">
        <v>21012</v>
      </c>
    </row>
    <row r="6711" spans="1:5">
      <c r="A6711" s="11" t="s">
        <v>21013</v>
      </c>
      <c r="B6711">
        <v>8071419</v>
      </c>
      <c r="D6711" s="11" t="s">
        <v>21014</v>
      </c>
      <c r="E6711" s="11" t="s">
        <v>21015</v>
      </c>
    </row>
    <row r="6712" spans="1:5">
      <c r="A6712" s="11" t="s">
        <v>21016</v>
      </c>
      <c r="B6712">
        <v>8000141</v>
      </c>
      <c r="D6712" s="11" t="s">
        <v>21017</v>
      </c>
      <c r="E6712" s="11" t="s">
        <v>21018</v>
      </c>
    </row>
    <row r="6713" spans="1:5">
      <c r="A6713" s="11" t="s">
        <v>21019</v>
      </c>
      <c r="B6713">
        <v>8005916</v>
      </c>
      <c r="D6713" s="11" t="s">
        <v>21020</v>
      </c>
      <c r="E6713" s="11" t="s">
        <v>21021</v>
      </c>
    </row>
    <row r="6714" spans="1:5">
      <c r="A6714" s="11" t="s">
        <v>21022</v>
      </c>
      <c r="B6714">
        <v>8005917</v>
      </c>
      <c r="D6714" s="11" t="s">
        <v>21023</v>
      </c>
      <c r="E6714" s="11" t="s">
        <v>21024</v>
      </c>
    </row>
    <row r="6715" spans="1:5">
      <c r="A6715" s="11" t="s">
        <v>21025</v>
      </c>
      <c r="B6715">
        <v>8005918</v>
      </c>
      <c r="D6715" s="11" t="s">
        <v>21026</v>
      </c>
      <c r="E6715" s="11" t="s">
        <v>21027</v>
      </c>
    </row>
    <row r="6716" spans="1:5">
      <c r="A6716" s="11" t="s">
        <v>21028</v>
      </c>
      <c r="B6716">
        <v>8005924</v>
      </c>
      <c r="D6716" s="11" t="s">
        <v>21029</v>
      </c>
      <c r="E6716" s="11" t="s">
        <v>21030</v>
      </c>
    </row>
    <row r="6717" spans="1:5">
      <c r="A6717" s="11" t="s">
        <v>21031</v>
      </c>
      <c r="B6717">
        <v>8005920</v>
      </c>
      <c r="D6717" s="11" t="s">
        <v>21032</v>
      </c>
      <c r="E6717" s="11" t="s">
        <v>21033</v>
      </c>
    </row>
    <row r="6718" spans="1:5">
      <c r="A6718" s="11" t="s">
        <v>21034</v>
      </c>
      <c r="B6718">
        <v>8000144</v>
      </c>
      <c r="D6718" s="11" t="s">
        <v>21035</v>
      </c>
      <c r="E6718" s="11" t="s">
        <v>21036</v>
      </c>
    </row>
    <row r="6719" spans="1:5">
      <c r="A6719" s="11" t="s">
        <v>21037</v>
      </c>
      <c r="B6719">
        <v>8000154</v>
      </c>
      <c r="D6719" s="11" t="s">
        <v>21038</v>
      </c>
      <c r="E6719" s="11" t="s">
        <v>21039</v>
      </c>
    </row>
    <row r="6720" spans="1:5">
      <c r="A6720" s="11" t="s">
        <v>21040</v>
      </c>
      <c r="B6720">
        <v>8005923</v>
      </c>
      <c r="D6720" s="11" t="s">
        <v>21041</v>
      </c>
      <c r="E6720" s="11" t="s">
        <v>21042</v>
      </c>
    </row>
    <row r="6721" spans="1:5">
      <c r="A6721" s="11" t="s">
        <v>21043</v>
      </c>
      <c r="B6721">
        <v>8000163</v>
      </c>
      <c r="D6721" s="11" t="s">
        <v>21044</v>
      </c>
      <c r="E6721" s="11" t="s">
        <v>21045</v>
      </c>
    </row>
    <row r="6722" spans="1:5">
      <c r="A6722" s="11" t="s">
        <v>21046</v>
      </c>
      <c r="B6722">
        <v>8005946</v>
      </c>
      <c r="D6722" s="11" t="s">
        <v>21047</v>
      </c>
      <c r="E6722" s="11" t="s">
        <v>21048</v>
      </c>
    </row>
    <row r="6723" spans="1:5">
      <c r="A6723" s="11" t="s">
        <v>21049</v>
      </c>
      <c r="B6723">
        <v>8000456</v>
      </c>
      <c r="D6723" s="11" t="s">
        <v>21050</v>
      </c>
      <c r="E6723" s="11" t="s">
        <v>21051</v>
      </c>
    </row>
    <row r="6724" spans="1:5">
      <c r="A6724" s="11" t="s">
        <v>21052</v>
      </c>
      <c r="B6724">
        <v>8005925</v>
      </c>
      <c r="D6724" s="11" t="s">
        <v>21053</v>
      </c>
      <c r="E6724" s="11" t="s">
        <v>21054</v>
      </c>
    </row>
    <row r="6725" spans="1:5">
      <c r="A6725" s="11" t="s">
        <v>21055</v>
      </c>
      <c r="B6725">
        <v>8079056</v>
      </c>
      <c r="D6725" s="11" t="s">
        <v>21056</v>
      </c>
      <c r="E6725" s="11" t="s">
        <v>21057</v>
      </c>
    </row>
    <row r="6726" spans="1:5">
      <c r="A6726" s="11" t="s">
        <v>21058</v>
      </c>
      <c r="B6726">
        <v>8005927</v>
      </c>
      <c r="D6726" s="11" t="s">
        <v>21059</v>
      </c>
      <c r="E6726" s="11" t="s">
        <v>21060</v>
      </c>
    </row>
    <row r="6727" spans="1:5">
      <c r="A6727" s="11" t="s">
        <v>21061</v>
      </c>
      <c r="B6727">
        <v>8005928</v>
      </c>
      <c r="D6727" s="11" t="s">
        <v>21062</v>
      </c>
      <c r="E6727" s="11" t="s">
        <v>21063</v>
      </c>
    </row>
    <row r="6728" spans="1:5">
      <c r="A6728" s="11" t="s">
        <v>21064</v>
      </c>
      <c r="B6728">
        <v>8005929</v>
      </c>
      <c r="D6728" s="11" t="s">
        <v>21065</v>
      </c>
      <c r="E6728" s="11" t="s">
        <v>21066</v>
      </c>
    </row>
    <row r="6729" spans="1:5">
      <c r="A6729" s="11" t="s">
        <v>21067</v>
      </c>
      <c r="B6729">
        <v>8005935</v>
      </c>
      <c r="D6729" s="11" t="s">
        <v>21068</v>
      </c>
      <c r="E6729" s="11" t="s">
        <v>21069</v>
      </c>
    </row>
    <row r="6730" spans="1:5">
      <c r="A6730" s="11" t="s">
        <v>21070</v>
      </c>
      <c r="B6730">
        <v>8005930</v>
      </c>
      <c r="D6730" s="11" t="s">
        <v>21071</v>
      </c>
      <c r="E6730" s="11" t="s">
        <v>21072</v>
      </c>
    </row>
    <row r="6731" spans="1:5">
      <c r="A6731" s="11" t="s">
        <v>21073</v>
      </c>
      <c r="B6731">
        <v>8005942</v>
      </c>
      <c r="D6731" s="11" t="s">
        <v>21074</v>
      </c>
      <c r="E6731" s="11" t="s">
        <v>21075</v>
      </c>
    </row>
    <row r="6732" spans="1:5">
      <c r="A6732" s="11" t="s">
        <v>21076</v>
      </c>
      <c r="B6732">
        <v>8075937</v>
      </c>
      <c r="D6732" s="11" t="s">
        <v>21077</v>
      </c>
      <c r="E6732" s="11" t="s">
        <v>21078</v>
      </c>
    </row>
    <row r="6733" spans="1:5">
      <c r="A6733" s="11" t="s">
        <v>21079</v>
      </c>
      <c r="B6733">
        <v>8005937</v>
      </c>
      <c r="D6733" s="11" t="s">
        <v>21080</v>
      </c>
      <c r="E6733" s="11" t="s">
        <v>21081</v>
      </c>
    </row>
    <row r="6734" spans="1:5">
      <c r="A6734" s="11" t="s">
        <v>21082</v>
      </c>
      <c r="B6734">
        <v>8005943</v>
      </c>
      <c r="D6734" s="11" t="s">
        <v>21083</v>
      </c>
      <c r="E6734" s="11" t="s">
        <v>21084</v>
      </c>
    </row>
    <row r="6735" spans="1:5">
      <c r="A6735" s="11" t="s">
        <v>21085</v>
      </c>
      <c r="B6735">
        <v>8005940</v>
      </c>
      <c r="D6735" s="11" t="s">
        <v>21086</v>
      </c>
      <c r="E6735" s="11" t="s">
        <v>21087</v>
      </c>
    </row>
    <row r="6736" spans="1:5">
      <c r="A6736" s="11" t="s">
        <v>21088</v>
      </c>
      <c r="B6736">
        <v>8007133</v>
      </c>
      <c r="D6736" s="11" t="s">
        <v>21089</v>
      </c>
      <c r="E6736" s="11" t="s">
        <v>21090</v>
      </c>
    </row>
    <row r="6737" spans="1:5">
      <c r="A6737" s="11" t="s">
        <v>21091</v>
      </c>
      <c r="B6737">
        <v>8085003</v>
      </c>
      <c r="D6737" s="11" t="s">
        <v>21092</v>
      </c>
      <c r="E6737" s="11" t="s">
        <v>21093</v>
      </c>
    </row>
    <row r="6738" spans="1:5">
      <c r="A6738" s="11" t="s">
        <v>21094</v>
      </c>
      <c r="B6738">
        <v>8070098</v>
      </c>
      <c r="D6738" s="11" t="s">
        <v>21095</v>
      </c>
      <c r="E6738" s="11" t="s">
        <v>21096</v>
      </c>
    </row>
    <row r="6739" spans="1:5">
      <c r="A6739" s="11" t="s">
        <v>21097</v>
      </c>
      <c r="B6739">
        <v>8005931</v>
      </c>
      <c r="D6739" s="11" t="s">
        <v>21098</v>
      </c>
      <c r="E6739" s="11" t="s">
        <v>21099</v>
      </c>
    </row>
    <row r="6740" spans="1:5">
      <c r="A6740" s="11" t="s">
        <v>21100</v>
      </c>
      <c r="B6740">
        <v>8013158</v>
      </c>
      <c r="D6740" s="11" t="s">
        <v>21101</v>
      </c>
      <c r="E6740" s="11" t="s">
        <v>21102</v>
      </c>
    </row>
    <row r="6741" spans="1:5">
      <c r="A6741" s="11" t="s">
        <v>21103</v>
      </c>
      <c r="B6741">
        <v>8013161</v>
      </c>
      <c r="D6741" s="11" t="s">
        <v>21104</v>
      </c>
      <c r="E6741" s="11" t="s">
        <v>21105</v>
      </c>
    </row>
    <row r="6742" spans="1:5">
      <c r="A6742" s="11" t="s">
        <v>21106</v>
      </c>
      <c r="B6742">
        <v>8013159</v>
      </c>
      <c r="D6742" s="11" t="s">
        <v>21107</v>
      </c>
      <c r="E6742" s="11" t="s">
        <v>21108</v>
      </c>
    </row>
    <row r="6743" spans="1:5">
      <c r="A6743" s="11" t="s">
        <v>21109</v>
      </c>
      <c r="B6743">
        <v>8007821</v>
      </c>
      <c r="D6743" s="11" t="s">
        <v>21110</v>
      </c>
      <c r="E6743" s="11" t="s">
        <v>21111</v>
      </c>
    </row>
    <row r="6744" spans="1:5">
      <c r="A6744" s="11" t="s">
        <v>21112</v>
      </c>
      <c r="B6744">
        <v>8013160</v>
      </c>
      <c r="D6744" s="11" t="s">
        <v>21113</v>
      </c>
      <c r="E6744" s="11" t="s">
        <v>21114</v>
      </c>
    </row>
    <row r="6745" spans="1:5">
      <c r="A6745" s="11" t="s">
        <v>21115</v>
      </c>
      <c r="B6745">
        <v>8079772</v>
      </c>
      <c r="D6745" s="11" t="s">
        <v>21116</v>
      </c>
      <c r="E6745" s="11" t="s">
        <v>21117</v>
      </c>
    </row>
    <row r="6746" spans="1:5">
      <c r="A6746" s="11" t="s">
        <v>21118</v>
      </c>
      <c r="B6746">
        <v>8013162</v>
      </c>
      <c r="D6746" s="11" t="s">
        <v>21119</v>
      </c>
      <c r="E6746" s="11" t="s">
        <v>21120</v>
      </c>
    </row>
    <row r="6747" spans="1:5">
      <c r="A6747" s="11" t="s">
        <v>21121</v>
      </c>
      <c r="B6747">
        <v>8013156</v>
      </c>
      <c r="D6747" s="11" t="s">
        <v>21122</v>
      </c>
      <c r="E6747" s="11" t="s">
        <v>21123</v>
      </c>
    </row>
    <row r="6748" spans="1:5">
      <c r="A6748" s="11" t="s">
        <v>21124</v>
      </c>
      <c r="B6748">
        <v>8000168</v>
      </c>
      <c r="D6748" s="11" t="s">
        <v>21125</v>
      </c>
      <c r="E6748" s="11" t="s">
        <v>21126</v>
      </c>
    </row>
    <row r="6749" spans="1:5">
      <c r="A6749" s="11" t="s">
        <v>21127</v>
      </c>
      <c r="B6749">
        <v>8005947</v>
      </c>
      <c r="D6749" s="11" t="s">
        <v>21128</v>
      </c>
      <c r="E6749" s="11" t="s">
        <v>21129</v>
      </c>
    </row>
    <row r="6750" spans="1:5">
      <c r="A6750" s="11" t="s">
        <v>21130</v>
      </c>
      <c r="B6750">
        <v>8005948</v>
      </c>
      <c r="D6750" s="11" t="s">
        <v>21131</v>
      </c>
      <c r="E6750" s="11" t="s">
        <v>21132</v>
      </c>
    </row>
    <row r="6751" spans="1:5">
      <c r="A6751" s="11" t="s">
        <v>21133</v>
      </c>
      <c r="B6751">
        <v>8005949</v>
      </c>
      <c r="D6751" s="11" t="s">
        <v>21134</v>
      </c>
      <c r="E6751" s="11" t="s">
        <v>21135</v>
      </c>
    </row>
    <row r="6752" spans="1:5">
      <c r="A6752" s="11" t="s">
        <v>21136</v>
      </c>
      <c r="B6752">
        <v>8004595</v>
      </c>
      <c r="D6752" s="11" t="s">
        <v>21137</v>
      </c>
      <c r="E6752" s="11" t="s">
        <v>21138</v>
      </c>
    </row>
    <row r="6753" spans="1:5">
      <c r="A6753" s="11" t="s">
        <v>21139</v>
      </c>
      <c r="B6753">
        <v>8005950</v>
      </c>
      <c r="D6753" s="11" t="s">
        <v>21140</v>
      </c>
      <c r="E6753" s="11" t="s">
        <v>21141</v>
      </c>
    </row>
    <row r="6754" spans="1:5">
      <c r="A6754" s="11" t="s">
        <v>21142</v>
      </c>
      <c r="B6754">
        <v>8013164</v>
      </c>
      <c r="D6754" s="11" t="s">
        <v>21143</v>
      </c>
      <c r="E6754" s="11" t="s">
        <v>21144</v>
      </c>
    </row>
    <row r="6755" spans="1:5">
      <c r="A6755" s="11" t="s">
        <v>21145</v>
      </c>
      <c r="B6755">
        <v>8013165</v>
      </c>
      <c r="D6755" s="11" t="s">
        <v>21146</v>
      </c>
      <c r="E6755" s="11" t="s">
        <v>21147</v>
      </c>
    </row>
    <row r="6756" spans="1:5">
      <c r="A6756" s="11" t="s">
        <v>21148</v>
      </c>
      <c r="B6756">
        <v>8013166</v>
      </c>
      <c r="D6756" s="11" t="s">
        <v>21149</v>
      </c>
      <c r="E6756" s="11" t="s">
        <v>21150</v>
      </c>
    </row>
    <row r="6757" spans="1:5">
      <c r="A6757" s="11" t="s">
        <v>21151</v>
      </c>
      <c r="B6757">
        <v>8070834</v>
      </c>
      <c r="D6757" s="11" t="s">
        <v>21152</v>
      </c>
      <c r="E6757" s="11" t="s">
        <v>21153</v>
      </c>
    </row>
    <row r="6758" spans="1:5">
      <c r="A6758" s="11" t="s">
        <v>21154</v>
      </c>
      <c r="B6758">
        <v>8013167</v>
      </c>
      <c r="D6758" s="11" t="s">
        <v>21155</v>
      </c>
      <c r="E6758" s="11" t="s">
        <v>21156</v>
      </c>
    </row>
    <row r="6759" spans="1:5">
      <c r="A6759" s="11" t="s">
        <v>21157</v>
      </c>
      <c r="B6759">
        <v>8013168</v>
      </c>
      <c r="D6759" s="11" t="s">
        <v>21158</v>
      </c>
      <c r="E6759" s="11" t="s">
        <v>21159</v>
      </c>
    </row>
    <row r="6760" spans="1:5">
      <c r="A6760" s="11" t="s">
        <v>21160</v>
      </c>
      <c r="B6760">
        <v>8070878</v>
      </c>
      <c r="D6760" s="11" t="s">
        <v>21161</v>
      </c>
      <c r="E6760" s="11" t="s">
        <v>21162</v>
      </c>
    </row>
    <row r="6761" spans="1:5">
      <c r="A6761" s="11" t="s">
        <v>90</v>
      </c>
      <c r="B6761">
        <v>8000170</v>
      </c>
      <c r="D6761" s="11" t="s">
        <v>21163</v>
      </c>
      <c r="E6761" s="11" t="s">
        <v>21164</v>
      </c>
    </row>
    <row r="6762" spans="1:5">
      <c r="A6762" s="11" t="s">
        <v>21165</v>
      </c>
      <c r="B6762">
        <v>8005952</v>
      </c>
      <c r="D6762" s="11" t="s">
        <v>21166</v>
      </c>
      <c r="E6762" s="11" t="s">
        <v>21167</v>
      </c>
    </row>
    <row r="6763" spans="1:5">
      <c r="A6763" s="11" t="s">
        <v>21168</v>
      </c>
      <c r="B6763">
        <v>8005954</v>
      </c>
      <c r="D6763" s="11" t="s">
        <v>21169</v>
      </c>
      <c r="E6763" s="11" t="s">
        <v>21170</v>
      </c>
    </row>
    <row r="6764" spans="1:5">
      <c r="A6764" s="11" t="s">
        <v>21171</v>
      </c>
      <c r="B6764">
        <v>8005956</v>
      </c>
      <c r="D6764" s="11" t="s">
        <v>21172</v>
      </c>
      <c r="E6764" s="11" t="s">
        <v>21173</v>
      </c>
    </row>
    <row r="6765" spans="1:5">
      <c r="A6765" s="11" t="s">
        <v>21174</v>
      </c>
      <c r="B6765">
        <v>8005955</v>
      </c>
      <c r="D6765" s="11" t="s">
        <v>21175</v>
      </c>
      <c r="E6765" s="11" t="s">
        <v>21176</v>
      </c>
    </row>
    <row r="6766" spans="1:5">
      <c r="A6766" s="11" t="s">
        <v>21177</v>
      </c>
      <c r="B6766">
        <v>8007052</v>
      </c>
      <c r="D6766" s="11" t="s">
        <v>21178</v>
      </c>
      <c r="E6766" s="11" t="s">
        <v>21179</v>
      </c>
    </row>
    <row r="6767" spans="1:5">
      <c r="A6767" s="11" t="s">
        <v>21180</v>
      </c>
      <c r="B6767">
        <v>8005962</v>
      </c>
      <c r="D6767" s="11" t="s">
        <v>21181</v>
      </c>
      <c r="E6767" s="11" t="s">
        <v>21182</v>
      </c>
    </row>
    <row r="6768" spans="1:5">
      <c r="A6768" s="11" t="s">
        <v>21183</v>
      </c>
      <c r="B6768">
        <v>8005963</v>
      </c>
      <c r="D6768" s="11" t="s">
        <v>21184</v>
      </c>
      <c r="E6768" s="11" t="s">
        <v>21185</v>
      </c>
    </row>
    <row r="6769" spans="1:5">
      <c r="A6769" s="11" t="s">
        <v>21186</v>
      </c>
      <c r="B6769">
        <v>8005966</v>
      </c>
      <c r="D6769" s="11" t="s">
        <v>21187</v>
      </c>
      <c r="E6769" s="11" t="s">
        <v>21188</v>
      </c>
    </row>
    <row r="6770" spans="1:5">
      <c r="A6770" s="11" t="s">
        <v>21189</v>
      </c>
      <c r="B6770">
        <v>8005967</v>
      </c>
      <c r="D6770" s="11" t="s">
        <v>21190</v>
      </c>
      <c r="E6770" s="11" t="s">
        <v>21191</v>
      </c>
    </row>
    <row r="6771" spans="1:5">
      <c r="A6771" s="11" t="s">
        <v>21192</v>
      </c>
      <c r="B6771">
        <v>8005968</v>
      </c>
      <c r="D6771" s="11" t="s">
        <v>21193</v>
      </c>
      <c r="E6771" s="11" t="s">
        <v>21194</v>
      </c>
    </row>
    <row r="6772" spans="1:5">
      <c r="A6772" s="11" t="s">
        <v>21195</v>
      </c>
      <c r="B6772">
        <v>8005970</v>
      </c>
      <c r="D6772" s="11" t="s">
        <v>21196</v>
      </c>
      <c r="E6772" s="11" t="s">
        <v>21197</v>
      </c>
    </row>
    <row r="6773" spans="1:5">
      <c r="A6773" s="11" t="s">
        <v>21198</v>
      </c>
      <c r="B6773">
        <v>8075945</v>
      </c>
      <c r="D6773" s="11" t="s">
        <v>1539</v>
      </c>
      <c r="E6773" s="11" t="s">
        <v>1539</v>
      </c>
    </row>
    <row r="6774" spans="1:5">
      <c r="A6774" s="11" t="s">
        <v>21199</v>
      </c>
      <c r="B6774">
        <v>8000171</v>
      </c>
      <c r="D6774" s="11" t="s">
        <v>21200</v>
      </c>
      <c r="E6774" s="11" t="s">
        <v>21201</v>
      </c>
    </row>
    <row r="6775" spans="1:5">
      <c r="A6775" s="11" t="s">
        <v>21202</v>
      </c>
      <c r="B6775">
        <v>8003925</v>
      </c>
      <c r="D6775" s="11" t="s">
        <v>21203</v>
      </c>
      <c r="E6775" s="11" t="s">
        <v>21204</v>
      </c>
    </row>
    <row r="6776" spans="1:5">
      <c r="A6776" s="11" t="s">
        <v>21205</v>
      </c>
      <c r="B6776">
        <v>8005971</v>
      </c>
      <c r="D6776" s="11" t="s">
        <v>21206</v>
      </c>
      <c r="E6776" s="11" t="s">
        <v>21207</v>
      </c>
    </row>
    <row r="6777" spans="1:5">
      <c r="A6777" s="11" t="s">
        <v>21208</v>
      </c>
      <c r="B6777">
        <v>8005972</v>
      </c>
      <c r="D6777" s="11" t="s">
        <v>21209</v>
      </c>
      <c r="E6777" s="11" t="s">
        <v>21210</v>
      </c>
    </row>
    <row r="6778" spans="1:5">
      <c r="A6778" s="11" t="s">
        <v>21211</v>
      </c>
      <c r="B6778">
        <v>8005975</v>
      </c>
      <c r="D6778" s="11" t="s">
        <v>21212</v>
      </c>
      <c r="E6778" s="11" t="s">
        <v>21213</v>
      </c>
    </row>
    <row r="6779" spans="1:5">
      <c r="A6779" s="11" t="s">
        <v>21214</v>
      </c>
      <c r="B6779">
        <v>8005976</v>
      </c>
      <c r="D6779" s="11" t="s">
        <v>21215</v>
      </c>
      <c r="E6779" s="11" t="s">
        <v>21216</v>
      </c>
    </row>
    <row r="6780" spans="1:5">
      <c r="A6780" s="11" t="s">
        <v>21217</v>
      </c>
      <c r="B6780">
        <v>8005977</v>
      </c>
      <c r="D6780" s="11" t="s">
        <v>21218</v>
      </c>
      <c r="E6780" s="11" t="s">
        <v>21219</v>
      </c>
    </row>
    <row r="6781" spans="1:5">
      <c r="A6781" s="11" t="s">
        <v>21220</v>
      </c>
      <c r="B6781">
        <v>8005983</v>
      </c>
      <c r="D6781" s="11" t="s">
        <v>21221</v>
      </c>
      <c r="E6781" s="11" t="s">
        <v>21222</v>
      </c>
    </row>
    <row r="6782" spans="1:5">
      <c r="A6782" s="11" t="s">
        <v>21223</v>
      </c>
      <c r="B6782">
        <v>8005986</v>
      </c>
      <c r="D6782" s="11" t="s">
        <v>21224</v>
      </c>
      <c r="E6782" s="11" t="s">
        <v>21225</v>
      </c>
    </row>
    <row r="6783" spans="1:5">
      <c r="A6783" s="11" t="s">
        <v>21226</v>
      </c>
      <c r="B6783">
        <v>8007436</v>
      </c>
      <c r="D6783" s="11" t="s">
        <v>21227</v>
      </c>
      <c r="E6783" s="11" t="s">
        <v>21228</v>
      </c>
    </row>
    <row r="6784" spans="1:5">
      <c r="A6784" s="11" t="s">
        <v>21229</v>
      </c>
      <c r="B6784">
        <v>8017042</v>
      </c>
      <c r="D6784" s="11" t="s">
        <v>21230</v>
      </c>
      <c r="E6784" s="11" t="s">
        <v>21231</v>
      </c>
    </row>
    <row r="6785" spans="1:5">
      <c r="A6785" s="11" t="s">
        <v>21232</v>
      </c>
      <c r="B6785">
        <v>8005989</v>
      </c>
      <c r="D6785" s="11" t="s">
        <v>21233</v>
      </c>
      <c r="E6785" s="11" t="s">
        <v>21234</v>
      </c>
    </row>
    <row r="6786" spans="1:5">
      <c r="A6786" s="11" t="s">
        <v>21235</v>
      </c>
      <c r="B6786">
        <v>8005990</v>
      </c>
      <c r="D6786" s="11" t="s">
        <v>21236</v>
      </c>
      <c r="E6786" s="11" t="s">
        <v>21237</v>
      </c>
    </row>
    <row r="6787" spans="1:5">
      <c r="A6787" s="11" t="s">
        <v>21238</v>
      </c>
      <c r="B6787">
        <v>8005991</v>
      </c>
      <c r="D6787" s="11" t="s">
        <v>21239</v>
      </c>
      <c r="E6787" s="11" t="s">
        <v>21240</v>
      </c>
    </row>
    <row r="6788" spans="1:5">
      <c r="A6788" s="11" t="s">
        <v>21241</v>
      </c>
      <c r="B6788">
        <v>8007103</v>
      </c>
      <c r="D6788" s="11" t="s">
        <v>21242</v>
      </c>
      <c r="E6788" s="11" t="s">
        <v>21243</v>
      </c>
    </row>
    <row r="6789" spans="1:5">
      <c r="A6789" s="11" t="s">
        <v>21244</v>
      </c>
      <c r="B6789">
        <v>8005993</v>
      </c>
      <c r="D6789" s="11" t="s">
        <v>21245</v>
      </c>
      <c r="E6789" s="11" t="s">
        <v>21246</v>
      </c>
    </row>
    <row r="6790" spans="1:5">
      <c r="A6790" s="11" t="s">
        <v>21247</v>
      </c>
      <c r="B6790">
        <v>8005995</v>
      </c>
      <c r="D6790" s="11" t="s">
        <v>21248</v>
      </c>
      <c r="E6790" s="11" t="s">
        <v>21249</v>
      </c>
    </row>
    <row r="6791" spans="1:5">
      <c r="A6791" s="11" t="s">
        <v>21250</v>
      </c>
      <c r="B6791">
        <v>8006002</v>
      </c>
      <c r="D6791" s="11" t="s">
        <v>21251</v>
      </c>
      <c r="E6791" s="11" t="s">
        <v>21252</v>
      </c>
    </row>
    <row r="6792" spans="1:5">
      <c r="A6792" s="11" t="s">
        <v>21253</v>
      </c>
      <c r="B6792">
        <v>8006003</v>
      </c>
      <c r="D6792" s="11" t="s">
        <v>21254</v>
      </c>
      <c r="E6792" s="11" t="s">
        <v>21255</v>
      </c>
    </row>
    <row r="6793" spans="1:5">
      <c r="A6793" s="11" t="s">
        <v>21256</v>
      </c>
      <c r="B6793">
        <v>8005997</v>
      </c>
      <c r="D6793" s="11" t="s">
        <v>21257</v>
      </c>
      <c r="E6793" s="11" t="s">
        <v>21258</v>
      </c>
    </row>
    <row r="6794" spans="1:5">
      <c r="A6794" s="11" t="s">
        <v>21259</v>
      </c>
      <c r="B6794">
        <v>8010354</v>
      </c>
      <c r="D6794" s="11" t="s">
        <v>21260</v>
      </c>
      <c r="E6794" s="11" t="s">
        <v>21261</v>
      </c>
    </row>
    <row r="6795" spans="1:5">
      <c r="A6795" s="11" t="s">
        <v>21262</v>
      </c>
      <c r="B6795">
        <v>8005998</v>
      </c>
      <c r="D6795" s="11" t="s">
        <v>21263</v>
      </c>
      <c r="E6795" s="11" t="s">
        <v>21264</v>
      </c>
    </row>
    <row r="6796" spans="1:5">
      <c r="A6796" s="11" t="s">
        <v>21265</v>
      </c>
      <c r="B6796">
        <v>8013171</v>
      </c>
      <c r="D6796" s="11" t="s">
        <v>21266</v>
      </c>
      <c r="E6796" s="11" t="s">
        <v>21267</v>
      </c>
    </row>
    <row r="6797" spans="1:5">
      <c r="A6797" s="11" t="s">
        <v>21268</v>
      </c>
      <c r="B6797">
        <v>8006001</v>
      </c>
      <c r="D6797" s="11" t="s">
        <v>21269</v>
      </c>
      <c r="E6797" s="11" t="s">
        <v>21270</v>
      </c>
    </row>
    <row r="6798" spans="1:5">
      <c r="A6798" s="11" t="s">
        <v>21271</v>
      </c>
      <c r="B6798">
        <v>8013172</v>
      </c>
      <c r="D6798" s="11" t="s">
        <v>21272</v>
      </c>
      <c r="E6798" s="11" t="s">
        <v>21273</v>
      </c>
    </row>
    <row r="6799" spans="1:5">
      <c r="A6799" s="11" t="s">
        <v>21274</v>
      </c>
      <c r="B6799">
        <v>8007822</v>
      </c>
      <c r="D6799" s="11" t="s">
        <v>21275</v>
      </c>
      <c r="E6799" s="11" t="s">
        <v>21276</v>
      </c>
    </row>
    <row r="6800" spans="1:5">
      <c r="A6800" s="11" t="s">
        <v>21277</v>
      </c>
      <c r="B6800">
        <v>8087021</v>
      </c>
      <c r="D6800" s="11" t="s">
        <v>21278</v>
      </c>
      <c r="E6800" s="11" t="s">
        <v>21279</v>
      </c>
    </row>
    <row r="6801" spans="1:5">
      <c r="A6801" s="11" t="s">
        <v>21280</v>
      </c>
      <c r="B6801">
        <v>8013173</v>
      </c>
      <c r="D6801" s="11" t="s">
        <v>21281</v>
      </c>
      <c r="E6801" s="11" t="s">
        <v>21282</v>
      </c>
    </row>
    <row r="6802" spans="1:5">
      <c r="A6802" s="11" t="s">
        <v>21283</v>
      </c>
      <c r="B6802">
        <v>8007140</v>
      </c>
      <c r="D6802" s="11" t="s">
        <v>21284</v>
      </c>
      <c r="E6802" s="11" t="s">
        <v>21285</v>
      </c>
    </row>
    <row r="6803" spans="1:5">
      <c r="A6803" s="11" t="s">
        <v>21286</v>
      </c>
      <c r="B6803">
        <v>8079149</v>
      </c>
      <c r="D6803" s="11" t="s">
        <v>21287</v>
      </c>
      <c r="E6803" s="11" t="s">
        <v>21288</v>
      </c>
    </row>
    <row r="6804" spans="1:5">
      <c r="A6804" s="11" t="s">
        <v>21289</v>
      </c>
      <c r="B6804">
        <v>8006008</v>
      </c>
      <c r="D6804" s="11" t="s">
        <v>21290</v>
      </c>
      <c r="E6804" s="11" t="s">
        <v>21291</v>
      </c>
    </row>
    <row r="6805" spans="1:5">
      <c r="A6805" s="11" t="s">
        <v>21292</v>
      </c>
      <c r="B6805">
        <v>8007166</v>
      </c>
      <c r="D6805" s="11" t="s">
        <v>21293</v>
      </c>
      <c r="E6805" s="11" t="s">
        <v>21294</v>
      </c>
    </row>
    <row r="6806" spans="1:5">
      <c r="A6806" s="11" t="s">
        <v>21295</v>
      </c>
      <c r="B6806">
        <v>8006688</v>
      </c>
      <c r="D6806" s="11" t="s">
        <v>21296</v>
      </c>
      <c r="E6806" s="11" t="s">
        <v>21297</v>
      </c>
    </row>
    <row r="6807" spans="1:5">
      <c r="A6807" s="11" t="s">
        <v>21298</v>
      </c>
      <c r="B6807">
        <v>8071104</v>
      </c>
      <c r="D6807" s="11" t="s">
        <v>21299</v>
      </c>
      <c r="E6807" s="11" t="s">
        <v>21300</v>
      </c>
    </row>
    <row r="6808" spans="1:5">
      <c r="A6808" s="11" t="s">
        <v>21301</v>
      </c>
      <c r="B6808">
        <v>8006017</v>
      </c>
      <c r="D6808" s="11" t="s">
        <v>21302</v>
      </c>
      <c r="E6808" s="11" t="s">
        <v>21303</v>
      </c>
    </row>
    <row r="6809" spans="1:5">
      <c r="A6809" s="11" t="s">
        <v>21304</v>
      </c>
      <c r="B6809">
        <v>8006016</v>
      </c>
      <c r="D6809" s="11" t="s">
        <v>21305</v>
      </c>
      <c r="E6809" s="11" t="s">
        <v>21306</v>
      </c>
    </row>
    <row r="6810" spans="1:5">
      <c r="A6810" s="11" t="s">
        <v>21307</v>
      </c>
      <c r="B6810">
        <v>8006833</v>
      </c>
      <c r="D6810" s="11" t="s">
        <v>21308</v>
      </c>
      <c r="E6810" s="11" t="s">
        <v>21309</v>
      </c>
    </row>
    <row r="6811" spans="1:5">
      <c r="A6811" s="11" t="s">
        <v>21310</v>
      </c>
      <c r="B6811">
        <v>8013174</v>
      </c>
      <c r="D6811" s="11" t="s">
        <v>21311</v>
      </c>
      <c r="E6811" s="11" t="s">
        <v>21312</v>
      </c>
    </row>
    <row r="6812" spans="1:5">
      <c r="A6812" s="11" t="s">
        <v>21313</v>
      </c>
      <c r="B6812">
        <v>8013175</v>
      </c>
      <c r="D6812" s="11" t="s">
        <v>21314</v>
      </c>
      <c r="E6812" s="11" t="s">
        <v>21315</v>
      </c>
    </row>
    <row r="6813" spans="1:5">
      <c r="A6813" s="11" t="s">
        <v>21316</v>
      </c>
      <c r="B6813">
        <v>8006025</v>
      </c>
      <c r="D6813" s="11" t="s">
        <v>21317</v>
      </c>
      <c r="E6813" s="11" t="s">
        <v>21318</v>
      </c>
    </row>
    <row r="6814" spans="1:5">
      <c r="A6814" s="11" t="s">
        <v>21319</v>
      </c>
      <c r="B6814">
        <v>8006026</v>
      </c>
      <c r="D6814" s="11" t="s">
        <v>21320</v>
      </c>
      <c r="E6814" s="11" t="s">
        <v>21321</v>
      </c>
    </row>
    <row r="6815" spans="1:5">
      <c r="A6815" s="11" t="s">
        <v>21322</v>
      </c>
      <c r="B6815">
        <v>8006030</v>
      </c>
      <c r="D6815" s="11" t="s">
        <v>21323</v>
      </c>
      <c r="E6815" s="11" t="s">
        <v>21324</v>
      </c>
    </row>
    <row r="6816" spans="1:5">
      <c r="A6816" s="11" t="s">
        <v>21325</v>
      </c>
      <c r="B6816">
        <v>8006032</v>
      </c>
      <c r="D6816" s="11" t="s">
        <v>21326</v>
      </c>
      <c r="E6816" s="11" t="s">
        <v>21327</v>
      </c>
    </row>
    <row r="6817" spans="1:5">
      <c r="A6817" s="11" t="s">
        <v>21328</v>
      </c>
      <c r="B6817">
        <v>8007357</v>
      </c>
      <c r="D6817" s="11" t="s">
        <v>21329</v>
      </c>
      <c r="E6817" s="11" t="s">
        <v>21330</v>
      </c>
    </row>
    <row r="6818" spans="1:5">
      <c r="A6818" s="11" t="s">
        <v>21331</v>
      </c>
      <c r="B6818">
        <v>8006036</v>
      </c>
      <c r="D6818" s="11" t="s">
        <v>21332</v>
      </c>
      <c r="E6818" s="11" t="s">
        <v>21333</v>
      </c>
    </row>
    <row r="6819" spans="1:5">
      <c r="A6819" s="11" t="s">
        <v>21334</v>
      </c>
      <c r="B6819">
        <v>8006037</v>
      </c>
      <c r="D6819" s="11" t="s">
        <v>21335</v>
      </c>
      <c r="E6819" s="11" t="s">
        <v>21336</v>
      </c>
    </row>
    <row r="6820" spans="1:5">
      <c r="A6820" s="11" t="s">
        <v>21337</v>
      </c>
      <c r="B6820">
        <v>8006039</v>
      </c>
      <c r="D6820" s="11" t="s">
        <v>21338</v>
      </c>
      <c r="E6820" s="11" t="s">
        <v>21339</v>
      </c>
    </row>
    <row r="6821" spans="1:5">
      <c r="A6821" s="11" t="s">
        <v>21340</v>
      </c>
      <c r="B6821">
        <v>8005945</v>
      </c>
      <c r="D6821" s="11" t="s">
        <v>21341</v>
      </c>
      <c r="E6821" s="11" t="s">
        <v>21342</v>
      </c>
    </row>
    <row r="6822" spans="1:5">
      <c r="A6822" s="11" t="s">
        <v>21343</v>
      </c>
      <c r="B6822">
        <v>8005342</v>
      </c>
      <c r="D6822" s="11" t="s">
        <v>21344</v>
      </c>
      <c r="E6822" s="11" t="s">
        <v>21345</v>
      </c>
    </row>
    <row r="6823" spans="1:5">
      <c r="A6823" s="11" t="s">
        <v>21346</v>
      </c>
      <c r="B6823">
        <v>8007852</v>
      </c>
      <c r="D6823" s="11" t="s">
        <v>21347</v>
      </c>
      <c r="E6823" s="11" t="s">
        <v>21348</v>
      </c>
    </row>
    <row r="6824" spans="1:5">
      <c r="A6824" s="11" t="s">
        <v>21349</v>
      </c>
      <c r="B6824">
        <v>8006041</v>
      </c>
      <c r="D6824" s="11" t="s">
        <v>21350</v>
      </c>
      <c r="E6824" s="11" t="s">
        <v>21351</v>
      </c>
    </row>
    <row r="6825" spans="1:5">
      <c r="A6825" s="11" t="s">
        <v>21352</v>
      </c>
      <c r="B6825">
        <v>8006043</v>
      </c>
      <c r="D6825" s="11" t="s">
        <v>21353</v>
      </c>
      <c r="E6825" s="11" t="s">
        <v>21354</v>
      </c>
    </row>
    <row r="6826" spans="1:5">
      <c r="A6826" s="11" t="s">
        <v>21355</v>
      </c>
      <c r="B6826">
        <v>8006048</v>
      </c>
      <c r="D6826" s="11" t="s">
        <v>21356</v>
      </c>
      <c r="E6826" s="11" t="s">
        <v>21357</v>
      </c>
    </row>
    <row r="6827" spans="1:5">
      <c r="A6827" s="11" t="s">
        <v>21358</v>
      </c>
      <c r="B6827">
        <v>8013177</v>
      </c>
      <c r="D6827" s="11" t="s">
        <v>21359</v>
      </c>
      <c r="E6827" s="11" t="s">
        <v>21360</v>
      </c>
    </row>
    <row r="6828" spans="1:5">
      <c r="A6828" s="11" t="s">
        <v>21361</v>
      </c>
      <c r="B6828">
        <v>8079774</v>
      </c>
      <c r="D6828" s="11" t="s">
        <v>21362</v>
      </c>
      <c r="E6828" s="11" t="s">
        <v>21363</v>
      </c>
    </row>
    <row r="6829" spans="1:5">
      <c r="A6829" s="11" t="s">
        <v>21364</v>
      </c>
      <c r="B6829">
        <v>8006050</v>
      </c>
      <c r="D6829" s="11" t="s">
        <v>21365</v>
      </c>
      <c r="E6829" s="11" t="s">
        <v>21366</v>
      </c>
    </row>
    <row r="6830" spans="1:5">
      <c r="A6830" s="11" t="s">
        <v>21367</v>
      </c>
      <c r="B6830">
        <v>8006052</v>
      </c>
      <c r="D6830" s="11" t="s">
        <v>21368</v>
      </c>
      <c r="E6830" s="11" t="s">
        <v>21369</v>
      </c>
    </row>
    <row r="6831" spans="1:5">
      <c r="A6831" s="11" t="s">
        <v>21370</v>
      </c>
      <c r="B6831">
        <v>8013178</v>
      </c>
      <c r="D6831" s="11" t="s">
        <v>21371</v>
      </c>
      <c r="E6831" s="11" t="s">
        <v>21372</v>
      </c>
    </row>
    <row r="6832" spans="1:5">
      <c r="A6832" s="11" t="s">
        <v>21373</v>
      </c>
      <c r="B6832">
        <v>8013179</v>
      </c>
      <c r="D6832" s="11" t="s">
        <v>21374</v>
      </c>
      <c r="E6832" s="11" t="s">
        <v>21375</v>
      </c>
    </row>
    <row r="6833" spans="1:5">
      <c r="A6833" s="11" t="s">
        <v>21376</v>
      </c>
      <c r="B6833">
        <v>8006717</v>
      </c>
      <c r="D6833" s="11" t="s">
        <v>21377</v>
      </c>
      <c r="E6833" s="11" t="s">
        <v>21378</v>
      </c>
    </row>
    <row r="6834" spans="1:5">
      <c r="A6834" s="11" t="s">
        <v>21379</v>
      </c>
      <c r="B6834">
        <v>8013180</v>
      </c>
      <c r="D6834" s="11" t="s">
        <v>21380</v>
      </c>
      <c r="E6834" s="11" t="s">
        <v>21381</v>
      </c>
    </row>
    <row r="6835" spans="1:5">
      <c r="A6835" s="11" t="s">
        <v>21382</v>
      </c>
      <c r="B6835">
        <v>8006053</v>
      </c>
      <c r="D6835" s="11" t="s">
        <v>21383</v>
      </c>
      <c r="E6835" s="11" t="s">
        <v>21384</v>
      </c>
    </row>
    <row r="6836" spans="1:5">
      <c r="A6836" s="11" t="s">
        <v>21385</v>
      </c>
      <c r="B6836">
        <v>8007660</v>
      </c>
      <c r="D6836" s="11" t="s">
        <v>21386</v>
      </c>
      <c r="E6836" s="11" t="s">
        <v>21387</v>
      </c>
    </row>
    <row r="6837" spans="1:5">
      <c r="A6837" s="11" t="s">
        <v>21388</v>
      </c>
      <c r="B6837">
        <v>8070559</v>
      </c>
      <c r="D6837" s="11" t="s">
        <v>21389</v>
      </c>
      <c r="E6837" s="11" t="s">
        <v>21390</v>
      </c>
    </row>
    <row r="6838" spans="1:5">
      <c r="A6838" s="11" t="s">
        <v>21391</v>
      </c>
      <c r="B6838">
        <v>8006054</v>
      </c>
      <c r="D6838" s="11" t="s">
        <v>21392</v>
      </c>
      <c r="E6838" s="11" t="s">
        <v>21393</v>
      </c>
    </row>
    <row r="6839" spans="1:5">
      <c r="A6839" s="11" t="s">
        <v>21394</v>
      </c>
      <c r="B6839">
        <v>8006056</v>
      </c>
      <c r="D6839" s="11" t="s">
        <v>21395</v>
      </c>
      <c r="E6839" s="11" t="s">
        <v>21396</v>
      </c>
    </row>
    <row r="6840" spans="1:5">
      <c r="A6840" s="11" t="s">
        <v>21397</v>
      </c>
      <c r="B6840">
        <v>8006058</v>
      </c>
      <c r="D6840" s="11" t="s">
        <v>21398</v>
      </c>
      <c r="E6840" s="11" t="s">
        <v>21399</v>
      </c>
    </row>
    <row r="6841" spans="1:5">
      <c r="A6841" s="11" t="s">
        <v>21400</v>
      </c>
      <c r="B6841">
        <v>8006059</v>
      </c>
      <c r="D6841" s="11" t="s">
        <v>21401</v>
      </c>
      <c r="E6841" s="11" t="s">
        <v>21402</v>
      </c>
    </row>
    <row r="6842" spans="1:5">
      <c r="A6842" s="11" t="s">
        <v>21403</v>
      </c>
      <c r="B6842">
        <v>8013182</v>
      </c>
      <c r="D6842" s="11" t="s">
        <v>21404</v>
      </c>
      <c r="E6842" s="11" t="s">
        <v>21405</v>
      </c>
    </row>
    <row r="6843" spans="1:5">
      <c r="A6843" s="11" t="s">
        <v>21406</v>
      </c>
      <c r="B6843">
        <v>8079152</v>
      </c>
      <c r="D6843" s="11" t="s">
        <v>21407</v>
      </c>
      <c r="E6843" s="11" t="s">
        <v>21408</v>
      </c>
    </row>
    <row r="6844" spans="1:5">
      <c r="A6844" s="11" t="s">
        <v>21409</v>
      </c>
      <c r="B6844">
        <v>8006060</v>
      </c>
      <c r="D6844" s="11" t="s">
        <v>21410</v>
      </c>
      <c r="E6844" s="11" t="s">
        <v>21411</v>
      </c>
    </row>
    <row r="6845" spans="1:5">
      <c r="A6845" s="11" t="s">
        <v>21412</v>
      </c>
      <c r="B6845">
        <v>8006061</v>
      </c>
      <c r="D6845" s="11" t="s">
        <v>21413</v>
      </c>
      <c r="E6845" s="11" t="s">
        <v>21414</v>
      </c>
    </row>
    <row r="6846" spans="1:5">
      <c r="A6846" s="11" t="s">
        <v>21415</v>
      </c>
      <c r="B6846">
        <v>8087020</v>
      </c>
      <c r="D6846" s="11" t="s">
        <v>21416</v>
      </c>
      <c r="E6846" s="11" t="s">
        <v>21417</v>
      </c>
    </row>
    <row r="6847" spans="1:5">
      <c r="A6847" s="11" t="s">
        <v>21418</v>
      </c>
      <c r="B6847">
        <v>8013183</v>
      </c>
      <c r="D6847" s="11" t="s">
        <v>21419</v>
      </c>
      <c r="E6847" s="11" t="s">
        <v>21420</v>
      </c>
    </row>
    <row r="6848" spans="1:5">
      <c r="A6848" s="11" t="s">
        <v>21421</v>
      </c>
      <c r="B6848">
        <v>8013184</v>
      </c>
      <c r="D6848" s="11" t="s">
        <v>21422</v>
      </c>
      <c r="E6848" s="11" t="s">
        <v>21423</v>
      </c>
    </row>
    <row r="6849" spans="1:5">
      <c r="A6849" s="11" t="s">
        <v>21424</v>
      </c>
      <c r="B6849">
        <v>8006065</v>
      </c>
      <c r="D6849" s="11" t="s">
        <v>21425</v>
      </c>
      <c r="E6849" s="11" t="s">
        <v>21426</v>
      </c>
    </row>
    <row r="6850" spans="1:5">
      <c r="A6850" s="11" t="s">
        <v>21427</v>
      </c>
      <c r="B6850">
        <v>8011101</v>
      </c>
      <c r="D6850" s="11" t="s">
        <v>1539</v>
      </c>
      <c r="E6850" s="11" t="s">
        <v>1539</v>
      </c>
    </row>
    <row r="6851" spans="1:5">
      <c r="A6851" s="11" t="s">
        <v>21428</v>
      </c>
      <c r="B6851">
        <v>8006064</v>
      </c>
      <c r="D6851" s="11" t="s">
        <v>21429</v>
      </c>
      <c r="E6851" s="11" t="s">
        <v>21430</v>
      </c>
    </row>
    <row r="6852" spans="1:5">
      <c r="A6852" s="11" t="s">
        <v>21431</v>
      </c>
      <c r="B6852">
        <v>8003529</v>
      </c>
      <c r="D6852" s="11" t="s">
        <v>21432</v>
      </c>
      <c r="E6852" s="11" t="s">
        <v>21433</v>
      </c>
    </row>
    <row r="6853" spans="1:5">
      <c r="A6853" s="11" t="s">
        <v>21434</v>
      </c>
      <c r="B6853">
        <v>8004340</v>
      </c>
      <c r="D6853" s="11" t="s">
        <v>21435</v>
      </c>
      <c r="E6853" s="11" t="s">
        <v>21436</v>
      </c>
    </row>
    <row r="6854" spans="1:5">
      <c r="A6854" s="11" t="s">
        <v>21437</v>
      </c>
      <c r="B6854">
        <v>8004430</v>
      </c>
      <c r="D6854" s="11" t="s">
        <v>21438</v>
      </c>
      <c r="E6854" s="11" t="s">
        <v>21439</v>
      </c>
    </row>
    <row r="6855" spans="1:5">
      <c r="A6855" s="11" t="s">
        <v>21440</v>
      </c>
      <c r="B6855">
        <v>8006067</v>
      </c>
      <c r="D6855" s="11" t="s">
        <v>21441</v>
      </c>
      <c r="E6855" s="11" t="s">
        <v>21442</v>
      </c>
    </row>
    <row r="6856" spans="1:5">
      <c r="A6856" s="11" t="s">
        <v>21443</v>
      </c>
      <c r="B6856">
        <v>8010355</v>
      </c>
      <c r="D6856" s="11" t="s">
        <v>21444</v>
      </c>
      <c r="E6856" s="11" t="s">
        <v>21445</v>
      </c>
    </row>
    <row r="6857" spans="1:5">
      <c r="A6857" s="11" t="s">
        <v>21446</v>
      </c>
      <c r="B6857">
        <v>8004415</v>
      </c>
      <c r="D6857" s="11" t="s">
        <v>21447</v>
      </c>
      <c r="E6857" s="11" t="s">
        <v>21448</v>
      </c>
    </row>
    <row r="6858" spans="1:5">
      <c r="A6858" s="11" t="s">
        <v>21449</v>
      </c>
      <c r="B6858">
        <v>8004597</v>
      </c>
      <c r="D6858" s="11" t="s">
        <v>21450</v>
      </c>
      <c r="E6858" s="11" t="s">
        <v>21451</v>
      </c>
    </row>
    <row r="6859" spans="1:5">
      <c r="A6859" s="11" t="s">
        <v>21452</v>
      </c>
      <c r="B6859">
        <v>8006068</v>
      </c>
      <c r="D6859" s="11" t="s">
        <v>21453</v>
      </c>
      <c r="E6859" s="11" t="s">
        <v>21454</v>
      </c>
    </row>
    <row r="6860" spans="1:5">
      <c r="A6860" s="11" t="s">
        <v>21455</v>
      </c>
      <c r="B6860">
        <v>8013185</v>
      </c>
      <c r="D6860" s="11" t="s">
        <v>21456</v>
      </c>
      <c r="E6860" s="11" t="s">
        <v>21457</v>
      </c>
    </row>
    <row r="6861" spans="1:5">
      <c r="A6861" s="11" t="s">
        <v>21458</v>
      </c>
      <c r="B6861">
        <v>8003155</v>
      </c>
      <c r="D6861" s="11" t="s">
        <v>1539</v>
      </c>
      <c r="E6861" s="11" t="s">
        <v>1539</v>
      </c>
    </row>
    <row r="6862" spans="1:5">
      <c r="A6862" s="11" t="s">
        <v>21459</v>
      </c>
      <c r="B6862">
        <v>8013186</v>
      </c>
      <c r="D6862" s="11" t="s">
        <v>21460</v>
      </c>
      <c r="E6862" s="11" t="s">
        <v>21461</v>
      </c>
    </row>
    <row r="6863" spans="1:5">
      <c r="A6863" s="11" t="s">
        <v>21462</v>
      </c>
      <c r="B6863">
        <v>8006076</v>
      </c>
      <c r="D6863" s="11" t="s">
        <v>21463</v>
      </c>
      <c r="E6863" s="11" t="s">
        <v>21464</v>
      </c>
    </row>
    <row r="6864" spans="1:5">
      <c r="A6864" s="11" t="s">
        <v>21465</v>
      </c>
      <c r="B6864">
        <v>8007233</v>
      </c>
      <c r="D6864" s="11" t="s">
        <v>21466</v>
      </c>
      <c r="E6864" s="11" t="s">
        <v>21467</v>
      </c>
    </row>
    <row r="6865" spans="1:5">
      <c r="A6865" s="11" t="s">
        <v>21468</v>
      </c>
      <c r="B6865">
        <v>8007232</v>
      </c>
      <c r="D6865" s="11" t="s">
        <v>21469</v>
      </c>
      <c r="E6865" s="11" t="s">
        <v>21470</v>
      </c>
    </row>
    <row r="6866" spans="1:5">
      <c r="A6866" s="11" t="s">
        <v>21471</v>
      </c>
      <c r="B6866">
        <v>8007640</v>
      </c>
      <c r="D6866" s="11" t="s">
        <v>21472</v>
      </c>
      <c r="E6866" s="11" t="s">
        <v>21473</v>
      </c>
    </row>
    <row r="6867" spans="1:5">
      <c r="A6867" s="11" t="s">
        <v>21474</v>
      </c>
      <c r="B6867">
        <v>8006078</v>
      </c>
      <c r="D6867" s="11" t="s">
        <v>21475</v>
      </c>
      <c r="E6867" s="11" t="s">
        <v>21476</v>
      </c>
    </row>
    <row r="6868" spans="1:5">
      <c r="A6868" s="11" t="s">
        <v>21477</v>
      </c>
      <c r="B6868">
        <v>8070560</v>
      </c>
      <c r="D6868" s="11" t="s">
        <v>21478</v>
      </c>
      <c r="E6868" s="11" t="s">
        <v>21479</v>
      </c>
    </row>
    <row r="6869" spans="1:5">
      <c r="A6869" s="11" t="s">
        <v>21480</v>
      </c>
      <c r="B6869">
        <v>8013188</v>
      </c>
      <c r="D6869" s="11" t="s">
        <v>21481</v>
      </c>
      <c r="E6869" s="11" t="s">
        <v>21482</v>
      </c>
    </row>
    <row r="6870" spans="1:5">
      <c r="A6870" s="11" t="s">
        <v>21483</v>
      </c>
      <c r="B6870">
        <v>8087059</v>
      </c>
      <c r="D6870" s="11" t="s">
        <v>1539</v>
      </c>
      <c r="E6870" s="11" t="s">
        <v>1539</v>
      </c>
    </row>
    <row r="6871" spans="1:5">
      <c r="A6871" s="11" t="s">
        <v>21484</v>
      </c>
      <c r="B6871">
        <v>8006079</v>
      </c>
      <c r="D6871" s="11" t="s">
        <v>21485</v>
      </c>
      <c r="E6871" s="11" t="s">
        <v>21486</v>
      </c>
    </row>
    <row r="6872" spans="1:5">
      <c r="A6872" s="11" t="s">
        <v>21487</v>
      </c>
      <c r="B6872">
        <v>8071022</v>
      </c>
      <c r="D6872" s="11" t="s">
        <v>21488</v>
      </c>
      <c r="E6872" s="11" t="s">
        <v>21489</v>
      </c>
    </row>
    <row r="6873" spans="1:5">
      <c r="A6873" s="11" t="s">
        <v>21490</v>
      </c>
      <c r="B6873">
        <v>8070561</v>
      </c>
      <c r="D6873" s="11" t="s">
        <v>21491</v>
      </c>
      <c r="E6873" s="11" t="s">
        <v>21492</v>
      </c>
    </row>
    <row r="6874" spans="1:5">
      <c r="A6874" s="11" t="s">
        <v>1135</v>
      </c>
      <c r="B6874">
        <v>8000364</v>
      </c>
      <c r="D6874" s="11" t="s">
        <v>1137</v>
      </c>
      <c r="E6874" s="11" t="s">
        <v>1138</v>
      </c>
    </row>
    <row r="6875" spans="1:5">
      <c r="A6875" s="11" t="s">
        <v>21493</v>
      </c>
      <c r="B6875">
        <v>8013190</v>
      </c>
      <c r="D6875" s="11" t="s">
        <v>21494</v>
      </c>
      <c r="E6875" s="11" t="s">
        <v>21495</v>
      </c>
    </row>
    <row r="6876" spans="1:5">
      <c r="A6876" s="11" t="s">
        <v>21496</v>
      </c>
      <c r="B6876">
        <v>8001922</v>
      </c>
      <c r="D6876" s="11" t="s">
        <v>21497</v>
      </c>
      <c r="E6876" s="11" t="s">
        <v>21498</v>
      </c>
    </row>
    <row r="6877" spans="1:5">
      <c r="A6877" s="11" t="s">
        <v>21499</v>
      </c>
      <c r="B6877">
        <v>8013191</v>
      </c>
      <c r="D6877" s="11" t="s">
        <v>21500</v>
      </c>
      <c r="E6877" s="11" t="s">
        <v>21501</v>
      </c>
    </row>
    <row r="6878" spans="1:5">
      <c r="A6878" s="11" t="s">
        <v>21502</v>
      </c>
      <c r="B6878">
        <v>8070145</v>
      </c>
      <c r="D6878" s="11" t="s">
        <v>21503</v>
      </c>
      <c r="E6878" s="11" t="s">
        <v>21504</v>
      </c>
    </row>
    <row r="6879" spans="1:5">
      <c r="A6879" s="11" t="s">
        <v>21505</v>
      </c>
      <c r="B6879">
        <v>8000174</v>
      </c>
      <c r="D6879" s="11" t="s">
        <v>21506</v>
      </c>
      <c r="E6879" s="11" t="s">
        <v>21507</v>
      </c>
    </row>
    <row r="6880" spans="1:5">
      <c r="A6880" s="11" t="s">
        <v>21508</v>
      </c>
      <c r="B6880">
        <v>8013192</v>
      </c>
      <c r="D6880" s="11" t="s">
        <v>21509</v>
      </c>
      <c r="E6880" s="11" t="s">
        <v>21510</v>
      </c>
    </row>
    <row r="6881" spans="1:5">
      <c r="A6881" s="11" t="s">
        <v>21511</v>
      </c>
      <c r="B6881">
        <v>8000366</v>
      </c>
      <c r="D6881" s="11" t="s">
        <v>21512</v>
      </c>
      <c r="E6881" s="11" t="s">
        <v>21513</v>
      </c>
    </row>
    <row r="6882" spans="1:5">
      <c r="A6882" s="11" t="s">
        <v>21514</v>
      </c>
      <c r="B6882">
        <v>8000356</v>
      </c>
      <c r="D6882" s="11" t="s">
        <v>21515</v>
      </c>
      <c r="E6882" s="11" t="s">
        <v>21516</v>
      </c>
    </row>
    <row r="6883" spans="1:5">
      <c r="A6883" s="11" t="s">
        <v>21517</v>
      </c>
      <c r="B6883">
        <v>8000393</v>
      </c>
      <c r="D6883" s="11" t="s">
        <v>21518</v>
      </c>
      <c r="E6883" s="11" t="s">
        <v>21519</v>
      </c>
    </row>
    <row r="6884" spans="1:5">
      <c r="A6884" s="11" t="s">
        <v>21520</v>
      </c>
      <c r="B6884">
        <v>8006083</v>
      </c>
      <c r="D6884" s="11" t="s">
        <v>21521</v>
      </c>
      <c r="E6884" s="11" t="s">
        <v>21522</v>
      </c>
    </row>
    <row r="6885" spans="1:5">
      <c r="A6885" s="11" t="s">
        <v>21523</v>
      </c>
      <c r="B6885">
        <v>8071344</v>
      </c>
      <c r="D6885" s="11" t="s">
        <v>21524</v>
      </c>
      <c r="E6885" s="11" t="s">
        <v>21525</v>
      </c>
    </row>
    <row r="6886" spans="1:5">
      <c r="A6886" s="11" t="s">
        <v>21526</v>
      </c>
      <c r="B6886">
        <v>8006084</v>
      </c>
      <c r="D6886" s="11" t="s">
        <v>21527</v>
      </c>
      <c r="E6886" s="11" t="s">
        <v>21528</v>
      </c>
    </row>
    <row r="6887" spans="1:5">
      <c r="A6887" s="11" t="s">
        <v>21529</v>
      </c>
      <c r="B6887">
        <v>8006085</v>
      </c>
      <c r="D6887" s="11" t="s">
        <v>21530</v>
      </c>
      <c r="E6887" s="11" t="s">
        <v>21531</v>
      </c>
    </row>
    <row r="6888" spans="1:5">
      <c r="A6888" s="11" t="s">
        <v>21532</v>
      </c>
      <c r="B6888">
        <v>8070562</v>
      </c>
      <c r="D6888" s="11" t="s">
        <v>21533</v>
      </c>
      <c r="E6888" s="11" t="s">
        <v>21534</v>
      </c>
    </row>
    <row r="6889" spans="1:5">
      <c r="A6889" s="11" t="s">
        <v>21535</v>
      </c>
      <c r="B6889">
        <v>8006086</v>
      </c>
      <c r="D6889" s="11" t="s">
        <v>21536</v>
      </c>
      <c r="E6889" s="11" t="s">
        <v>21537</v>
      </c>
    </row>
    <row r="6890" spans="1:5">
      <c r="A6890" s="11" t="s">
        <v>21538</v>
      </c>
      <c r="B6890">
        <v>8013194</v>
      </c>
      <c r="D6890" s="11" t="s">
        <v>21539</v>
      </c>
      <c r="E6890" s="11" t="s">
        <v>21540</v>
      </c>
    </row>
    <row r="6891" spans="1:5">
      <c r="A6891" s="11" t="s">
        <v>21541</v>
      </c>
      <c r="B6891">
        <v>8006090</v>
      </c>
      <c r="D6891" s="11" t="s">
        <v>21542</v>
      </c>
      <c r="E6891" s="11" t="s">
        <v>21543</v>
      </c>
    </row>
    <row r="6892" spans="1:5">
      <c r="A6892" s="11" t="s">
        <v>21544</v>
      </c>
      <c r="B6892">
        <v>8081470</v>
      </c>
      <c r="D6892" s="11" t="s">
        <v>21545</v>
      </c>
      <c r="E6892" s="11" t="s">
        <v>21546</v>
      </c>
    </row>
    <row r="6893" spans="1:5">
      <c r="A6893" s="11" t="s">
        <v>21547</v>
      </c>
      <c r="B6893">
        <v>8006091</v>
      </c>
      <c r="D6893" s="11" t="s">
        <v>21548</v>
      </c>
      <c r="E6893" s="11" t="s">
        <v>21549</v>
      </c>
    </row>
    <row r="6894" spans="1:5">
      <c r="A6894" s="11" t="s">
        <v>21550</v>
      </c>
      <c r="B6894">
        <v>8006098</v>
      </c>
      <c r="D6894" s="11" t="s">
        <v>21551</v>
      </c>
      <c r="E6894" s="11" t="s">
        <v>21552</v>
      </c>
    </row>
    <row r="6895" spans="1:5">
      <c r="A6895" s="11" t="s">
        <v>21553</v>
      </c>
      <c r="B6895">
        <v>8013198</v>
      </c>
      <c r="D6895" s="11" t="s">
        <v>21554</v>
      </c>
      <c r="E6895" s="11" t="s">
        <v>21555</v>
      </c>
    </row>
    <row r="6896" spans="1:5">
      <c r="A6896" s="11" t="s">
        <v>21556</v>
      </c>
      <c r="B6896">
        <v>8006100</v>
      </c>
      <c r="D6896" s="11" t="s">
        <v>21557</v>
      </c>
      <c r="E6896" s="11" t="s">
        <v>21558</v>
      </c>
    </row>
    <row r="6897" spans="1:5">
      <c r="A6897" s="11" t="s">
        <v>21559</v>
      </c>
      <c r="B6897">
        <v>8006101</v>
      </c>
      <c r="D6897" s="11" t="s">
        <v>21560</v>
      </c>
      <c r="E6897" s="11" t="s">
        <v>21561</v>
      </c>
    </row>
    <row r="6898" spans="1:5">
      <c r="A6898" s="11" t="s">
        <v>21562</v>
      </c>
      <c r="B6898">
        <v>8001664</v>
      </c>
      <c r="D6898" s="11" t="s">
        <v>21563</v>
      </c>
      <c r="E6898" s="11" t="s">
        <v>21564</v>
      </c>
    </row>
    <row r="6899" spans="1:5">
      <c r="A6899" s="11" t="s">
        <v>21565</v>
      </c>
      <c r="B6899">
        <v>8002802</v>
      </c>
      <c r="D6899" s="11" t="s">
        <v>21566</v>
      </c>
      <c r="E6899" s="11" t="s">
        <v>21567</v>
      </c>
    </row>
    <row r="6900" spans="1:5">
      <c r="A6900" s="11" t="s">
        <v>21568</v>
      </c>
      <c r="B6900">
        <v>8005382</v>
      </c>
      <c r="D6900" s="11" t="s">
        <v>21569</v>
      </c>
      <c r="E6900" s="11" t="s">
        <v>21570</v>
      </c>
    </row>
    <row r="6901" spans="1:5">
      <c r="A6901" s="11" t="s">
        <v>21571</v>
      </c>
      <c r="B6901">
        <v>8006093</v>
      </c>
      <c r="D6901" s="11" t="s">
        <v>21572</v>
      </c>
      <c r="E6901" s="11" t="s">
        <v>21573</v>
      </c>
    </row>
    <row r="6902" spans="1:5">
      <c r="A6902" s="11" t="s">
        <v>21574</v>
      </c>
      <c r="B6902">
        <v>8006103</v>
      </c>
      <c r="D6902" s="11" t="s">
        <v>21575</v>
      </c>
      <c r="E6902" s="11" t="s">
        <v>21576</v>
      </c>
    </row>
    <row r="6903" spans="1:5">
      <c r="A6903" s="11" t="s">
        <v>21577</v>
      </c>
      <c r="B6903">
        <v>8006094</v>
      </c>
      <c r="D6903" s="11" t="s">
        <v>21578</v>
      </c>
      <c r="E6903" s="11" t="s">
        <v>21579</v>
      </c>
    </row>
    <row r="6904" spans="1:5">
      <c r="A6904" s="11" t="s">
        <v>21580</v>
      </c>
      <c r="B6904">
        <v>8006095</v>
      </c>
      <c r="D6904" s="11" t="s">
        <v>21581</v>
      </c>
      <c r="E6904" s="11" t="s">
        <v>21582</v>
      </c>
    </row>
    <row r="6905" spans="1:5">
      <c r="A6905" s="11" t="s">
        <v>21583</v>
      </c>
      <c r="B6905">
        <v>8013201</v>
      </c>
      <c r="D6905" s="11" t="s">
        <v>21584</v>
      </c>
      <c r="E6905" s="11" t="s">
        <v>21585</v>
      </c>
    </row>
    <row r="6906" spans="1:5">
      <c r="A6906" s="11" t="s">
        <v>21586</v>
      </c>
      <c r="B6906">
        <v>8013202</v>
      </c>
      <c r="D6906" s="11" t="s">
        <v>21587</v>
      </c>
      <c r="E6906" s="11" t="s">
        <v>21588</v>
      </c>
    </row>
    <row r="6907" spans="1:5">
      <c r="A6907" s="11" t="s">
        <v>21589</v>
      </c>
      <c r="B6907">
        <v>8070860</v>
      </c>
      <c r="D6907" s="11" t="s">
        <v>21590</v>
      </c>
      <c r="E6907" s="11" t="s">
        <v>21591</v>
      </c>
    </row>
    <row r="6908" spans="1:5">
      <c r="A6908" s="11" t="s">
        <v>1455</v>
      </c>
      <c r="B6908">
        <v>8000175</v>
      </c>
      <c r="D6908" s="11" t="s">
        <v>21592</v>
      </c>
      <c r="E6908" s="11" t="s">
        <v>21593</v>
      </c>
    </row>
    <row r="6909" spans="1:5">
      <c r="A6909" s="11" t="s">
        <v>21594</v>
      </c>
      <c r="B6909">
        <v>8006107</v>
      </c>
      <c r="D6909" s="11" t="s">
        <v>21595</v>
      </c>
      <c r="E6909" s="11" t="s">
        <v>21596</v>
      </c>
    </row>
    <row r="6910" spans="1:5">
      <c r="A6910" s="11" t="s">
        <v>21597</v>
      </c>
      <c r="B6910">
        <v>8006109</v>
      </c>
      <c r="D6910" s="11" t="s">
        <v>21598</v>
      </c>
      <c r="E6910" s="11" t="s">
        <v>21599</v>
      </c>
    </row>
    <row r="6911" spans="1:5">
      <c r="A6911" s="11" t="s">
        <v>21600</v>
      </c>
      <c r="B6911">
        <v>8001741</v>
      </c>
      <c r="D6911" s="11" t="s">
        <v>21601</v>
      </c>
      <c r="E6911" s="11" t="s">
        <v>21602</v>
      </c>
    </row>
    <row r="6912" spans="1:5">
      <c r="A6912" s="11" t="s">
        <v>21603</v>
      </c>
      <c r="B6912">
        <v>8006112</v>
      </c>
      <c r="D6912" s="11" t="s">
        <v>21604</v>
      </c>
      <c r="E6912" s="11" t="s">
        <v>21605</v>
      </c>
    </row>
    <row r="6913" spans="1:5">
      <c r="A6913" s="11" t="s">
        <v>21606</v>
      </c>
      <c r="B6913">
        <v>8006116</v>
      </c>
      <c r="D6913" s="11" t="s">
        <v>21607</v>
      </c>
      <c r="E6913" s="11" t="s">
        <v>21608</v>
      </c>
    </row>
    <row r="6914" spans="1:5">
      <c r="A6914" s="11" t="s">
        <v>21609</v>
      </c>
      <c r="B6914">
        <v>8006117</v>
      </c>
      <c r="D6914" s="11" t="s">
        <v>21610</v>
      </c>
      <c r="E6914" s="11" t="s">
        <v>21611</v>
      </c>
    </row>
    <row r="6915" spans="1:5">
      <c r="A6915" s="11" t="s">
        <v>21612</v>
      </c>
      <c r="B6915">
        <v>8006118</v>
      </c>
      <c r="D6915" s="11" t="s">
        <v>21613</v>
      </c>
      <c r="E6915" s="11" t="s">
        <v>21614</v>
      </c>
    </row>
    <row r="6916" spans="1:5">
      <c r="A6916" s="11" t="s">
        <v>21615</v>
      </c>
      <c r="B6916">
        <v>8006120</v>
      </c>
      <c r="D6916" s="11" t="s">
        <v>21616</v>
      </c>
      <c r="E6916" s="11" t="s">
        <v>21617</v>
      </c>
    </row>
    <row r="6917" spans="1:5">
      <c r="A6917" s="11" t="s">
        <v>21618</v>
      </c>
      <c r="B6917">
        <v>8007068</v>
      </c>
      <c r="D6917" s="11" t="s">
        <v>21619</v>
      </c>
      <c r="E6917" s="11" t="s">
        <v>21620</v>
      </c>
    </row>
    <row r="6918" spans="1:5">
      <c r="A6918" s="11" t="s">
        <v>21621</v>
      </c>
      <c r="B6918">
        <v>8000368</v>
      </c>
      <c r="D6918" s="11" t="s">
        <v>21622</v>
      </c>
      <c r="E6918" s="11" t="s">
        <v>5617</v>
      </c>
    </row>
    <row r="6919" spans="1:5">
      <c r="A6919" s="11" t="s">
        <v>21623</v>
      </c>
      <c r="B6919">
        <v>8006125</v>
      </c>
      <c r="D6919" s="11" t="s">
        <v>21624</v>
      </c>
      <c r="E6919" s="11" t="s">
        <v>21625</v>
      </c>
    </row>
    <row r="6920" spans="1:5">
      <c r="A6920" s="11" t="s">
        <v>21626</v>
      </c>
      <c r="B6920">
        <v>8006126</v>
      </c>
      <c r="D6920" s="11" t="s">
        <v>21627</v>
      </c>
      <c r="E6920" s="11" t="s">
        <v>21628</v>
      </c>
    </row>
    <row r="6921" spans="1:5">
      <c r="A6921" s="11" t="s">
        <v>21629</v>
      </c>
      <c r="B6921">
        <v>8006131</v>
      </c>
      <c r="D6921" s="11" t="s">
        <v>21630</v>
      </c>
      <c r="E6921" s="11" t="s">
        <v>21631</v>
      </c>
    </row>
    <row r="6922" spans="1:5">
      <c r="A6922" s="11" t="s">
        <v>21632</v>
      </c>
      <c r="B6922">
        <v>8006132</v>
      </c>
      <c r="D6922" s="11" t="s">
        <v>21633</v>
      </c>
      <c r="E6922" s="11" t="s">
        <v>21634</v>
      </c>
    </row>
    <row r="6923" spans="1:5">
      <c r="A6923" s="11" t="s">
        <v>21635</v>
      </c>
      <c r="B6923">
        <v>8006135</v>
      </c>
      <c r="D6923" s="11" t="s">
        <v>21636</v>
      </c>
      <c r="E6923" s="11" t="s">
        <v>21637</v>
      </c>
    </row>
    <row r="6924" spans="1:5">
      <c r="A6924" s="11" t="s">
        <v>21638</v>
      </c>
      <c r="B6924">
        <v>8006134</v>
      </c>
      <c r="D6924" s="11" t="s">
        <v>21639</v>
      </c>
      <c r="E6924" s="11" t="s">
        <v>21640</v>
      </c>
    </row>
    <row r="6925" spans="1:5">
      <c r="A6925" s="11" t="s">
        <v>21641</v>
      </c>
      <c r="B6925">
        <v>8006137</v>
      </c>
      <c r="D6925" s="11" t="s">
        <v>21642</v>
      </c>
      <c r="E6925" s="11" t="s">
        <v>21643</v>
      </c>
    </row>
    <row r="6926" spans="1:5">
      <c r="A6926" s="11" t="s">
        <v>21644</v>
      </c>
      <c r="B6926">
        <v>8006138</v>
      </c>
      <c r="D6926" s="11" t="s">
        <v>21645</v>
      </c>
      <c r="E6926" s="11" t="s">
        <v>21646</v>
      </c>
    </row>
    <row r="6927" spans="1:5">
      <c r="A6927" s="11" t="s">
        <v>21647</v>
      </c>
      <c r="B6927">
        <v>8006139</v>
      </c>
      <c r="D6927" s="11" t="s">
        <v>21648</v>
      </c>
      <c r="E6927" s="11" t="s">
        <v>21649</v>
      </c>
    </row>
    <row r="6928" spans="1:5">
      <c r="A6928" s="11" t="s">
        <v>21650</v>
      </c>
      <c r="B6928">
        <v>8000327</v>
      </c>
      <c r="D6928" s="11" t="s">
        <v>21651</v>
      </c>
      <c r="E6928" s="11" t="s">
        <v>21652</v>
      </c>
    </row>
    <row r="6929" spans="1:5">
      <c r="A6929" s="11" t="s">
        <v>21653</v>
      </c>
      <c r="B6929">
        <v>8013205</v>
      </c>
      <c r="D6929" s="11" t="s">
        <v>21654</v>
      </c>
      <c r="E6929" s="11" t="s">
        <v>21655</v>
      </c>
    </row>
    <row r="6930" spans="1:5">
      <c r="A6930" s="11" t="s">
        <v>21656</v>
      </c>
      <c r="B6930">
        <v>8007273</v>
      </c>
      <c r="D6930" s="11" t="s">
        <v>21657</v>
      </c>
      <c r="E6930" s="11" t="s">
        <v>21658</v>
      </c>
    </row>
    <row r="6931" spans="1:5">
      <c r="A6931" s="11" t="s">
        <v>21659</v>
      </c>
      <c r="B6931">
        <v>8077775</v>
      </c>
      <c r="D6931" s="11" t="s">
        <v>21660</v>
      </c>
      <c r="E6931" s="11" t="s">
        <v>21661</v>
      </c>
    </row>
    <row r="6932" spans="1:5">
      <c r="A6932" s="11" t="s">
        <v>21662</v>
      </c>
      <c r="B6932">
        <v>8006144</v>
      </c>
      <c r="D6932" s="11" t="s">
        <v>21663</v>
      </c>
      <c r="E6932" s="11" t="s">
        <v>21664</v>
      </c>
    </row>
    <row r="6933" spans="1:5">
      <c r="A6933" s="11" t="s">
        <v>21665</v>
      </c>
      <c r="B6933">
        <v>8000180</v>
      </c>
      <c r="D6933" s="11" t="s">
        <v>21666</v>
      </c>
      <c r="E6933" s="11" t="s">
        <v>21667</v>
      </c>
    </row>
    <row r="6934" spans="1:5">
      <c r="A6934" s="11" t="s">
        <v>21668</v>
      </c>
      <c r="B6934">
        <v>8007442</v>
      </c>
      <c r="D6934" s="11" t="s">
        <v>21669</v>
      </c>
      <c r="E6934" s="11" t="s">
        <v>21670</v>
      </c>
    </row>
    <row r="6935" spans="1:5">
      <c r="A6935" s="11" t="s">
        <v>21671</v>
      </c>
      <c r="B6935">
        <v>8006147</v>
      </c>
      <c r="D6935" s="11" t="s">
        <v>21672</v>
      </c>
      <c r="E6935" s="11" t="s">
        <v>21673</v>
      </c>
    </row>
    <row r="6936" spans="1:5">
      <c r="A6936" s="11" t="s">
        <v>21674</v>
      </c>
      <c r="B6936">
        <v>8006148</v>
      </c>
      <c r="D6936" s="11" t="s">
        <v>21675</v>
      </c>
      <c r="E6936" s="11" t="s">
        <v>21676</v>
      </c>
    </row>
    <row r="6937" spans="1:5">
      <c r="A6937" s="11" t="s">
        <v>21677</v>
      </c>
      <c r="B6937">
        <v>8013210</v>
      </c>
      <c r="D6937" s="11" t="s">
        <v>21678</v>
      </c>
      <c r="E6937" s="11" t="s">
        <v>21679</v>
      </c>
    </row>
    <row r="6938" spans="1:5">
      <c r="A6938" s="11" t="s">
        <v>21680</v>
      </c>
      <c r="B6938">
        <v>8071052</v>
      </c>
      <c r="D6938" s="11" t="s">
        <v>21681</v>
      </c>
      <c r="E6938" s="11" t="s">
        <v>21682</v>
      </c>
    </row>
    <row r="6939" spans="1:5">
      <c r="A6939" s="11" t="s">
        <v>21683</v>
      </c>
      <c r="B6939">
        <v>8013211</v>
      </c>
      <c r="D6939" s="11" t="s">
        <v>21684</v>
      </c>
      <c r="E6939" s="11" t="s">
        <v>21685</v>
      </c>
    </row>
    <row r="6940" spans="1:5">
      <c r="A6940" s="11" t="s">
        <v>21686</v>
      </c>
      <c r="B6940">
        <v>8006154</v>
      </c>
      <c r="D6940" s="11" t="s">
        <v>21687</v>
      </c>
      <c r="E6940" s="11" t="s">
        <v>21688</v>
      </c>
    </row>
    <row r="6941" spans="1:5">
      <c r="A6941" s="11" t="s">
        <v>21689</v>
      </c>
      <c r="B6941">
        <v>8006155</v>
      </c>
      <c r="D6941" s="11" t="s">
        <v>21690</v>
      </c>
      <c r="E6941" s="11" t="s">
        <v>21691</v>
      </c>
    </row>
    <row r="6942" spans="1:5">
      <c r="A6942" s="11" t="s">
        <v>21692</v>
      </c>
      <c r="B6942">
        <v>8006156</v>
      </c>
      <c r="D6942" s="11" t="s">
        <v>21693</v>
      </c>
      <c r="E6942" s="11" t="s">
        <v>21694</v>
      </c>
    </row>
    <row r="6943" spans="1:5">
      <c r="A6943" s="11" t="s">
        <v>21695</v>
      </c>
      <c r="B6943">
        <v>8007073</v>
      </c>
      <c r="D6943" s="11" t="s">
        <v>21696</v>
      </c>
      <c r="E6943" s="11" t="s">
        <v>21697</v>
      </c>
    </row>
    <row r="6944" spans="1:5">
      <c r="A6944" s="11" t="s">
        <v>21698</v>
      </c>
      <c r="B6944">
        <v>8006157</v>
      </c>
      <c r="D6944" s="11" t="s">
        <v>21699</v>
      </c>
      <c r="E6944" s="11" t="s">
        <v>21700</v>
      </c>
    </row>
    <row r="6945" spans="1:5">
      <c r="A6945" s="11" t="s">
        <v>21701</v>
      </c>
      <c r="B6945">
        <v>8010359</v>
      </c>
      <c r="D6945" s="11" t="s">
        <v>21702</v>
      </c>
      <c r="E6945" s="11" t="s">
        <v>21703</v>
      </c>
    </row>
    <row r="6946" spans="1:5">
      <c r="A6946" s="11" t="s">
        <v>21704</v>
      </c>
      <c r="B6946">
        <v>8006159</v>
      </c>
      <c r="D6946" s="11" t="s">
        <v>21705</v>
      </c>
      <c r="E6946" s="11" t="s">
        <v>21706</v>
      </c>
    </row>
    <row r="6947" spans="1:5">
      <c r="A6947" s="11" t="s">
        <v>21707</v>
      </c>
      <c r="B6947">
        <v>8013212</v>
      </c>
      <c r="D6947" s="11" t="s">
        <v>21708</v>
      </c>
      <c r="E6947" s="11" t="s">
        <v>21709</v>
      </c>
    </row>
    <row r="6948" spans="1:5">
      <c r="A6948" s="11" t="s">
        <v>21710</v>
      </c>
      <c r="B6948">
        <v>8006160</v>
      </c>
      <c r="D6948" s="11" t="s">
        <v>21711</v>
      </c>
      <c r="E6948" s="11" t="s">
        <v>21712</v>
      </c>
    </row>
    <row r="6949" spans="1:5">
      <c r="A6949" s="11" t="s">
        <v>21713</v>
      </c>
      <c r="B6949">
        <v>8006164</v>
      </c>
      <c r="D6949" s="11" t="s">
        <v>21714</v>
      </c>
      <c r="E6949" s="11" t="s">
        <v>21715</v>
      </c>
    </row>
    <row r="6950" spans="1:5">
      <c r="A6950" s="11" t="s">
        <v>21716</v>
      </c>
      <c r="B6950">
        <v>8006162</v>
      </c>
      <c r="D6950" s="11" t="s">
        <v>21717</v>
      </c>
      <c r="E6950" s="11" t="s">
        <v>21718</v>
      </c>
    </row>
    <row r="6951" spans="1:5">
      <c r="A6951" s="11" t="s">
        <v>836</v>
      </c>
      <c r="B6951">
        <v>8006163</v>
      </c>
      <c r="D6951" s="11" t="s">
        <v>838</v>
      </c>
      <c r="E6951" s="11" t="s">
        <v>839</v>
      </c>
    </row>
    <row r="6952" spans="1:5">
      <c r="A6952" s="11" t="s">
        <v>21719</v>
      </c>
      <c r="B6952">
        <v>8006167</v>
      </c>
      <c r="D6952" s="11" t="s">
        <v>21720</v>
      </c>
      <c r="E6952" s="11" t="s">
        <v>21721</v>
      </c>
    </row>
    <row r="6953" spans="1:5">
      <c r="A6953" s="11" t="s">
        <v>21722</v>
      </c>
      <c r="B6953">
        <v>8006170</v>
      </c>
      <c r="D6953" s="11" t="s">
        <v>21723</v>
      </c>
      <c r="E6953" s="11" t="s">
        <v>21724</v>
      </c>
    </row>
    <row r="6954" spans="1:5">
      <c r="A6954" s="11" t="s">
        <v>21725</v>
      </c>
      <c r="B6954">
        <v>8006171</v>
      </c>
      <c r="D6954" s="11" t="s">
        <v>21726</v>
      </c>
      <c r="E6954" s="11" t="s">
        <v>21727</v>
      </c>
    </row>
    <row r="6955" spans="1:5">
      <c r="A6955" s="11" t="s">
        <v>21728</v>
      </c>
      <c r="B6955">
        <v>8006172</v>
      </c>
      <c r="D6955" s="11" t="s">
        <v>21729</v>
      </c>
      <c r="E6955" s="11" t="s">
        <v>21730</v>
      </c>
    </row>
    <row r="6956" spans="1:5">
      <c r="A6956" s="11" t="s">
        <v>21731</v>
      </c>
      <c r="B6956">
        <v>8000187</v>
      </c>
      <c r="D6956" s="11" t="s">
        <v>21732</v>
      </c>
      <c r="E6956" s="11" t="s">
        <v>21733</v>
      </c>
    </row>
    <row r="6957" spans="1:5">
      <c r="A6957" s="11" t="s">
        <v>21734</v>
      </c>
      <c r="B6957">
        <v>8006175</v>
      </c>
      <c r="D6957" s="11" t="s">
        <v>21735</v>
      </c>
      <c r="E6957" s="11" t="s">
        <v>21736</v>
      </c>
    </row>
    <row r="6958" spans="1:5">
      <c r="A6958" s="11" t="s">
        <v>21737</v>
      </c>
      <c r="B6958">
        <v>8013215</v>
      </c>
      <c r="D6958" s="11" t="s">
        <v>21738</v>
      </c>
      <c r="E6958" s="11" t="s">
        <v>21739</v>
      </c>
    </row>
    <row r="6959" spans="1:5">
      <c r="A6959" s="11" t="s">
        <v>21740</v>
      </c>
      <c r="B6959">
        <v>8006176</v>
      </c>
      <c r="D6959" s="11" t="s">
        <v>21741</v>
      </c>
      <c r="E6959" s="11" t="s">
        <v>21742</v>
      </c>
    </row>
    <row r="6960" spans="1:5">
      <c r="A6960" s="11" t="s">
        <v>21743</v>
      </c>
      <c r="B6960">
        <v>8006180</v>
      </c>
      <c r="D6960" s="11" t="s">
        <v>21744</v>
      </c>
      <c r="E6960" s="11" t="s">
        <v>21745</v>
      </c>
    </row>
    <row r="6961" spans="1:5">
      <c r="A6961" s="11" t="s">
        <v>21746</v>
      </c>
      <c r="B6961">
        <v>8006181</v>
      </c>
      <c r="D6961" s="11" t="s">
        <v>21747</v>
      </c>
      <c r="E6961" s="11" t="s">
        <v>21748</v>
      </c>
    </row>
    <row r="6962" spans="1:5">
      <c r="A6962" s="11" t="s">
        <v>21749</v>
      </c>
      <c r="B6962">
        <v>8006183</v>
      </c>
      <c r="D6962" s="11" t="s">
        <v>21750</v>
      </c>
      <c r="E6962" s="11" t="s">
        <v>21751</v>
      </c>
    </row>
    <row r="6963" spans="1:5">
      <c r="A6963" s="11" t="s">
        <v>21752</v>
      </c>
      <c r="B6963">
        <v>8006184</v>
      </c>
      <c r="D6963" s="11" t="s">
        <v>21753</v>
      </c>
      <c r="E6963" s="11" t="s">
        <v>21754</v>
      </c>
    </row>
    <row r="6964" spans="1:5">
      <c r="A6964" s="11" t="s">
        <v>21755</v>
      </c>
      <c r="B6964">
        <v>8013217</v>
      </c>
      <c r="D6964" s="11" t="s">
        <v>21756</v>
      </c>
      <c r="E6964" s="11" t="s">
        <v>21757</v>
      </c>
    </row>
    <row r="6965" spans="1:5">
      <c r="A6965" s="11" t="s">
        <v>21758</v>
      </c>
      <c r="B6965">
        <v>8006145</v>
      </c>
      <c r="D6965" s="11" t="s">
        <v>21759</v>
      </c>
      <c r="E6965" s="11" t="s">
        <v>21760</v>
      </c>
    </row>
    <row r="6966" spans="1:5">
      <c r="A6966" s="11" t="s">
        <v>21761</v>
      </c>
      <c r="B6966">
        <v>8013220</v>
      </c>
      <c r="D6966" s="11" t="s">
        <v>21762</v>
      </c>
      <c r="E6966" s="11" t="s">
        <v>21763</v>
      </c>
    </row>
    <row r="6967" spans="1:5">
      <c r="A6967" s="11" t="s">
        <v>21764</v>
      </c>
      <c r="B6967">
        <v>8006190</v>
      </c>
      <c r="D6967" s="11" t="s">
        <v>21765</v>
      </c>
      <c r="E6967" s="11" t="s">
        <v>21766</v>
      </c>
    </row>
    <row r="6968" spans="1:5">
      <c r="A6968" s="11" t="s">
        <v>21767</v>
      </c>
      <c r="B6968">
        <v>8006191</v>
      </c>
      <c r="D6968" s="11" t="s">
        <v>21768</v>
      </c>
      <c r="E6968" s="11" t="s">
        <v>21769</v>
      </c>
    </row>
    <row r="6969" spans="1:5">
      <c r="A6969" s="11" t="s">
        <v>21770</v>
      </c>
      <c r="B6969">
        <v>8013221</v>
      </c>
      <c r="D6969" s="11" t="s">
        <v>21771</v>
      </c>
      <c r="E6969" s="11" t="s">
        <v>21772</v>
      </c>
    </row>
    <row r="6970" spans="1:5">
      <c r="A6970" s="11" t="s">
        <v>21773</v>
      </c>
      <c r="B6970">
        <v>8013222</v>
      </c>
      <c r="D6970" s="11" t="s">
        <v>21774</v>
      </c>
      <c r="E6970" s="11" t="s">
        <v>21775</v>
      </c>
    </row>
    <row r="6971" spans="1:5">
      <c r="A6971" s="11" t="s">
        <v>21776</v>
      </c>
      <c r="B6971">
        <v>8071972</v>
      </c>
      <c r="D6971" s="11" t="s">
        <v>21777</v>
      </c>
      <c r="E6971" s="11" t="s">
        <v>21778</v>
      </c>
    </row>
    <row r="6972" spans="1:5">
      <c r="A6972" s="11" t="s">
        <v>21779</v>
      </c>
      <c r="B6972">
        <v>8079775</v>
      </c>
      <c r="D6972" s="11" t="s">
        <v>21780</v>
      </c>
      <c r="E6972" s="11" t="s">
        <v>21781</v>
      </c>
    </row>
    <row r="6973" spans="1:5">
      <c r="A6973" s="11" t="s">
        <v>21782</v>
      </c>
      <c r="B6973">
        <v>8006193</v>
      </c>
      <c r="D6973" s="11" t="s">
        <v>21783</v>
      </c>
      <c r="E6973" s="11" t="s">
        <v>21784</v>
      </c>
    </row>
    <row r="6974" spans="1:5">
      <c r="A6974" s="11" t="s">
        <v>21785</v>
      </c>
      <c r="B6974">
        <v>8013223</v>
      </c>
      <c r="D6974" s="11" t="s">
        <v>21786</v>
      </c>
      <c r="E6974" s="11" t="s">
        <v>21787</v>
      </c>
    </row>
    <row r="6975" spans="1:5">
      <c r="A6975" s="11" t="s">
        <v>1367</v>
      </c>
      <c r="B6975">
        <v>8013224</v>
      </c>
      <c r="D6975" s="11" t="s">
        <v>21788</v>
      </c>
      <c r="E6975" s="11" t="s">
        <v>21789</v>
      </c>
    </row>
    <row r="6976" spans="1:5">
      <c r="A6976" s="11" t="s">
        <v>21790</v>
      </c>
      <c r="B6976">
        <v>8010360</v>
      </c>
      <c r="D6976" s="11" t="s">
        <v>21791</v>
      </c>
      <c r="E6976" s="11" t="s">
        <v>21792</v>
      </c>
    </row>
    <row r="6977" spans="1:5">
      <c r="A6977" s="11" t="s">
        <v>21793</v>
      </c>
      <c r="B6977">
        <v>8013226</v>
      </c>
      <c r="D6977" s="11" t="s">
        <v>21794</v>
      </c>
      <c r="E6977" s="11" t="s">
        <v>21795</v>
      </c>
    </row>
    <row r="6978" spans="1:5">
      <c r="A6978" s="11" t="s">
        <v>21796</v>
      </c>
      <c r="B6978">
        <v>8013227</v>
      </c>
      <c r="D6978" s="11" t="s">
        <v>21797</v>
      </c>
      <c r="E6978" s="11" t="s">
        <v>21798</v>
      </c>
    </row>
    <row r="6979" spans="1:5">
      <c r="A6979" s="11" t="s">
        <v>21799</v>
      </c>
      <c r="B6979">
        <v>8013228</v>
      </c>
      <c r="D6979" s="11" t="s">
        <v>21800</v>
      </c>
      <c r="E6979" s="11" t="s">
        <v>21801</v>
      </c>
    </row>
    <row r="6980" spans="1:5">
      <c r="A6980" s="11" t="s">
        <v>21802</v>
      </c>
      <c r="B6980">
        <v>8006200</v>
      </c>
      <c r="D6980" s="11" t="s">
        <v>21803</v>
      </c>
      <c r="E6980" s="11" t="s">
        <v>21804</v>
      </c>
    </row>
    <row r="6981" spans="1:5">
      <c r="A6981" s="11" t="s">
        <v>21805</v>
      </c>
      <c r="B6981">
        <v>8079015</v>
      </c>
      <c r="D6981" s="11" t="s">
        <v>21806</v>
      </c>
      <c r="E6981" s="11" t="s">
        <v>21807</v>
      </c>
    </row>
    <row r="6982" spans="1:5">
      <c r="A6982" s="11" t="s">
        <v>21808</v>
      </c>
      <c r="B6982">
        <v>8013240</v>
      </c>
      <c r="D6982" s="11" t="s">
        <v>21809</v>
      </c>
      <c r="E6982" s="11" t="s">
        <v>21810</v>
      </c>
    </row>
    <row r="6983" spans="1:5">
      <c r="A6983" s="11" t="s">
        <v>21811</v>
      </c>
      <c r="B6983">
        <v>8007766</v>
      </c>
      <c r="D6983" s="11" t="s">
        <v>21812</v>
      </c>
      <c r="E6983" s="11" t="s">
        <v>21813</v>
      </c>
    </row>
    <row r="6984" spans="1:5">
      <c r="A6984" s="11" t="s">
        <v>21814</v>
      </c>
      <c r="B6984">
        <v>8000192</v>
      </c>
      <c r="D6984" s="11" t="s">
        <v>21815</v>
      </c>
      <c r="E6984" s="11" t="s">
        <v>21816</v>
      </c>
    </row>
    <row r="6985" spans="1:5">
      <c r="A6985" s="11" t="s">
        <v>21817</v>
      </c>
      <c r="B6985">
        <v>8006203</v>
      </c>
      <c r="D6985" s="11" t="s">
        <v>21818</v>
      </c>
      <c r="E6985" s="11" t="s">
        <v>21819</v>
      </c>
    </row>
    <row r="6986" spans="1:5">
      <c r="A6986" s="11" t="s">
        <v>21820</v>
      </c>
      <c r="B6986">
        <v>8013230</v>
      </c>
      <c r="D6986" s="11" t="s">
        <v>21821</v>
      </c>
      <c r="E6986" s="11" t="s">
        <v>21822</v>
      </c>
    </row>
    <row r="6987" spans="1:5">
      <c r="A6987" s="11" t="s">
        <v>21823</v>
      </c>
      <c r="B6987">
        <v>8013231</v>
      </c>
      <c r="D6987" s="11" t="s">
        <v>21824</v>
      </c>
      <c r="E6987" s="11" t="s">
        <v>21825</v>
      </c>
    </row>
    <row r="6988" spans="1:5">
      <c r="A6988" s="11" t="s">
        <v>21826</v>
      </c>
      <c r="B6988">
        <v>8000196</v>
      </c>
      <c r="D6988" s="11" t="s">
        <v>21827</v>
      </c>
      <c r="E6988" s="11" t="s">
        <v>21828</v>
      </c>
    </row>
    <row r="6989" spans="1:5">
      <c r="A6989" s="11" t="s">
        <v>21829</v>
      </c>
      <c r="B6989">
        <v>8010361</v>
      </c>
      <c r="D6989" s="11" t="s">
        <v>21830</v>
      </c>
      <c r="E6989" s="11" t="s">
        <v>21831</v>
      </c>
    </row>
    <row r="6990" spans="1:5">
      <c r="A6990" s="11" t="s">
        <v>21832</v>
      </c>
      <c r="B6990">
        <v>8006206</v>
      </c>
      <c r="D6990" s="11" t="s">
        <v>14099</v>
      </c>
      <c r="E6990" s="11" t="s">
        <v>21833</v>
      </c>
    </row>
    <row r="6991" spans="1:5">
      <c r="A6991" s="11" t="s">
        <v>21834</v>
      </c>
      <c r="B6991">
        <v>8006207</v>
      </c>
      <c r="D6991" s="11" t="s">
        <v>21835</v>
      </c>
      <c r="E6991" s="11" t="s">
        <v>21836</v>
      </c>
    </row>
    <row r="6992" spans="1:5">
      <c r="A6992" s="11" t="s">
        <v>21837</v>
      </c>
      <c r="B6992">
        <v>8013232</v>
      </c>
      <c r="D6992" s="11" t="s">
        <v>21838</v>
      </c>
      <c r="E6992" s="11" t="s">
        <v>21839</v>
      </c>
    </row>
    <row r="6993" spans="1:5">
      <c r="A6993" s="11" t="s">
        <v>21840</v>
      </c>
      <c r="B6993">
        <v>8079325</v>
      </c>
      <c r="D6993" s="11" t="s">
        <v>21841</v>
      </c>
      <c r="E6993" s="11" t="s">
        <v>21842</v>
      </c>
    </row>
    <row r="6994" spans="1:5">
      <c r="A6994" s="11" t="s">
        <v>21843</v>
      </c>
      <c r="B6994">
        <v>8013235</v>
      </c>
      <c r="D6994" s="11" t="s">
        <v>21844</v>
      </c>
      <c r="E6994" s="11" t="s">
        <v>21845</v>
      </c>
    </row>
    <row r="6995" spans="1:5">
      <c r="A6995" s="11" t="s">
        <v>21846</v>
      </c>
      <c r="B6995">
        <v>8071287</v>
      </c>
      <c r="D6995" s="11" t="s">
        <v>21847</v>
      </c>
      <c r="E6995" s="11" t="s">
        <v>21848</v>
      </c>
    </row>
    <row r="6996" spans="1:5">
      <c r="A6996" s="11" t="s">
        <v>21849</v>
      </c>
      <c r="B6996">
        <v>8006208</v>
      </c>
      <c r="D6996" s="11" t="s">
        <v>21850</v>
      </c>
      <c r="E6996" s="11" t="s">
        <v>21851</v>
      </c>
    </row>
    <row r="6997" spans="1:5">
      <c r="A6997" s="11" t="s">
        <v>21852</v>
      </c>
      <c r="B6997">
        <v>8013236</v>
      </c>
      <c r="D6997" s="11" t="s">
        <v>21853</v>
      </c>
      <c r="E6997" s="11" t="s">
        <v>21854</v>
      </c>
    </row>
    <row r="6998" spans="1:5">
      <c r="A6998" s="11" t="s">
        <v>21855</v>
      </c>
      <c r="B6998">
        <v>8013237</v>
      </c>
      <c r="D6998" s="11" t="s">
        <v>21856</v>
      </c>
      <c r="E6998" s="11" t="s">
        <v>21857</v>
      </c>
    </row>
    <row r="6999" spans="1:5">
      <c r="A6999" s="11" t="s">
        <v>21858</v>
      </c>
      <c r="B6999">
        <v>8006210</v>
      </c>
      <c r="D6999" s="11" t="s">
        <v>21859</v>
      </c>
      <c r="E6999" s="11" t="s">
        <v>21860</v>
      </c>
    </row>
    <row r="7000" spans="1:5">
      <c r="A7000" s="11" t="s">
        <v>21861</v>
      </c>
      <c r="B7000">
        <v>8013238</v>
      </c>
      <c r="D7000" s="11" t="s">
        <v>21862</v>
      </c>
      <c r="E7000" s="11" t="s">
        <v>21863</v>
      </c>
    </row>
    <row r="7001" spans="1:5">
      <c r="A7001" s="11" t="s">
        <v>587</v>
      </c>
      <c r="B7001">
        <v>8006212</v>
      </c>
      <c r="D7001" s="11" t="s">
        <v>589</v>
      </c>
      <c r="E7001" s="11" t="s">
        <v>590</v>
      </c>
    </row>
    <row r="7002" spans="1:5">
      <c r="A7002" s="11" t="s">
        <v>21864</v>
      </c>
      <c r="B7002">
        <v>8006213</v>
      </c>
      <c r="D7002" s="11" t="s">
        <v>21865</v>
      </c>
      <c r="E7002" s="11" t="s">
        <v>21866</v>
      </c>
    </row>
    <row r="7003" spans="1:5">
      <c r="A7003" s="11" t="s">
        <v>21867</v>
      </c>
      <c r="B7003">
        <v>8006215</v>
      </c>
      <c r="D7003" s="11" t="s">
        <v>21868</v>
      </c>
      <c r="E7003" s="11" t="s">
        <v>21869</v>
      </c>
    </row>
    <row r="7004" spans="1:5">
      <c r="A7004" s="11" t="s">
        <v>21870</v>
      </c>
      <c r="B7004">
        <v>8006217</v>
      </c>
      <c r="D7004" s="11" t="s">
        <v>21871</v>
      </c>
      <c r="E7004" s="11" t="s">
        <v>21872</v>
      </c>
    </row>
    <row r="7005" spans="1:5">
      <c r="A7005" s="11" t="s">
        <v>21873</v>
      </c>
      <c r="B7005">
        <v>8076218</v>
      </c>
      <c r="D7005" s="11" t="s">
        <v>21874</v>
      </c>
      <c r="E7005" s="11" t="s">
        <v>21875</v>
      </c>
    </row>
    <row r="7006" spans="1:5">
      <c r="A7006" s="11" t="s">
        <v>21876</v>
      </c>
      <c r="B7006">
        <v>8006218</v>
      </c>
      <c r="D7006" s="11" t="s">
        <v>21877</v>
      </c>
      <c r="E7006" s="11" t="s">
        <v>21878</v>
      </c>
    </row>
    <row r="7007" spans="1:5">
      <c r="A7007" s="11" t="s">
        <v>21879</v>
      </c>
      <c r="B7007">
        <v>8006219</v>
      </c>
      <c r="D7007" s="11" t="s">
        <v>21880</v>
      </c>
      <c r="E7007" s="11" t="s">
        <v>21881</v>
      </c>
    </row>
    <row r="7008" spans="1:5">
      <c r="A7008" s="11" t="s">
        <v>21882</v>
      </c>
      <c r="B7008">
        <v>8006220</v>
      </c>
      <c r="D7008" s="11" t="s">
        <v>21883</v>
      </c>
      <c r="E7008" s="11" t="s">
        <v>21884</v>
      </c>
    </row>
    <row r="7009" spans="1:5">
      <c r="A7009" s="11" t="s">
        <v>21885</v>
      </c>
      <c r="B7009">
        <v>8006222</v>
      </c>
      <c r="D7009" s="11" t="s">
        <v>21886</v>
      </c>
      <c r="E7009" s="11" t="s">
        <v>21887</v>
      </c>
    </row>
    <row r="7010" spans="1:5">
      <c r="A7010" s="11" t="s">
        <v>21888</v>
      </c>
      <c r="B7010">
        <v>8013244</v>
      </c>
      <c r="D7010" s="11" t="s">
        <v>21889</v>
      </c>
      <c r="E7010" s="11" t="s">
        <v>21890</v>
      </c>
    </row>
    <row r="7011" spans="1:5">
      <c r="A7011" s="11" t="s">
        <v>21891</v>
      </c>
      <c r="B7011">
        <v>8070567</v>
      </c>
      <c r="D7011" s="11" t="s">
        <v>21892</v>
      </c>
      <c r="E7011" s="11" t="s">
        <v>21893</v>
      </c>
    </row>
    <row r="7012" spans="1:5">
      <c r="A7012" s="11" t="s">
        <v>21894</v>
      </c>
      <c r="B7012">
        <v>8006224</v>
      </c>
      <c r="D7012" s="11" t="s">
        <v>21895</v>
      </c>
      <c r="E7012" s="11" t="s">
        <v>21896</v>
      </c>
    </row>
    <row r="7013" spans="1:5">
      <c r="A7013" s="11" t="s">
        <v>21897</v>
      </c>
      <c r="B7013">
        <v>8013241</v>
      </c>
      <c r="D7013" s="11" t="s">
        <v>21898</v>
      </c>
      <c r="E7013" s="11" t="s">
        <v>21899</v>
      </c>
    </row>
    <row r="7014" spans="1:5">
      <c r="A7014" s="11" t="s">
        <v>21900</v>
      </c>
      <c r="B7014">
        <v>8013245</v>
      </c>
      <c r="D7014" s="11" t="s">
        <v>21901</v>
      </c>
      <c r="E7014" s="11" t="s">
        <v>21902</v>
      </c>
    </row>
    <row r="7015" spans="1:5">
      <c r="A7015" s="11" t="s">
        <v>21903</v>
      </c>
      <c r="B7015">
        <v>8006225</v>
      </c>
      <c r="D7015" s="11" t="s">
        <v>21904</v>
      </c>
      <c r="E7015" s="11" t="s">
        <v>21905</v>
      </c>
    </row>
    <row r="7016" spans="1:5">
      <c r="A7016" s="11" t="s">
        <v>21906</v>
      </c>
      <c r="B7016">
        <v>8006226</v>
      </c>
      <c r="D7016" s="11" t="s">
        <v>21907</v>
      </c>
      <c r="E7016" s="11" t="s">
        <v>21908</v>
      </c>
    </row>
    <row r="7017" spans="1:5">
      <c r="A7017" s="11" t="s">
        <v>21909</v>
      </c>
      <c r="B7017">
        <v>8006227</v>
      </c>
      <c r="D7017" s="11" t="s">
        <v>21910</v>
      </c>
      <c r="E7017" s="11" t="s">
        <v>21911</v>
      </c>
    </row>
    <row r="7018" spans="1:5">
      <c r="A7018" s="11" t="s">
        <v>21912</v>
      </c>
      <c r="B7018">
        <v>8007341</v>
      </c>
      <c r="D7018" s="11" t="s">
        <v>21913</v>
      </c>
      <c r="E7018" s="11" t="s">
        <v>21914</v>
      </c>
    </row>
    <row r="7019" spans="1:5">
      <c r="A7019" s="11" t="s">
        <v>21915</v>
      </c>
      <c r="B7019">
        <v>8006229</v>
      </c>
      <c r="D7019" s="11" t="s">
        <v>21916</v>
      </c>
      <c r="E7019" s="11" t="s">
        <v>21917</v>
      </c>
    </row>
    <row r="7020" spans="1:5">
      <c r="A7020" s="11" t="s">
        <v>21918</v>
      </c>
      <c r="B7020">
        <v>8013246</v>
      </c>
      <c r="D7020" s="11" t="s">
        <v>21919</v>
      </c>
      <c r="E7020" s="11" t="s">
        <v>21920</v>
      </c>
    </row>
    <row r="7021" spans="1:5">
      <c r="A7021" s="11" t="s">
        <v>21921</v>
      </c>
      <c r="B7021">
        <v>8006232</v>
      </c>
      <c r="D7021" s="11" t="s">
        <v>21922</v>
      </c>
      <c r="E7021" s="11" t="s">
        <v>21923</v>
      </c>
    </row>
    <row r="7022" spans="1:5">
      <c r="A7022" s="11" t="s">
        <v>21924</v>
      </c>
      <c r="B7022">
        <v>8006233</v>
      </c>
      <c r="D7022" s="11" t="s">
        <v>21925</v>
      </c>
      <c r="E7022" s="11" t="s">
        <v>21926</v>
      </c>
    </row>
    <row r="7023" spans="1:5">
      <c r="A7023" s="11" t="s">
        <v>21927</v>
      </c>
      <c r="B7023">
        <v>8006236</v>
      </c>
      <c r="D7023" s="11" t="s">
        <v>21928</v>
      </c>
      <c r="E7023" s="11" t="s">
        <v>21929</v>
      </c>
    </row>
    <row r="7024" spans="1:5">
      <c r="A7024" s="11" t="s">
        <v>21930</v>
      </c>
      <c r="B7024">
        <v>8006237</v>
      </c>
      <c r="D7024" s="11" t="s">
        <v>21931</v>
      </c>
      <c r="E7024" s="11" t="s">
        <v>21932</v>
      </c>
    </row>
    <row r="7025" spans="1:5">
      <c r="A7025" s="11" t="s">
        <v>21933</v>
      </c>
      <c r="B7025">
        <v>8000153</v>
      </c>
      <c r="D7025" s="11" t="s">
        <v>1539</v>
      </c>
      <c r="E7025" s="11" t="s">
        <v>1539</v>
      </c>
    </row>
    <row r="7026" spans="1:5">
      <c r="A7026" s="11" t="s">
        <v>21934</v>
      </c>
      <c r="B7026">
        <v>8013247</v>
      </c>
      <c r="D7026" s="11" t="s">
        <v>21935</v>
      </c>
      <c r="E7026" s="11" t="s">
        <v>21936</v>
      </c>
    </row>
    <row r="7027" spans="1:5">
      <c r="A7027" s="11" t="s">
        <v>21937</v>
      </c>
      <c r="B7027">
        <v>8087038</v>
      </c>
      <c r="D7027" s="11" t="s">
        <v>21938</v>
      </c>
      <c r="E7027" s="11" t="s">
        <v>21939</v>
      </c>
    </row>
    <row r="7028" spans="1:5">
      <c r="A7028" s="11" t="s">
        <v>21940</v>
      </c>
      <c r="B7028">
        <v>8000342</v>
      </c>
      <c r="D7028" s="11" t="s">
        <v>21941</v>
      </c>
      <c r="E7028" s="11" t="s">
        <v>21942</v>
      </c>
    </row>
    <row r="7029" spans="1:5">
      <c r="A7029" s="11" t="s">
        <v>21943</v>
      </c>
      <c r="B7029">
        <v>8006240</v>
      </c>
      <c r="D7029" s="11" t="s">
        <v>21944</v>
      </c>
      <c r="E7029" s="11" t="s">
        <v>21945</v>
      </c>
    </row>
    <row r="7030" spans="1:5">
      <c r="A7030" s="11" t="s">
        <v>21946</v>
      </c>
      <c r="B7030">
        <v>8013248</v>
      </c>
      <c r="D7030" s="11" t="s">
        <v>21947</v>
      </c>
      <c r="E7030" s="11" t="s">
        <v>21948</v>
      </c>
    </row>
    <row r="7031" spans="1:5">
      <c r="A7031" s="11" t="s">
        <v>21949</v>
      </c>
      <c r="B7031">
        <v>8006241</v>
      </c>
      <c r="D7031" s="11" t="s">
        <v>21950</v>
      </c>
      <c r="E7031" s="11" t="s">
        <v>21951</v>
      </c>
    </row>
    <row r="7032" spans="1:5">
      <c r="A7032" s="11" t="s">
        <v>21952</v>
      </c>
      <c r="B7032">
        <v>8006243</v>
      </c>
      <c r="D7032" s="11" t="s">
        <v>21953</v>
      </c>
      <c r="E7032" s="11" t="s">
        <v>21954</v>
      </c>
    </row>
    <row r="7033" spans="1:5">
      <c r="A7033" s="11" t="s">
        <v>21955</v>
      </c>
      <c r="B7033">
        <v>8010364</v>
      </c>
      <c r="D7033" s="11" t="s">
        <v>21956</v>
      </c>
      <c r="E7033" s="11" t="s">
        <v>21957</v>
      </c>
    </row>
    <row r="7034" spans="1:5">
      <c r="A7034" s="11" t="s">
        <v>21958</v>
      </c>
      <c r="B7034">
        <v>8013250</v>
      </c>
      <c r="D7034" s="11" t="s">
        <v>21959</v>
      </c>
      <c r="E7034" s="11" t="s">
        <v>21960</v>
      </c>
    </row>
    <row r="7035" spans="1:5">
      <c r="A7035" s="11" t="s">
        <v>21961</v>
      </c>
      <c r="B7035">
        <v>8007812</v>
      </c>
      <c r="D7035" s="11" t="s">
        <v>21962</v>
      </c>
      <c r="E7035" s="11" t="s">
        <v>21963</v>
      </c>
    </row>
    <row r="7036" spans="1:5">
      <c r="A7036" s="11" t="s">
        <v>21964</v>
      </c>
      <c r="B7036">
        <v>8006252</v>
      </c>
      <c r="D7036" s="11" t="s">
        <v>21965</v>
      </c>
      <c r="E7036" s="11" t="s">
        <v>21966</v>
      </c>
    </row>
    <row r="7037" spans="1:5">
      <c r="A7037" s="11" t="s">
        <v>21967</v>
      </c>
      <c r="B7037">
        <v>8001174</v>
      </c>
      <c r="D7037" s="11" t="s">
        <v>21968</v>
      </c>
      <c r="E7037" s="11" t="s">
        <v>21969</v>
      </c>
    </row>
    <row r="7038" spans="1:5">
      <c r="A7038" s="11" t="s">
        <v>21970</v>
      </c>
      <c r="B7038">
        <v>8005003</v>
      </c>
      <c r="D7038" s="11" t="s">
        <v>21971</v>
      </c>
      <c r="E7038" s="11" t="s">
        <v>21972</v>
      </c>
    </row>
    <row r="7039" spans="1:5">
      <c r="A7039" s="11" t="s">
        <v>21973</v>
      </c>
      <c r="B7039">
        <v>8071121</v>
      </c>
      <c r="D7039" s="11" t="s">
        <v>21974</v>
      </c>
      <c r="E7039" s="11" t="s">
        <v>21975</v>
      </c>
    </row>
    <row r="7040" spans="1:5">
      <c r="A7040" s="11" t="s">
        <v>21976</v>
      </c>
      <c r="B7040">
        <v>8007853</v>
      </c>
      <c r="D7040" s="11" t="s">
        <v>21977</v>
      </c>
      <c r="E7040" s="11" t="s">
        <v>21978</v>
      </c>
    </row>
    <row r="7041" spans="1:5">
      <c r="A7041" s="11" t="s">
        <v>21979</v>
      </c>
      <c r="B7041">
        <v>8006255</v>
      </c>
      <c r="D7041" s="11" t="s">
        <v>21980</v>
      </c>
      <c r="E7041" s="11" t="s">
        <v>21981</v>
      </c>
    </row>
    <row r="7042" spans="1:5">
      <c r="A7042" s="11" t="s">
        <v>21982</v>
      </c>
      <c r="B7042">
        <v>8006256</v>
      </c>
      <c r="D7042" s="11" t="s">
        <v>21983</v>
      </c>
      <c r="E7042" s="11" t="s">
        <v>21984</v>
      </c>
    </row>
    <row r="7043" spans="1:5">
      <c r="A7043" s="11" t="s">
        <v>21985</v>
      </c>
      <c r="B7043">
        <v>8013253</v>
      </c>
      <c r="D7043" s="11" t="s">
        <v>21986</v>
      </c>
      <c r="E7043" s="11" t="s">
        <v>21987</v>
      </c>
    </row>
    <row r="7044" spans="1:5">
      <c r="A7044" s="11" t="s">
        <v>21988</v>
      </c>
      <c r="B7044">
        <v>8006257</v>
      </c>
      <c r="D7044" s="11" t="s">
        <v>21989</v>
      </c>
      <c r="E7044" s="11" t="s">
        <v>21990</v>
      </c>
    </row>
    <row r="7045" spans="1:5">
      <c r="A7045" s="11" t="s">
        <v>21991</v>
      </c>
      <c r="B7045">
        <v>8010365</v>
      </c>
      <c r="D7045" s="11" t="s">
        <v>21992</v>
      </c>
      <c r="E7045" s="11" t="s">
        <v>21993</v>
      </c>
    </row>
    <row r="7046" spans="1:5">
      <c r="A7046" s="11" t="s">
        <v>21994</v>
      </c>
      <c r="B7046">
        <v>8013254</v>
      </c>
      <c r="D7046" s="11" t="s">
        <v>21995</v>
      </c>
      <c r="E7046" s="11" t="s">
        <v>21996</v>
      </c>
    </row>
    <row r="7047" spans="1:5">
      <c r="A7047" s="11" t="s">
        <v>21997</v>
      </c>
      <c r="B7047">
        <v>8013251</v>
      </c>
      <c r="D7047" s="11" t="s">
        <v>21998</v>
      </c>
      <c r="E7047" s="11" t="s">
        <v>21999</v>
      </c>
    </row>
    <row r="7048" spans="1:5">
      <c r="A7048" s="11" t="s">
        <v>22000</v>
      </c>
      <c r="B7048">
        <v>8000204</v>
      </c>
      <c r="D7048" s="11" t="s">
        <v>22001</v>
      </c>
      <c r="E7048" s="11" t="s">
        <v>22002</v>
      </c>
    </row>
    <row r="7049" spans="1:5">
      <c r="A7049" s="11" t="s">
        <v>22003</v>
      </c>
      <c r="B7049">
        <v>8006258</v>
      </c>
      <c r="D7049" s="11" t="s">
        <v>22004</v>
      </c>
      <c r="E7049" s="11" t="s">
        <v>22005</v>
      </c>
    </row>
    <row r="7050" spans="1:5">
      <c r="A7050" s="11" t="s">
        <v>22006</v>
      </c>
      <c r="B7050">
        <v>8006259</v>
      </c>
      <c r="D7050" s="11" t="s">
        <v>22007</v>
      </c>
      <c r="E7050" s="11" t="s">
        <v>22008</v>
      </c>
    </row>
    <row r="7051" spans="1:5">
      <c r="A7051" s="11" t="s">
        <v>22009</v>
      </c>
      <c r="B7051">
        <v>8006261</v>
      </c>
      <c r="D7051" s="11" t="s">
        <v>22010</v>
      </c>
      <c r="E7051" s="11" t="s">
        <v>22011</v>
      </c>
    </row>
    <row r="7052" spans="1:5">
      <c r="A7052" s="11" t="s">
        <v>22012</v>
      </c>
      <c r="B7052">
        <v>8006264</v>
      </c>
      <c r="D7052" s="11" t="s">
        <v>22013</v>
      </c>
      <c r="E7052" s="11" t="s">
        <v>22014</v>
      </c>
    </row>
    <row r="7053" spans="1:5">
      <c r="A7053" s="11" t="s">
        <v>22015</v>
      </c>
      <c r="B7053">
        <v>8006266</v>
      </c>
      <c r="D7053" s="11" t="s">
        <v>22016</v>
      </c>
      <c r="E7053" s="11" t="s">
        <v>22017</v>
      </c>
    </row>
    <row r="7054" spans="1:5">
      <c r="A7054" s="11" t="s">
        <v>22018</v>
      </c>
      <c r="B7054">
        <v>8006267</v>
      </c>
      <c r="D7054" s="11" t="s">
        <v>22019</v>
      </c>
      <c r="E7054" s="11" t="s">
        <v>22020</v>
      </c>
    </row>
    <row r="7055" spans="1:5">
      <c r="A7055" s="11" t="s">
        <v>22021</v>
      </c>
      <c r="B7055">
        <v>8006269</v>
      </c>
      <c r="D7055" s="11" t="s">
        <v>22022</v>
      </c>
      <c r="E7055" s="11" t="s">
        <v>22023</v>
      </c>
    </row>
    <row r="7056" spans="1:5">
      <c r="A7056" s="11" t="s">
        <v>48</v>
      </c>
      <c r="B7056">
        <v>8006272</v>
      </c>
      <c r="D7056" s="11" t="s">
        <v>22024</v>
      </c>
      <c r="E7056" s="11" t="s">
        <v>22025</v>
      </c>
    </row>
    <row r="7057" spans="1:5">
      <c r="A7057" s="11" t="s">
        <v>22026</v>
      </c>
      <c r="B7057">
        <v>8006273</v>
      </c>
      <c r="D7057" s="11" t="s">
        <v>22027</v>
      </c>
      <c r="E7057" s="11" t="s">
        <v>22028</v>
      </c>
    </row>
    <row r="7058" spans="1:5">
      <c r="A7058" s="11" t="s">
        <v>22029</v>
      </c>
      <c r="B7058">
        <v>8000143</v>
      </c>
      <c r="D7058" s="11" t="s">
        <v>22030</v>
      </c>
      <c r="E7058" s="11" t="s">
        <v>22031</v>
      </c>
    </row>
    <row r="7059" spans="1:5">
      <c r="A7059" s="11" t="s">
        <v>22032</v>
      </c>
      <c r="B7059">
        <v>8000146</v>
      </c>
      <c r="D7059" s="11" t="s">
        <v>22033</v>
      </c>
      <c r="E7059" s="11" t="s">
        <v>22034</v>
      </c>
    </row>
    <row r="7060" spans="1:5">
      <c r="A7060" s="11" t="s">
        <v>22035</v>
      </c>
      <c r="B7060">
        <v>8006271</v>
      </c>
      <c r="D7060" s="11" t="s">
        <v>22036</v>
      </c>
      <c r="E7060" s="11" t="s">
        <v>22037</v>
      </c>
    </row>
    <row r="7061" spans="1:5">
      <c r="A7061" s="11" t="s">
        <v>22038</v>
      </c>
      <c r="B7061">
        <v>8085013</v>
      </c>
      <c r="D7061" s="11" t="s">
        <v>22039</v>
      </c>
      <c r="E7061" s="11" t="s">
        <v>22040</v>
      </c>
    </row>
    <row r="7062" spans="1:5">
      <c r="A7062" s="11" t="s">
        <v>22041</v>
      </c>
      <c r="B7062">
        <v>8085012</v>
      </c>
      <c r="D7062" s="11" t="s">
        <v>22042</v>
      </c>
      <c r="E7062" s="11" t="s">
        <v>22043</v>
      </c>
    </row>
    <row r="7063" spans="1:5">
      <c r="A7063" s="11" t="s">
        <v>22044</v>
      </c>
      <c r="B7063">
        <v>8085014</v>
      </c>
      <c r="D7063" s="11" t="s">
        <v>22045</v>
      </c>
      <c r="E7063" s="11" t="s">
        <v>22046</v>
      </c>
    </row>
    <row r="7064" spans="1:5">
      <c r="A7064" s="11" t="s">
        <v>22047</v>
      </c>
      <c r="B7064">
        <v>8006279</v>
      </c>
      <c r="D7064" s="11" t="s">
        <v>22048</v>
      </c>
      <c r="E7064" s="11" t="s">
        <v>22049</v>
      </c>
    </row>
    <row r="7065" spans="1:5">
      <c r="A7065" s="11" t="s">
        <v>22050</v>
      </c>
      <c r="B7065">
        <v>8006274</v>
      </c>
      <c r="D7065" s="11" t="s">
        <v>22051</v>
      </c>
      <c r="E7065" s="11" t="s">
        <v>22052</v>
      </c>
    </row>
    <row r="7066" spans="1:5">
      <c r="A7066" s="11" t="s">
        <v>22053</v>
      </c>
      <c r="B7066">
        <v>8000218</v>
      </c>
      <c r="D7066" s="11" t="s">
        <v>22054</v>
      </c>
      <c r="E7066" s="11" t="s">
        <v>22055</v>
      </c>
    </row>
    <row r="7067" spans="1:5">
      <c r="A7067" s="11" t="s">
        <v>22056</v>
      </c>
      <c r="B7067">
        <v>8071906</v>
      </c>
      <c r="D7067" s="11" t="s">
        <v>22057</v>
      </c>
      <c r="E7067" s="11" t="s">
        <v>22058</v>
      </c>
    </row>
    <row r="7068" spans="1:5">
      <c r="A7068" s="11" t="s">
        <v>22059</v>
      </c>
      <c r="B7068">
        <v>8006277</v>
      </c>
      <c r="D7068" s="11" t="s">
        <v>22060</v>
      </c>
      <c r="E7068" s="11" t="s">
        <v>22061</v>
      </c>
    </row>
    <row r="7069" spans="1:5">
      <c r="A7069" s="11" t="s">
        <v>22062</v>
      </c>
      <c r="B7069">
        <v>8006280</v>
      </c>
      <c r="D7069" s="11" t="s">
        <v>22063</v>
      </c>
      <c r="E7069" s="11" t="s">
        <v>22064</v>
      </c>
    </row>
    <row r="7070" spans="1:5">
      <c r="A7070" s="11" t="s">
        <v>22065</v>
      </c>
      <c r="B7070">
        <v>8001416</v>
      </c>
      <c r="D7070" s="11" t="s">
        <v>22066</v>
      </c>
      <c r="E7070" s="11" t="s">
        <v>22067</v>
      </c>
    </row>
    <row r="7071" spans="1:5">
      <c r="A7071" s="11" t="s">
        <v>22068</v>
      </c>
      <c r="B7071">
        <v>8000220</v>
      </c>
      <c r="D7071" s="11" t="s">
        <v>22069</v>
      </c>
      <c r="E7071" s="11" t="s">
        <v>22070</v>
      </c>
    </row>
    <row r="7072" spans="1:5">
      <c r="A7072" s="11" t="s">
        <v>22071</v>
      </c>
      <c r="B7072">
        <v>8006281</v>
      </c>
      <c r="D7072" s="11" t="s">
        <v>22072</v>
      </c>
      <c r="E7072" s="11" t="s">
        <v>22073</v>
      </c>
    </row>
    <row r="7073" spans="1:5">
      <c r="A7073" s="11" t="s">
        <v>22074</v>
      </c>
      <c r="B7073">
        <v>8006268</v>
      </c>
      <c r="D7073" s="11" t="s">
        <v>22075</v>
      </c>
      <c r="E7073" s="11" t="s">
        <v>22076</v>
      </c>
    </row>
    <row r="7074" spans="1:5">
      <c r="A7074" s="11" t="s">
        <v>22077</v>
      </c>
      <c r="B7074">
        <v>8010366</v>
      </c>
      <c r="D7074" s="11" t="s">
        <v>22078</v>
      </c>
      <c r="E7074" s="11" t="s">
        <v>22079</v>
      </c>
    </row>
    <row r="7075" spans="1:5">
      <c r="A7075" s="11" t="s">
        <v>22080</v>
      </c>
      <c r="B7075">
        <v>8013256</v>
      </c>
      <c r="D7075" s="11" t="s">
        <v>22081</v>
      </c>
      <c r="E7075" s="11" t="s">
        <v>22082</v>
      </c>
    </row>
    <row r="7076" spans="1:5">
      <c r="A7076" s="11" t="s">
        <v>22083</v>
      </c>
      <c r="B7076">
        <v>8013266</v>
      </c>
      <c r="D7076" s="11" t="s">
        <v>22084</v>
      </c>
      <c r="E7076" s="11" t="s">
        <v>22085</v>
      </c>
    </row>
    <row r="7077" spans="1:5">
      <c r="A7077" s="11" t="s">
        <v>22086</v>
      </c>
      <c r="B7077">
        <v>8013267</v>
      </c>
      <c r="D7077" s="11" t="s">
        <v>22087</v>
      </c>
      <c r="E7077" s="11" t="s">
        <v>22088</v>
      </c>
    </row>
    <row r="7078" spans="1:5">
      <c r="A7078" s="11" t="s">
        <v>22089</v>
      </c>
      <c r="B7078">
        <v>8087067</v>
      </c>
      <c r="D7078" s="11" t="s">
        <v>22090</v>
      </c>
      <c r="E7078" s="11" t="s">
        <v>22091</v>
      </c>
    </row>
    <row r="7079" spans="1:5">
      <c r="A7079" s="11" t="s">
        <v>22092</v>
      </c>
      <c r="B7079">
        <v>8006287</v>
      </c>
      <c r="D7079" s="11" t="s">
        <v>22093</v>
      </c>
      <c r="E7079" s="11" t="s">
        <v>22094</v>
      </c>
    </row>
    <row r="7080" spans="1:5">
      <c r="A7080" s="11" t="s">
        <v>22095</v>
      </c>
      <c r="B7080">
        <v>8071072</v>
      </c>
      <c r="D7080" s="11" t="s">
        <v>22096</v>
      </c>
      <c r="E7080" s="11" t="s">
        <v>22097</v>
      </c>
    </row>
    <row r="7081" spans="1:5">
      <c r="A7081" s="11" t="s">
        <v>22098</v>
      </c>
      <c r="B7081">
        <v>8000377</v>
      </c>
      <c r="D7081" s="11" t="s">
        <v>22099</v>
      </c>
      <c r="E7081" s="11" t="s">
        <v>22100</v>
      </c>
    </row>
    <row r="7082" spans="1:5">
      <c r="A7082" s="11" t="s">
        <v>22101</v>
      </c>
      <c r="B7082">
        <v>8003792</v>
      </c>
      <c r="D7082" s="11" t="s">
        <v>22102</v>
      </c>
      <c r="E7082" s="11" t="s">
        <v>22103</v>
      </c>
    </row>
    <row r="7083" spans="1:5">
      <c r="A7083" s="11" t="s">
        <v>22104</v>
      </c>
      <c r="B7083">
        <v>8006283</v>
      </c>
      <c r="D7083" s="11" t="s">
        <v>22105</v>
      </c>
      <c r="E7083" s="11" t="s">
        <v>22106</v>
      </c>
    </row>
    <row r="7084" spans="1:5">
      <c r="A7084" s="11" t="s">
        <v>22107</v>
      </c>
      <c r="B7084">
        <v>8006289</v>
      </c>
      <c r="D7084" s="11" t="s">
        <v>22108</v>
      </c>
      <c r="E7084" s="11" t="s">
        <v>22109</v>
      </c>
    </row>
    <row r="7085" spans="1:5">
      <c r="A7085" s="11" t="s">
        <v>22110</v>
      </c>
      <c r="B7085">
        <v>8006290</v>
      </c>
      <c r="D7085" s="11" t="s">
        <v>22111</v>
      </c>
      <c r="E7085" s="11" t="s">
        <v>22112</v>
      </c>
    </row>
    <row r="7086" spans="1:5">
      <c r="A7086" s="11" t="s">
        <v>22113</v>
      </c>
      <c r="B7086">
        <v>8006294</v>
      </c>
      <c r="D7086" s="11" t="s">
        <v>22114</v>
      </c>
      <c r="E7086" s="11" t="s">
        <v>22115</v>
      </c>
    </row>
    <row r="7087" spans="1:5">
      <c r="A7087" s="11" t="s">
        <v>22116</v>
      </c>
      <c r="B7087">
        <v>8010367</v>
      </c>
      <c r="D7087" s="11" t="s">
        <v>22117</v>
      </c>
      <c r="E7087" s="11" t="s">
        <v>22118</v>
      </c>
    </row>
    <row r="7088" spans="1:5">
      <c r="A7088" s="11" t="s">
        <v>22119</v>
      </c>
      <c r="B7088">
        <v>8013258</v>
      </c>
      <c r="D7088" s="11" t="s">
        <v>22120</v>
      </c>
      <c r="E7088" s="11" t="s">
        <v>22121</v>
      </c>
    </row>
    <row r="7089" spans="1:5">
      <c r="A7089" s="11" t="s">
        <v>22122</v>
      </c>
      <c r="B7089">
        <v>8006291</v>
      </c>
      <c r="D7089" s="11" t="s">
        <v>22123</v>
      </c>
      <c r="E7089" s="11" t="s">
        <v>22124</v>
      </c>
    </row>
    <row r="7090" spans="1:5">
      <c r="A7090" s="11" t="s">
        <v>22125</v>
      </c>
      <c r="B7090">
        <v>8006292</v>
      </c>
      <c r="D7090" s="11" t="s">
        <v>22126</v>
      </c>
      <c r="E7090" s="11" t="s">
        <v>22127</v>
      </c>
    </row>
    <row r="7091" spans="1:5">
      <c r="A7091" s="11" t="s">
        <v>22128</v>
      </c>
      <c r="B7091">
        <v>8007329</v>
      </c>
      <c r="D7091" s="11" t="s">
        <v>22129</v>
      </c>
      <c r="E7091" s="11" t="s">
        <v>22130</v>
      </c>
    </row>
    <row r="7092" spans="1:5">
      <c r="A7092" s="11" t="s">
        <v>22131</v>
      </c>
      <c r="B7092">
        <v>8013259</v>
      </c>
      <c r="D7092" s="11" t="s">
        <v>22132</v>
      </c>
      <c r="E7092" s="11" t="s">
        <v>22133</v>
      </c>
    </row>
    <row r="7093" spans="1:5">
      <c r="A7093" s="11" t="s">
        <v>22134</v>
      </c>
      <c r="B7093">
        <v>8071669</v>
      </c>
      <c r="D7093" s="11" t="s">
        <v>22135</v>
      </c>
      <c r="E7093" s="11" t="s">
        <v>22136</v>
      </c>
    </row>
    <row r="7094" spans="1:5">
      <c r="A7094" s="11" t="s">
        <v>22137</v>
      </c>
      <c r="B7094">
        <v>8006296</v>
      </c>
      <c r="D7094" s="11" t="s">
        <v>22138</v>
      </c>
      <c r="E7094" s="11" t="s">
        <v>22139</v>
      </c>
    </row>
    <row r="7095" spans="1:5">
      <c r="A7095" s="11" t="s">
        <v>22140</v>
      </c>
      <c r="B7095">
        <v>8006298</v>
      </c>
      <c r="D7095" s="11" t="s">
        <v>22141</v>
      </c>
      <c r="E7095" s="11" t="s">
        <v>22142</v>
      </c>
    </row>
    <row r="7096" spans="1:5">
      <c r="A7096" s="11" t="s">
        <v>22143</v>
      </c>
      <c r="B7096">
        <v>8010368</v>
      </c>
      <c r="D7096" s="11" t="s">
        <v>22144</v>
      </c>
      <c r="E7096" s="11" t="s">
        <v>22145</v>
      </c>
    </row>
    <row r="7097" spans="1:5">
      <c r="A7097" s="11" t="s">
        <v>22146</v>
      </c>
      <c r="B7097">
        <v>8013261</v>
      </c>
      <c r="D7097" s="11" t="s">
        <v>22147</v>
      </c>
      <c r="E7097" s="11" t="s">
        <v>22148</v>
      </c>
    </row>
    <row r="7098" spans="1:5">
      <c r="A7098" s="11" t="s">
        <v>22149</v>
      </c>
      <c r="B7098">
        <v>8006299</v>
      </c>
      <c r="D7098" s="11" t="s">
        <v>22150</v>
      </c>
      <c r="E7098" s="11" t="s">
        <v>22151</v>
      </c>
    </row>
    <row r="7099" spans="1:5">
      <c r="A7099" s="11" t="s">
        <v>22152</v>
      </c>
      <c r="B7099">
        <v>8006305</v>
      </c>
      <c r="D7099" s="11" t="s">
        <v>22153</v>
      </c>
      <c r="E7099" s="11" t="s">
        <v>22154</v>
      </c>
    </row>
    <row r="7100" spans="1:5">
      <c r="A7100" s="11" t="s">
        <v>22155</v>
      </c>
      <c r="B7100">
        <v>8006300</v>
      </c>
      <c r="D7100" s="11" t="s">
        <v>22156</v>
      </c>
      <c r="E7100" s="11" t="s">
        <v>22157</v>
      </c>
    </row>
    <row r="7101" spans="1:5">
      <c r="A7101" s="11" t="s">
        <v>196</v>
      </c>
      <c r="B7101">
        <v>8006303</v>
      </c>
      <c r="D7101" s="11" t="s">
        <v>198</v>
      </c>
      <c r="E7101" s="11" t="s">
        <v>199</v>
      </c>
    </row>
    <row r="7102" spans="1:5">
      <c r="A7102" s="11" t="s">
        <v>22158</v>
      </c>
      <c r="B7102">
        <v>8070946</v>
      </c>
      <c r="D7102" s="11" t="s">
        <v>22159</v>
      </c>
      <c r="E7102" s="11" t="s">
        <v>22160</v>
      </c>
    </row>
    <row r="7103" spans="1:5">
      <c r="A7103" s="11" t="s">
        <v>22161</v>
      </c>
      <c r="B7103">
        <v>8013263</v>
      </c>
      <c r="D7103" s="11" t="s">
        <v>22162</v>
      </c>
      <c r="E7103" s="11" t="s">
        <v>22163</v>
      </c>
    </row>
    <row r="7104" spans="1:5">
      <c r="A7104" s="11" t="s">
        <v>22164</v>
      </c>
      <c r="B7104">
        <v>8010370</v>
      </c>
      <c r="D7104" s="11" t="s">
        <v>22165</v>
      </c>
      <c r="E7104" s="11" t="s">
        <v>22166</v>
      </c>
    </row>
    <row r="7105" spans="1:5">
      <c r="A7105" s="11" t="s">
        <v>22167</v>
      </c>
      <c r="B7105">
        <v>8006306</v>
      </c>
      <c r="D7105" s="11" t="s">
        <v>22168</v>
      </c>
      <c r="E7105" s="11" t="s">
        <v>22169</v>
      </c>
    </row>
    <row r="7106" spans="1:5">
      <c r="A7106" s="11" t="s">
        <v>22170</v>
      </c>
      <c r="B7106">
        <v>8013268</v>
      </c>
      <c r="D7106" s="11" t="s">
        <v>22171</v>
      </c>
      <c r="E7106" s="11" t="s">
        <v>22172</v>
      </c>
    </row>
    <row r="7107" spans="1:5">
      <c r="A7107" s="11" t="s">
        <v>22173</v>
      </c>
      <c r="B7107">
        <v>8013269</v>
      </c>
      <c r="D7107" s="11" t="s">
        <v>22174</v>
      </c>
      <c r="E7107" s="11" t="s">
        <v>22175</v>
      </c>
    </row>
    <row r="7108" spans="1:5">
      <c r="A7108" s="11" t="s">
        <v>22176</v>
      </c>
      <c r="B7108">
        <v>8070569</v>
      </c>
      <c r="D7108" s="11" t="s">
        <v>22177</v>
      </c>
      <c r="E7108" s="11" t="s">
        <v>22178</v>
      </c>
    </row>
    <row r="7109" spans="1:5">
      <c r="A7109" s="11" t="s">
        <v>22179</v>
      </c>
      <c r="B7109">
        <v>8006309</v>
      </c>
      <c r="D7109" s="11" t="s">
        <v>22180</v>
      </c>
      <c r="E7109" s="11" t="s">
        <v>22181</v>
      </c>
    </row>
    <row r="7110" spans="1:5">
      <c r="A7110" s="11" t="s">
        <v>22182</v>
      </c>
      <c r="B7110">
        <v>8006312</v>
      </c>
      <c r="D7110" s="11" t="s">
        <v>22183</v>
      </c>
      <c r="E7110" s="11" t="s">
        <v>22184</v>
      </c>
    </row>
    <row r="7111" spans="1:5">
      <c r="A7111" s="11" t="s">
        <v>22185</v>
      </c>
      <c r="B7111">
        <v>8006313</v>
      </c>
      <c r="D7111" s="11" t="s">
        <v>22186</v>
      </c>
      <c r="E7111" s="11" t="s">
        <v>22187</v>
      </c>
    </row>
    <row r="7112" spans="1:5">
      <c r="A7112" s="11" t="s">
        <v>22188</v>
      </c>
      <c r="B7112">
        <v>8013271</v>
      </c>
      <c r="D7112" s="11" t="s">
        <v>22189</v>
      </c>
      <c r="E7112" s="11" t="s">
        <v>22190</v>
      </c>
    </row>
    <row r="7113" spans="1:5">
      <c r="A7113" s="11" t="s">
        <v>22191</v>
      </c>
      <c r="B7113">
        <v>8006315</v>
      </c>
      <c r="D7113" s="11" t="s">
        <v>22192</v>
      </c>
      <c r="E7113" s="11" t="s">
        <v>22193</v>
      </c>
    </row>
    <row r="7114" spans="1:5">
      <c r="A7114" s="11" t="s">
        <v>22194</v>
      </c>
      <c r="B7114">
        <v>8006316</v>
      </c>
      <c r="D7114" s="11" t="s">
        <v>22195</v>
      </c>
      <c r="E7114" s="11" t="s">
        <v>22196</v>
      </c>
    </row>
    <row r="7115" spans="1:5">
      <c r="A7115" s="11" t="s">
        <v>22197</v>
      </c>
      <c r="B7115">
        <v>8013272</v>
      </c>
      <c r="D7115" s="11" t="s">
        <v>22198</v>
      </c>
      <c r="E7115" s="11" t="s">
        <v>22199</v>
      </c>
    </row>
    <row r="7116" spans="1:5">
      <c r="A7116" s="11" t="s">
        <v>22200</v>
      </c>
      <c r="B7116">
        <v>8006320</v>
      </c>
      <c r="D7116" s="11" t="s">
        <v>22201</v>
      </c>
      <c r="E7116" s="11" t="s">
        <v>22202</v>
      </c>
    </row>
    <row r="7117" spans="1:5">
      <c r="A7117" s="11" t="s">
        <v>22203</v>
      </c>
      <c r="B7117">
        <v>8006321</v>
      </c>
      <c r="D7117" s="11" t="s">
        <v>22204</v>
      </c>
      <c r="E7117" s="11" t="s">
        <v>22205</v>
      </c>
    </row>
    <row r="7118" spans="1:5">
      <c r="A7118" s="11" t="s">
        <v>22206</v>
      </c>
      <c r="B7118">
        <v>8006323</v>
      </c>
      <c r="D7118" s="11" t="s">
        <v>22207</v>
      </c>
      <c r="E7118" s="11" t="s">
        <v>22184</v>
      </c>
    </row>
    <row r="7119" spans="1:5">
      <c r="A7119" s="11" t="s">
        <v>22208</v>
      </c>
      <c r="B7119">
        <v>8070570</v>
      </c>
      <c r="D7119" s="11" t="s">
        <v>22209</v>
      </c>
      <c r="E7119" s="11" t="s">
        <v>22210</v>
      </c>
    </row>
    <row r="7120" spans="1:5">
      <c r="A7120" s="11" t="s">
        <v>22211</v>
      </c>
      <c r="B7120">
        <v>8000378</v>
      </c>
      <c r="D7120" s="11" t="s">
        <v>22212</v>
      </c>
      <c r="E7120" s="11" t="s">
        <v>22213</v>
      </c>
    </row>
    <row r="7121" spans="1:5">
      <c r="A7121" s="11" t="s">
        <v>22214</v>
      </c>
      <c r="B7121">
        <v>8006330</v>
      </c>
      <c r="D7121" s="11" t="s">
        <v>22215</v>
      </c>
      <c r="E7121" s="11" t="s">
        <v>22216</v>
      </c>
    </row>
    <row r="7122" spans="1:5">
      <c r="A7122" s="11" t="s">
        <v>22217</v>
      </c>
      <c r="B7122">
        <v>8013276</v>
      </c>
      <c r="D7122" s="11" t="s">
        <v>22218</v>
      </c>
      <c r="E7122" s="11" t="s">
        <v>22219</v>
      </c>
    </row>
    <row r="7123" spans="1:5">
      <c r="A7123" s="11" t="s">
        <v>22220</v>
      </c>
      <c r="B7123">
        <v>8012855</v>
      </c>
      <c r="D7123" s="11" t="s">
        <v>22221</v>
      </c>
      <c r="E7123" s="11" t="s">
        <v>22222</v>
      </c>
    </row>
    <row r="7124" spans="1:5">
      <c r="A7124" s="11" t="s">
        <v>22223</v>
      </c>
      <c r="B7124">
        <v>8006331</v>
      </c>
      <c r="D7124" s="11" t="s">
        <v>22224</v>
      </c>
      <c r="E7124" s="11" t="s">
        <v>22225</v>
      </c>
    </row>
    <row r="7125" spans="1:5">
      <c r="A7125" s="11" t="s">
        <v>22226</v>
      </c>
      <c r="B7125">
        <v>8079101</v>
      </c>
      <c r="D7125" s="11" t="s">
        <v>22227</v>
      </c>
      <c r="E7125" s="11" t="s">
        <v>22228</v>
      </c>
    </row>
    <row r="7126" spans="1:5">
      <c r="A7126" s="11" t="s">
        <v>22229</v>
      </c>
      <c r="B7126">
        <v>8006336</v>
      </c>
      <c r="D7126" s="11" t="s">
        <v>22230</v>
      </c>
      <c r="E7126" s="11" t="s">
        <v>22231</v>
      </c>
    </row>
    <row r="7127" spans="1:5">
      <c r="A7127" s="11" t="s">
        <v>22232</v>
      </c>
      <c r="B7127">
        <v>8013278</v>
      </c>
      <c r="D7127" s="11" t="s">
        <v>22233</v>
      </c>
      <c r="E7127" s="11" t="s">
        <v>22234</v>
      </c>
    </row>
    <row r="7128" spans="1:5">
      <c r="A7128" s="11" t="s">
        <v>22235</v>
      </c>
      <c r="B7128">
        <v>8010371</v>
      </c>
      <c r="D7128" s="11" t="s">
        <v>22236</v>
      </c>
      <c r="E7128" s="11" t="s">
        <v>22237</v>
      </c>
    </row>
    <row r="7129" spans="1:5">
      <c r="A7129" s="11" t="s">
        <v>22238</v>
      </c>
      <c r="B7129">
        <v>8010372</v>
      </c>
      <c r="D7129" s="11" t="s">
        <v>22239</v>
      </c>
      <c r="E7129" s="11" t="s">
        <v>22240</v>
      </c>
    </row>
    <row r="7130" spans="1:5">
      <c r="A7130" s="11" t="s">
        <v>22241</v>
      </c>
      <c r="B7130">
        <v>8013280</v>
      </c>
      <c r="D7130" s="11" t="s">
        <v>22242</v>
      </c>
      <c r="E7130" s="11" t="s">
        <v>22243</v>
      </c>
    </row>
    <row r="7131" spans="1:5">
      <c r="A7131" s="11" t="s">
        <v>22244</v>
      </c>
      <c r="B7131">
        <v>8010373</v>
      </c>
      <c r="D7131" s="11" t="s">
        <v>22245</v>
      </c>
      <c r="E7131" s="11" t="s">
        <v>22246</v>
      </c>
    </row>
    <row r="7132" spans="1:5">
      <c r="A7132" s="11" t="s">
        <v>22247</v>
      </c>
      <c r="B7132">
        <v>8006339</v>
      </c>
      <c r="D7132" s="11" t="s">
        <v>22248</v>
      </c>
      <c r="E7132" s="11" t="s">
        <v>22249</v>
      </c>
    </row>
    <row r="7133" spans="1:5">
      <c r="A7133" s="11" t="s">
        <v>22250</v>
      </c>
      <c r="B7133">
        <v>8006340</v>
      </c>
      <c r="D7133" s="11" t="s">
        <v>22251</v>
      </c>
      <c r="E7133" s="11" t="s">
        <v>22252</v>
      </c>
    </row>
    <row r="7134" spans="1:5">
      <c r="A7134" s="11" t="s">
        <v>22253</v>
      </c>
      <c r="B7134">
        <v>8070886</v>
      </c>
      <c r="D7134" s="11" t="s">
        <v>22254</v>
      </c>
      <c r="E7134" s="11" t="s">
        <v>22255</v>
      </c>
    </row>
    <row r="7135" spans="1:5">
      <c r="A7135" s="11" t="s">
        <v>22256</v>
      </c>
      <c r="B7135">
        <v>8006342</v>
      </c>
      <c r="D7135" s="11" t="s">
        <v>22257</v>
      </c>
      <c r="E7135" s="11" t="s">
        <v>22258</v>
      </c>
    </row>
    <row r="7136" spans="1:5">
      <c r="A7136" s="11" t="s">
        <v>22259</v>
      </c>
      <c r="B7136">
        <v>8006346</v>
      </c>
      <c r="D7136" s="11" t="s">
        <v>22260</v>
      </c>
      <c r="E7136" s="11" t="s">
        <v>22261</v>
      </c>
    </row>
    <row r="7137" spans="1:5">
      <c r="A7137" s="11" t="s">
        <v>22262</v>
      </c>
      <c r="B7137">
        <v>8006347</v>
      </c>
      <c r="D7137" s="11" t="s">
        <v>22263</v>
      </c>
      <c r="E7137" s="11" t="s">
        <v>22264</v>
      </c>
    </row>
    <row r="7138" spans="1:5">
      <c r="A7138" s="11" t="s">
        <v>22265</v>
      </c>
      <c r="B7138">
        <v>8006348</v>
      </c>
      <c r="D7138" s="11" t="s">
        <v>22266</v>
      </c>
      <c r="E7138" s="11" t="s">
        <v>22267</v>
      </c>
    </row>
    <row r="7139" spans="1:5">
      <c r="A7139" s="11" t="s">
        <v>22268</v>
      </c>
      <c r="B7139">
        <v>8013285</v>
      </c>
      <c r="D7139" s="11" t="s">
        <v>22269</v>
      </c>
      <c r="E7139" s="11" t="s">
        <v>22270</v>
      </c>
    </row>
    <row r="7140" spans="1:5">
      <c r="A7140" s="11" t="s">
        <v>22271</v>
      </c>
      <c r="B7140">
        <v>8006349</v>
      </c>
      <c r="D7140" s="11" t="s">
        <v>22272</v>
      </c>
      <c r="E7140" s="11" t="s">
        <v>22273</v>
      </c>
    </row>
    <row r="7141" spans="1:5">
      <c r="A7141" s="11" t="s">
        <v>22274</v>
      </c>
      <c r="B7141">
        <v>8013286</v>
      </c>
      <c r="D7141" s="11" t="s">
        <v>22275</v>
      </c>
      <c r="E7141" s="11" t="s">
        <v>22276</v>
      </c>
    </row>
    <row r="7142" spans="1:5">
      <c r="A7142" s="11" t="s">
        <v>22277</v>
      </c>
      <c r="B7142">
        <v>8010374</v>
      </c>
      <c r="D7142" s="11" t="s">
        <v>22278</v>
      </c>
      <c r="E7142" s="11" t="s">
        <v>22279</v>
      </c>
    </row>
    <row r="7143" spans="1:5">
      <c r="A7143" s="11" t="s">
        <v>22280</v>
      </c>
      <c r="B7143">
        <v>8017033</v>
      </c>
      <c r="D7143" s="11" t="s">
        <v>22281</v>
      </c>
      <c r="E7143" s="11" t="s">
        <v>22282</v>
      </c>
    </row>
    <row r="7144" spans="1:5">
      <c r="A7144" s="11" t="s">
        <v>22283</v>
      </c>
      <c r="B7144">
        <v>8017034</v>
      </c>
      <c r="D7144" s="11" t="s">
        <v>22284</v>
      </c>
      <c r="E7144" s="11" t="s">
        <v>22285</v>
      </c>
    </row>
    <row r="7145" spans="1:5">
      <c r="A7145" s="11" t="s">
        <v>22286</v>
      </c>
      <c r="B7145">
        <v>8017032</v>
      </c>
      <c r="D7145" s="11" t="s">
        <v>22287</v>
      </c>
      <c r="E7145" s="11" t="s">
        <v>22288</v>
      </c>
    </row>
    <row r="7146" spans="1:5">
      <c r="A7146" s="11" t="s">
        <v>22289</v>
      </c>
      <c r="B7146">
        <v>8010375</v>
      </c>
      <c r="D7146" s="11" t="s">
        <v>22290</v>
      </c>
      <c r="E7146" s="11" t="s">
        <v>22291</v>
      </c>
    </row>
    <row r="7147" spans="1:5">
      <c r="A7147" s="11" t="s">
        <v>22292</v>
      </c>
      <c r="B7147">
        <v>8070486</v>
      </c>
      <c r="D7147" s="11" t="s">
        <v>22293</v>
      </c>
      <c r="E7147" s="11" t="s">
        <v>22294</v>
      </c>
    </row>
    <row r="7148" spans="1:5">
      <c r="A7148" s="11" t="s">
        <v>22295</v>
      </c>
      <c r="B7148">
        <v>8006353</v>
      </c>
      <c r="D7148" s="11" t="s">
        <v>22296</v>
      </c>
      <c r="E7148" s="11" t="s">
        <v>22297</v>
      </c>
    </row>
    <row r="7149" spans="1:5">
      <c r="A7149" s="11" t="s">
        <v>22298</v>
      </c>
      <c r="B7149">
        <v>8000231</v>
      </c>
      <c r="D7149" s="11" t="s">
        <v>22299</v>
      </c>
      <c r="E7149" s="11" t="s">
        <v>22300</v>
      </c>
    </row>
    <row r="7150" spans="1:5">
      <c r="A7150" s="11" t="s">
        <v>22301</v>
      </c>
      <c r="B7150">
        <v>8006354</v>
      </c>
      <c r="D7150" s="11" t="s">
        <v>22302</v>
      </c>
      <c r="E7150" s="11" t="s">
        <v>22303</v>
      </c>
    </row>
    <row r="7151" spans="1:5">
      <c r="A7151" s="11" t="s">
        <v>22304</v>
      </c>
      <c r="B7151">
        <v>8013291</v>
      </c>
      <c r="D7151" s="11" t="s">
        <v>22305</v>
      </c>
      <c r="E7151" s="11" t="s">
        <v>22306</v>
      </c>
    </row>
    <row r="7152" spans="1:5">
      <c r="A7152" s="11" t="s">
        <v>22307</v>
      </c>
      <c r="B7152">
        <v>8000242</v>
      </c>
      <c r="D7152" s="11" t="s">
        <v>22308</v>
      </c>
      <c r="E7152" s="11" t="s">
        <v>22309</v>
      </c>
    </row>
    <row r="7153" spans="1:5">
      <c r="A7153" s="11" t="s">
        <v>22310</v>
      </c>
      <c r="B7153">
        <v>8006356</v>
      </c>
      <c r="D7153" s="11" t="s">
        <v>22311</v>
      </c>
      <c r="E7153" s="11" t="s">
        <v>22312</v>
      </c>
    </row>
    <row r="7154" spans="1:5">
      <c r="A7154" s="11" t="s">
        <v>22313</v>
      </c>
      <c r="B7154">
        <v>8001030</v>
      </c>
      <c r="D7154" s="11" t="s">
        <v>22314</v>
      </c>
      <c r="E7154" s="11" t="s">
        <v>22315</v>
      </c>
    </row>
    <row r="7155" spans="1:5">
      <c r="A7155" s="11" t="s">
        <v>22316</v>
      </c>
      <c r="B7155">
        <v>8013293</v>
      </c>
      <c r="D7155" s="11" t="s">
        <v>22317</v>
      </c>
      <c r="E7155" s="11" t="s">
        <v>22318</v>
      </c>
    </row>
    <row r="7156" spans="1:5">
      <c r="A7156" s="11" t="s">
        <v>22319</v>
      </c>
      <c r="B7156">
        <v>8006357</v>
      </c>
      <c r="D7156" s="11" t="s">
        <v>22320</v>
      </c>
      <c r="E7156" s="11" t="s">
        <v>22321</v>
      </c>
    </row>
    <row r="7157" spans="1:5">
      <c r="A7157" s="11" t="s">
        <v>22322</v>
      </c>
      <c r="B7157">
        <v>8075940</v>
      </c>
      <c r="D7157" s="11" t="s">
        <v>1539</v>
      </c>
      <c r="E7157" s="11" t="s">
        <v>1539</v>
      </c>
    </row>
    <row r="7158" spans="1:5">
      <c r="A7158" s="11" t="s">
        <v>22323</v>
      </c>
      <c r="B7158">
        <v>8006358</v>
      </c>
      <c r="D7158" s="11" t="s">
        <v>22324</v>
      </c>
      <c r="E7158" s="11" t="s">
        <v>22325</v>
      </c>
    </row>
    <row r="7159" spans="1:5">
      <c r="A7159" s="11" t="s">
        <v>22326</v>
      </c>
      <c r="B7159">
        <v>8006359</v>
      </c>
      <c r="D7159" s="11" t="s">
        <v>22327</v>
      </c>
      <c r="E7159" s="11" t="s">
        <v>22328</v>
      </c>
    </row>
    <row r="7160" spans="1:5">
      <c r="A7160" s="11" t="s">
        <v>22329</v>
      </c>
      <c r="B7160">
        <v>8006360</v>
      </c>
      <c r="D7160" s="11" t="s">
        <v>22330</v>
      </c>
      <c r="E7160" s="11" t="s">
        <v>22331</v>
      </c>
    </row>
    <row r="7161" spans="1:5">
      <c r="A7161" s="11" t="s">
        <v>22332</v>
      </c>
      <c r="B7161">
        <v>8006361</v>
      </c>
      <c r="D7161" s="11" t="s">
        <v>22333</v>
      </c>
      <c r="E7161" s="11" t="s">
        <v>22334</v>
      </c>
    </row>
    <row r="7162" spans="1:5">
      <c r="A7162" s="11" t="s">
        <v>22335</v>
      </c>
      <c r="B7162">
        <v>8006363</v>
      </c>
      <c r="D7162" s="11" t="s">
        <v>22336</v>
      </c>
      <c r="E7162" s="11" t="s">
        <v>22337</v>
      </c>
    </row>
    <row r="7163" spans="1:5">
      <c r="A7163" s="11" t="s">
        <v>22338</v>
      </c>
      <c r="B7163">
        <v>8000245</v>
      </c>
      <c r="D7163" s="11" t="s">
        <v>22339</v>
      </c>
      <c r="E7163" s="11" t="s">
        <v>22340</v>
      </c>
    </row>
    <row r="7164" spans="1:5">
      <c r="A7164" s="11" t="s">
        <v>22341</v>
      </c>
      <c r="B7164">
        <v>8006366</v>
      </c>
      <c r="D7164" s="11" t="s">
        <v>22342</v>
      </c>
      <c r="E7164" s="11" t="s">
        <v>22343</v>
      </c>
    </row>
    <row r="7165" spans="1:5">
      <c r="A7165" s="11" t="s">
        <v>22344</v>
      </c>
      <c r="B7165">
        <v>8006367</v>
      </c>
      <c r="D7165" s="11" t="s">
        <v>22345</v>
      </c>
      <c r="E7165" s="11" t="s">
        <v>22346</v>
      </c>
    </row>
    <row r="7166" spans="1:5">
      <c r="A7166" s="11" t="s">
        <v>22347</v>
      </c>
      <c r="B7166">
        <v>8006369</v>
      </c>
      <c r="D7166" s="11" t="s">
        <v>22348</v>
      </c>
      <c r="E7166" s="11" t="s">
        <v>22349</v>
      </c>
    </row>
    <row r="7167" spans="1:5">
      <c r="A7167" s="11" t="s">
        <v>22350</v>
      </c>
      <c r="B7167">
        <v>8070071</v>
      </c>
      <c r="D7167" s="11" t="s">
        <v>22351</v>
      </c>
      <c r="E7167" s="11" t="s">
        <v>22352</v>
      </c>
    </row>
    <row r="7168" spans="1:5">
      <c r="A7168" s="11" t="s">
        <v>22353</v>
      </c>
      <c r="B7168">
        <v>8004610</v>
      </c>
      <c r="D7168" s="11" t="s">
        <v>22354</v>
      </c>
      <c r="E7168" s="11" t="s">
        <v>22355</v>
      </c>
    </row>
    <row r="7169" spans="1:5">
      <c r="A7169" s="11" t="s">
        <v>22356</v>
      </c>
      <c r="B7169">
        <v>8006373</v>
      </c>
      <c r="D7169" s="11" t="s">
        <v>22357</v>
      </c>
      <c r="E7169" s="11" t="s">
        <v>22358</v>
      </c>
    </row>
    <row r="7170" spans="1:5">
      <c r="A7170" s="11" t="s">
        <v>22359</v>
      </c>
      <c r="B7170">
        <v>8013295</v>
      </c>
      <c r="D7170" s="11" t="s">
        <v>22360</v>
      </c>
      <c r="E7170" s="11" t="s">
        <v>22361</v>
      </c>
    </row>
    <row r="7171" spans="1:5">
      <c r="A7171" s="11" t="s">
        <v>22362</v>
      </c>
      <c r="B7171">
        <v>8006376</v>
      </c>
      <c r="D7171" s="11" t="s">
        <v>22363</v>
      </c>
      <c r="E7171" s="11" t="s">
        <v>22364</v>
      </c>
    </row>
    <row r="7172" spans="1:5">
      <c r="A7172" s="11" t="s">
        <v>22365</v>
      </c>
      <c r="B7172">
        <v>8006378</v>
      </c>
      <c r="D7172" s="11" t="s">
        <v>22366</v>
      </c>
      <c r="E7172" s="11" t="s">
        <v>22367</v>
      </c>
    </row>
    <row r="7173" spans="1:5">
      <c r="A7173" s="11" t="s">
        <v>22368</v>
      </c>
      <c r="B7173">
        <v>8006379</v>
      </c>
      <c r="D7173" s="11" t="s">
        <v>22369</v>
      </c>
      <c r="E7173" s="11" t="s">
        <v>22370</v>
      </c>
    </row>
    <row r="7174" spans="1:5">
      <c r="A7174" s="11" t="s">
        <v>22371</v>
      </c>
      <c r="B7174">
        <v>8006380</v>
      </c>
      <c r="D7174" s="11" t="s">
        <v>22372</v>
      </c>
      <c r="E7174" s="11" t="s">
        <v>22373</v>
      </c>
    </row>
    <row r="7175" spans="1:5">
      <c r="A7175" s="11" t="s">
        <v>22374</v>
      </c>
      <c r="B7175">
        <v>8006383</v>
      </c>
      <c r="D7175" s="11" t="s">
        <v>22375</v>
      </c>
      <c r="E7175" s="11" t="s">
        <v>22376</v>
      </c>
    </row>
    <row r="7176" spans="1:5">
      <c r="A7176" s="11" t="s">
        <v>22377</v>
      </c>
      <c r="B7176">
        <v>8013296</v>
      </c>
      <c r="D7176" s="11" t="s">
        <v>22378</v>
      </c>
      <c r="E7176" s="11" t="s">
        <v>22379</v>
      </c>
    </row>
    <row r="7177" spans="1:5">
      <c r="A7177" s="11" t="s">
        <v>22380</v>
      </c>
      <c r="B7177">
        <v>8070819</v>
      </c>
      <c r="D7177" s="11" t="s">
        <v>22381</v>
      </c>
      <c r="E7177" s="11" t="s">
        <v>22382</v>
      </c>
    </row>
    <row r="7178" spans="1:5">
      <c r="A7178" s="11" t="s">
        <v>22383</v>
      </c>
      <c r="B7178">
        <v>8006385</v>
      </c>
      <c r="D7178" s="11" t="s">
        <v>22384</v>
      </c>
      <c r="E7178" s="11" t="s">
        <v>22385</v>
      </c>
    </row>
    <row r="7179" spans="1:5">
      <c r="A7179" s="11" t="s">
        <v>22386</v>
      </c>
      <c r="B7179">
        <v>8006386</v>
      </c>
      <c r="D7179" s="11" t="s">
        <v>22387</v>
      </c>
      <c r="E7179" s="11" t="s">
        <v>22388</v>
      </c>
    </row>
    <row r="7180" spans="1:5">
      <c r="A7180" s="11" t="s">
        <v>22389</v>
      </c>
      <c r="B7180">
        <v>8013297</v>
      </c>
      <c r="D7180" s="11" t="s">
        <v>22390</v>
      </c>
      <c r="E7180" s="11" t="s">
        <v>22391</v>
      </c>
    </row>
    <row r="7181" spans="1:5">
      <c r="A7181" s="11" t="s">
        <v>22392</v>
      </c>
      <c r="B7181">
        <v>8000383</v>
      </c>
      <c r="D7181" s="11" t="s">
        <v>22393</v>
      </c>
      <c r="E7181" s="11" t="s">
        <v>22394</v>
      </c>
    </row>
    <row r="7182" spans="1:5">
      <c r="A7182" s="11" t="s">
        <v>22395</v>
      </c>
      <c r="B7182">
        <v>8006389</v>
      </c>
      <c r="D7182" s="11" t="s">
        <v>22396</v>
      </c>
      <c r="E7182" s="11" t="s">
        <v>22397</v>
      </c>
    </row>
    <row r="7183" spans="1:5">
      <c r="A7183" s="11" t="s">
        <v>22398</v>
      </c>
      <c r="B7183">
        <v>8006390</v>
      </c>
      <c r="D7183" s="11" t="s">
        <v>22399</v>
      </c>
      <c r="E7183" s="11" t="s">
        <v>22400</v>
      </c>
    </row>
    <row r="7184" spans="1:5">
      <c r="A7184" s="11" t="s">
        <v>22401</v>
      </c>
      <c r="B7184">
        <v>8006391</v>
      </c>
      <c r="D7184" s="11" t="s">
        <v>22402</v>
      </c>
      <c r="E7184" s="11" t="s">
        <v>22403</v>
      </c>
    </row>
    <row r="7185" spans="1:5">
      <c r="A7185" s="11" t="s">
        <v>22404</v>
      </c>
      <c r="B7185">
        <v>8070070</v>
      </c>
      <c r="D7185" s="11" t="s">
        <v>22405</v>
      </c>
      <c r="E7185" s="11" t="s">
        <v>22406</v>
      </c>
    </row>
    <row r="7186" spans="1:5">
      <c r="A7186" s="11" t="s">
        <v>22407</v>
      </c>
      <c r="B7186">
        <v>8006392</v>
      </c>
      <c r="D7186" s="11" t="s">
        <v>22408</v>
      </c>
      <c r="E7186" s="11" t="s">
        <v>22409</v>
      </c>
    </row>
    <row r="7187" spans="1:5">
      <c r="A7187" s="11" t="s">
        <v>22410</v>
      </c>
      <c r="B7187">
        <v>8013301</v>
      </c>
      <c r="D7187" s="11" t="s">
        <v>22411</v>
      </c>
      <c r="E7187" s="11" t="s">
        <v>22412</v>
      </c>
    </row>
    <row r="7188" spans="1:5">
      <c r="A7188" s="11" t="s">
        <v>22413</v>
      </c>
      <c r="B7188">
        <v>8081538</v>
      </c>
      <c r="D7188" s="11" t="s">
        <v>22414</v>
      </c>
      <c r="E7188" s="11" t="s">
        <v>22415</v>
      </c>
    </row>
    <row r="7189" spans="1:5">
      <c r="A7189" s="11" t="s">
        <v>22416</v>
      </c>
      <c r="B7189">
        <v>8007059</v>
      </c>
      <c r="D7189" s="11" t="s">
        <v>22417</v>
      </c>
      <c r="E7189" s="11" t="s">
        <v>22418</v>
      </c>
    </row>
    <row r="7190" spans="1:5">
      <c r="A7190" s="11" t="s">
        <v>22419</v>
      </c>
      <c r="B7190">
        <v>8006402</v>
      </c>
      <c r="D7190" s="11" t="s">
        <v>22420</v>
      </c>
      <c r="E7190" s="11" t="s">
        <v>22421</v>
      </c>
    </row>
    <row r="7191" spans="1:5">
      <c r="A7191" s="11" t="s">
        <v>22422</v>
      </c>
      <c r="B7191">
        <v>8013310</v>
      </c>
      <c r="D7191" s="11" t="s">
        <v>22423</v>
      </c>
      <c r="E7191" s="11" t="s">
        <v>22424</v>
      </c>
    </row>
    <row r="7192" spans="1:5">
      <c r="A7192" s="11" t="s">
        <v>22425</v>
      </c>
      <c r="B7192">
        <v>8006403</v>
      </c>
      <c r="D7192" s="11" t="s">
        <v>22426</v>
      </c>
      <c r="E7192" s="11" t="s">
        <v>22427</v>
      </c>
    </row>
    <row r="7193" spans="1:5">
      <c r="A7193" s="11" t="s">
        <v>1297</v>
      </c>
      <c r="B7193">
        <v>8000250</v>
      </c>
      <c r="D7193" s="11" t="s">
        <v>22428</v>
      </c>
      <c r="E7193" s="11" t="s">
        <v>22429</v>
      </c>
    </row>
    <row r="7194" spans="1:5">
      <c r="A7194" s="11" t="s">
        <v>22430</v>
      </c>
      <c r="B7194">
        <v>8006404</v>
      </c>
      <c r="D7194" s="11" t="s">
        <v>22431</v>
      </c>
      <c r="E7194" s="11" t="s">
        <v>22432</v>
      </c>
    </row>
    <row r="7195" spans="1:5">
      <c r="A7195" s="11" t="s">
        <v>22433</v>
      </c>
      <c r="B7195">
        <v>8075971</v>
      </c>
      <c r="D7195" s="11" t="s">
        <v>1539</v>
      </c>
      <c r="E7195" s="11" t="s">
        <v>1539</v>
      </c>
    </row>
    <row r="7196" spans="1:5">
      <c r="A7196" s="11" t="s">
        <v>22434</v>
      </c>
      <c r="B7196">
        <v>8000288</v>
      </c>
      <c r="D7196" s="11" t="s">
        <v>22435</v>
      </c>
      <c r="E7196" s="11" t="s">
        <v>22436</v>
      </c>
    </row>
    <row r="7197" spans="1:5">
      <c r="A7197" s="11" t="s">
        <v>22437</v>
      </c>
      <c r="B7197">
        <v>8070348</v>
      </c>
      <c r="D7197" s="11" t="s">
        <v>22438</v>
      </c>
      <c r="E7197" s="11" t="s">
        <v>22439</v>
      </c>
    </row>
    <row r="7198" spans="1:5">
      <c r="A7198" s="11" t="s">
        <v>22440</v>
      </c>
      <c r="B7198">
        <v>8006407</v>
      </c>
      <c r="D7198" s="11" t="s">
        <v>22441</v>
      </c>
      <c r="E7198" s="11" t="s">
        <v>22442</v>
      </c>
    </row>
    <row r="7199" spans="1:5">
      <c r="A7199" s="11" t="s">
        <v>22443</v>
      </c>
      <c r="B7199">
        <v>8006408</v>
      </c>
      <c r="D7199" s="11" t="s">
        <v>22444</v>
      </c>
      <c r="E7199" s="11" t="s">
        <v>22445</v>
      </c>
    </row>
    <row r="7200" spans="1:5">
      <c r="A7200" s="11" t="s">
        <v>22446</v>
      </c>
      <c r="B7200">
        <v>8006409</v>
      </c>
      <c r="D7200" s="11" t="s">
        <v>22447</v>
      </c>
      <c r="E7200" s="11" t="s">
        <v>22448</v>
      </c>
    </row>
    <row r="7201" spans="1:5">
      <c r="A7201" s="11" t="s">
        <v>22449</v>
      </c>
      <c r="B7201">
        <v>8013305</v>
      </c>
      <c r="D7201" s="11" t="s">
        <v>22450</v>
      </c>
      <c r="E7201" s="11" t="s">
        <v>22451</v>
      </c>
    </row>
    <row r="7202" spans="1:5">
      <c r="A7202" s="11" t="s">
        <v>22452</v>
      </c>
      <c r="B7202">
        <v>8010376</v>
      </c>
      <c r="D7202" s="11" t="s">
        <v>22453</v>
      </c>
      <c r="E7202" s="11" t="s">
        <v>22454</v>
      </c>
    </row>
    <row r="7203" spans="1:5">
      <c r="A7203" s="11" t="s">
        <v>22455</v>
      </c>
      <c r="B7203">
        <v>8013307</v>
      </c>
      <c r="D7203" s="11" t="s">
        <v>22456</v>
      </c>
      <c r="E7203" s="11" t="s">
        <v>22457</v>
      </c>
    </row>
    <row r="7204" spans="1:5">
      <c r="A7204" s="11" t="s">
        <v>22458</v>
      </c>
      <c r="B7204">
        <v>8006413</v>
      </c>
      <c r="D7204" s="11" t="s">
        <v>22459</v>
      </c>
      <c r="E7204" s="11" t="s">
        <v>22460</v>
      </c>
    </row>
    <row r="7205" spans="1:5">
      <c r="A7205" s="11" t="s">
        <v>22461</v>
      </c>
      <c r="B7205">
        <v>8006414</v>
      </c>
      <c r="D7205" s="11" t="s">
        <v>22462</v>
      </c>
      <c r="E7205" s="11" t="s">
        <v>22463</v>
      </c>
    </row>
    <row r="7206" spans="1:5">
      <c r="A7206" s="11" t="s">
        <v>22464</v>
      </c>
      <c r="B7206">
        <v>8071822</v>
      </c>
      <c r="D7206" s="11" t="s">
        <v>22465</v>
      </c>
      <c r="E7206" s="11" t="s">
        <v>22466</v>
      </c>
    </row>
    <row r="7207" spans="1:5">
      <c r="A7207" s="11" t="s">
        <v>22467</v>
      </c>
      <c r="B7207">
        <v>8006417</v>
      </c>
      <c r="D7207" s="11" t="s">
        <v>22468</v>
      </c>
      <c r="E7207" s="11" t="s">
        <v>22469</v>
      </c>
    </row>
    <row r="7208" spans="1:5">
      <c r="A7208" s="11" t="s">
        <v>22470</v>
      </c>
      <c r="B7208">
        <v>8006418</v>
      </c>
      <c r="D7208" s="11" t="s">
        <v>22471</v>
      </c>
      <c r="E7208" s="11" t="s">
        <v>22472</v>
      </c>
    </row>
    <row r="7209" spans="1:5">
      <c r="A7209" s="11" t="s">
        <v>22473</v>
      </c>
      <c r="B7209">
        <v>8071086</v>
      </c>
      <c r="D7209" s="11" t="s">
        <v>22474</v>
      </c>
      <c r="E7209" s="11" t="s">
        <v>22475</v>
      </c>
    </row>
    <row r="7210" spans="1:5">
      <c r="A7210" s="11" t="s">
        <v>22476</v>
      </c>
      <c r="B7210">
        <v>8006416</v>
      </c>
      <c r="D7210" s="11" t="s">
        <v>22477</v>
      </c>
      <c r="E7210" s="11" t="s">
        <v>22478</v>
      </c>
    </row>
    <row r="7211" spans="1:5">
      <c r="A7211" s="11" t="s">
        <v>22479</v>
      </c>
      <c r="B7211">
        <v>8006421</v>
      </c>
      <c r="D7211" s="11" t="s">
        <v>22480</v>
      </c>
      <c r="E7211" s="11" t="s">
        <v>22481</v>
      </c>
    </row>
    <row r="7212" spans="1:5">
      <c r="A7212" s="11" t="s">
        <v>22482</v>
      </c>
      <c r="B7212">
        <v>8006423</v>
      </c>
      <c r="D7212" s="11" t="s">
        <v>22483</v>
      </c>
      <c r="E7212" s="11" t="s">
        <v>22484</v>
      </c>
    </row>
    <row r="7213" spans="1:5">
      <c r="A7213" s="11" t="s">
        <v>22485</v>
      </c>
      <c r="B7213">
        <v>8006426</v>
      </c>
      <c r="D7213" s="11" t="s">
        <v>22486</v>
      </c>
      <c r="E7213" s="11" t="s">
        <v>22487</v>
      </c>
    </row>
    <row r="7214" spans="1:5">
      <c r="A7214" s="11" t="s">
        <v>22488</v>
      </c>
      <c r="B7214">
        <v>8070620</v>
      </c>
      <c r="D7214" s="11" t="s">
        <v>22489</v>
      </c>
      <c r="E7214" s="11" t="s">
        <v>22490</v>
      </c>
    </row>
    <row r="7215" spans="1:5">
      <c r="A7215" s="11" t="s">
        <v>22491</v>
      </c>
      <c r="B7215">
        <v>8006430</v>
      </c>
      <c r="D7215" s="11" t="s">
        <v>22492</v>
      </c>
      <c r="E7215" s="11" t="s">
        <v>22493</v>
      </c>
    </row>
    <row r="7216" spans="1:5">
      <c r="A7216" s="11" t="s">
        <v>22494</v>
      </c>
      <c r="B7216">
        <v>8081540</v>
      </c>
      <c r="D7216" s="11" t="s">
        <v>22495</v>
      </c>
      <c r="E7216" s="11" t="s">
        <v>22496</v>
      </c>
    </row>
    <row r="7217" spans="1:5">
      <c r="A7217" s="11" t="s">
        <v>22497</v>
      </c>
      <c r="B7217">
        <v>8006432</v>
      </c>
      <c r="D7217" s="11" t="s">
        <v>22498</v>
      </c>
      <c r="E7217" s="11" t="s">
        <v>22499</v>
      </c>
    </row>
    <row r="7218" spans="1:5">
      <c r="A7218" s="11" t="s">
        <v>22500</v>
      </c>
      <c r="B7218">
        <v>8001106</v>
      </c>
      <c r="D7218" s="11" t="s">
        <v>22501</v>
      </c>
      <c r="E7218" s="11" t="s">
        <v>22502</v>
      </c>
    </row>
    <row r="7219" spans="1:5">
      <c r="A7219" s="11" t="s">
        <v>22503</v>
      </c>
      <c r="B7219">
        <v>8002903</v>
      </c>
      <c r="D7219" s="11" t="s">
        <v>22504</v>
      </c>
      <c r="E7219" s="11" t="s">
        <v>22505</v>
      </c>
    </row>
    <row r="7220" spans="1:5">
      <c r="A7220" s="11" t="s">
        <v>22506</v>
      </c>
      <c r="B7220">
        <v>8004589</v>
      </c>
      <c r="D7220" s="11" t="s">
        <v>22507</v>
      </c>
      <c r="E7220" s="11" t="s">
        <v>22508</v>
      </c>
    </row>
    <row r="7221" spans="1:5">
      <c r="A7221" s="11" t="s">
        <v>22509</v>
      </c>
      <c r="B7221">
        <v>8006436</v>
      </c>
      <c r="D7221" s="11" t="s">
        <v>22510</v>
      </c>
      <c r="E7221" s="11" t="s">
        <v>22511</v>
      </c>
    </row>
    <row r="7222" spans="1:5">
      <c r="A7222" s="11" t="s">
        <v>22512</v>
      </c>
      <c r="B7222">
        <v>8006440</v>
      </c>
      <c r="D7222" s="11" t="s">
        <v>22513</v>
      </c>
      <c r="E7222" s="11" t="s">
        <v>22514</v>
      </c>
    </row>
    <row r="7223" spans="1:5">
      <c r="A7223" s="11" t="s">
        <v>22515</v>
      </c>
      <c r="B7223">
        <v>8006441</v>
      </c>
      <c r="D7223" s="11" t="s">
        <v>22516</v>
      </c>
      <c r="E7223" s="11" t="s">
        <v>22517</v>
      </c>
    </row>
    <row r="7224" spans="1:5">
      <c r="A7224" s="11" t="s">
        <v>22518</v>
      </c>
      <c r="B7224">
        <v>8007854</v>
      </c>
      <c r="D7224" s="11" t="s">
        <v>22519</v>
      </c>
      <c r="E7224" s="11" t="s">
        <v>22520</v>
      </c>
    </row>
    <row r="7225" spans="1:5">
      <c r="A7225" s="11" t="s">
        <v>22521</v>
      </c>
      <c r="B7225">
        <v>8006445</v>
      </c>
      <c r="D7225" s="11" t="s">
        <v>22522</v>
      </c>
      <c r="E7225" s="11" t="s">
        <v>22523</v>
      </c>
    </row>
    <row r="7226" spans="1:5">
      <c r="A7226" s="11" t="s">
        <v>22524</v>
      </c>
      <c r="B7226">
        <v>8010378</v>
      </c>
      <c r="D7226" s="11" t="s">
        <v>22525</v>
      </c>
      <c r="E7226" s="11" t="s">
        <v>22526</v>
      </c>
    </row>
    <row r="7227" spans="1:5">
      <c r="A7227" s="11" t="s">
        <v>22527</v>
      </c>
      <c r="B7227">
        <v>8071304</v>
      </c>
      <c r="D7227" s="11" t="s">
        <v>22528</v>
      </c>
      <c r="E7227" s="11" t="s">
        <v>22529</v>
      </c>
    </row>
    <row r="7228" spans="1:5">
      <c r="A7228" s="11" t="s">
        <v>22530</v>
      </c>
      <c r="B7228">
        <v>8006446</v>
      </c>
      <c r="D7228" s="11" t="s">
        <v>22531</v>
      </c>
      <c r="E7228" s="11" t="s">
        <v>22532</v>
      </c>
    </row>
    <row r="7229" spans="1:5">
      <c r="A7229" s="11" t="s">
        <v>22533</v>
      </c>
      <c r="B7229">
        <v>8006448</v>
      </c>
      <c r="D7229" s="11" t="s">
        <v>22534</v>
      </c>
      <c r="E7229" s="11" t="s">
        <v>22535</v>
      </c>
    </row>
    <row r="7230" spans="1:5">
      <c r="A7230" s="11" t="s">
        <v>22536</v>
      </c>
      <c r="B7230">
        <v>8007856</v>
      </c>
      <c r="D7230" s="11" t="s">
        <v>22537</v>
      </c>
      <c r="E7230" s="11" t="s">
        <v>22538</v>
      </c>
    </row>
    <row r="7231" spans="1:5">
      <c r="A7231" s="11" t="s">
        <v>22539</v>
      </c>
      <c r="B7231">
        <v>8013312</v>
      </c>
      <c r="D7231" s="11" t="s">
        <v>22540</v>
      </c>
      <c r="E7231" s="11" t="s">
        <v>22541</v>
      </c>
    </row>
    <row r="7232" spans="1:5">
      <c r="A7232" s="11" t="s">
        <v>22542</v>
      </c>
      <c r="B7232">
        <v>8010379</v>
      </c>
      <c r="D7232" s="11" t="s">
        <v>22543</v>
      </c>
      <c r="E7232" s="11" t="s">
        <v>22544</v>
      </c>
    </row>
    <row r="7233" spans="1:5">
      <c r="A7233" s="11" t="s">
        <v>22545</v>
      </c>
      <c r="B7233">
        <v>8006449</v>
      </c>
      <c r="D7233" s="11" t="s">
        <v>22546</v>
      </c>
      <c r="E7233" s="11" t="s">
        <v>22547</v>
      </c>
    </row>
    <row r="7234" spans="1:5">
      <c r="A7234" s="11" t="s">
        <v>22548</v>
      </c>
      <c r="B7234">
        <v>8006453</v>
      </c>
      <c r="D7234" s="11" t="s">
        <v>22549</v>
      </c>
      <c r="E7234" s="11" t="s">
        <v>22550</v>
      </c>
    </row>
    <row r="7235" spans="1:5">
      <c r="A7235" s="11" t="s">
        <v>22551</v>
      </c>
      <c r="B7235">
        <v>8005762</v>
      </c>
      <c r="D7235" s="11" t="s">
        <v>22552</v>
      </c>
      <c r="E7235" s="11" t="s">
        <v>22553</v>
      </c>
    </row>
    <row r="7236" spans="1:5">
      <c r="A7236" s="11" t="s">
        <v>22554</v>
      </c>
      <c r="B7236">
        <v>8006454</v>
      </c>
      <c r="D7236" s="11" t="s">
        <v>22555</v>
      </c>
      <c r="E7236" s="11" t="s">
        <v>22556</v>
      </c>
    </row>
    <row r="7237" spans="1:5">
      <c r="A7237" s="11" t="s">
        <v>22557</v>
      </c>
      <c r="B7237">
        <v>8071530</v>
      </c>
      <c r="D7237" s="11" t="s">
        <v>22558</v>
      </c>
      <c r="E7237" s="11" t="s">
        <v>22559</v>
      </c>
    </row>
    <row r="7238" spans="1:5">
      <c r="A7238" s="11" t="s">
        <v>22560</v>
      </c>
      <c r="B7238">
        <v>8006455</v>
      </c>
      <c r="D7238" s="11" t="s">
        <v>22561</v>
      </c>
      <c r="E7238" s="11" t="s">
        <v>22562</v>
      </c>
    </row>
    <row r="7239" spans="1:5">
      <c r="A7239" s="11" t="s">
        <v>22563</v>
      </c>
      <c r="B7239">
        <v>8006456</v>
      </c>
      <c r="D7239" s="11" t="s">
        <v>22564</v>
      </c>
      <c r="E7239" s="11" t="s">
        <v>22565</v>
      </c>
    </row>
    <row r="7240" spans="1:5">
      <c r="A7240" s="11" t="s">
        <v>22566</v>
      </c>
      <c r="B7240">
        <v>8013313</v>
      </c>
      <c r="D7240" s="11" t="s">
        <v>22567</v>
      </c>
      <c r="E7240" s="11" t="s">
        <v>22568</v>
      </c>
    </row>
    <row r="7241" spans="1:5">
      <c r="A7241" s="11" t="s">
        <v>22569</v>
      </c>
      <c r="B7241">
        <v>8005205</v>
      </c>
      <c r="D7241" s="11" t="s">
        <v>22570</v>
      </c>
      <c r="E7241" s="11" t="s">
        <v>22571</v>
      </c>
    </row>
    <row r="7242" spans="1:5">
      <c r="A7242" s="11" t="s">
        <v>22572</v>
      </c>
      <c r="B7242">
        <v>8006459</v>
      </c>
      <c r="D7242" s="11" t="s">
        <v>22573</v>
      </c>
      <c r="E7242" s="11" t="s">
        <v>22574</v>
      </c>
    </row>
    <row r="7243" spans="1:5">
      <c r="A7243" s="11" t="s">
        <v>22575</v>
      </c>
      <c r="B7243">
        <v>8006460</v>
      </c>
      <c r="D7243" s="11" t="s">
        <v>22576</v>
      </c>
      <c r="E7243" s="11" t="s">
        <v>22577</v>
      </c>
    </row>
    <row r="7244" spans="1:5">
      <c r="A7244" s="11" t="s">
        <v>22578</v>
      </c>
      <c r="B7244">
        <v>8010380</v>
      </c>
      <c r="D7244" s="11" t="s">
        <v>22579</v>
      </c>
      <c r="E7244" s="11" t="s">
        <v>22580</v>
      </c>
    </row>
    <row r="7245" spans="1:5">
      <c r="A7245" s="11" t="s">
        <v>22581</v>
      </c>
      <c r="B7245">
        <v>8070796</v>
      </c>
      <c r="D7245" s="11" t="s">
        <v>22582</v>
      </c>
      <c r="E7245" s="11" t="s">
        <v>22583</v>
      </c>
    </row>
    <row r="7246" spans="1:5">
      <c r="A7246" s="11" t="s">
        <v>22584</v>
      </c>
      <c r="B7246">
        <v>8071909</v>
      </c>
      <c r="D7246" s="11" t="s">
        <v>22585</v>
      </c>
      <c r="E7246" s="11" t="s">
        <v>22586</v>
      </c>
    </row>
    <row r="7247" spans="1:5">
      <c r="A7247" s="11" t="s">
        <v>22587</v>
      </c>
      <c r="B7247">
        <v>8006461</v>
      </c>
      <c r="D7247" s="11" t="s">
        <v>22588</v>
      </c>
      <c r="E7247" s="11" t="s">
        <v>22589</v>
      </c>
    </row>
    <row r="7248" spans="1:5">
      <c r="A7248" s="11" t="s">
        <v>22590</v>
      </c>
      <c r="B7248">
        <v>8006463</v>
      </c>
      <c r="D7248" s="11" t="s">
        <v>22591</v>
      </c>
      <c r="E7248" s="11" t="s">
        <v>22592</v>
      </c>
    </row>
    <row r="7249" spans="1:5">
      <c r="A7249" s="11" t="s">
        <v>22593</v>
      </c>
      <c r="B7249">
        <v>8006468</v>
      </c>
      <c r="D7249" s="11" t="s">
        <v>22594</v>
      </c>
      <c r="E7249" s="11" t="s">
        <v>22595</v>
      </c>
    </row>
    <row r="7250" spans="1:5">
      <c r="A7250" s="11" t="s">
        <v>22596</v>
      </c>
      <c r="B7250">
        <v>8006472</v>
      </c>
      <c r="D7250" s="11" t="s">
        <v>22597</v>
      </c>
      <c r="E7250" s="11" t="s">
        <v>22598</v>
      </c>
    </row>
    <row r="7251" spans="1:5">
      <c r="A7251" s="11" t="s">
        <v>22599</v>
      </c>
      <c r="B7251">
        <v>8006473</v>
      </c>
      <c r="D7251" s="11" t="s">
        <v>22600</v>
      </c>
      <c r="E7251" s="11" t="s">
        <v>22601</v>
      </c>
    </row>
    <row r="7252" spans="1:5">
      <c r="A7252" s="11" t="s">
        <v>22602</v>
      </c>
      <c r="B7252">
        <v>8013315</v>
      </c>
      <c r="D7252" s="11" t="s">
        <v>22603</v>
      </c>
      <c r="E7252" s="11" t="s">
        <v>22604</v>
      </c>
    </row>
    <row r="7253" spans="1:5">
      <c r="A7253" s="11" t="s">
        <v>22605</v>
      </c>
      <c r="B7253">
        <v>8006475</v>
      </c>
      <c r="D7253" s="11" t="s">
        <v>22606</v>
      </c>
      <c r="E7253" s="11" t="s">
        <v>22607</v>
      </c>
    </row>
    <row r="7254" spans="1:5">
      <c r="A7254" s="11" t="s">
        <v>22608</v>
      </c>
      <c r="B7254">
        <v>8006476</v>
      </c>
      <c r="D7254" s="11" t="s">
        <v>22609</v>
      </c>
      <c r="E7254" s="11" t="s">
        <v>22610</v>
      </c>
    </row>
    <row r="7255" spans="1:5">
      <c r="A7255" s="11" t="s">
        <v>22611</v>
      </c>
      <c r="B7255">
        <v>8006479</v>
      </c>
      <c r="D7255" s="11" t="s">
        <v>22612</v>
      </c>
      <c r="E7255" s="11" t="s">
        <v>22613</v>
      </c>
    </row>
    <row r="7256" spans="1:5">
      <c r="A7256" s="11" t="s">
        <v>22614</v>
      </c>
      <c r="B7256">
        <v>8006481</v>
      </c>
      <c r="D7256" s="11" t="s">
        <v>22615</v>
      </c>
      <c r="E7256" s="11" t="s">
        <v>22616</v>
      </c>
    </row>
    <row r="7257" spans="1:5">
      <c r="A7257" s="11" t="s">
        <v>22617</v>
      </c>
      <c r="B7257">
        <v>8006482</v>
      </c>
      <c r="D7257" s="11" t="s">
        <v>22618</v>
      </c>
      <c r="E7257" s="11" t="s">
        <v>22619</v>
      </c>
    </row>
    <row r="7258" spans="1:5">
      <c r="A7258" s="11" t="s">
        <v>22620</v>
      </c>
      <c r="B7258">
        <v>8006483</v>
      </c>
      <c r="D7258" s="11" t="s">
        <v>22621</v>
      </c>
      <c r="E7258" s="11" t="s">
        <v>22622</v>
      </c>
    </row>
    <row r="7259" spans="1:5">
      <c r="A7259" s="11" t="s">
        <v>22623</v>
      </c>
      <c r="B7259">
        <v>8006484</v>
      </c>
      <c r="D7259" s="11" t="s">
        <v>22624</v>
      </c>
      <c r="E7259" s="11" t="s">
        <v>22625</v>
      </c>
    </row>
    <row r="7260" spans="1:5">
      <c r="A7260" s="11" t="s">
        <v>22626</v>
      </c>
      <c r="B7260">
        <v>8006485</v>
      </c>
      <c r="D7260" s="11" t="s">
        <v>22627</v>
      </c>
      <c r="E7260" s="11" t="s">
        <v>22628</v>
      </c>
    </row>
    <row r="7261" spans="1:5">
      <c r="A7261" s="11" t="s">
        <v>22629</v>
      </c>
      <c r="B7261">
        <v>8006486</v>
      </c>
      <c r="D7261" s="11" t="s">
        <v>22630</v>
      </c>
      <c r="E7261" s="11" t="s">
        <v>22631</v>
      </c>
    </row>
    <row r="7262" spans="1:5">
      <c r="A7262" s="11" t="s">
        <v>22632</v>
      </c>
      <c r="B7262">
        <v>8006488</v>
      </c>
      <c r="D7262" s="11" t="s">
        <v>22633</v>
      </c>
      <c r="E7262" s="11" t="s">
        <v>22634</v>
      </c>
    </row>
    <row r="7263" spans="1:5">
      <c r="A7263" s="11" t="s">
        <v>22635</v>
      </c>
      <c r="B7263">
        <v>8071200</v>
      </c>
      <c r="D7263" s="11" t="s">
        <v>22636</v>
      </c>
      <c r="E7263" s="11" t="s">
        <v>22637</v>
      </c>
    </row>
    <row r="7264" spans="1:5">
      <c r="A7264" s="11" t="s">
        <v>22638</v>
      </c>
      <c r="B7264">
        <v>8006489</v>
      </c>
      <c r="D7264" s="11" t="s">
        <v>22639</v>
      </c>
      <c r="E7264" s="11" t="s">
        <v>22640</v>
      </c>
    </row>
    <row r="7265" spans="1:5">
      <c r="A7265" s="11" t="s">
        <v>22641</v>
      </c>
      <c r="B7265">
        <v>8013318</v>
      </c>
      <c r="D7265" s="11" t="s">
        <v>22642</v>
      </c>
      <c r="E7265" s="11" t="s">
        <v>22643</v>
      </c>
    </row>
    <row r="7266" spans="1:5">
      <c r="A7266" s="11" t="s">
        <v>22644</v>
      </c>
      <c r="B7266">
        <v>8013319</v>
      </c>
      <c r="D7266" s="11" t="s">
        <v>22645</v>
      </c>
      <c r="E7266" s="11" t="s">
        <v>22646</v>
      </c>
    </row>
    <row r="7267" spans="1:5">
      <c r="A7267" s="11" t="s">
        <v>22647</v>
      </c>
      <c r="B7267">
        <v>8006498</v>
      </c>
      <c r="D7267" s="11" t="s">
        <v>22648</v>
      </c>
      <c r="E7267" s="11" t="s">
        <v>22649</v>
      </c>
    </row>
    <row r="7268" spans="1:5">
      <c r="A7268" s="11" t="s">
        <v>22650</v>
      </c>
      <c r="B7268">
        <v>8074344</v>
      </c>
      <c r="D7268" s="11" t="s">
        <v>22651</v>
      </c>
      <c r="E7268" s="11" t="s">
        <v>22652</v>
      </c>
    </row>
    <row r="7269" spans="1:5">
      <c r="A7269" s="11" t="s">
        <v>22653</v>
      </c>
      <c r="B7269">
        <v>8006499</v>
      </c>
      <c r="D7269" s="11" t="s">
        <v>22654</v>
      </c>
      <c r="E7269" s="11" t="s">
        <v>22655</v>
      </c>
    </row>
    <row r="7270" spans="1:5">
      <c r="A7270" s="11" t="s">
        <v>22656</v>
      </c>
      <c r="B7270">
        <v>8010381</v>
      </c>
      <c r="D7270" s="11" t="s">
        <v>22657</v>
      </c>
      <c r="E7270" s="11" t="s">
        <v>22658</v>
      </c>
    </row>
    <row r="7271" spans="1:5">
      <c r="A7271" s="11" t="s">
        <v>22659</v>
      </c>
      <c r="B7271">
        <v>8079322</v>
      </c>
      <c r="D7271" s="11" t="s">
        <v>1539</v>
      </c>
      <c r="E7271" s="11" t="s">
        <v>1539</v>
      </c>
    </row>
    <row r="7272" spans="1:5">
      <c r="A7272" s="11" t="s">
        <v>22660</v>
      </c>
      <c r="B7272">
        <v>8006501</v>
      </c>
      <c r="D7272" s="11" t="s">
        <v>22661</v>
      </c>
      <c r="E7272" s="11" t="s">
        <v>22662</v>
      </c>
    </row>
    <row r="7273" spans="1:5">
      <c r="A7273" s="11" t="s">
        <v>22663</v>
      </c>
      <c r="B7273">
        <v>8006503</v>
      </c>
      <c r="D7273" s="11" t="s">
        <v>22664</v>
      </c>
      <c r="E7273" s="11" t="s">
        <v>22665</v>
      </c>
    </row>
    <row r="7274" spans="1:5">
      <c r="A7274" s="11" t="s">
        <v>22666</v>
      </c>
      <c r="B7274">
        <v>8006505</v>
      </c>
      <c r="D7274" s="11" t="s">
        <v>22667</v>
      </c>
      <c r="E7274" s="11" t="s">
        <v>22668</v>
      </c>
    </row>
    <row r="7275" spans="1:5">
      <c r="A7275" s="11" t="s">
        <v>22669</v>
      </c>
      <c r="B7275">
        <v>8007761</v>
      </c>
      <c r="D7275" s="11" t="s">
        <v>22670</v>
      </c>
      <c r="E7275" s="11" t="s">
        <v>22671</v>
      </c>
    </row>
    <row r="7276" spans="1:5">
      <c r="A7276" s="11" t="s">
        <v>22672</v>
      </c>
      <c r="B7276">
        <v>8000251</v>
      </c>
      <c r="D7276" s="11" t="s">
        <v>22673</v>
      </c>
      <c r="E7276" s="11" t="s">
        <v>22674</v>
      </c>
    </row>
    <row r="7277" spans="1:5">
      <c r="A7277" s="11" t="s">
        <v>22675</v>
      </c>
      <c r="B7277">
        <v>8006510</v>
      </c>
      <c r="D7277" s="11" t="s">
        <v>22676</v>
      </c>
      <c r="E7277" s="11" t="s">
        <v>22677</v>
      </c>
    </row>
    <row r="7278" spans="1:5">
      <c r="A7278" s="11" t="s">
        <v>22678</v>
      </c>
      <c r="B7278">
        <v>8071503</v>
      </c>
      <c r="D7278" s="11" t="s">
        <v>22679</v>
      </c>
      <c r="E7278" s="11" t="s">
        <v>22680</v>
      </c>
    </row>
    <row r="7279" spans="1:5">
      <c r="A7279" s="11" t="s">
        <v>22681</v>
      </c>
      <c r="B7279">
        <v>8071520</v>
      </c>
      <c r="D7279" s="11" t="s">
        <v>22682</v>
      </c>
      <c r="E7279" s="11" t="s">
        <v>22683</v>
      </c>
    </row>
    <row r="7280" spans="1:5">
      <c r="A7280" s="11" t="s">
        <v>22684</v>
      </c>
      <c r="B7280">
        <v>8010382</v>
      </c>
      <c r="D7280" s="11" t="s">
        <v>22685</v>
      </c>
      <c r="E7280" s="11" t="s">
        <v>22686</v>
      </c>
    </row>
    <row r="7281" spans="1:5">
      <c r="A7281" s="11" t="s">
        <v>22687</v>
      </c>
      <c r="B7281">
        <v>8070576</v>
      </c>
      <c r="D7281" s="11" t="s">
        <v>22688</v>
      </c>
      <c r="E7281" s="11" t="s">
        <v>22689</v>
      </c>
    </row>
    <row r="7282" spans="1:5">
      <c r="A7282" s="11" t="s">
        <v>22690</v>
      </c>
      <c r="B7282">
        <v>8013322</v>
      </c>
      <c r="D7282" s="11" t="s">
        <v>22691</v>
      </c>
      <c r="E7282" s="11" t="s">
        <v>22692</v>
      </c>
    </row>
    <row r="7283" spans="1:5">
      <c r="A7283" s="11" t="s">
        <v>22693</v>
      </c>
      <c r="B7283">
        <v>8013324</v>
      </c>
      <c r="D7283" s="11" t="s">
        <v>22694</v>
      </c>
      <c r="E7283" s="11" t="s">
        <v>22695</v>
      </c>
    </row>
    <row r="7284" spans="1:5">
      <c r="A7284" s="11" t="s">
        <v>22696</v>
      </c>
      <c r="B7284">
        <v>8010383</v>
      </c>
      <c r="D7284" s="11" t="s">
        <v>22697</v>
      </c>
      <c r="E7284" s="11" t="s">
        <v>22698</v>
      </c>
    </row>
    <row r="7285" spans="1:5">
      <c r="A7285" s="11" t="s">
        <v>22699</v>
      </c>
      <c r="B7285">
        <v>8006517</v>
      </c>
      <c r="D7285" s="11" t="s">
        <v>22700</v>
      </c>
      <c r="E7285" s="11" t="s">
        <v>22701</v>
      </c>
    </row>
    <row r="7286" spans="1:5">
      <c r="A7286" s="11" t="s">
        <v>22702</v>
      </c>
      <c r="B7286">
        <v>8000344</v>
      </c>
      <c r="D7286" s="11" t="s">
        <v>22703</v>
      </c>
      <c r="E7286" s="11" t="s">
        <v>22704</v>
      </c>
    </row>
    <row r="7287" spans="1:5">
      <c r="A7287" s="11" t="s">
        <v>22705</v>
      </c>
      <c r="B7287">
        <v>8000379</v>
      </c>
      <c r="D7287" s="11" t="s">
        <v>22706</v>
      </c>
      <c r="E7287" s="11" t="s">
        <v>22707</v>
      </c>
    </row>
    <row r="7288" spans="1:5">
      <c r="A7288" s="11" t="s">
        <v>22708</v>
      </c>
      <c r="B7288">
        <v>8070578</v>
      </c>
      <c r="D7288" s="11" t="s">
        <v>22709</v>
      </c>
      <c r="E7288" s="11" t="s">
        <v>22710</v>
      </c>
    </row>
    <row r="7289" spans="1:5">
      <c r="A7289" s="11" t="s">
        <v>22711</v>
      </c>
      <c r="B7289">
        <v>8070582</v>
      </c>
      <c r="D7289" s="11" t="s">
        <v>22712</v>
      </c>
      <c r="E7289" s="11" t="s">
        <v>22713</v>
      </c>
    </row>
    <row r="7290" spans="1:5">
      <c r="A7290" s="11" t="s">
        <v>22714</v>
      </c>
      <c r="B7290">
        <v>8006520</v>
      </c>
      <c r="D7290" s="11" t="s">
        <v>22715</v>
      </c>
      <c r="E7290" s="11" t="s">
        <v>22716</v>
      </c>
    </row>
    <row r="7291" spans="1:5">
      <c r="A7291" s="11" t="s">
        <v>22717</v>
      </c>
      <c r="B7291">
        <v>8010384</v>
      </c>
      <c r="D7291" s="11" t="s">
        <v>22718</v>
      </c>
      <c r="E7291" s="11" t="s">
        <v>22719</v>
      </c>
    </row>
    <row r="7292" spans="1:5">
      <c r="A7292" s="11" t="s">
        <v>22720</v>
      </c>
      <c r="B7292">
        <v>8006524</v>
      </c>
      <c r="D7292" s="11" t="s">
        <v>22721</v>
      </c>
      <c r="E7292" s="11" t="s">
        <v>22722</v>
      </c>
    </row>
    <row r="7293" spans="1:5">
      <c r="A7293" s="11" t="s">
        <v>22723</v>
      </c>
      <c r="B7293">
        <v>8071124</v>
      </c>
      <c r="D7293" s="11" t="s">
        <v>1539</v>
      </c>
      <c r="E7293" s="11" t="s">
        <v>1539</v>
      </c>
    </row>
    <row r="7294" spans="1:5">
      <c r="A7294" s="11" t="s">
        <v>22724</v>
      </c>
      <c r="B7294">
        <v>8006493</v>
      </c>
      <c r="D7294" s="11" t="s">
        <v>22725</v>
      </c>
      <c r="E7294" s="11" t="s">
        <v>22726</v>
      </c>
    </row>
    <row r="7295" spans="1:5">
      <c r="A7295" s="11" t="s">
        <v>22727</v>
      </c>
      <c r="B7295">
        <v>8013328</v>
      </c>
      <c r="D7295" s="11" t="s">
        <v>22728</v>
      </c>
      <c r="E7295" s="11" t="s">
        <v>22729</v>
      </c>
    </row>
    <row r="7296" spans="1:5">
      <c r="A7296" s="11" t="s">
        <v>22730</v>
      </c>
      <c r="B7296">
        <v>8006527</v>
      </c>
      <c r="D7296" s="11" t="s">
        <v>22731</v>
      </c>
      <c r="E7296" s="11" t="s">
        <v>22732</v>
      </c>
    </row>
    <row r="7297" spans="1:5">
      <c r="A7297" s="11" t="s">
        <v>22733</v>
      </c>
      <c r="B7297">
        <v>8013333</v>
      </c>
      <c r="D7297" s="11" t="s">
        <v>22734</v>
      </c>
      <c r="E7297" s="11" t="s">
        <v>22735</v>
      </c>
    </row>
    <row r="7298" spans="1:5">
      <c r="A7298" s="11" t="s">
        <v>22736</v>
      </c>
      <c r="B7298">
        <v>8006541</v>
      </c>
      <c r="D7298" s="11" t="s">
        <v>22737</v>
      </c>
      <c r="E7298" s="11" t="s">
        <v>22738</v>
      </c>
    </row>
    <row r="7299" spans="1:5">
      <c r="A7299" s="11" t="s">
        <v>22739</v>
      </c>
      <c r="B7299">
        <v>8006544</v>
      </c>
      <c r="D7299" s="11" t="s">
        <v>22740</v>
      </c>
      <c r="E7299" s="11" t="s">
        <v>22741</v>
      </c>
    </row>
    <row r="7300" spans="1:5">
      <c r="A7300" s="11" t="s">
        <v>22742</v>
      </c>
      <c r="B7300">
        <v>8006545</v>
      </c>
      <c r="D7300" s="11" t="s">
        <v>22743</v>
      </c>
      <c r="E7300" s="11" t="s">
        <v>22744</v>
      </c>
    </row>
    <row r="7301" spans="1:5">
      <c r="A7301" s="11" t="s">
        <v>22745</v>
      </c>
      <c r="B7301">
        <v>8013335</v>
      </c>
      <c r="D7301" s="11" t="s">
        <v>22746</v>
      </c>
      <c r="E7301" s="11" t="s">
        <v>22747</v>
      </c>
    </row>
    <row r="7302" spans="1:5">
      <c r="A7302" s="11" t="s">
        <v>22748</v>
      </c>
      <c r="B7302">
        <v>8000255</v>
      </c>
      <c r="D7302" s="11" t="s">
        <v>22749</v>
      </c>
      <c r="E7302" s="11" t="s">
        <v>22750</v>
      </c>
    </row>
    <row r="7303" spans="1:5">
      <c r="A7303" s="11" t="s">
        <v>22751</v>
      </c>
      <c r="B7303">
        <v>8013336</v>
      </c>
      <c r="D7303" s="11" t="s">
        <v>22752</v>
      </c>
      <c r="E7303" s="11" t="s">
        <v>22753</v>
      </c>
    </row>
    <row r="7304" spans="1:5">
      <c r="A7304" s="11" t="s">
        <v>22754</v>
      </c>
      <c r="B7304">
        <v>8013329</v>
      </c>
      <c r="D7304" s="11" t="s">
        <v>22755</v>
      </c>
      <c r="E7304" s="11" t="s">
        <v>22756</v>
      </c>
    </row>
    <row r="7305" spans="1:5">
      <c r="A7305" s="11" t="s">
        <v>22757</v>
      </c>
      <c r="B7305">
        <v>8006529</v>
      </c>
      <c r="D7305" s="11" t="s">
        <v>22758</v>
      </c>
      <c r="E7305" s="11" t="s">
        <v>22759</v>
      </c>
    </row>
    <row r="7306" spans="1:5">
      <c r="A7306" s="11" t="s">
        <v>22760</v>
      </c>
      <c r="B7306">
        <v>8006548</v>
      </c>
      <c r="D7306" s="11" t="s">
        <v>22761</v>
      </c>
      <c r="E7306" s="11" t="s">
        <v>22762</v>
      </c>
    </row>
    <row r="7307" spans="1:5">
      <c r="A7307" s="11" t="s">
        <v>22763</v>
      </c>
      <c r="B7307">
        <v>8006549</v>
      </c>
      <c r="D7307" s="11" t="s">
        <v>22764</v>
      </c>
      <c r="E7307" s="11" t="s">
        <v>22765</v>
      </c>
    </row>
    <row r="7308" spans="1:5">
      <c r="A7308" s="11" t="s">
        <v>22766</v>
      </c>
      <c r="B7308">
        <v>8006550</v>
      </c>
      <c r="D7308" s="11" t="s">
        <v>22767</v>
      </c>
      <c r="E7308" s="11" t="s">
        <v>22768</v>
      </c>
    </row>
    <row r="7309" spans="1:5">
      <c r="A7309" s="11" t="s">
        <v>22769</v>
      </c>
      <c r="B7309">
        <v>8006552</v>
      </c>
      <c r="D7309" s="11" t="s">
        <v>22770</v>
      </c>
      <c r="E7309" s="11" t="s">
        <v>22771</v>
      </c>
    </row>
    <row r="7310" spans="1:5">
      <c r="A7310" s="11" t="s">
        <v>22772</v>
      </c>
      <c r="B7310">
        <v>8013334</v>
      </c>
      <c r="D7310" s="11" t="s">
        <v>22773</v>
      </c>
      <c r="E7310" s="11" t="s">
        <v>22774</v>
      </c>
    </row>
    <row r="7311" spans="1:5">
      <c r="A7311" s="11" t="s">
        <v>22775</v>
      </c>
      <c r="B7311">
        <v>8006554</v>
      </c>
      <c r="D7311" s="11" t="s">
        <v>22776</v>
      </c>
      <c r="E7311" s="11" t="s">
        <v>22777</v>
      </c>
    </row>
    <row r="7312" spans="1:5">
      <c r="A7312" s="11" t="s">
        <v>22778</v>
      </c>
      <c r="B7312">
        <v>8006555</v>
      </c>
      <c r="D7312" s="11" t="s">
        <v>22779</v>
      </c>
      <c r="E7312" s="11" t="s">
        <v>22780</v>
      </c>
    </row>
    <row r="7313" spans="1:5">
      <c r="A7313" s="11" t="s">
        <v>22781</v>
      </c>
      <c r="B7313">
        <v>8013339</v>
      </c>
      <c r="D7313" s="11" t="s">
        <v>22782</v>
      </c>
      <c r="E7313" s="11" t="s">
        <v>22783</v>
      </c>
    </row>
    <row r="7314" spans="1:5">
      <c r="A7314" s="11" t="s">
        <v>22784</v>
      </c>
      <c r="B7314">
        <v>8013340</v>
      </c>
      <c r="D7314" s="11" t="s">
        <v>22785</v>
      </c>
      <c r="E7314" s="11" t="s">
        <v>22786</v>
      </c>
    </row>
    <row r="7315" spans="1:5">
      <c r="A7315" s="11" t="s">
        <v>22787</v>
      </c>
      <c r="B7315">
        <v>8013341</v>
      </c>
      <c r="D7315" s="11" t="s">
        <v>22788</v>
      </c>
      <c r="E7315" s="11" t="s">
        <v>22789</v>
      </c>
    </row>
    <row r="7316" spans="1:5">
      <c r="A7316" s="11" t="s">
        <v>22790</v>
      </c>
      <c r="B7316">
        <v>8013343</v>
      </c>
      <c r="D7316" s="11" t="s">
        <v>22791</v>
      </c>
      <c r="E7316" s="11" t="s">
        <v>22792</v>
      </c>
    </row>
    <row r="7317" spans="1:5">
      <c r="A7317" s="11" t="s">
        <v>22793</v>
      </c>
      <c r="B7317">
        <v>8010385</v>
      </c>
      <c r="D7317" s="11" t="s">
        <v>22794</v>
      </c>
      <c r="E7317" s="11" t="s">
        <v>22795</v>
      </c>
    </row>
    <row r="7318" spans="1:5">
      <c r="A7318" s="11" t="s">
        <v>22796</v>
      </c>
      <c r="B7318">
        <v>8070581</v>
      </c>
      <c r="D7318" s="11" t="s">
        <v>22797</v>
      </c>
      <c r="E7318" s="11" t="s">
        <v>22798</v>
      </c>
    </row>
    <row r="7319" spans="1:5">
      <c r="A7319" s="11" t="s">
        <v>22799</v>
      </c>
      <c r="B7319">
        <v>8070579</v>
      </c>
      <c r="D7319" s="11" t="s">
        <v>22800</v>
      </c>
      <c r="E7319" s="11" t="s">
        <v>22801</v>
      </c>
    </row>
    <row r="7320" spans="1:5">
      <c r="A7320" s="11" t="s">
        <v>22802</v>
      </c>
      <c r="B7320">
        <v>8013344</v>
      </c>
      <c r="D7320" s="11" t="s">
        <v>22803</v>
      </c>
      <c r="E7320" s="11" t="s">
        <v>22804</v>
      </c>
    </row>
    <row r="7321" spans="1:5">
      <c r="A7321" s="11" t="s">
        <v>22805</v>
      </c>
      <c r="B7321">
        <v>8006559</v>
      </c>
      <c r="D7321" s="11" t="s">
        <v>22806</v>
      </c>
      <c r="E7321" s="11" t="s">
        <v>22807</v>
      </c>
    </row>
    <row r="7322" spans="1:5">
      <c r="A7322" s="11" t="s">
        <v>22808</v>
      </c>
      <c r="B7322">
        <v>8079779</v>
      </c>
      <c r="D7322" s="11" t="s">
        <v>22809</v>
      </c>
      <c r="E7322" s="11" t="s">
        <v>22810</v>
      </c>
    </row>
    <row r="7323" spans="1:5">
      <c r="A7323" s="11" t="s">
        <v>22811</v>
      </c>
      <c r="B7323">
        <v>8013346</v>
      </c>
      <c r="D7323" s="11" t="s">
        <v>22812</v>
      </c>
      <c r="E7323" s="11" t="s">
        <v>22813</v>
      </c>
    </row>
    <row r="7324" spans="1:5">
      <c r="A7324" s="11" t="s">
        <v>22814</v>
      </c>
      <c r="B7324">
        <v>8013345</v>
      </c>
      <c r="D7324" s="11" t="s">
        <v>22815</v>
      </c>
      <c r="E7324" s="11" t="s">
        <v>22816</v>
      </c>
    </row>
    <row r="7325" spans="1:5">
      <c r="A7325" s="11" t="s">
        <v>22817</v>
      </c>
      <c r="B7325">
        <v>8006561</v>
      </c>
      <c r="D7325" s="11" t="s">
        <v>22818</v>
      </c>
      <c r="E7325" s="11" t="s">
        <v>22819</v>
      </c>
    </row>
    <row r="7326" spans="1:5">
      <c r="A7326" s="11" t="s">
        <v>1052</v>
      </c>
      <c r="B7326">
        <v>8013332</v>
      </c>
      <c r="D7326" s="11" t="s">
        <v>1054</v>
      </c>
      <c r="E7326" s="11" t="s">
        <v>1055</v>
      </c>
    </row>
    <row r="7327" spans="1:5">
      <c r="A7327" s="11" t="s">
        <v>22820</v>
      </c>
      <c r="B7327">
        <v>8000257</v>
      </c>
      <c r="D7327" s="11" t="s">
        <v>22821</v>
      </c>
      <c r="E7327" s="11" t="s">
        <v>22822</v>
      </c>
    </row>
    <row r="7328" spans="1:5">
      <c r="A7328" s="11" t="s">
        <v>22823</v>
      </c>
      <c r="B7328">
        <v>8004788</v>
      </c>
      <c r="D7328" s="11" t="s">
        <v>22824</v>
      </c>
      <c r="E7328" s="11" t="s">
        <v>22825</v>
      </c>
    </row>
    <row r="7329" spans="1:5">
      <c r="A7329" s="11" t="s">
        <v>22826</v>
      </c>
      <c r="B7329">
        <v>8006533</v>
      </c>
      <c r="D7329" s="11" t="s">
        <v>22827</v>
      </c>
      <c r="E7329" s="11" t="s">
        <v>22828</v>
      </c>
    </row>
    <row r="7330" spans="1:5">
      <c r="A7330" s="11" t="s">
        <v>22829</v>
      </c>
      <c r="B7330">
        <v>8007122</v>
      </c>
      <c r="D7330" s="11" t="s">
        <v>22830</v>
      </c>
      <c r="E7330" s="11" t="s">
        <v>22831</v>
      </c>
    </row>
    <row r="7331" spans="1:5">
      <c r="A7331" s="11" t="s">
        <v>22832</v>
      </c>
      <c r="B7331">
        <v>8006534</v>
      </c>
      <c r="D7331" s="11" t="s">
        <v>22833</v>
      </c>
      <c r="E7331" s="11" t="s">
        <v>22834</v>
      </c>
    </row>
    <row r="7332" spans="1:5">
      <c r="A7332" s="11" t="s">
        <v>22835</v>
      </c>
      <c r="B7332">
        <v>8006535</v>
      </c>
      <c r="D7332" s="11" t="s">
        <v>22836</v>
      </c>
      <c r="E7332" s="11" t="s">
        <v>22837</v>
      </c>
    </row>
    <row r="7333" spans="1:5">
      <c r="A7333" s="11" t="s">
        <v>22838</v>
      </c>
      <c r="B7333">
        <v>8006537</v>
      </c>
      <c r="D7333" s="11" t="s">
        <v>22839</v>
      </c>
      <c r="E7333" s="11" t="s">
        <v>22840</v>
      </c>
    </row>
    <row r="7334" spans="1:5">
      <c r="A7334" s="11" t="s">
        <v>22841</v>
      </c>
      <c r="B7334">
        <v>8006538</v>
      </c>
      <c r="D7334" s="11" t="s">
        <v>22842</v>
      </c>
      <c r="E7334" s="11" t="s">
        <v>22843</v>
      </c>
    </row>
    <row r="7335" spans="1:5">
      <c r="A7335" s="11" t="s">
        <v>22844</v>
      </c>
      <c r="B7335">
        <v>8000254</v>
      </c>
      <c r="D7335" s="11" t="s">
        <v>22845</v>
      </c>
      <c r="E7335" s="11" t="s">
        <v>22846</v>
      </c>
    </row>
    <row r="7336" spans="1:5">
      <c r="A7336" s="11" t="s">
        <v>22847</v>
      </c>
      <c r="B7336">
        <v>8079143</v>
      </c>
      <c r="D7336" s="11" t="s">
        <v>22848</v>
      </c>
      <c r="E7336" s="11" t="s">
        <v>22849</v>
      </c>
    </row>
    <row r="7337" spans="1:5">
      <c r="A7337" s="11" t="s">
        <v>22850</v>
      </c>
      <c r="B7337">
        <v>8079212</v>
      </c>
      <c r="D7337" s="11" t="s">
        <v>22851</v>
      </c>
      <c r="E7337" s="11" t="s">
        <v>22852</v>
      </c>
    </row>
    <row r="7338" spans="1:5">
      <c r="A7338" s="11" t="s">
        <v>22853</v>
      </c>
      <c r="B7338">
        <v>8079213</v>
      </c>
      <c r="D7338" s="11" t="s">
        <v>22854</v>
      </c>
      <c r="E7338" s="11" t="s">
        <v>22855</v>
      </c>
    </row>
    <row r="7339" spans="1:5">
      <c r="A7339" s="11" t="s">
        <v>22856</v>
      </c>
      <c r="B7339">
        <v>8079142</v>
      </c>
      <c r="D7339" s="11" t="s">
        <v>22857</v>
      </c>
      <c r="E7339" s="11" t="s">
        <v>22858</v>
      </c>
    </row>
    <row r="7340" spans="1:5">
      <c r="A7340" s="11" t="s">
        <v>22859</v>
      </c>
      <c r="B7340">
        <v>8079141</v>
      </c>
      <c r="D7340" s="11" t="s">
        <v>22860</v>
      </c>
      <c r="E7340" s="11" t="s">
        <v>22861</v>
      </c>
    </row>
    <row r="7341" spans="1:5">
      <c r="A7341" s="11" t="s">
        <v>22862</v>
      </c>
      <c r="B7341">
        <v>8006536</v>
      </c>
      <c r="D7341" s="11" t="s">
        <v>22863</v>
      </c>
      <c r="E7341" s="11" t="s">
        <v>22864</v>
      </c>
    </row>
    <row r="7342" spans="1:5">
      <c r="A7342" s="11" t="s">
        <v>22865</v>
      </c>
      <c r="B7342">
        <v>8079211</v>
      </c>
      <c r="D7342" s="11" t="s">
        <v>22866</v>
      </c>
      <c r="E7342" s="11" t="s">
        <v>22867</v>
      </c>
    </row>
    <row r="7343" spans="1:5">
      <c r="A7343" s="11" t="s">
        <v>22868</v>
      </c>
      <c r="B7343">
        <v>8006531</v>
      </c>
      <c r="D7343" s="11" t="s">
        <v>22869</v>
      </c>
      <c r="E7343" s="11" t="s">
        <v>22870</v>
      </c>
    </row>
    <row r="7344" spans="1:5">
      <c r="A7344" s="11" t="s">
        <v>22871</v>
      </c>
      <c r="B7344">
        <v>8006539</v>
      </c>
      <c r="D7344" s="11" t="s">
        <v>22872</v>
      </c>
      <c r="E7344" s="11" t="s">
        <v>22873</v>
      </c>
    </row>
    <row r="7345" spans="1:5">
      <c r="A7345" s="11" t="s">
        <v>22874</v>
      </c>
      <c r="B7345">
        <v>8070179</v>
      </c>
      <c r="D7345" s="11" t="s">
        <v>22875</v>
      </c>
      <c r="E7345" s="11" t="s">
        <v>22876</v>
      </c>
    </row>
    <row r="7346" spans="1:5">
      <c r="A7346" s="11" t="s">
        <v>22877</v>
      </c>
      <c r="B7346">
        <v>8006570</v>
      </c>
      <c r="D7346" s="11" t="s">
        <v>22878</v>
      </c>
      <c r="E7346" s="11" t="s">
        <v>22879</v>
      </c>
    </row>
    <row r="7347" spans="1:5">
      <c r="A7347" s="11" t="s">
        <v>22880</v>
      </c>
      <c r="B7347">
        <v>8006571</v>
      </c>
      <c r="D7347" s="11" t="s">
        <v>22881</v>
      </c>
      <c r="E7347" s="11" t="s">
        <v>22882</v>
      </c>
    </row>
    <row r="7348" spans="1:5">
      <c r="A7348" s="11" t="s">
        <v>22883</v>
      </c>
      <c r="B7348">
        <v>8010386</v>
      </c>
      <c r="D7348" s="11" t="s">
        <v>22884</v>
      </c>
      <c r="E7348" s="11" t="s">
        <v>22885</v>
      </c>
    </row>
    <row r="7349" spans="1:5">
      <c r="A7349" s="11" t="s">
        <v>22886</v>
      </c>
      <c r="B7349">
        <v>8006572</v>
      </c>
      <c r="D7349" s="11" t="s">
        <v>22887</v>
      </c>
      <c r="E7349" s="11" t="s">
        <v>22888</v>
      </c>
    </row>
    <row r="7350" spans="1:5">
      <c r="A7350" s="11" t="s">
        <v>22889</v>
      </c>
      <c r="B7350">
        <v>8071263</v>
      </c>
      <c r="D7350" s="11" t="s">
        <v>22890</v>
      </c>
      <c r="E7350" s="11" t="s">
        <v>22891</v>
      </c>
    </row>
    <row r="7351" spans="1:5">
      <c r="A7351" s="11" t="s">
        <v>22892</v>
      </c>
      <c r="B7351">
        <v>8013357</v>
      </c>
      <c r="D7351" s="11" t="s">
        <v>22893</v>
      </c>
      <c r="E7351" s="11" t="s">
        <v>22894</v>
      </c>
    </row>
    <row r="7352" spans="1:5">
      <c r="A7352" s="11" t="s">
        <v>22895</v>
      </c>
      <c r="B7352">
        <v>8006590</v>
      </c>
      <c r="D7352" s="11" t="s">
        <v>22896</v>
      </c>
      <c r="E7352" s="11" t="s">
        <v>22897</v>
      </c>
    </row>
    <row r="7353" spans="1:5">
      <c r="A7353" s="11" t="s">
        <v>22898</v>
      </c>
      <c r="B7353">
        <v>8006575</v>
      </c>
      <c r="D7353" s="11" t="s">
        <v>22899</v>
      </c>
      <c r="E7353" s="11" t="s">
        <v>22900</v>
      </c>
    </row>
    <row r="7354" spans="1:5">
      <c r="A7354" s="11" t="s">
        <v>22901</v>
      </c>
      <c r="B7354">
        <v>8006592</v>
      </c>
      <c r="D7354" s="11" t="s">
        <v>22902</v>
      </c>
      <c r="E7354" s="11" t="s">
        <v>22903</v>
      </c>
    </row>
    <row r="7355" spans="1:5">
      <c r="A7355" s="11" t="s">
        <v>22904</v>
      </c>
      <c r="B7355">
        <v>8013348</v>
      </c>
      <c r="D7355" s="11" t="s">
        <v>22905</v>
      </c>
      <c r="E7355" s="11" t="s">
        <v>22906</v>
      </c>
    </row>
    <row r="7356" spans="1:5">
      <c r="A7356" s="11" t="s">
        <v>22907</v>
      </c>
      <c r="B7356">
        <v>8006595</v>
      </c>
      <c r="D7356" s="11" t="s">
        <v>22908</v>
      </c>
      <c r="E7356" s="11" t="s">
        <v>22909</v>
      </c>
    </row>
    <row r="7357" spans="1:5">
      <c r="A7357" s="11" t="s">
        <v>22910</v>
      </c>
      <c r="B7357">
        <v>8010387</v>
      </c>
      <c r="D7357" s="11" t="s">
        <v>22911</v>
      </c>
      <c r="E7357" s="11" t="s">
        <v>22912</v>
      </c>
    </row>
    <row r="7358" spans="1:5">
      <c r="A7358" s="11" t="s">
        <v>22913</v>
      </c>
      <c r="B7358">
        <v>8013349</v>
      </c>
      <c r="D7358" s="11" t="s">
        <v>22914</v>
      </c>
      <c r="E7358" s="11" t="s">
        <v>22915</v>
      </c>
    </row>
    <row r="7359" spans="1:5">
      <c r="A7359" s="11" t="s">
        <v>22916</v>
      </c>
      <c r="B7359">
        <v>8071826</v>
      </c>
      <c r="D7359" s="11" t="s">
        <v>22917</v>
      </c>
      <c r="E7359" s="11" t="s">
        <v>22918</v>
      </c>
    </row>
    <row r="7360" spans="1:5">
      <c r="A7360" s="11" t="s">
        <v>22919</v>
      </c>
      <c r="B7360">
        <v>8013350</v>
      </c>
      <c r="D7360" s="11" t="s">
        <v>22920</v>
      </c>
      <c r="E7360" s="11" t="s">
        <v>22921</v>
      </c>
    </row>
    <row r="7361" spans="1:5">
      <c r="A7361" s="11" t="s">
        <v>22922</v>
      </c>
      <c r="B7361">
        <v>8000173</v>
      </c>
      <c r="D7361" s="11" t="s">
        <v>22923</v>
      </c>
      <c r="E7361" s="11" t="s">
        <v>22924</v>
      </c>
    </row>
    <row r="7362" spans="1:5">
      <c r="A7362" s="11" t="s">
        <v>22925</v>
      </c>
      <c r="B7362">
        <v>8000268</v>
      </c>
      <c r="D7362" s="11" t="s">
        <v>22926</v>
      </c>
      <c r="E7362" s="11" t="s">
        <v>22927</v>
      </c>
    </row>
    <row r="7363" spans="1:5">
      <c r="A7363" s="11" t="s">
        <v>996</v>
      </c>
      <c r="B7363">
        <v>8000266</v>
      </c>
      <c r="D7363" s="11" t="s">
        <v>998</v>
      </c>
      <c r="E7363" s="11" t="s">
        <v>999</v>
      </c>
    </row>
    <row r="7364" spans="1:5">
      <c r="A7364" s="11" t="s">
        <v>22928</v>
      </c>
      <c r="B7364">
        <v>8006596</v>
      </c>
      <c r="D7364" s="11" t="s">
        <v>22929</v>
      </c>
      <c r="E7364" s="11" t="s">
        <v>22930</v>
      </c>
    </row>
    <row r="7365" spans="1:5">
      <c r="A7365" s="11" t="s">
        <v>22931</v>
      </c>
      <c r="B7365">
        <v>8006601</v>
      </c>
      <c r="D7365" s="11" t="s">
        <v>22932</v>
      </c>
      <c r="E7365" s="11" t="s">
        <v>22933</v>
      </c>
    </row>
    <row r="7366" spans="1:5">
      <c r="A7366" s="11" t="s">
        <v>22934</v>
      </c>
      <c r="B7366">
        <v>8006607</v>
      </c>
      <c r="D7366" s="11" t="s">
        <v>22935</v>
      </c>
      <c r="E7366" s="11" t="s">
        <v>22936</v>
      </c>
    </row>
    <row r="7367" spans="1:5">
      <c r="A7367" s="11" t="s">
        <v>22937</v>
      </c>
      <c r="B7367">
        <v>8006719</v>
      </c>
      <c r="D7367" s="11" t="s">
        <v>22938</v>
      </c>
      <c r="E7367" s="11" t="s">
        <v>22939</v>
      </c>
    </row>
    <row r="7368" spans="1:5">
      <c r="A7368" s="11" t="s">
        <v>22940</v>
      </c>
      <c r="B7368">
        <v>8006616</v>
      </c>
      <c r="D7368" s="11" t="s">
        <v>22941</v>
      </c>
      <c r="E7368" s="11" t="s">
        <v>22942</v>
      </c>
    </row>
    <row r="7369" spans="1:5">
      <c r="A7369" s="11" t="s">
        <v>22943</v>
      </c>
      <c r="B7369">
        <v>8006618</v>
      </c>
      <c r="D7369" s="11" t="s">
        <v>22944</v>
      </c>
      <c r="E7369" s="11" t="s">
        <v>22945</v>
      </c>
    </row>
    <row r="7370" spans="1:5">
      <c r="A7370" s="11" t="s">
        <v>22946</v>
      </c>
      <c r="B7370">
        <v>8006619</v>
      </c>
      <c r="D7370" s="11" t="s">
        <v>22947</v>
      </c>
      <c r="E7370" s="11" t="s">
        <v>22948</v>
      </c>
    </row>
    <row r="7371" spans="1:5">
      <c r="A7371" s="11" t="s">
        <v>22949</v>
      </c>
      <c r="B7371">
        <v>8006620</v>
      </c>
      <c r="D7371" s="11" t="s">
        <v>22950</v>
      </c>
      <c r="E7371" s="11" t="s">
        <v>22951</v>
      </c>
    </row>
    <row r="7372" spans="1:5">
      <c r="A7372" s="11" t="s">
        <v>22952</v>
      </c>
      <c r="B7372">
        <v>8006718</v>
      </c>
      <c r="D7372" s="11" t="s">
        <v>22953</v>
      </c>
      <c r="E7372" s="11" t="s">
        <v>22954</v>
      </c>
    </row>
    <row r="7373" spans="1:5">
      <c r="A7373" s="11" t="s">
        <v>22955</v>
      </c>
      <c r="B7373">
        <v>8006623</v>
      </c>
      <c r="D7373" s="11" t="s">
        <v>22956</v>
      </c>
      <c r="E7373" s="11" t="s">
        <v>22957</v>
      </c>
    </row>
    <row r="7374" spans="1:5">
      <c r="A7374" s="11" t="s">
        <v>22958</v>
      </c>
      <c r="B7374">
        <v>8006577</v>
      </c>
      <c r="D7374" s="11" t="s">
        <v>22959</v>
      </c>
      <c r="E7374" s="11" t="s">
        <v>22960</v>
      </c>
    </row>
    <row r="7375" spans="1:5">
      <c r="A7375" s="11" t="s">
        <v>22961</v>
      </c>
      <c r="B7375">
        <v>8006578</v>
      </c>
      <c r="D7375" s="11" t="s">
        <v>22962</v>
      </c>
      <c r="E7375" s="11" t="s">
        <v>22963</v>
      </c>
    </row>
    <row r="7376" spans="1:5">
      <c r="A7376" s="11" t="s">
        <v>22964</v>
      </c>
      <c r="B7376">
        <v>8006624</v>
      </c>
      <c r="D7376" s="11" t="s">
        <v>22965</v>
      </c>
      <c r="E7376" s="11" t="s">
        <v>22966</v>
      </c>
    </row>
    <row r="7377" spans="1:5">
      <c r="A7377" s="11" t="s">
        <v>22967</v>
      </c>
      <c r="B7377">
        <v>8006625</v>
      </c>
      <c r="D7377" s="11" t="s">
        <v>22968</v>
      </c>
      <c r="E7377" s="11" t="s">
        <v>22969</v>
      </c>
    </row>
    <row r="7378" spans="1:5">
      <c r="A7378" s="11" t="s">
        <v>22970</v>
      </c>
      <c r="B7378">
        <v>8006626</v>
      </c>
      <c r="D7378" s="11" t="s">
        <v>22971</v>
      </c>
      <c r="E7378" s="11" t="s">
        <v>22972</v>
      </c>
    </row>
    <row r="7379" spans="1:5">
      <c r="A7379" s="11" t="s">
        <v>22973</v>
      </c>
      <c r="B7379">
        <v>8006579</v>
      </c>
      <c r="D7379" s="11" t="s">
        <v>22974</v>
      </c>
      <c r="E7379" s="11" t="s">
        <v>22975</v>
      </c>
    </row>
    <row r="7380" spans="1:5">
      <c r="A7380" s="11" t="s">
        <v>22976</v>
      </c>
      <c r="B7380">
        <v>8006581</v>
      </c>
      <c r="D7380" s="11" t="s">
        <v>22977</v>
      </c>
      <c r="E7380" s="11" t="s">
        <v>22978</v>
      </c>
    </row>
    <row r="7381" spans="1:5">
      <c r="A7381" s="11" t="s">
        <v>22979</v>
      </c>
      <c r="B7381">
        <v>8013360</v>
      </c>
      <c r="D7381" s="11" t="s">
        <v>22980</v>
      </c>
      <c r="E7381" s="11" t="s">
        <v>22981</v>
      </c>
    </row>
    <row r="7382" spans="1:5">
      <c r="A7382" s="11" t="s">
        <v>22982</v>
      </c>
      <c r="B7382">
        <v>8000260</v>
      </c>
      <c r="D7382" s="11" t="s">
        <v>22983</v>
      </c>
      <c r="E7382" s="11" t="s">
        <v>22984</v>
      </c>
    </row>
    <row r="7383" spans="1:5">
      <c r="A7383" s="11" t="s">
        <v>22985</v>
      </c>
      <c r="B7383">
        <v>8006582</v>
      </c>
      <c r="D7383" s="11" t="s">
        <v>22986</v>
      </c>
      <c r="E7383" s="11" t="s">
        <v>22987</v>
      </c>
    </row>
    <row r="7384" spans="1:5">
      <c r="A7384" s="11" t="s">
        <v>22988</v>
      </c>
      <c r="B7384">
        <v>8006580</v>
      </c>
      <c r="D7384" s="11" t="s">
        <v>22989</v>
      </c>
      <c r="E7384" s="11" t="s">
        <v>22990</v>
      </c>
    </row>
    <row r="7385" spans="1:5">
      <c r="A7385" s="11" t="s">
        <v>22991</v>
      </c>
      <c r="B7385">
        <v>8006586</v>
      </c>
      <c r="D7385" s="11" t="s">
        <v>22992</v>
      </c>
      <c r="E7385" s="11" t="s">
        <v>22993</v>
      </c>
    </row>
    <row r="7386" spans="1:5">
      <c r="A7386" s="11" t="s">
        <v>22994</v>
      </c>
      <c r="B7386">
        <v>8013361</v>
      </c>
      <c r="D7386" s="11" t="s">
        <v>22995</v>
      </c>
      <c r="E7386" s="11" t="s">
        <v>22996</v>
      </c>
    </row>
    <row r="7387" spans="1:5">
      <c r="A7387" s="11" t="s">
        <v>22997</v>
      </c>
      <c r="B7387">
        <v>8010388</v>
      </c>
      <c r="D7387" s="11" t="s">
        <v>22998</v>
      </c>
      <c r="E7387" s="11" t="s">
        <v>22999</v>
      </c>
    </row>
    <row r="7388" spans="1:5">
      <c r="A7388" s="11" t="s">
        <v>23000</v>
      </c>
      <c r="B7388">
        <v>8013352</v>
      </c>
      <c r="D7388" s="11" t="s">
        <v>23001</v>
      </c>
      <c r="E7388" s="11" t="s">
        <v>23002</v>
      </c>
    </row>
    <row r="7389" spans="1:5">
      <c r="A7389" s="11" t="s">
        <v>23003</v>
      </c>
      <c r="B7389">
        <v>8006588</v>
      </c>
      <c r="D7389" s="11" t="s">
        <v>23004</v>
      </c>
      <c r="E7389" s="11" t="s">
        <v>23005</v>
      </c>
    </row>
    <row r="7390" spans="1:5">
      <c r="A7390" s="11" t="s">
        <v>23006</v>
      </c>
      <c r="B7390">
        <v>8013363</v>
      </c>
      <c r="D7390" s="11" t="s">
        <v>23007</v>
      </c>
      <c r="E7390" s="11" t="s">
        <v>23008</v>
      </c>
    </row>
    <row r="7391" spans="1:5">
      <c r="A7391" s="11" t="s">
        <v>23009</v>
      </c>
      <c r="B7391">
        <v>8010389</v>
      </c>
      <c r="D7391" s="11" t="s">
        <v>23010</v>
      </c>
      <c r="E7391" s="11" t="s">
        <v>23011</v>
      </c>
    </row>
    <row r="7392" spans="1:5">
      <c r="A7392" s="11" t="s">
        <v>23012</v>
      </c>
      <c r="B7392">
        <v>8013365</v>
      </c>
      <c r="D7392" s="11" t="s">
        <v>23013</v>
      </c>
      <c r="E7392" s="11" t="s">
        <v>23014</v>
      </c>
    </row>
    <row r="7393" spans="1:5">
      <c r="A7393" s="11" t="s">
        <v>23015</v>
      </c>
      <c r="B7393">
        <v>8006270</v>
      </c>
      <c r="D7393" s="11" t="s">
        <v>23016</v>
      </c>
      <c r="E7393" s="11" t="s">
        <v>23017</v>
      </c>
    </row>
    <row r="7394" spans="1:5">
      <c r="A7394" s="11" t="s">
        <v>23018</v>
      </c>
      <c r="B7394">
        <v>8012703</v>
      </c>
      <c r="D7394" s="11" t="s">
        <v>23019</v>
      </c>
      <c r="E7394" s="11" t="s">
        <v>23020</v>
      </c>
    </row>
    <row r="7395" spans="1:5">
      <c r="A7395" s="11" t="s">
        <v>23021</v>
      </c>
      <c r="B7395">
        <v>8006627</v>
      </c>
      <c r="D7395" s="11" t="s">
        <v>23022</v>
      </c>
      <c r="E7395" s="11" t="s">
        <v>23023</v>
      </c>
    </row>
    <row r="7396" spans="1:5">
      <c r="A7396" s="11" t="s">
        <v>23024</v>
      </c>
      <c r="B7396">
        <v>8070580</v>
      </c>
      <c r="D7396" s="11" t="s">
        <v>23025</v>
      </c>
      <c r="E7396" s="11" t="s">
        <v>23026</v>
      </c>
    </row>
    <row r="7397" spans="1:5">
      <c r="A7397" s="11" t="s">
        <v>23027</v>
      </c>
      <c r="B7397">
        <v>8013366</v>
      </c>
      <c r="D7397" s="11" t="s">
        <v>23028</v>
      </c>
      <c r="E7397" s="11" t="s">
        <v>23029</v>
      </c>
    </row>
    <row r="7398" spans="1:5">
      <c r="A7398" s="11" t="s">
        <v>23030</v>
      </c>
      <c r="B7398">
        <v>8013367</v>
      </c>
      <c r="D7398" s="11" t="s">
        <v>23031</v>
      </c>
      <c r="E7398" s="11" t="s">
        <v>23032</v>
      </c>
    </row>
    <row r="7399" spans="1:5">
      <c r="A7399" s="11" t="s">
        <v>23033</v>
      </c>
      <c r="B7399">
        <v>8006628</v>
      </c>
      <c r="D7399" s="11" t="s">
        <v>23034</v>
      </c>
      <c r="E7399" s="11" t="s">
        <v>23035</v>
      </c>
    </row>
    <row r="7400" spans="1:5">
      <c r="A7400" s="11" t="s">
        <v>23036</v>
      </c>
      <c r="B7400">
        <v>8006629</v>
      </c>
      <c r="D7400" s="11" t="s">
        <v>23037</v>
      </c>
      <c r="E7400" s="11" t="s">
        <v>23038</v>
      </c>
    </row>
    <row r="7401" spans="1:5">
      <c r="A7401" s="11" t="s">
        <v>23039</v>
      </c>
      <c r="B7401">
        <v>8007760</v>
      </c>
      <c r="D7401" s="11" t="s">
        <v>23040</v>
      </c>
      <c r="E7401" s="11" t="s">
        <v>23041</v>
      </c>
    </row>
    <row r="7402" spans="1:5">
      <c r="A7402" s="11" t="s">
        <v>23042</v>
      </c>
      <c r="B7402">
        <v>8006630</v>
      </c>
      <c r="D7402" s="11" t="s">
        <v>23043</v>
      </c>
      <c r="E7402" s="11" t="s">
        <v>23044</v>
      </c>
    </row>
    <row r="7403" spans="1:5">
      <c r="A7403" s="11" t="s">
        <v>23045</v>
      </c>
      <c r="B7403">
        <v>8013368</v>
      </c>
      <c r="D7403" s="11" t="s">
        <v>23046</v>
      </c>
      <c r="E7403" s="11" t="s">
        <v>23047</v>
      </c>
    </row>
    <row r="7404" spans="1:5">
      <c r="A7404" s="11" t="s">
        <v>23048</v>
      </c>
      <c r="B7404">
        <v>8071194</v>
      </c>
      <c r="D7404" s="11" t="s">
        <v>23049</v>
      </c>
      <c r="E7404" s="11" t="s">
        <v>23050</v>
      </c>
    </row>
    <row r="7405" spans="1:5">
      <c r="A7405" s="11" t="s">
        <v>23051</v>
      </c>
      <c r="B7405">
        <v>8013370</v>
      </c>
      <c r="D7405" s="11" t="s">
        <v>23052</v>
      </c>
      <c r="E7405" s="11" t="s">
        <v>23053</v>
      </c>
    </row>
    <row r="7406" spans="1:5">
      <c r="A7406" s="11" t="s">
        <v>23054</v>
      </c>
      <c r="B7406">
        <v>8013371</v>
      </c>
      <c r="D7406" s="11" t="s">
        <v>23055</v>
      </c>
      <c r="E7406" s="11" t="s">
        <v>23056</v>
      </c>
    </row>
    <row r="7407" spans="1:5">
      <c r="A7407" s="11" t="s">
        <v>23057</v>
      </c>
      <c r="B7407">
        <v>8006632</v>
      </c>
      <c r="D7407" s="11" t="s">
        <v>23058</v>
      </c>
      <c r="E7407" s="11" t="s">
        <v>23059</v>
      </c>
    </row>
    <row r="7408" spans="1:5">
      <c r="A7408" s="11" t="s">
        <v>23060</v>
      </c>
      <c r="B7408">
        <v>8006633</v>
      </c>
      <c r="D7408" s="11" t="s">
        <v>23061</v>
      </c>
      <c r="E7408" s="11" t="s">
        <v>23062</v>
      </c>
    </row>
    <row r="7409" spans="1:5">
      <c r="A7409" s="11" t="s">
        <v>23063</v>
      </c>
      <c r="B7409">
        <v>8006634</v>
      </c>
      <c r="D7409" s="11" t="s">
        <v>23064</v>
      </c>
      <c r="E7409" s="11" t="s">
        <v>23065</v>
      </c>
    </row>
    <row r="7410" spans="1:5">
      <c r="A7410" s="11" t="s">
        <v>23066</v>
      </c>
      <c r="B7410">
        <v>8071031</v>
      </c>
      <c r="D7410" s="11" t="s">
        <v>23067</v>
      </c>
      <c r="E7410" s="11" t="s">
        <v>23068</v>
      </c>
    </row>
    <row r="7411" spans="1:5">
      <c r="A7411" s="11" t="s">
        <v>23069</v>
      </c>
      <c r="B7411">
        <v>8013373</v>
      </c>
      <c r="D7411" s="11" t="s">
        <v>23070</v>
      </c>
      <c r="E7411" s="11" t="s">
        <v>23071</v>
      </c>
    </row>
    <row r="7412" spans="1:5">
      <c r="A7412" s="11" t="s">
        <v>23072</v>
      </c>
      <c r="B7412">
        <v>8079780</v>
      </c>
      <c r="D7412" s="11" t="s">
        <v>23073</v>
      </c>
      <c r="E7412" s="11" t="s">
        <v>23074</v>
      </c>
    </row>
    <row r="7413" spans="1:5">
      <c r="A7413" s="11" t="s">
        <v>23075</v>
      </c>
      <c r="B7413">
        <v>8013376</v>
      </c>
      <c r="D7413" s="11" t="s">
        <v>23076</v>
      </c>
      <c r="E7413" s="11" t="s">
        <v>23077</v>
      </c>
    </row>
    <row r="7414" spans="1:5">
      <c r="A7414" s="11" t="s">
        <v>23078</v>
      </c>
      <c r="B7414">
        <v>8013377</v>
      </c>
      <c r="D7414" s="11" t="s">
        <v>23079</v>
      </c>
      <c r="E7414" s="11" t="s">
        <v>23080</v>
      </c>
    </row>
    <row r="7415" spans="1:5">
      <c r="A7415" s="11" t="s">
        <v>23081</v>
      </c>
      <c r="B7415">
        <v>8013378</v>
      </c>
      <c r="D7415" s="11" t="s">
        <v>23082</v>
      </c>
      <c r="E7415" s="11" t="s">
        <v>23083</v>
      </c>
    </row>
    <row r="7416" spans="1:5">
      <c r="A7416" s="11" t="s">
        <v>23084</v>
      </c>
      <c r="B7416">
        <v>8006635</v>
      </c>
      <c r="D7416" s="11" t="s">
        <v>23085</v>
      </c>
      <c r="E7416" s="11" t="s">
        <v>23086</v>
      </c>
    </row>
    <row r="7417" spans="1:5">
      <c r="A7417" s="11" t="s">
        <v>23087</v>
      </c>
      <c r="B7417">
        <v>8013381</v>
      </c>
      <c r="D7417" s="11" t="s">
        <v>23088</v>
      </c>
      <c r="E7417" s="11" t="s">
        <v>23089</v>
      </c>
    </row>
    <row r="7418" spans="1:5">
      <c r="A7418" s="11" t="s">
        <v>23090</v>
      </c>
      <c r="B7418">
        <v>8010390</v>
      </c>
      <c r="D7418" s="11" t="s">
        <v>23091</v>
      </c>
      <c r="E7418" s="11" t="s">
        <v>23092</v>
      </c>
    </row>
    <row r="7419" spans="1:5">
      <c r="A7419" s="11" t="s">
        <v>23093</v>
      </c>
      <c r="B7419">
        <v>8007101</v>
      </c>
      <c r="D7419" s="11" t="s">
        <v>23094</v>
      </c>
      <c r="E7419" s="11" t="s">
        <v>23095</v>
      </c>
    </row>
    <row r="7420" spans="1:5">
      <c r="A7420" s="11" t="s">
        <v>23096</v>
      </c>
      <c r="B7420">
        <v>8006641</v>
      </c>
      <c r="D7420" s="11" t="s">
        <v>23097</v>
      </c>
      <c r="E7420" s="11" t="s">
        <v>23098</v>
      </c>
    </row>
    <row r="7421" spans="1:5">
      <c r="A7421" s="11" t="s">
        <v>23099</v>
      </c>
      <c r="B7421">
        <v>8010391</v>
      </c>
      <c r="D7421" s="11" t="s">
        <v>23100</v>
      </c>
      <c r="E7421" s="11" t="s">
        <v>23101</v>
      </c>
    </row>
    <row r="7422" spans="1:5">
      <c r="A7422" s="11" t="s">
        <v>23102</v>
      </c>
      <c r="B7422">
        <v>8013383</v>
      </c>
      <c r="D7422" s="11" t="s">
        <v>23103</v>
      </c>
      <c r="E7422" s="11" t="s">
        <v>23104</v>
      </c>
    </row>
    <row r="7423" spans="1:5">
      <c r="A7423" s="11" t="s">
        <v>23105</v>
      </c>
      <c r="B7423">
        <v>8013384</v>
      </c>
      <c r="D7423" s="11" t="s">
        <v>23106</v>
      </c>
      <c r="E7423" s="11" t="s">
        <v>23107</v>
      </c>
    </row>
    <row r="7424" spans="1:5">
      <c r="A7424" s="11" t="s">
        <v>23108</v>
      </c>
      <c r="B7424">
        <v>8007338</v>
      </c>
      <c r="D7424" s="11" t="s">
        <v>23109</v>
      </c>
      <c r="E7424" s="11" t="s">
        <v>23110</v>
      </c>
    </row>
    <row r="7425" spans="1:5">
      <c r="A7425" s="11" t="s">
        <v>23111</v>
      </c>
      <c r="B7425">
        <v>8006644</v>
      </c>
      <c r="D7425" s="11" t="s">
        <v>23112</v>
      </c>
      <c r="E7425" s="11" t="s">
        <v>23113</v>
      </c>
    </row>
    <row r="7426" spans="1:5">
      <c r="A7426" s="11" t="s">
        <v>23114</v>
      </c>
      <c r="B7426">
        <v>8013385</v>
      </c>
      <c r="D7426" s="11" t="s">
        <v>23115</v>
      </c>
      <c r="E7426" s="11" t="s">
        <v>23116</v>
      </c>
    </row>
    <row r="7427" spans="1:5">
      <c r="A7427" s="11" t="s">
        <v>23117</v>
      </c>
      <c r="B7427">
        <v>8089496</v>
      </c>
      <c r="D7427" s="11" t="s">
        <v>23118</v>
      </c>
      <c r="E7427" s="11" t="s">
        <v>23119</v>
      </c>
    </row>
    <row r="7428" spans="1:5">
      <c r="A7428" s="11" t="s">
        <v>23120</v>
      </c>
      <c r="B7428">
        <v>8006647</v>
      </c>
      <c r="D7428" s="11" t="s">
        <v>23121</v>
      </c>
      <c r="E7428" s="11" t="s">
        <v>23122</v>
      </c>
    </row>
    <row r="7429" spans="1:5">
      <c r="A7429" s="11" t="s">
        <v>23123</v>
      </c>
      <c r="B7429">
        <v>8081560</v>
      </c>
      <c r="D7429" s="11" t="s">
        <v>23124</v>
      </c>
      <c r="E7429" s="11" t="s">
        <v>23125</v>
      </c>
    </row>
    <row r="7430" spans="1:5">
      <c r="A7430" s="11" t="s">
        <v>772</v>
      </c>
      <c r="B7430">
        <v>8006648</v>
      </c>
      <c r="D7430" s="11" t="s">
        <v>774</v>
      </c>
      <c r="E7430" s="11" t="s">
        <v>775</v>
      </c>
    </row>
    <row r="7431" spans="1:5">
      <c r="A7431" s="11" t="s">
        <v>23126</v>
      </c>
      <c r="B7431">
        <v>8013389</v>
      </c>
      <c r="D7431" s="11" t="s">
        <v>23127</v>
      </c>
      <c r="E7431" s="11" t="s">
        <v>23128</v>
      </c>
    </row>
    <row r="7432" spans="1:5">
      <c r="A7432" s="11" t="s">
        <v>23129</v>
      </c>
      <c r="B7432">
        <v>8007824</v>
      </c>
      <c r="D7432" s="11" t="s">
        <v>23130</v>
      </c>
      <c r="E7432" s="11" t="s">
        <v>23131</v>
      </c>
    </row>
    <row r="7433" spans="1:5">
      <c r="A7433" s="11" t="s">
        <v>23132</v>
      </c>
      <c r="B7433">
        <v>8013392</v>
      </c>
      <c r="D7433" s="11" t="s">
        <v>23133</v>
      </c>
      <c r="E7433" s="11" t="s">
        <v>23134</v>
      </c>
    </row>
    <row r="7434" spans="1:5">
      <c r="A7434" s="11" t="s">
        <v>23135</v>
      </c>
      <c r="B7434">
        <v>8013393</v>
      </c>
      <c r="D7434" s="11" t="s">
        <v>23136</v>
      </c>
      <c r="E7434" s="11" t="s">
        <v>23137</v>
      </c>
    </row>
    <row r="7435" spans="1:5">
      <c r="A7435" s="11" t="s">
        <v>23138</v>
      </c>
      <c r="B7435">
        <v>8013396</v>
      </c>
      <c r="D7435" s="11" t="s">
        <v>23139</v>
      </c>
      <c r="E7435" s="11" t="s">
        <v>23140</v>
      </c>
    </row>
    <row r="7436" spans="1:5">
      <c r="A7436" s="11" t="s">
        <v>23141</v>
      </c>
      <c r="B7436">
        <v>8007135</v>
      </c>
      <c r="D7436" s="11" t="s">
        <v>23142</v>
      </c>
      <c r="E7436" s="11" t="s">
        <v>23143</v>
      </c>
    </row>
    <row r="7437" spans="1:5">
      <c r="A7437" s="11" t="s">
        <v>23144</v>
      </c>
      <c r="B7437">
        <v>8007136</v>
      </c>
      <c r="D7437" s="11" t="s">
        <v>23145</v>
      </c>
      <c r="E7437" s="11" t="s">
        <v>23146</v>
      </c>
    </row>
    <row r="7438" spans="1:5">
      <c r="A7438" s="11" t="s">
        <v>23147</v>
      </c>
      <c r="B7438">
        <v>8079617</v>
      </c>
      <c r="D7438" s="11" t="s">
        <v>23148</v>
      </c>
      <c r="E7438" s="11" t="s">
        <v>23149</v>
      </c>
    </row>
    <row r="7439" spans="1:5">
      <c r="A7439" s="11" t="s">
        <v>23150</v>
      </c>
      <c r="B7439">
        <v>8081580</v>
      </c>
      <c r="D7439" s="11" t="s">
        <v>23151</v>
      </c>
      <c r="E7439" s="11" t="s">
        <v>23152</v>
      </c>
    </row>
    <row r="7440" spans="1:5">
      <c r="A7440" s="11" t="s">
        <v>23153</v>
      </c>
      <c r="B7440">
        <v>8013398</v>
      </c>
      <c r="D7440" s="11" t="s">
        <v>23154</v>
      </c>
      <c r="E7440" s="11" t="s">
        <v>23155</v>
      </c>
    </row>
    <row r="7441" spans="1:5">
      <c r="A7441" s="11" t="s">
        <v>23156</v>
      </c>
      <c r="B7441">
        <v>8006653</v>
      </c>
      <c r="D7441" s="11" t="s">
        <v>23157</v>
      </c>
      <c r="E7441" s="11" t="s">
        <v>23158</v>
      </c>
    </row>
    <row r="7442" spans="1:5">
      <c r="A7442" s="11" t="s">
        <v>23159</v>
      </c>
      <c r="B7442">
        <v>8013402</v>
      </c>
      <c r="D7442" s="11" t="s">
        <v>23160</v>
      </c>
      <c r="E7442" s="11" t="s">
        <v>23161</v>
      </c>
    </row>
    <row r="7443" spans="1:5">
      <c r="A7443" s="11" t="s">
        <v>23162</v>
      </c>
      <c r="B7443">
        <v>8073410</v>
      </c>
      <c r="D7443" s="11" t="s">
        <v>23163</v>
      </c>
      <c r="E7443" s="11" t="s">
        <v>23164</v>
      </c>
    </row>
    <row r="7444" spans="1:5">
      <c r="A7444" s="11" t="s">
        <v>23165</v>
      </c>
      <c r="B7444">
        <v>8071330</v>
      </c>
      <c r="D7444" s="11" t="s">
        <v>23166</v>
      </c>
      <c r="E7444" s="11" t="s">
        <v>23167</v>
      </c>
    </row>
    <row r="7445" spans="1:5">
      <c r="A7445" s="11" t="s">
        <v>23168</v>
      </c>
      <c r="B7445">
        <v>8006658</v>
      </c>
      <c r="D7445" s="11" t="s">
        <v>23169</v>
      </c>
      <c r="E7445" s="11" t="s">
        <v>23170</v>
      </c>
    </row>
    <row r="7446" spans="1:5">
      <c r="A7446" s="11" t="s">
        <v>23171</v>
      </c>
      <c r="B7446">
        <v>8006654</v>
      </c>
      <c r="D7446" s="11" t="s">
        <v>23172</v>
      </c>
      <c r="E7446" s="11" t="s">
        <v>23173</v>
      </c>
    </row>
    <row r="7447" spans="1:5">
      <c r="A7447" s="11" t="s">
        <v>23174</v>
      </c>
      <c r="B7447">
        <v>8013404</v>
      </c>
      <c r="D7447" s="11" t="s">
        <v>23175</v>
      </c>
      <c r="E7447" s="11" t="s">
        <v>23176</v>
      </c>
    </row>
    <row r="7448" spans="1:5">
      <c r="A7448" s="11" t="s">
        <v>23177</v>
      </c>
      <c r="B7448">
        <v>8006659</v>
      </c>
      <c r="D7448" s="11" t="s">
        <v>23178</v>
      </c>
      <c r="E7448" s="11" t="s">
        <v>23179</v>
      </c>
    </row>
    <row r="7449" spans="1:5">
      <c r="A7449" s="11" t="s">
        <v>23180</v>
      </c>
      <c r="B7449">
        <v>8006660</v>
      </c>
      <c r="D7449" s="11" t="s">
        <v>23181</v>
      </c>
      <c r="E7449" s="11" t="s">
        <v>23182</v>
      </c>
    </row>
    <row r="7450" spans="1:5">
      <c r="A7450" s="11" t="s">
        <v>23183</v>
      </c>
      <c r="B7450">
        <v>8013406</v>
      </c>
      <c r="D7450" s="11" t="s">
        <v>23184</v>
      </c>
      <c r="E7450" s="11" t="s">
        <v>23185</v>
      </c>
    </row>
    <row r="7451" spans="1:5">
      <c r="A7451" s="11" t="s">
        <v>23186</v>
      </c>
      <c r="B7451">
        <v>8079781</v>
      </c>
      <c r="D7451" s="11" t="s">
        <v>23187</v>
      </c>
      <c r="E7451" s="11" t="s">
        <v>23188</v>
      </c>
    </row>
    <row r="7452" spans="1:5">
      <c r="A7452" s="11" t="s">
        <v>23189</v>
      </c>
      <c r="B7452">
        <v>8006661</v>
      </c>
      <c r="D7452" s="11" t="s">
        <v>23190</v>
      </c>
      <c r="E7452" s="11" t="s">
        <v>23191</v>
      </c>
    </row>
    <row r="7453" spans="1:5">
      <c r="A7453" s="11" t="s">
        <v>23192</v>
      </c>
      <c r="B7453">
        <v>8006662</v>
      </c>
      <c r="D7453" s="11" t="s">
        <v>23193</v>
      </c>
      <c r="E7453" s="11" t="s">
        <v>23194</v>
      </c>
    </row>
    <row r="7454" spans="1:5">
      <c r="A7454" s="11" t="s">
        <v>23195</v>
      </c>
      <c r="B7454">
        <v>8006663</v>
      </c>
      <c r="D7454" s="11" t="s">
        <v>23196</v>
      </c>
      <c r="E7454" s="11" t="s">
        <v>23197</v>
      </c>
    </row>
    <row r="7455" spans="1:5">
      <c r="A7455" s="11" t="s">
        <v>23198</v>
      </c>
      <c r="B7455">
        <v>8010392</v>
      </c>
      <c r="D7455" s="11" t="s">
        <v>23199</v>
      </c>
      <c r="E7455" s="11" t="s">
        <v>23200</v>
      </c>
    </row>
    <row r="7456" spans="1:5">
      <c r="A7456" s="11" t="s">
        <v>23201</v>
      </c>
      <c r="B7456">
        <v>8070299</v>
      </c>
      <c r="D7456" s="11" t="s">
        <v>23202</v>
      </c>
      <c r="E7456" s="11" t="s">
        <v>23203</v>
      </c>
    </row>
    <row r="7457" spans="1:5">
      <c r="A7457" s="11" t="s">
        <v>23204</v>
      </c>
      <c r="B7457">
        <v>8006664</v>
      </c>
      <c r="D7457" s="11" t="s">
        <v>23205</v>
      </c>
      <c r="E7457" s="11" t="s">
        <v>23206</v>
      </c>
    </row>
    <row r="7458" spans="1:5">
      <c r="A7458" s="11" t="s">
        <v>23207</v>
      </c>
      <c r="B7458">
        <v>8006666</v>
      </c>
      <c r="D7458" s="11" t="s">
        <v>23208</v>
      </c>
      <c r="E7458" s="11" t="s">
        <v>23209</v>
      </c>
    </row>
    <row r="7459" spans="1:5">
      <c r="A7459" s="11" t="s">
        <v>23210</v>
      </c>
      <c r="B7459">
        <v>8013409</v>
      </c>
      <c r="D7459" s="11" t="s">
        <v>23211</v>
      </c>
      <c r="E7459" s="11" t="s">
        <v>23212</v>
      </c>
    </row>
    <row r="7460" spans="1:5">
      <c r="A7460" s="11" t="s">
        <v>23213</v>
      </c>
      <c r="B7460">
        <v>8010393</v>
      </c>
      <c r="D7460" s="11" t="s">
        <v>23214</v>
      </c>
      <c r="E7460" s="11" t="s">
        <v>23215</v>
      </c>
    </row>
    <row r="7461" spans="1:5">
      <c r="A7461" s="11" t="s">
        <v>23216</v>
      </c>
      <c r="B7461">
        <v>8013410</v>
      </c>
      <c r="D7461" s="11" t="s">
        <v>23217</v>
      </c>
      <c r="E7461" s="11" t="s">
        <v>23218</v>
      </c>
    </row>
    <row r="7462" spans="1:5">
      <c r="A7462" s="11" t="s">
        <v>23219</v>
      </c>
      <c r="B7462">
        <v>8013411</v>
      </c>
      <c r="D7462" s="11" t="s">
        <v>23220</v>
      </c>
      <c r="E7462" s="11" t="s">
        <v>23221</v>
      </c>
    </row>
    <row r="7463" spans="1:5">
      <c r="A7463" s="11" t="s">
        <v>23222</v>
      </c>
      <c r="B7463">
        <v>8013412</v>
      </c>
      <c r="D7463" s="11" t="s">
        <v>23223</v>
      </c>
      <c r="E7463" s="11" t="s">
        <v>23224</v>
      </c>
    </row>
    <row r="7464" spans="1:5">
      <c r="A7464" s="11" t="s">
        <v>23225</v>
      </c>
      <c r="B7464">
        <v>8089129</v>
      </c>
      <c r="D7464" s="11" t="s">
        <v>1539</v>
      </c>
      <c r="E7464" s="11" t="s">
        <v>1539</v>
      </c>
    </row>
    <row r="7465" spans="1:5">
      <c r="A7465" s="11" t="s">
        <v>23226</v>
      </c>
      <c r="B7465">
        <v>8013414</v>
      </c>
      <c r="D7465" s="11" t="s">
        <v>23227</v>
      </c>
      <c r="E7465" s="11" t="s">
        <v>23228</v>
      </c>
    </row>
    <row r="7466" spans="1:5">
      <c r="A7466" s="11" t="s">
        <v>23229</v>
      </c>
      <c r="B7466">
        <v>8013413</v>
      </c>
      <c r="D7466" s="11" t="s">
        <v>23230</v>
      </c>
      <c r="E7466" s="11" t="s">
        <v>23231</v>
      </c>
    </row>
    <row r="7467" spans="1:5">
      <c r="A7467" s="11" t="s">
        <v>23232</v>
      </c>
      <c r="B7467">
        <v>8006667</v>
      </c>
      <c r="D7467" s="11" t="s">
        <v>23233</v>
      </c>
      <c r="E7467" s="11" t="s">
        <v>23234</v>
      </c>
    </row>
    <row r="7468" spans="1:5">
      <c r="A7468" s="11" t="s">
        <v>23235</v>
      </c>
      <c r="B7468">
        <v>8006670</v>
      </c>
      <c r="D7468" s="11" t="s">
        <v>23236</v>
      </c>
      <c r="E7468" s="11" t="s">
        <v>23237</v>
      </c>
    </row>
    <row r="7469" spans="1:5">
      <c r="A7469" s="11" t="s">
        <v>23238</v>
      </c>
      <c r="B7469">
        <v>8013422</v>
      </c>
      <c r="D7469" s="11" t="s">
        <v>23239</v>
      </c>
      <c r="E7469" s="11" t="s">
        <v>23240</v>
      </c>
    </row>
    <row r="7470" spans="1:5">
      <c r="A7470" s="11" t="s">
        <v>23241</v>
      </c>
      <c r="B7470">
        <v>8006671</v>
      </c>
      <c r="D7470" s="11" t="s">
        <v>23242</v>
      </c>
      <c r="E7470" s="11" t="s">
        <v>23243</v>
      </c>
    </row>
    <row r="7471" spans="1:5">
      <c r="A7471" s="11" t="s">
        <v>23244</v>
      </c>
      <c r="B7471">
        <v>8013418</v>
      </c>
      <c r="D7471" s="11" t="s">
        <v>23245</v>
      </c>
      <c r="E7471" s="11" t="s">
        <v>23246</v>
      </c>
    </row>
    <row r="7472" spans="1:5">
      <c r="A7472" s="11" t="s">
        <v>23247</v>
      </c>
      <c r="B7472">
        <v>8071193</v>
      </c>
      <c r="D7472" s="11" t="s">
        <v>23248</v>
      </c>
      <c r="E7472" s="11" t="s">
        <v>23249</v>
      </c>
    </row>
    <row r="7473" spans="1:5">
      <c r="A7473" s="11" t="s">
        <v>23250</v>
      </c>
      <c r="B7473">
        <v>8010395</v>
      </c>
      <c r="D7473" s="11" t="s">
        <v>23251</v>
      </c>
      <c r="E7473" s="11" t="s">
        <v>23252</v>
      </c>
    </row>
    <row r="7474" spans="1:5">
      <c r="A7474" s="11" t="s">
        <v>23253</v>
      </c>
      <c r="B7474">
        <v>8006672</v>
      </c>
      <c r="D7474" s="11" t="s">
        <v>23254</v>
      </c>
      <c r="E7474" s="11" t="s">
        <v>23255</v>
      </c>
    </row>
    <row r="7475" spans="1:5">
      <c r="A7475" s="11" t="s">
        <v>23256</v>
      </c>
      <c r="B7475">
        <v>8013424</v>
      </c>
      <c r="D7475" s="11" t="s">
        <v>23257</v>
      </c>
      <c r="E7475" s="11" t="s">
        <v>23258</v>
      </c>
    </row>
    <row r="7476" spans="1:5">
      <c r="A7476" s="11" t="s">
        <v>23259</v>
      </c>
      <c r="B7476">
        <v>8013425</v>
      </c>
      <c r="D7476" s="11" t="s">
        <v>23260</v>
      </c>
      <c r="E7476" s="11" t="s">
        <v>23261</v>
      </c>
    </row>
    <row r="7477" spans="1:5">
      <c r="A7477" s="11" t="s">
        <v>23262</v>
      </c>
      <c r="B7477">
        <v>8013427</v>
      </c>
      <c r="D7477" s="11" t="s">
        <v>23263</v>
      </c>
      <c r="E7477" s="11" t="s">
        <v>23264</v>
      </c>
    </row>
    <row r="7478" spans="1:5">
      <c r="A7478" s="11" t="s">
        <v>23265</v>
      </c>
      <c r="B7478">
        <v>8071817</v>
      </c>
      <c r="D7478" s="11" t="s">
        <v>23266</v>
      </c>
      <c r="E7478" s="11" t="s">
        <v>23267</v>
      </c>
    </row>
    <row r="7479" spans="1:5">
      <c r="A7479" s="11" t="s">
        <v>23268</v>
      </c>
      <c r="B7479">
        <v>8013311</v>
      </c>
      <c r="D7479" s="11" t="s">
        <v>23269</v>
      </c>
      <c r="E7479" s="11" t="s">
        <v>23270</v>
      </c>
    </row>
    <row r="7480" spans="1:5">
      <c r="A7480" s="11" t="s">
        <v>23271</v>
      </c>
      <c r="B7480">
        <v>8013428</v>
      </c>
      <c r="D7480" s="11" t="s">
        <v>23272</v>
      </c>
      <c r="E7480" s="11" t="s">
        <v>23273</v>
      </c>
    </row>
    <row r="7481" spans="1:5">
      <c r="A7481" s="11" t="s">
        <v>23274</v>
      </c>
      <c r="B7481">
        <v>8013429</v>
      </c>
      <c r="D7481" s="11" t="s">
        <v>23275</v>
      </c>
      <c r="E7481" s="11" t="s">
        <v>23276</v>
      </c>
    </row>
    <row r="7482" spans="1:5">
      <c r="A7482" s="11" t="s">
        <v>23277</v>
      </c>
      <c r="B7482">
        <v>8006674</v>
      </c>
      <c r="D7482" s="11" t="s">
        <v>23278</v>
      </c>
      <c r="E7482" s="11" t="s">
        <v>23279</v>
      </c>
    </row>
    <row r="7483" spans="1:5">
      <c r="A7483" s="11" t="s">
        <v>23280</v>
      </c>
      <c r="B7483">
        <v>8006678</v>
      </c>
      <c r="D7483" s="11" t="s">
        <v>23281</v>
      </c>
      <c r="E7483" s="11" t="s">
        <v>23282</v>
      </c>
    </row>
    <row r="7484" spans="1:5">
      <c r="A7484" s="11" t="s">
        <v>23283</v>
      </c>
      <c r="B7484">
        <v>8010396</v>
      </c>
      <c r="D7484" s="11" t="s">
        <v>23284</v>
      </c>
      <c r="E7484" s="11" t="s">
        <v>23285</v>
      </c>
    </row>
    <row r="7485" spans="1:5">
      <c r="A7485" s="11" t="s">
        <v>23286</v>
      </c>
      <c r="B7485">
        <v>8006676</v>
      </c>
      <c r="D7485" s="11" t="s">
        <v>23287</v>
      </c>
      <c r="E7485" s="11" t="s">
        <v>23288</v>
      </c>
    </row>
    <row r="7486" spans="1:5">
      <c r="A7486" s="11" t="s">
        <v>23289</v>
      </c>
      <c r="B7486">
        <v>8006679</v>
      </c>
      <c r="D7486" s="11" t="s">
        <v>23290</v>
      </c>
      <c r="E7486" s="11" t="s">
        <v>23291</v>
      </c>
    </row>
    <row r="7487" spans="1:5">
      <c r="A7487" s="11" t="s">
        <v>23292</v>
      </c>
      <c r="B7487">
        <v>8006680</v>
      </c>
      <c r="D7487" s="11" t="s">
        <v>23293</v>
      </c>
      <c r="E7487" s="11" t="s">
        <v>23294</v>
      </c>
    </row>
    <row r="7488" spans="1:5">
      <c r="A7488" s="11" t="s">
        <v>23295</v>
      </c>
      <c r="B7488">
        <v>8006682</v>
      </c>
      <c r="D7488" s="11" t="s">
        <v>23296</v>
      </c>
      <c r="E7488" s="11" t="s">
        <v>23297</v>
      </c>
    </row>
    <row r="7489" spans="1:5">
      <c r="A7489" s="11" t="s">
        <v>23298</v>
      </c>
      <c r="B7489">
        <v>8013447</v>
      </c>
      <c r="D7489" s="11" t="s">
        <v>23299</v>
      </c>
      <c r="E7489" s="11" t="s">
        <v>23300</v>
      </c>
    </row>
    <row r="7490" spans="1:5">
      <c r="A7490" s="11" t="s">
        <v>23301</v>
      </c>
      <c r="B7490">
        <v>8071410</v>
      </c>
      <c r="D7490" s="11" t="s">
        <v>23302</v>
      </c>
      <c r="E7490" s="11" t="s">
        <v>23303</v>
      </c>
    </row>
    <row r="7491" spans="1:5">
      <c r="A7491" s="11" t="s">
        <v>23304</v>
      </c>
      <c r="B7491">
        <v>8000292</v>
      </c>
      <c r="D7491" s="11" t="s">
        <v>23305</v>
      </c>
      <c r="E7491" s="11" t="s">
        <v>23306</v>
      </c>
    </row>
    <row r="7492" spans="1:5">
      <c r="A7492" s="11" t="s">
        <v>1157</v>
      </c>
      <c r="B7492">
        <v>8000289</v>
      </c>
      <c r="D7492" s="11" t="s">
        <v>1159</v>
      </c>
      <c r="E7492" s="11" t="s">
        <v>1160</v>
      </c>
    </row>
    <row r="7493" spans="1:5">
      <c r="A7493" s="11" t="s">
        <v>125</v>
      </c>
      <c r="B7493">
        <v>8010397</v>
      </c>
      <c r="D7493" s="11" t="s">
        <v>710</v>
      </c>
      <c r="E7493" s="11" t="s">
        <v>711</v>
      </c>
    </row>
    <row r="7494" spans="1:5">
      <c r="A7494" s="11" t="s">
        <v>46</v>
      </c>
      <c r="B7494">
        <v>8013433</v>
      </c>
      <c r="D7494" s="11" t="s">
        <v>922</v>
      </c>
      <c r="E7494" s="11" t="s">
        <v>923</v>
      </c>
    </row>
    <row r="7495" spans="1:5">
      <c r="A7495" s="11" t="s">
        <v>23307</v>
      </c>
      <c r="B7495">
        <v>8013434</v>
      </c>
      <c r="D7495" s="11" t="s">
        <v>23308</v>
      </c>
      <c r="E7495" s="11" t="s">
        <v>23309</v>
      </c>
    </row>
    <row r="7496" spans="1:5">
      <c r="A7496" s="11" t="s">
        <v>23310</v>
      </c>
      <c r="B7496">
        <v>8006684</v>
      </c>
      <c r="D7496" s="11" t="s">
        <v>23311</v>
      </c>
      <c r="E7496" s="11" t="s">
        <v>23312</v>
      </c>
    </row>
    <row r="7497" spans="1:5">
      <c r="A7497" s="11" t="s">
        <v>23313</v>
      </c>
      <c r="B7497">
        <v>8006685</v>
      </c>
      <c r="D7497" s="11" t="s">
        <v>23314</v>
      </c>
      <c r="E7497" s="11" t="s">
        <v>23315</v>
      </c>
    </row>
    <row r="7498" spans="1:5">
      <c r="A7498" s="11" t="s">
        <v>23316</v>
      </c>
      <c r="B7498">
        <v>8006686</v>
      </c>
      <c r="D7498" s="11" t="s">
        <v>23317</v>
      </c>
      <c r="E7498" s="11" t="s">
        <v>23318</v>
      </c>
    </row>
    <row r="7499" spans="1:5">
      <c r="A7499" s="11" t="s">
        <v>23319</v>
      </c>
      <c r="B7499">
        <v>8006687</v>
      </c>
      <c r="D7499" s="11" t="s">
        <v>23320</v>
      </c>
      <c r="E7499" s="11" t="s">
        <v>23321</v>
      </c>
    </row>
    <row r="7500" spans="1:5">
      <c r="A7500" s="11" t="s">
        <v>23322</v>
      </c>
      <c r="B7500">
        <v>8013435</v>
      </c>
      <c r="D7500" s="11" t="s">
        <v>23323</v>
      </c>
      <c r="E7500" s="11" t="s">
        <v>23324</v>
      </c>
    </row>
    <row r="7501" spans="1:5">
      <c r="A7501" s="11" t="s">
        <v>23325</v>
      </c>
      <c r="B7501">
        <v>8071642</v>
      </c>
      <c r="D7501" s="11" t="s">
        <v>23326</v>
      </c>
      <c r="E7501" s="11" t="s">
        <v>23327</v>
      </c>
    </row>
    <row r="7502" spans="1:5">
      <c r="A7502" s="11" t="s">
        <v>23328</v>
      </c>
      <c r="B7502">
        <v>8013437</v>
      </c>
      <c r="D7502" s="11" t="s">
        <v>23329</v>
      </c>
      <c r="E7502" s="11" t="s">
        <v>23330</v>
      </c>
    </row>
    <row r="7503" spans="1:5">
      <c r="A7503" s="11" t="s">
        <v>23331</v>
      </c>
      <c r="B7503">
        <v>8013436</v>
      </c>
      <c r="D7503" s="11" t="s">
        <v>23332</v>
      </c>
      <c r="E7503" s="11" t="s">
        <v>23333</v>
      </c>
    </row>
    <row r="7504" spans="1:5">
      <c r="A7504" s="11" t="s">
        <v>23334</v>
      </c>
      <c r="B7504">
        <v>8010398</v>
      </c>
      <c r="D7504" s="11" t="s">
        <v>23335</v>
      </c>
      <c r="E7504" s="11" t="s">
        <v>23336</v>
      </c>
    </row>
  </sheetData>
  <pageMargins left="0.7" right="0.7" top="0.78740157499999996" bottom="0.78740157499999996" header="0.3" footer="0.3"/>
  <pageSetup paperSize="9" orientation="portrait" r:id="rId1"/>
  <headerFooter>
    <oddHeader>&amp;L&amp;"DB Neo Office"&amp;11&amp;KEC0016           DB Intern / DB internal&amp;1#_x000D_</oddHeader>
  </headerFooter>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27EF2-8432-470B-8B73-54447439B9BC}">
  <sheetPr>
    <tabColor theme="4"/>
  </sheetPr>
  <dimension ref="A1:W601"/>
  <sheetViews>
    <sheetView tabSelected="1" zoomScaleNormal="100" workbookViewId="0">
      <pane ySplit="1" topLeftCell="A9" activePane="bottomLeft" state="frozen"/>
      <selection pane="bottomLeft" activeCell="E439" sqref="E439"/>
    </sheetView>
  </sheetViews>
  <sheetFormatPr baseColWidth="10" defaultColWidth="11.42578125" defaultRowHeight="15"/>
  <cols>
    <col min="1" max="1" width="14.140625" style="1" customWidth="1"/>
    <col min="2" max="2" width="29.7109375" style="1" bestFit="1" customWidth="1"/>
    <col min="3" max="3" width="8" bestFit="1" customWidth="1"/>
    <col min="4" max="4" width="55.42578125" style="1" customWidth="1"/>
    <col min="5" max="5" width="35.140625" customWidth="1"/>
    <col min="6" max="6" width="19.7109375" customWidth="1"/>
    <col min="7" max="10" width="8.140625" customWidth="1"/>
    <col min="11" max="11" width="30.140625" customWidth="1"/>
    <col min="12" max="13" width="12" customWidth="1"/>
    <col min="14" max="14" width="9.42578125" customWidth="1"/>
    <col min="15" max="16" width="8.42578125" customWidth="1"/>
    <col min="17" max="17" width="7" customWidth="1"/>
    <col min="18" max="18" width="10.42578125" customWidth="1"/>
    <col min="19" max="19" width="8.42578125" customWidth="1"/>
    <col min="20" max="20" width="6.140625" style="60" customWidth="1"/>
    <col min="21" max="21" width="6" customWidth="1"/>
    <col min="22" max="22" width="4.42578125" customWidth="1"/>
    <col min="23" max="23" width="19.42578125" bestFit="1" customWidth="1"/>
  </cols>
  <sheetData>
    <row r="1" spans="1:23" s="65" customFormat="1" ht="60">
      <c r="A1" s="67" t="s">
        <v>23337</v>
      </c>
      <c r="B1" s="67" t="s">
        <v>23338</v>
      </c>
      <c r="C1" s="67" t="s">
        <v>1208</v>
      </c>
      <c r="D1" s="65" t="s">
        <v>1209</v>
      </c>
      <c r="E1" s="65" t="s">
        <v>23339</v>
      </c>
      <c r="F1" s="65" t="s">
        <v>23340</v>
      </c>
      <c r="G1" s="65" t="s">
        <v>23341</v>
      </c>
      <c r="H1" s="65" t="s">
        <v>23342</v>
      </c>
      <c r="I1" s="65" t="s">
        <v>1211</v>
      </c>
      <c r="J1" s="65" t="s">
        <v>23343</v>
      </c>
      <c r="K1" s="66" t="s">
        <v>16</v>
      </c>
      <c r="L1" s="67" t="s">
        <v>158</v>
      </c>
      <c r="M1" s="67" t="s">
        <v>159</v>
      </c>
      <c r="N1" s="67" t="s">
        <v>150</v>
      </c>
      <c r="O1" s="67" t="s">
        <v>151</v>
      </c>
      <c r="P1" s="67" t="s">
        <v>23344</v>
      </c>
      <c r="Q1" s="67" t="s">
        <v>23345</v>
      </c>
      <c r="R1" s="67" t="s">
        <v>23346</v>
      </c>
      <c r="S1" s="67" t="s">
        <v>23347</v>
      </c>
      <c r="T1" s="68" t="s">
        <v>23348</v>
      </c>
      <c r="U1" s="67" t="s">
        <v>23349</v>
      </c>
      <c r="V1" s="67" t="s">
        <v>23350</v>
      </c>
      <c r="W1" s="65" t="s">
        <v>23351</v>
      </c>
    </row>
    <row r="2" spans="1:23" ht="75" hidden="1">
      <c r="A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 t="s">
        <v>23352</v>
      </c>
      <c r="C2" s="92" t="s">
        <v>23353</v>
      </c>
      <c r="D2" s="1" t="s">
        <v>23354</v>
      </c>
      <c r="E2" t="s">
        <v>23355</v>
      </c>
      <c r="F2" t="s">
        <v>23356</v>
      </c>
      <c r="G2">
        <v>2</v>
      </c>
      <c r="H2">
        <v>15</v>
      </c>
      <c r="I2">
        <v>0.1</v>
      </c>
      <c r="J2">
        <v>20</v>
      </c>
      <c r="K2" t="str" cm="1">
        <f t="array" ref="K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2" t="str">
        <f>IFERROR(LEFT(TRIM(Lose[[#This Row],[Google Koordinaten]]),9),"")</f>
        <v>52.969023</v>
      </c>
      <c r="M2" t="str">
        <f>IFERROR(MID(TRIM(Lose[[#This Row],[Google Koordinaten]]),
FIND(",",TRIM(Lose[[#This Row],[Google Koordinaten]])) + 2,9),"")</f>
        <v>10.552415</v>
      </c>
      <c r="N2">
        <f>IF(Lose[[#This Row],[Bahn-hofs-zeit]]=0,0,MROUND(30*25^((Lose[[#This Row],[Bahn-hofs-zeit]]-_xlfn.MINIFS(Lose[Bahn-hofs-zeit],Lose[Bahn-hofs-zeit],"&gt;0"))/(MAX(Lose[Bahn-hofs-zeit])-_xlfn.MINIFS(Lose[Bahn-hofs-zeit],Lose[Bahn-hofs-zeit],"&gt;0"))),5))</f>
        <v>75</v>
      </c>
      <c r="O2">
        <f>IF(Lose[[#This Row],[Gehzeit (min)]]="",0,CEILING(3*(Lose[[#This Row],[Gehzeit (min)]]+Lose[[#This Row],[Aufgaben-zeit (min)]]),5))</f>
        <v>55</v>
      </c>
      <c r="P2">
        <v>6.5</v>
      </c>
      <c r="Q2">
        <f>IFERROR(ROUND(Lose[[#This Row],[Distanz (km)]]*60/Lose[[#This Row],[Gehzeit (min)]],1),"")</f>
        <v>3</v>
      </c>
      <c r="R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2">
        <f>IFERROR(Lose[[#This Row],[Distanz (km)]]-Lose[[#This Row],[Check Distanz]],"")</f>
        <v>1.0000000000000009E-2</v>
      </c>
      <c r="T2" s="60">
        <f>IFERROR(Lose[[#This Row],[Check Umweg]]/Lose[[#This Row],[Check Distanz]],"")</f>
        <v>0.11111111111111122</v>
      </c>
      <c r="U2">
        <f ca="1">IF(RIGHT(Lose[[#This Row],[LosID]],1)="b",_xlfn.XLOOKUP(REPLACE(Lose[[#This Row],[LosID]],LEN(Lose[[#This Row],[LosID]]),1,"a"),Lose[LosID],Lose[Zufallszahl],"",0),RAND())</f>
        <v>0.83818599018064599</v>
      </c>
      <c r="V2" t="b" cm="1">
        <f t="array" aca="1" ref="V2" ca="1">Lose[[#This Row],[Zufallszahl]]&gt;=IFERROR(LARGE((LEFT(Lose[LosID],FIND("-",Lose[LosID])-1)=LEFT(Lose[[#This Row],[LosID]],FIND("-",Lose[[#This Row],[LosID]])-1))*Lose[Zufallszahl],_xlfn.XLOOKUP(LEFT(Lose[[#This Row],[LosID]],FIND("-",Lose[[#This Row],[LosID]])-1),Ziehungsanzahl[Kürzel],Ziehungsanzahl[Kontingent],FALSE,0)),9999)</f>
        <v>0</v>
      </c>
    </row>
    <row r="3" spans="1:23" ht="60" hidden="1">
      <c r="A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 t="s">
        <v>23357</v>
      </c>
      <c r="C3" s="93" t="s">
        <v>23358</v>
      </c>
      <c r="D3" s="1" t="s">
        <v>23359</v>
      </c>
      <c r="E3" s="1" t="s">
        <v>23360</v>
      </c>
      <c r="F3" t="s">
        <v>23361</v>
      </c>
      <c r="G3">
        <v>2</v>
      </c>
      <c r="H3">
        <v>1</v>
      </c>
      <c r="I3">
        <v>0.1</v>
      </c>
      <c r="K3" t="str" cm="1">
        <f t="array" ref="K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Hamburg-Harburg</v>
      </c>
      <c r="L3" t="str">
        <f>IFERROR(LEFT(TRIM(Lose[[#This Row],[Google Koordinaten]]),9),"")</f>
        <v>53.456248</v>
      </c>
      <c r="M3" t="str">
        <f>IFERROR(MID(TRIM(Lose[[#This Row],[Google Koordinaten]]),
FIND(",",TRIM(Lose[[#This Row],[Google Koordinaten]])) + 2,9),"")</f>
        <v>9.9916987</v>
      </c>
      <c r="N3">
        <f>IF(Lose[[#This Row],[Bahn-hofs-zeit]]=0,0,MROUND(30*25^((Lose[[#This Row],[Bahn-hofs-zeit]]-_xlfn.MINIFS(Lose[Bahn-hofs-zeit],Lose[Bahn-hofs-zeit],"&gt;0"))/(MAX(Lose[Bahn-hofs-zeit])-_xlfn.MINIFS(Lose[Bahn-hofs-zeit],Lose[Bahn-hofs-zeit],"&gt;0"))),5))</f>
        <v>70</v>
      </c>
      <c r="O3">
        <f>IF(Lose[[#This Row],[Gehzeit (min)]]="",0,CEILING(3*(Lose[[#This Row],[Gehzeit (min)]]+Lose[[#This Row],[Aufgaben-zeit (min)]]),5))</f>
        <v>10</v>
      </c>
      <c r="P3">
        <v>6.25</v>
      </c>
      <c r="Q3">
        <f>IFERROR(ROUND(Lose[[#This Row],[Distanz (km)]]*60/Lose[[#This Row],[Gehzeit (min)]],1),"")</f>
        <v>3</v>
      </c>
      <c r="R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3">
        <f>IFERROR(Lose[[#This Row],[Distanz (km)]]-Lose[[#This Row],[Check Distanz]],"")</f>
        <v>6.0000000000000005E-2</v>
      </c>
      <c r="T3" s="60">
        <f>IFERROR(Lose[[#This Row],[Check Umweg]]/Lose[[#This Row],[Check Distanz]],"")</f>
        <v>1.5</v>
      </c>
      <c r="U3">
        <f ca="1">IF(RIGHT(Lose[[#This Row],[LosID]],1)="b",_xlfn.XLOOKUP(REPLACE(Lose[[#This Row],[LosID]],LEN(Lose[[#This Row],[LosID]]),1,"a"),Lose[LosID],Lose[Zufallszahl],"",0),RAND())</f>
        <v>0.97624782543359856</v>
      </c>
      <c r="V3" t="b" cm="1">
        <f t="array" aca="1" ref="V3" ca="1">Lose[[#This Row],[Zufallszahl]]&gt;=IFERROR(LARGE((LEFT(Lose[LosID],FIND("-",Lose[LosID])-1)=LEFT(Lose[[#This Row],[LosID]],FIND("-",Lose[[#This Row],[LosID]])-1))*Lose[Zufallszahl],_xlfn.XLOOKUP(LEFT(Lose[[#This Row],[LosID]],FIND("-",Lose[[#This Row],[LosID]])-1),Ziehungsanzahl[Kürzel],Ziehungsanzahl[Kontingent],FALSE,0)),9999)</f>
        <v>0</v>
      </c>
      <c r="W3" s="1" t="s">
        <v>23362</v>
      </c>
    </row>
    <row r="4" spans="1:23" ht="135" hidden="1">
      <c r="A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 t="s">
        <v>23363</v>
      </c>
      <c r="C4" s="92" t="s">
        <v>1420</v>
      </c>
      <c r="D4" s="1" t="s">
        <v>23364</v>
      </c>
      <c r="E4" t="s">
        <v>23365</v>
      </c>
      <c r="F4" t="s">
        <v>23366</v>
      </c>
      <c r="G4">
        <v>0.2</v>
      </c>
      <c r="H4">
        <v>2</v>
      </c>
      <c r="I4">
        <v>1.4999999999999999E-2</v>
      </c>
      <c r="J4">
        <v>10</v>
      </c>
      <c r="K4" t="str" cm="1">
        <f t="array" ref="K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Werbig</v>
      </c>
      <c r="L4" t="str">
        <f>IFERROR(LEFT(TRIM(Lose[[#This Row],[Google Koordinaten]]),9),"")</f>
        <v>52.564861</v>
      </c>
      <c r="M4" t="str">
        <f>IFERROR(MID(TRIM(Lose[[#This Row],[Google Koordinaten]]),
FIND(",",TRIM(Lose[[#This Row],[Google Koordinaten]])) + 2,9),"")</f>
        <v>14.405309</v>
      </c>
      <c r="N4">
        <f>IF(Lose[[#This Row],[Bahn-hofs-zeit]]=0,0,MROUND(30*25^((Lose[[#This Row],[Bahn-hofs-zeit]]-_xlfn.MINIFS(Lose[Bahn-hofs-zeit],Lose[Bahn-hofs-zeit],"&gt;0"))/(MAX(Lose[Bahn-hofs-zeit])-_xlfn.MINIFS(Lose[Bahn-hofs-zeit],Lose[Bahn-hofs-zeit],"&gt;0"))),5))</f>
        <v>365</v>
      </c>
      <c r="O4">
        <f>IF(Lose[[#This Row],[Gehzeit (min)]]="",0,CEILING(3*(Lose[[#This Row],[Gehzeit (min)]]+Lose[[#This Row],[Aufgaben-zeit (min)]]),5))</f>
        <v>10</v>
      </c>
      <c r="P4">
        <v>12</v>
      </c>
      <c r="Q4">
        <f>IFERROR(ROUND(Lose[[#This Row],[Distanz (km)]]*60/Lose[[#This Row],[Gehzeit (min)]],1),"")</f>
        <v>4.5</v>
      </c>
      <c r="R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
        <f>IFERROR(Lose[[#This Row],[Distanz (km)]]-Lose[[#This Row],[Check Distanz]],"")</f>
        <v>4.9999999999999992E-3</v>
      </c>
      <c r="T4" s="60">
        <f>IFERROR(Lose[[#This Row],[Check Umweg]]/Lose[[#This Row],[Check Distanz]],"")</f>
        <v>0.49999999999999989</v>
      </c>
      <c r="U4">
        <f ca="1">IF(RIGHT(Lose[[#This Row],[LosID]],1)="b",_xlfn.XLOOKUP(REPLACE(Lose[[#This Row],[LosID]],LEN(Lose[[#This Row],[LosID]]),1,"a"),Lose[LosID],Lose[Zufallszahl],"",0),RAND())</f>
        <v>0.78230889806188819</v>
      </c>
      <c r="V4" t="b" cm="1">
        <f t="array" aca="1" ref="V4" ca="1">Lose[[#This Row],[Zufallszahl]]&gt;=IFERROR(LARGE((LEFT(Lose[LosID],FIND("-",Lose[LosID])-1)=LEFT(Lose[[#This Row],[LosID]],FIND("-",Lose[[#This Row],[LosID]])-1))*Lose[Zufallszahl],_xlfn.XLOOKUP(LEFT(Lose[[#This Row],[LosID]],FIND("-",Lose[[#This Row],[LosID]])-1),Ziehungsanzahl[Kürzel],Ziehungsanzahl[Kontingent],FALSE,0)),9999)</f>
        <v>0</v>
      </c>
    </row>
    <row r="5" spans="1:23" ht="45" hidden="1">
      <c r="A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 t="s">
        <v>23367</v>
      </c>
      <c r="C5" s="92" t="s">
        <v>23368</v>
      </c>
      <c r="D5" s="1" t="s">
        <v>23369</v>
      </c>
      <c r="E5" t="s">
        <v>23370</v>
      </c>
      <c r="F5" t="s">
        <v>23371</v>
      </c>
      <c r="G5">
        <v>15</v>
      </c>
      <c r="H5">
        <v>2</v>
      </c>
      <c r="I5">
        <v>1</v>
      </c>
      <c r="K5" t="str" cm="1">
        <f t="array" ref="K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Hude</v>
      </c>
      <c r="L5" t="str">
        <f>IFERROR(LEFT(TRIM(Lose[[#This Row],[Google Koordinaten]]),9),"")</f>
        <v>53.105628</v>
      </c>
      <c r="M5" t="str">
        <f>IFERROR(MID(TRIM(Lose[[#This Row],[Google Koordinaten]]),
FIND(",",TRIM(Lose[[#This Row],[Google Koordinaten]])) + 2,9),"")</f>
        <v>8.4517995</v>
      </c>
      <c r="N5">
        <f>IF(Lose[[#This Row],[Bahn-hofs-zeit]]=0,0,MROUND(30*25^((Lose[[#This Row],[Bahn-hofs-zeit]]-_xlfn.MINIFS(Lose[Bahn-hofs-zeit],Lose[Bahn-hofs-zeit],"&gt;0"))/(MAX(Lose[Bahn-hofs-zeit])-_xlfn.MINIFS(Lose[Bahn-hofs-zeit],Lose[Bahn-hofs-zeit],"&gt;0"))),5))</f>
        <v>80</v>
      </c>
      <c r="O5">
        <f>IF(Lose[[#This Row],[Gehzeit (min)]]="",0,CEILING(3*(Lose[[#This Row],[Gehzeit (min)]]+Lose[[#This Row],[Aufgaben-zeit (min)]]),5))</f>
        <v>55</v>
      </c>
      <c r="P5">
        <v>6.75</v>
      </c>
      <c r="Q5">
        <f>IFERROR(ROUND(Lose[[#This Row],[Distanz (km)]]*60/Lose[[#This Row],[Gehzeit (min)]],1),"")</f>
        <v>4</v>
      </c>
      <c r="R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5">
        <f>IFERROR(Lose[[#This Row],[Distanz (km)]]-Lose[[#This Row],[Check Distanz]],"")</f>
        <v>0.26</v>
      </c>
      <c r="T5" s="60">
        <f>IFERROR(Lose[[#This Row],[Check Umweg]]/Lose[[#This Row],[Check Distanz]],"")</f>
        <v>0.35135135135135137</v>
      </c>
      <c r="U5">
        <f ca="1">IF(RIGHT(Lose[[#This Row],[LosID]],1)="b",_xlfn.XLOOKUP(REPLACE(Lose[[#This Row],[LosID]],LEN(Lose[[#This Row],[LosID]]),1,"a"),Lose[LosID],Lose[Zufallszahl],"",0),RAND())</f>
        <v>0.53703002495073326</v>
      </c>
      <c r="V5" t="b" cm="1">
        <f t="array" aca="1" ref="V5" ca="1">Lose[[#This Row],[Zufallszahl]]&gt;=IFERROR(LARGE((LEFT(Lose[LosID],FIND("-",Lose[LosID])-1)=LEFT(Lose[[#This Row],[LosID]],FIND("-",Lose[[#This Row],[LosID]])-1))*Lose[Zufallszahl],_xlfn.XLOOKUP(LEFT(Lose[[#This Row],[LosID]],FIND("-",Lose[[#This Row],[LosID]])-1),Ziehungsanzahl[Kürzel],Ziehungsanzahl[Kontingent],FALSE,0)),9999)</f>
        <v>0</v>
      </c>
    </row>
    <row r="6" spans="1:23" ht="90" hidden="1">
      <c r="A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 t="s">
        <v>23372</v>
      </c>
      <c r="C6" s="92" t="s">
        <v>23373</v>
      </c>
      <c r="D6" s="1" t="s">
        <v>23374</v>
      </c>
      <c r="E6" t="s">
        <v>23375</v>
      </c>
      <c r="F6" t="s">
        <v>23376</v>
      </c>
      <c r="G6">
        <v>13</v>
      </c>
      <c r="H6">
        <v>2</v>
      </c>
      <c r="I6">
        <v>0.9</v>
      </c>
      <c r="K6" t="str" cm="1">
        <f t="array" ref="K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Minden(Westf)</v>
      </c>
      <c r="L6" t="str">
        <f>IFERROR(LEFT(TRIM(Lose[[#This Row],[Google Koordinaten]]),9),"")</f>
        <v>52.290829</v>
      </c>
      <c r="M6" t="str">
        <f>IFERROR(MID(TRIM(Lose[[#This Row],[Google Koordinaten]]),
FIND(",",TRIM(Lose[[#This Row],[Google Koordinaten]])) + 2,9),"")</f>
        <v>8.9250052</v>
      </c>
      <c r="N6">
        <f>IF(Lose[[#This Row],[Bahn-hofs-zeit]]=0,0,MROUND(30*25^((Lose[[#This Row],[Bahn-hofs-zeit]]-_xlfn.MINIFS(Lose[Bahn-hofs-zeit],Lose[Bahn-hofs-zeit],"&gt;0"))/(MAX(Lose[Bahn-hofs-zeit])-_xlfn.MINIFS(Lose[Bahn-hofs-zeit],Lose[Bahn-hofs-zeit],"&gt;0"))),5))</f>
        <v>55</v>
      </c>
      <c r="O6">
        <f>IF(Lose[[#This Row],[Gehzeit (min)]]="",0,CEILING(3*(Lose[[#This Row],[Gehzeit (min)]]+Lose[[#This Row],[Aufgaben-zeit (min)]]),5))</f>
        <v>45</v>
      </c>
      <c r="P6">
        <v>5.5</v>
      </c>
      <c r="Q6">
        <f>IFERROR(ROUND(Lose[[#This Row],[Distanz (km)]]*60/Lose[[#This Row],[Gehzeit (min)]],1),"")</f>
        <v>4.2</v>
      </c>
      <c r="R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6">
        <f>IFERROR(Lose[[#This Row],[Distanz (km)]]-Lose[[#This Row],[Check Distanz]],"")</f>
        <v>0.22999999999999998</v>
      </c>
      <c r="T6" s="60">
        <f>IFERROR(Lose[[#This Row],[Check Umweg]]/Lose[[#This Row],[Check Distanz]],"")</f>
        <v>0.34328358208955218</v>
      </c>
      <c r="U6">
        <f ca="1">IF(RIGHT(Lose[[#This Row],[LosID]],1)="b",_xlfn.XLOOKUP(REPLACE(Lose[[#This Row],[LosID]],LEN(Lose[[#This Row],[LosID]]),1,"a"),Lose[LosID],Lose[Zufallszahl],"",0),RAND())</f>
        <v>0.4906648041537589</v>
      </c>
      <c r="V6" t="b" cm="1">
        <f t="array" aca="1" ref="V6" ca="1">Lose[[#This Row],[Zufallszahl]]&gt;=IFERROR(LARGE((LEFT(Lose[LosID],FIND("-",Lose[LosID])-1)=LEFT(Lose[[#This Row],[LosID]],FIND("-",Lose[[#This Row],[LosID]])-1))*Lose[Zufallszahl],_xlfn.XLOOKUP(LEFT(Lose[[#This Row],[LosID]],FIND("-",Lose[[#This Row],[LosID]])-1),Ziehungsanzahl[Kürzel],Ziehungsanzahl[Kontingent],FALSE,0)),9999)</f>
        <v>0</v>
      </c>
    </row>
    <row r="7" spans="1:23" ht="180" hidden="1">
      <c r="A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 t="s">
        <v>4</v>
      </c>
      <c r="C7" s="93" t="s">
        <v>1421</v>
      </c>
      <c r="D7" s="1" t="s">
        <v>23377</v>
      </c>
      <c r="E7" t="s">
        <v>23378</v>
      </c>
      <c r="F7" t="s">
        <v>23379</v>
      </c>
      <c r="G7">
        <v>10</v>
      </c>
      <c r="H7">
        <v>10</v>
      </c>
      <c r="I7">
        <v>0.7</v>
      </c>
      <c r="J7">
        <v>3</v>
      </c>
      <c r="K7" t="str" cm="1">
        <f t="array" ref="K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Lünen Hbf</v>
      </c>
      <c r="L7" t="str">
        <f>IFERROR(LEFT(TRIM(Lose[[#This Row],[Google Koordinaten]]),9),"")</f>
        <v>51.614409</v>
      </c>
      <c r="M7" t="str">
        <f>IFERROR(MID(TRIM(Lose[[#This Row],[Google Koordinaten]]),
FIND(",",TRIM(Lose[[#This Row],[Google Koordinaten]])) + 2,9),"")</f>
        <v>7.5223408</v>
      </c>
      <c r="N7">
        <f>IF(Lose[[#This Row],[Bahn-hofs-zeit]]=0,0,MROUND(30*25^((Lose[[#This Row],[Bahn-hofs-zeit]]-_xlfn.MINIFS(Lose[Bahn-hofs-zeit],Lose[Bahn-hofs-zeit],"&gt;0"))/(MAX(Lose[Bahn-hofs-zeit])-_xlfn.MINIFS(Lose[Bahn-hofs-zeit],Lose[Bahn-hofs-zeit],"&gt;0"))),5))</f>
        <v>45</v>
      </c>
      <c r="O7">
        <f>IF(Lose[[#This Row],[Gehzeit (min)]]="",0,CEILING(3*(Lose[[#This Row],[Gehzeit (min)]]+Lose[[#This Row],[Aufgaben-zeit (min)]]),5))</f>
        <v>60</v>
      </c>
      <c r="P7">
        <v>4.75</v>
      </c>
      <c r="Q7">
        <f>IFERROR(ROUND(Lose[[#This Row],[Distanz (km)]]*60/Lose[[#This Row],[Gehzeit (min)]],1),"")</f>
        <v>4.2</v>
      </c>
      <c r="R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7">
        <f>IFERROR(Lose[[#This Row],[Distanz (km)]]-Lose[[#This Row],[Check Distanz]],"")</f>
        <v>0.12</v>
      </c>
      <c r="T7" s="60">
        <f>IFERROR(Lose[[#This Row],[Check Umweg]]/Lose[[#This Row],[Check Distanz]],"")</f>
        <v>0.20689655172413793</v>
      </c>
      <c r="U7">
        <f ca="1">IF(RIGHT(Lose[[#This Row],[LosID]],1)="b",_xlfn.XLOOKUP(REPLACE(Lose[[#This Row],[LosID]],LEN(Lose[[#This Row],[LosID]]),1,"a"),Lose[LosID],Lose[Zufallszahl],"",0),RAND())</f>
        <v>0.37621694123535243</v>
      </c>
      <c r="V7" t="b" cm="1">
        <f t="array" aca="1" ref="V7" ca="1">Lose[[#This Row],[Zufallszahl]]&gt;=IFERROR(LARGE((LEFT(Lose[LosID],FIND("-",Lose[LosID])-1)=LEFT(Lose[[#This Row],[LosID]],FIND("-",Lose[[#This Row],[LosID]])-1))*Lose[Zufallszahl],_xlfn.XLOOKUP(LEFT(Lose[[#This Row],[LosID]],FIND("-",Lose[[#This Row],[LosID]])-1),Ziehungsanzahl[Kürzel],Ziehungsanzahl[Kontingent],FALSE,0)),9999)</f>
        <v>0</v>
      </c>
    </row>
    <row r="8" spans="1:23" ht="120" hidden="1">
      <c r="A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 t="s">
        <v>23380</v>
      </c>
      <c r="C8" s="92" t="s">
        <v>23381</v>
      </c>
      <c r="D8" s="1" t="s">
        <v>23382</v>
      </c>
      <c r="E8" t="s">
        <v>23383</v>
      </c>
      <c r="F8" t="s">
        <v>23384</v>
      </c>
      <c r="G8">
        <v>4</v>
      </c>
      <c r="H8">
        <v>2</v>
      </c>
      <c r="I8">
        <v>0.23</v>
      </c>
      <c r="J8">
        <v>10</v>
      </c>
      <c r="K8" t="str" cm="1">
        <f t="array" ref="K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Ludwigshafen(Rh)Hbf</v>
      </c>
      <c r="L8" t="str">
        <f>IFERROR(LEFT(TRIM(Lose[[#This Row],[Google Koordinaten]]),9),"")</f>
        <v>49.477626</v>
      </c>
      <c r="M8" t="str">
        <f>IFERROR(MID(TRIM(Lose[[#This Row],[Google Koordinaten]]),
FIND(",",TRIM(Lose[[#This Row],[Google Koordinaten]])) + 2,9),"")</f>
        <v>8.4332475</v>
      </c>
      <c r="N8">
        <f>IF(Lose[[#This Row],[Bahn-hofs-zeit]]=0,0,MROUND(30*25^((Lose[[#This Row],[Bahn-hofs-zeit]]-_xlfn.MINIFS(Lose[Bahn-hofs-zeit],Lose[Bahn-hofs-zeit],"&gt;0"))/(MAX(Lose[Bahn-hofs-zeit])-_xlfn.MINIFS(Lose[Bahn-hofs-zeit],Lose[Bahn-hofs-zeit],"&gt;0"))),5))</f>
        <v>45</v>
      </c>
      <c r="O8">
        <f>IF(Lose[[#This Row],[Gehzeit (min)]]="",0,CEILING(3*(Lose[[#This Row],[Gehzeit (min)]]+Lose[[#This Row],[Aufgaben-zeit (min)]]),5))</f>
        <v>20</v>
      </c>
      <c r="P8">
        <v>4.75</v>
      </c>
      <c r="Q8">
        <f>IFERROR(ROUND(Lose[[#This Row],[Distanz (km)]]*60/Lose[[#This Row],[Gehzeit (min)]],1),"")</f>
        <v>3.5</v>
      </c>
      <c r="R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8">
        <f>IFERROR(Lose[[#This Row],[Distanz (km)]]-Lose[[#This Row],[Check Distanz]],"")</f>
        <v>0.11000000000000001</v>
      </c>
      <c r="T8" s="60">
        <f>IFERROR(Lose[[#This Row],[Check Umweg]]/Lose[[#This Row],[Check Distanz]],"")</f>
        <v>0.91666666666666685</v>
      </c>
      <c r="U8">
        <f ca="1">IF(RIGHT(Lose[[#This Row],[LosID]],1)="b",_xlfn.XLOOKUP(REPLACE(Lose[[#This Row],[LosID]],LEN(Lose[[#This Row],[LosID]]),1,"a"),Lose[LosID],Lose[Zufallszahl],"",0),RAND())</f>
        <v>0.64772305415789322</v>
      </c>
      <c r="V8" t="b" cm="1">
        <f t="array" aca="1" ref="V8" ca="1">Lose[[#This Row],[Zufallszahl]]&gt;=IFERROR(LARGE((LEFT(Lose[LosID],FIND("-",Lose[LosID])-1)=LEFT(Lose[[#This Row],[LosID]],FIND("-",Lose[[#This Row],[LosID]])-1))*Lose[Zufallszahl],_xlfn.XLOOKUP(LEFT(Lose[[#This Row],[LosID]],FIND("-",Lose[[#This Row],[LosID]])-1),Ziehungsanzahl[Kürzel],Ziehungsanzahl[Kontingent],FALSE,0)),9999)</f>
        <v>0</v>
      </c>
    </row>
    <row r="9" spans="1:23" ht="135">
      <c r="A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 t="s">
        <v>23385</v>
      </c>
      <c r="C9" s="93" t="s">
        <v>23386</v>
      </c>
      <c r="D9" s="84" t="s">
        <v>23387</v>
      </c>
      <c r="E9" t="s">
        <v>23388</v>
      </c>
      <c r="F9" t="s">
        <v>23389</v>
      </c>
      <c r="G9">
        <v>3</v>
      </c>
      <c r="H9">
        <v>5</v>
      </c>
      <c r="I9">
        <v>0.2</v>
      </c>
      <c r="J9">
        <v>15</v>
      </c>
      <c r="K9" t="str" cm="1">
        <f t="array" ref="K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Döbeln Hbf</v>
      </c>
      <c r="L9" t="str">
        <f>IFERROR(LEFT(TRIM(Lose[[#This Row],[Google Koordinaten]]),9),"")</f>
        <v>51.126955</v>
      </c>
      <c r="M9" t="str">
        <f>IFERROR(MID(TRIM(Lose[[#This Row],[Google Koordinaten]]),
FIND(",",TRIM(Lose[[#This Row],[Google Koordinaten]])) + 2,9),"")</f>
        <v>13.097104</v>
      </c>
      <c r="N9">
        <f>IF(Lose[[#This Row],[Bahn-hofs-zeit]]=0,0,MROUND(30*25^((Lose[[#This Row],[Bahn-hofs-zeit]]-_xlfn.MINIFS(Lose[Bahn-hofs-zeit],Lose[Bahn-hofs-zeit],"&gt;0"))/(MAX(Lose[Bahn-hofs-zeit])-_xlfn.MINIFS(Lose[Bahn-hofs-zeit],Lose[Bahn-hofs-zeit],"&gt;0"))),5))</f>
        <v>320</v>
      </c>
      <c r="O9">
        <f>IF(Lose[[#This Row],[Gehzeit (min)]]="",0,CEILING(3*(Lose[[#This Row],[Gehzeit (min)]]+Lose[[#This Row],[Aufgaben-zeit (min)]]),5))</f>
        <v>25</v>
      </c>
      <c r="P9">
        <v>11.5</v>
      </c>
      <c r="Q9">
        <f>IFERROR(ROUND(Lose[[#This Row],[Distanz (km)]]*60/Lose[[#This Row],[Gehzeit (min)]],1),"")</f>
        <v>4</v>
      </c>
      <c r="R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0.15</v>
      </c>
      <c r="S9">
        <f>IFERROR(Lose[[#This Row],[Distanz (km)]]-Lose[[#This Row],[Check Distanz]],"")</f>
        <v>5.0000000000000017E-2</v>
      </c>
      <c r="T9" s="60">
        <f>IFERROR(Lose[[#This Row],[Check Umweg]]/Lose[[#This Row],[Check Distanz]],"")</f>
        <v>0.33333333333333348</v>
      </c>
      <c r="U9">
        <f ca="1">IF(RIGHT(Lose[[#This Row],[LosID]],1)="b",_xlfn.XLOOKUP(REPLACE(Lose[[#This Row],[LosID]],LEN(Lose[[#This Row],[LosID]]),1,"a"),Lose[LosID],Lose[Zufallszahl],"",0),RAND())</f>
        <v>0.52114233562775147</v>
      </c>
      <c r="V9" t="b" cm="1">
        <f t="array" aca="1" ref="V9" ca="1">Lose[[#This Row],[Zufallszahl]]&gt;=IFERROR(LARGE((LEFT(Lose[LosID],FIND("-",Lose[LosID])-1)=LEFT(Lose[[#This Row],[LosID]],FIND("-",Lose[[#This Row],[LosID]])-1))*Lose[Zufallszahl],_xlfn.XLOOKUP(LEFT(Lose[[#This Row],[LosID]],FIND("-",Lose[[#This Row],[LosID]])-1),Ziehungsanzahl[Kürzel],Ziehungsanzahl[Kontingent],FALSE,0)),9999)</f>
        <v>0</v>
      </c>
    </row>
    <row r="10" spans="1:23" ht="150" hidden="1">
      <c r="A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 t="s">
        <v>23390</v>
      </c>
      <c r="C10" s="92" t="s">
        <v>1422</v>
      </c>
      <c r="D10" s="1" t="s">
        <v>23391</v>
      </c>
      <c r="E10" t="s">
        <v>23392</v>
      </c>
      <c r="F10" t="s">
        <v>23393</v>
      </c>
      <c r="G10">
        <v>20</v>
      </c>
      <c r="H10">
        <v>3</v>
      </c>
      <c r="I10">
        <v>1.4</v>
      </c>
      <c r="J10">
        <v>60</v>
      </c>
      <c r="K10" t="str" cm="1">
        <f t="array" ref="K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Altenbeken</v>
      </c>
      <c r="L10" t="str">
        <f>IFERROR(LEFT(TRIM(Lose[[#This Row],[Google Koordinaten]]),9),"")</f>
        <v>51.765300</v>
      </c>
      <c r="M10" t="str">
        <f>IFERROR(MID(TRIM(Lose[[#This Row],[Google Koordinaten]]),
FIND(",",TRIM(Lose[[#This Row],[Google Koordinaten]])) + 2,9),"")</f>
        <v>8.929210</v>
      </c>
      <c r="N10">
        <f>IF(Lose[[#This Row],[Bahn-hofs-zeit]]=0,0,MROUND(30*25^((Lose[[#This Row],[Bahn-hofs-zeit]]-_xlfn.MINIFS(Lose[Bahn-hofs-zeit],Lose[Bahn-hofs-zeit],"&gt;0"))/(MAX(Lose[Bahn-hofs-zeit])-_xlfn.MINIFS(Lose[Bahn-hofs-zeit],Lose[Bahn-hofs-zeit],"&gt;0"))),5))</f>
        <v>45</v>
      </c>
      <c r="O10">
        <f>IF(Lose[[#This Row],[Gehzeit (min)]]="",0,CEILING(3*(Lose[[#This Row],[Gehzeit (min)]]+Lose[[#This Row],[Aufgaben-zeit (min)]]),5))</f>
        <v>70</v>
      </c>
      <c r="P10">
        <v>4.75</v>
      </c>
      <c r="Q10">
        <f>IFERROR(ROUND(Lose[[#This Row],[Distanz (km)]]*60/Lose[[#This Row],[Gehzeit (min)]],1),"")</f>
        <v>4.2</v>
      </c>
      <c r="R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0.98</v>
      </c>
      <c r="S10">
        <f>IFERROR(Lose[[#This Row],[Distanz (km)]]-Lose[[#This Row],[Check Distanz]],"")</f>
        <v>0.41999999999999993</v>
      </c>
      <c r="T10" s="60">
        <f>IFERROR(Lose[[#This Row],[Check Umweg]]/Lose[[#This Row],[Check Distanz]],"")</f>
        <v>0.42857142857142849</v>
      </c>
      <c r="U10">
        <f ca="1">IF(RIGHT(Lose[[#This Row],[LosID]],1)="b",_xlfn.XLOOKUP(REPLACE(Lose[[#This Row],[LosID]],LEN(Lose[[#This Row],[LosID]]),1,"a"),Lose[LosID],Lose[Zufallszahl],"",0),RAND())</f>
        <v>0.82691987725580729</v>
      </c>
      <c r="V10" t="b" cm="1">
        <f t="array" aca="1" ref="V10" ca="1">Lose[[#This Row],[Zufallszahl]]&gt;=IFERROR(LARGE((LEFT(Lose[LosID],FIND("-",Lose[LosID])-1)=LEFT(Lose[[#This Row],[LosID]],FIND("-",Lose[[#This Row],[LosID]])-1))*Lose[Zufallszahl],_xlfn.XLOOKUP(LEFT(Lose[[#This Row],[LosID]],FIND("-",Lose[[#This Row],[LosID]])-1),Ziehungsanzahl[Kürzel],Ziehungsanzahl[Kontingent],FALSE,0)),9999)</f>
        <v>0</v>
      </c>
    </row>
    <row r="11" spans="1:23" ht="105" hidden="1">
      <c r="A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 t="s">
        <v>23394</v>
      </c>
      <c r="C11" s="92" t="s">
        <v>1423</v>
      </c>
      <c r="D11" s="1" t="s">
        <v>23395</v>
      </c>
      <c r="E11" t="s">
        <v>23396</v>
      </c>
      <c r="F11" t="s">
        <v>23397</v>
      </c>
      <c r="H11">
        <v>2</v>
      </c>
      <c r="I11">
        <v>0</v>
      </c>
      <c r="K11" t="str" cm="1">
        <f t="array" ref="K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Herlasgrün</v>
      </c>
      <c r="L11" t="str">
        <f>IFERROR(LEFT(TRIM(Lose[[#This Row],[Google Koordinaten]]),9),"")</f>
        <v>50.570929</v>
      </c>
      <c r="M11" t="str">
        <f>IFERROR(MID(TRIM(Lose[[#This Row],[Google Koordinaten]]),
FIND(",",TRIM(Lose[[#This Row],[Google Koordinaten]])) + 2,9),"")</f>
        <v>12.235387</v>
      </c>
      <c r="N11" s="91">
        <f>IF(Lose[[#This Row],[Bahn-hofs-zeit]]=0,0,MROUND(30*25^((Lose[[#This Row],[Bahn-hofs-zeit]]-_xlfn.MINIFS(Lose[Bahn-hofs-zeit],Lose[Bahn-hofs-zeit],"&gt;0"))/(MAX(Lose[Bahn-hofs-zeit])-_xlfn.MINIFS(Lose[Bahn-hofs-zeit],Lose[Bahn-hofs-zeit],"&gt;0"))),5))</f>
        <v>0</v>
      </c>
      <c r="O11">
        <f>IF(Lose[[#This Row],[Gehzeit (min)]]="",0,CEILING(3*(Lose[[#This Row],[Gehzeit (min)]]+Lose[[#This Row],[Aufgaben-zeit (min)]]),5))</f>
        <v>0</v>
      </c>
      <c r="Q11" t="str">
        <f>IFERROR(ROUND(Lose[[#This Row],[Distanz (km)]]*60/Lose[[#This Row],[Gehzeit (min)]],1),"")</f>
        <v/>
      </c>
      <c r="R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1">
        <f>IFERROR(Lose[[#This Row],[Distanz (km)]]-Lose[[#This Row],[Check Distanz]],"")</f>
        <v>0</v>
      </c>
      <c r="T11" s="60" t="str">
        <f>IFERROR(Lose[[#This Row],[Check Umweg]]/Lose[[#This Row],[Check Distanz]],"")</f>
        <v/>
      </c>
      <c r="U11">
        <f ca="1">IF(RIGHT(Lose[[#This Row],[LosID]],1)="b",_xlfn.XLOOKUP(REPLACE(Lose[[#This Row],[LosID]],LEN(Lose[[#This Row],[LosID]]),1,"a"),Lose[LosID],Lose[Zufallszahl],"",0),RAND())</f>
        <v>3.7934377446998457E-2</v>
      </c>
      <c r="V11" t="b" cm="1">
        <f t="array" aca="1" ref="V11" ca="1">Lose[[#This Row],[Zufallszahl]]&gt;=IFERROR(LARGE((LEFT(Lose[LosID],FIND("-",Lose[LosID])-1)=LEFT(Lose[[#This Row],[LosID]],FIND("-",Lose[[#This Row],[LosID]])-1))*Lose[Zufallszahl],_xlfn.XLOOKUP(LEFT(Lose[[#This Row],[LosID]],FIND("-",Lose[[#This Row],[LosID]])-1),Ziehungsanzahl[Kürzel],Ziehungsanzahl[Kontingent],FALSE,0)),9999)</f>
        <v>0</v>
      </c>
      <c r="W11" t="s">
        <v>23398</v>
      </c>
    </row>
    <row r="12" spans="1:23" ht="105" hidden="1">
      <c r="A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 t="s">
        <v>23380</v>
      </c>
      <c r="C12" s="92" t="s">
        <v>23399</v>
      </c>
      <c r="D12" s="1" t="s">
        <v>23400</v>
      </c>
      <c r="E12" t="s">
        <v>23401</v>
      </c>
      <c r="F12" t="s">
        <v>23402</v>
      </c>
      <c r="G12">
        <v>4</v>
      </c>
      <c r="H12">
        <v>3</v>
      </c>
      <c r="I12">
        <v>0.3</v>
      </c>
      <c r="J12">
        <v>20</v>
      </c>
      <c r="K12" t="str" cm="1">
        <f t="array" ref="K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Doberlug-Kirchhain</v>
      </c>
      <c r="L12" t="str">
        <f>IFERROR(LEFT(TRIM(Lose[[#This Row],[Google Koordinaten]]),9),"")</f>
        <v>51.619954</v>
      </c>
      <c r="M12" t="str">
        <f>IFERROR(MID(TRIM(Lose[[#This Row],[Google Koordinaten]]),
FIND(",",TRIM(Lose[[#This Row],[Google Koordinaten]])) + 2,9),"")</f>
        <v>13.560973</v>
      </c>
      <c r="N12">
        <f>IF(Lose[[#This Row],[Bahn-hofs-zeit]]=0,0,MROUND(30*25^((Lose[[#This Row],[Bahn-hofs-zeit]]-_xlfn.MINIFS(Lose[Bahn-hofs-zeit],Lose[Bahn-hofs-zeit],"&gt;0"))/(MAX(Lose[Bahn-hofs-zeit])-_xlfn.MINIFS(Lose[Bahn-hofs-zeit],Lose[Bahn-hofs-zeit],"&gt;0"))),5))</f>
        <v>295</v>
      </c>
      <c r="O12">
        <f>IF(Lose[[#This Row],[Gehzeit (min)]]="",0,CEILING(3*(Lose[[#This Row],[Gehzeit (min)]]+Lose[[#This Row],[Aufgaben-zeit (min)]]),5))</f>
        <v>25</v>
      </c>
      <c r="P12">
        <v>11.25</v>
      </c>
      <c r="Q12">
        <f>IFERROR(ROUND(Lose[[#This Row],[Distanz (km)]]*60/Lose[[#This Row],[Gehzeit (min)]],1),"")</f>
        <v>4.5</v>
      </c>
      <c r="R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12">
        <f>IFERROR(Lose[[#This Row],[Distanz (km)]]-Lose[[#This Row],[Check Distanz]],"")</f>
        <v>0.06</v>
      </c>
      <c r="T12" s="60">
        <f>IFERROR(Lose[[#This Row],[Check Umweg]]/Lose[[#This Row],[Check Distanz]],"")</f>
        <v>0.25</v>
      </c>
      <c r="U12">
        <f ca="1">IF(RIGHT(Lose[[#This Row],[LosID]],1)="b",_xlfn.XLOOKUP(REPLACE(Lose[[#This Row],[LosID]],LEN(Lose[[#This Row],[LosID]]),1,"a"),Lose[LosID],Lose[Zufallszahl],"",0),RAND())</f>
        <v>0.21854852996565532</v>
      </c>
      <c r="V12" t="b" cm="1">
        <f t="array" aca="1" ref="V12" ca="1">Lose[[#This Row],[Zufallszahl]]&gt;=IFERROR(LARGE((LEFT(Lose[LosID],FIND("-",Lose[LosID])-1)=LEFT(Lose[[#This Row],[LosID]],FIND("-",Lose[[#This Row],[LosID]])-1))*Lose[Zufallszahl],_xlfn.XLOOKUP(LEFT(Lose[[#This Row],[LosID]],FIND("-",Lose[[#This Row],[LosID]])-1),Ziehungsanzahl[Kürzel],Ziehungsanzahl[Kontingent],FALSE,0)),9999)</f>
        <v>0</v>
      </c>
    </row>
    <row r="13" spans="1:23" ht="120" hidden="1">
      <c r="A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 t="s">
        <v>23403</v>
      </c>
      <c r="C13" s="92" t="s">
        <v>23404</v>
      </c>
      <c r="D13" s="1" t="s">
        <v>23405</v>
      </c>
      <c r="E13" t="s">
        <v>23406</v>
      </c>
      <c r="F13" t="s">
        <v>23407</v>
      </c>
      <c r="G13">
        <v>18</v>
      </c>
      <c r="H13">
        <v>5</v>
      </c>
      <c r="I13">
        <v>1.2</v>
      </c>
      <c r="J13">
        <v>15</v>
      </c>
      <c r="K13" t="str" cm="1">
        <f t="array" ref="K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Hameln</v>
      </c>
      <c r="L13" t="str">
        <f>IFERROR(LEFT(TRIM(Lose[[#This Row],[Google Koordinaten]]),9),"")</f>
        <v>52.104432</v>
      </c>
      <c r="M13" t="str">
        <f>IFERROR(MID(TRIM(Lose[[#This Row],[Google Koordinaten]]),
FIND(",",TRIM(Lose[[#This Row],[Google Koordinaten]])) + 2,9),"")</f>
        <v>9.3594607</v>
      </c>
      <c r="N13">
        <f>IF(Lose[[#This Row],[Bahn-hofs-zeit]]=0,0,MROUND(30*25^((Lose[[#This Row],[Bahn-hofs-zeit]]-_xlfn.MINIFS(Lose[Bahn-hofs-zeit],Lose[Bahn-hofs-zeit],"&gt;0"))/(MAX(Lose[Bahn-hofs-zeit])-_xlfn.MINIFS(Lose[Bahn-hofs-zeit],Lose[Bahn-hofs-zeit],"&gt;0"))),5))</f>
        <v>65</v>
      </c>
      <c r="O13">
        <f>IF(Lose[[#This Row],[Gehzeit (min)]]="",0,CEILING(3*(Lose[[#This Row],[Gehzeit (min)]]+Lose[[#This Row],[Aufgaben-zeit (min)]]),5))</f>
        <v>70</v>
      </c>
      <c r="P13">
        <v>6</v>
      </c>
      <c r="Q13">
        <f>IFERROR(ROUND(Lose[[#This Row],[Distanz (km)]]*60/Lose[[#This Row],[Gehzeit (min)]],1),"")</f>
        <v>4</v>
      </c>
      <c r="R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13">
        <f>IFERROR(Lose[[#This Row],[Distanz (km)]]-Lose[[#This Row],[Check Distanz]],"")</f>
        <v>4.0000000000000036E-2</v>
      </c>
      <c r="T13" s="60">
        <f>IFERROR(Lose[[#This Row],[Check Umweg]]/Lose[[#This Row],[Check Distanz]],"")</f>
        <v>3.4482758620689689E-2</v>
      </c>
      <c r="U13">
        <f ca="1">IF(RIGHT(Lose[[#This Row],[LosID]],1)="b",_xlfn.XLOOKUP(REPLACE(Lose[[#This Row],[LosID]],LEN(Lose[[#This Row],[LosID]]),1,"a"),Lose[LosID],Lose[Zufallszahl],"",0),RAND())</f>
        <v>0.82809436709578543</v>
      </c>
      <c r="V13" t="b" cm="1">
        <f t="array" aca="1" ref="V13" ca="1">Lose[[#This Row],[Zufallszahl]]&gt;=IFERROR(LARGE((LEFT(Lose[LosID],FIND("-",Lose[LosID])-1)=LEFT(Lose[[#This Row],[LosID]],FIND("-",Lose[[#This Row],[LosID]])-1))*Lose[Zufallszahl],_xlfn.XLOOKUP(LEFT(Lose[[#This Row],[LosID]],FIND("-",Lose[[#This Row],[LosID]])-1),Ziehungsanzahl[Kürzel],Ziehungsanzahl[Kontingent],FALSE,0)),9999)</f>
        <v>0</v>
      </c>
    </row>
    <row r="14" spans="1:23" ht="45" hidden="1">
      <c r="A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 t="s">
        <v>23408</v>
      </c>
      <c r="C14" s="92" t="s">
        <v>1424</v>
      </c>
      <c r="D14" s="1" t="s">
        <v>23409</v>
      </c>
      <c r="E14" t="s">
        <v>23410</v>
      </c>
      <c r="F14" t="s">
        <v>23411</v>
      </c>
      <c r="G14">
        <v>9</v>
      </c>
      <c r="H14">
        <v>1</v>
      </c>
      <c r="I14">
        <v>0.7</v>
      </c>
      <c r="J14">
        <v>20</v>
      </c>
      <c r="K14" t="str" cm="1">
        <f t="array" ref="K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Dortmund-Dorstfeld</v>
      </c>
      <c r="L14" t="str">
        <f>IFERROR(LEFT(TRIM(Lose[[#This Row],[Google Koordinaten]]),9),"")</f>
        <v>51.513522</v>
      </c>
      <c r="M14" t="str">
        <f>IFERROR(MID(TRIM(Lose[[#This Row],[Google Koordinaten]]),
FIND(",",TRIM(Lose[[#This Row],[Google Koordinaten]])) + 2,9),"")</f>
        <v>7.4187412</v>
      </c>
      <c r="N14">
        <f>IF(Lose[[#This Row],[Bahn-hofs-zeit]]=0,0,MROUND(30*25^((Lose[[#This Row],[Bahn-hofs-zeit]]-_xlfn.MINIFS(Lose[Bahn-hofs-zeit],Lose[Bahn-hofs-zeit],"&gt;0"))/(MAX(Lose[Bahn-hofs-zeit])-_xlfn.MINIFS(Lose[Bahn-hofs-zeit],Lose[Bahn-hofs-zeit],"&gt;0"))),5))</f>
        <v>35</v>
      </c>
      <c r="O14">
        <f>IF(Lose[[#This Row],[Gehzeit (min)]]="",0,CEILING(3*(Lose[[#This Row],[Gehzeit (min)]]+Lose[[#This Row],[Aufgaben-zeit (min)]]),5))</f>
        <v>30</v>
      </c>
      <c r="P14">
        <v>4</v>
      </c>
      <c r="Q14">
        <f>IFERROR(ROUND(Lose[[#This Row],[Distanz (km)]]*60/Lose[[#This Row],[Gehzeit (min)]],1),"")</f>
        <v>4.7</v>
      </c>
      <c r="R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14">
        <f>IFERROR(Lose[[#This Row],[Distanz (km)]]-Lose[[#This Row],[Check Distanz]],"")</f>
        <v>6.9999999999999951E-2</v>
      </c>
      <c r="T14" s="60">
        <f>IFERROR(Lose[[#This Row],[Check Umweg]]/Lose[[#This Row],[Check Distanz]],"")</f>
        <v>0.11111111111111104</v>
      </c>
      <c r="U14">
        <f ca="1">IF(RIGHT(Lose[[#This Row],[LosID]],1)="b",_xlfn.XLOOKUP(REPLACE(Lose[[#This Row],[LosID]],LEN(Lose[[#This Row],[LosID]]),1,"a"),Lose[LosID],Lose[Zufallszahl],"",0),RAND())</f>
        <v>5.7948915020284986E-3</v>
      </c>
      <c r="V14" t="b" cm="1">
        <f t="array" aca="1" ref="V14" ca="1">Lose[[#This Row],[Zufallszahl]]&gt;=IFERROR(LARGE((LEFT(Lose[LosID],FIND("-",Lose[LosID])-1)=LEFT(Lose[[#This Row],[LosID]],FIND("-",Lose[[#This Row],[LosID]])-1))*Lose[Zufallszahl],_xlfn.XLOOKUP(LEFT(Lose[[#This Row],[LosID]],FIND("-",Lose[[#This Row],[LosID]])-1),Ziehungsanzahl[Kürzel],Ziehungsanzahl[Kontingent],FALSE,0)),9999)</f>
        <v>0</v>
      </c>
    </row>
    <row r="15" spans="1:23" ht="90" hidden="1">
      <c r="A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 t="s">
        <v>23412</v>
      </c>
      <c r="C15" s="92" t="s">
        <v>1425</v>
      </c>
      <c r="D15" s="1" t="s">
        <v>23413</v>
      </c>
      <c r="E15" t="s">
        <v>23414</v>
      </c>
      <c r="F15" s="82" t="s">
        <v>23415</v>
      </c>
      <c r="G15">
        <v>1.5</v>
      </c>
      <c r="H15">
        <v>1</v>
      </c>
      <c r="I15">
        <v>8.7999999999999995E-2</v>
      </c>
      <c r="J15">
        <v>20</v>
      </c>
      <c r="K15" t="str" cm="1">
        <f t="array" ref="K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Bürstadt</v>
      </c>
      <c r="L15" t="str">
        <f>IFERROR(LEFT(TRIM(Lose[[#This Row],[Google Koordinaten]]),9),"")</f>
        <v>49.645661</v>
      </c>
      <c r="M15" t="str">
        <f>IFERROR(MID(TRIM(Lose[[#This Row],[Google Koordinaten]]),
FIND(",",TRIM(Lose[[#This Row],[Google Koordinaten]])) + 2,9),"")</f>
        <v>8.4574188</v>
      </c>
      <c r="N15">
        <f>IF(Lose[[#This Row],[Bahn-hofs-zeit]]=0,0,MROUND(30*25^((Lose[[#This Row],[Bahn-hofs-zeit]]-_xlfn.MINIFS(Lose[Bahn-hofs-zeit],Lose[Bahn-hofs-zeit],"&gt;0"))/(MAX(Lose[Bahn-hofs-zeit])-_xlfn.MINIFS(Lose[Bahn-hofs-zeit],Lose[Bahn-hofs-zeit],"&gt;0"))),5))</f>
        <v>55</v>
      </c>
      <c r="O15">
        <f>IF(Lose[[#This Row],[Gehzeit (min)]]="",0,CEILING(3*(Lose[[#This Row],[Gehzeit (min)]]+Lose[[#This Row],[Aufgaben-zeit (min)]]),5))</f>
        <v>10</v>
      </c>
      <c r="P15">
        <v>5.5</v>
      </c>
      <c r="Q15">
        <f>IFERROR(ROUND(Lose[[#This Row],[Distanz (km)]]*60/Lose[[#This Row],[Gehzeit (min)]],1),"")</f>
        <v>3.5</v>
      </c>
      <c r="R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5">
        <f>IFERROR(Lose[[#This Row],[Distanz (km)]]-Lose[[#This Row],[Check Distanz]],"")</f>
        <v>2.7999999999999997E-2</v>
      </c>
      <c r="T15" s="60">
        <f>IFERROR(Lose[[#This Row],[Check Umweg]]/Lose[[#This Row],[Check Distanz]],"")</f>
        <v>0.46666666666666662</v>
      </c>
      <c r="U15">
        <f ca="1">IF(RIGHT(Lose[[#This Row],[LosID]],1)="b",_xlfn.XLOOKUP(REPLACE(Lose[[#This Row],[LosID]],LEN(Lose[[#This Row],[LosID]]),1,"a"),Lose[LosID],Lose[Zufallszahl],"",0),RAND())</f>
        <v>0.78195422291472927</v>
      </c>
      <c r="V15" t="b" cm="1">
        <f t="array" aca="1" ref="V15" ca="1">Lose[[#This Row],[Zufallszahl]]&gt;=IFERROR(LARGE((LEFT(Lose[LosID],FIND("-",Lose[LosID])-1)=LEFT(Lose[[#This Row],[LosID]],FIND("-",Lose[[#This Row],[LosID]])-1))*Lose[Zufallszahl],_xlfn.XLOOKUP(LEFT(Lose[[#This Row],[LosID]],FIND("-",Lose[[#This Row],[LosID]])-1),Ziehungsanzahl[Kürzel],Ziehungsanzahl[Kontingent],FALSE,0)),9999)</f>
        <v>0</v>
      </c>
    </row>
    <row r="16" spans="1:23" ht="150" hidden="1">
      <c r="A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 t="s">
        <v>23416</v>
      </c>
      <c r="C16" s="92" t="s">
        <v>1426</v>
      </c>
      <c r="D16" s="1" t="s">
        <v>23417</v>
      </c>
      <c r="E16" t="s">
        <v>23418</v>
      </c>
      <c r="F16" t="s">
        <v>23419</v>
      </c>
      <c r="G16">
        <v>20</v>
      </c>
      <c r="H16">
        <v>10</v>
      </c>
      <c r="I16">
        <v>1.5</v>
      </c>
      <c r="K16" t="str" cm="1">
        <f t="array" ref="K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Dülmen</v>
      </c>
      <c r="L16" t="str">
        <f>IFERROR(LEFT(TRIM(Lose[[#This Row],[Google Koordinaten]]),9),"")</f>
        <v>51.829214</v>
      </c>
      <c r="M16" t="str">
        <f>IFERROR(MID(TRIM(Lose[[#This Row],[Google Koordinaten]]),
FIND(",",TRIM(Lose[[#This Row],[Google Koordinaten]])) + 2,9),"")</f>
        <v>7.2763274</v>
      </c>
      <c r="N16">
        <f>IF(Lose[[#This Row],[Bahn-hofs-zeit]]=0,0,MROUND(30*25^((Lose[[#This Row],[Bahn-hofs-zeit]]-_xlfn.MINIFS(Lose[Bahn-hofs-zeit],Lose[Bahn-hofs-zeit],"&gt;0"))/(MAX(Lose[Bahn-hofs-zeit])-_xlfn.MINIFS(Lose[Bahn-hofs-zeit],Lose[Bahn-hofs-zeit],"&gt;0"))),5))</f>
        <v>35</v>
      </c>
      <c r="O16">
        <f>IF(Lose[[#This Row],[Gehzeit (min)]]="",0,CEILING(3*(Lose[[#This Row],[Gehzeit (min)]]+Lose[[#This Row],[Aufgaben-zeit (min)]]),5))</f>
        <v>90</v>
      </c>
      <c r="P16">
        <v>4</v>
      </c>
      <c r="Q16">
        <f>IFERROR(ROUND(Lose[[#This Row],[Distanz (km)]]*60/Lose[[#This Row],[Gehzeit (min)]],1),"")</f>
        <v>4.5</v>
      </c>
      <c r="R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16">
        <f>IFERROR(Lose[[#This Row],[Distanz (km)]]-Lose[[#This Row],[Check Distanz]],"")</f>
        <v>0.14999999999999991</v>
      </c>
      <c r="T16" s="60">
        <f>IFERROR(Lose[[#This Row],[Check Umweg]]/Lose[[#This Row],[Check Distanz]],"")</f>
        <v>0.11111111111111104</v>
      </c>
      <c r="U16">
        <f ca="1">IF(RIGHT(Lose[[#This Row],[LosID]],1)="b",_xlfn.XLOOKUP(REPLACE(Lose[[#This Row],[LosID]],LEN(Lose[[#This Row],[LosID]]),1,"a"),Lose[LosID],Lose[Zufallszahl],"",0),RAND())</f>
        <v>0.53784870479388169</v>
      </c>
      <c r="V16" t="b" cm="1">
        <f t="array" aca="1" ref="V16" ca="1">Lose[[#This Row],[Zufallszahl]]&gt;=IFERROR(LARGE((LEFT(Lose[LosID],FIND("-",Lose[LosID])-1)=LEFT(Lose[[#This Row],[LosID]],FIND("-",Lose[[#This Row],[LosID]])-1))*Lose[Zufallszahl],_xlfn.XLOOKUP(LEFT(Lose[[#This Row],[LosID]],FIND("-",Lose[[#This Row],[LosID]])-1),Ziehungsanzahl[Kürzel],Ziehungsanzahl[Kontingent],FALSE,0)),9999)</f>
        <v>0</v>
      </c>
    </row>
    <row r="17" spans="1:23" ht="90" hidden="1">
      <c r="A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 t="s">
        <v>23357</v>
      </c>
      <c r="C17" s="91" t="s">
        <v>1427</v>
      </c>
      <c r="D17" s="1" t="s">
        <v>23420</v>
      </c>
      <c r="E17" t="s">
        <v>23421</v>
      </c>
      <c r="F17" t="s">
        <v>23422</v>
      </c>
      <c r="G17">
        <v>8</v>
      </c>
      <c r="H17">
        <v>2</v>
      </c>
      <c r="I17">
        <v>0.5</v>
      </c>
      <c r="J17">
        <v>5</v>
      </c>
      <c r="K17" t="str" cm="1">
        <f t="array" ref="K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Osnabrück Hbf</v>
      </c>
      <c r="L17" t="str">
        <f>IFERROR(LEFT(TRIM(Lose[[#This Row],[Google Koordinaten]]),9),"")</f>
        <v>52.271668</v>
      </c>
      <c r="M17" t="str">
        <f>IFERROR(MID(TRIM(Lose[[#This Row],[Google Koordinaten]]),
FIND(",",TRIM(Lose[[#This Row],[Google Koordinaten]])) + 2,9),"")</f>
        <v>8.0572304</v>
      </c>
      <c r="N17">
        <f>IF(Lose[[#This Row],[Bahn-hofs-zeit]]=0,0,MROUND(30*25^((Lose[[#This Row],[Bahn-hofs-zeit]]-_xlfn.MINIFS(Lose[Bahn-hofs-zeit],Lose[Bahn-hofs-zeit],"&gt;0"))/(MAX(Lose[Bahn-hofs-zeit])-_xlfn.MINIFS(Lose[Bahn-hofs-zeit],Lose[Bahn-hofs-zeit],"&gt;0"))),5))</f>
        <v>45</v>
      </c>
      <c r="O17">
        <f>IF(Lose[[#This Row],[Gehzeit (min)]]="",0,CEILING(3*(Lose[[#This Row],[Gehzeit (min)]]+Lose[[#This Row],[Aufgaben-zeit (min)]]),5))</f>
        <v>30</v>
      </c>
      <c r="P17">
        <v>4.5</v>
      </c>
      <c r="Q17">
        <f>IFERROR(ROUND(Lose[[#This Row],[Distanz (km)]]*60/Lose[[#This Row],[Gehzeit (min)]],1),"")</f>
        <v>3.8</v>
      </c>
      <c r="R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7">
        <f>IFERROR(Lose[[#This Row],[Distanz (km)]]-Lose[[#This Row],[Check Distanz]],"")</f>
        <v>0.15999999999999998</v>
      </c>
      <c r="T17" s="60">
        <f>IFERROR(Lose[[#This Row],[Check Umweg]]/Lose[[#This Row],[Check Distanz]],"")</f>
        <v>0.47058823529411753</v>
      </c>
      <c r="U17">
        <f ca="1">IF(RIGHT(Lose[[#This Row],[LosID]],1)="b",_xlfn.XLOOKUP(REPLACE(Lose[[#This Row],[LosID]],LEN(Lose[[#This Row],[LosID]]),1,"a"),Lose[LosID],Lose[Zufallszahl],"",0),RAND())</f>
        <v>0.71789224985931055</v>
      </c>
      <c r="V17" t="b" cm="1">
        <f t="array" aca="1" ref="V17" ca="1">Lose[[#This Row],[Zufallszahl]]&gt;=IFERROR(LARGE((LEFT(Lose[LosID],FIND("-",Lose[LosID])-1)=LEFT(Lose[[#This Row],[LosID]],FIND("-",Lose[[#This Row],[LosID]])-1))*Lose[Zufallszahl],_xlfn.XLOOKUP(LEFT(Lose[[#This Row],[LosID]],FIND("-",Lose[[#This Row],[LosID]])-1),Ziehungsanzahl[Kürzel],Ziehungsanzahl[Kontingent],FALSE,0)),9999)</f>
        <v>0</v>
      </c>
    </row>
    <row r="18" spans="1:23" ht="120" hidden="1">
      <c r="A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 t="s">
        <v>23363</v>
      </c>
      <c r="C18" s="91" t="s">
        <v>23423</v>
      </c>
      <c r="D18" s="1" t="s">
        <v>23424</v>
      </c>
      <c r="E18" t="s">
        <v>23425</v>
      </c>
      <c r="F18" t="s">
        <v>23426</v>
      </c>
      <c r="G18">
        <v>12</v>
      </c>
      <c r="H18">
        <v>3</v>
      </c>
      <c r="I18">
        <v>0.9</v>
      </c>
      <c r="J18">
        <v>15</v>
      </c>
      <c r="K18" t="str" cm="1">
        <f t="array" ref="K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Kreuznach</v>
      </c>
      <c r="L18" t="str">
        <f>IFERROR(LEFT(TRIM(Lose[[#This Row],[Google Koordinaten]]),9),"")</f>
        <v>49.844377</v>
      </c>
      <c r="M18" t="str">
        <f>IFERROR(MID(TRIM(Lose[[#This Row],[Google Koordinaten]]),
FIND(",",TRIM(Lose[[#This Row],[Google Koordinaten]])) + 2,9),"")</f>
        <v>7.8573051</v>
      </c>
      <c r="N18">
        <f>IF(Lose[[#This Row],[Bahn-hofs-zeit]]=0,0,MROUND(30*25^((Lose[[#This Row],[Bahn-hofs-zeit]]-_xlfn.MINIFS(Lose[Bahn-hofs-zeit],Lose[Bahn-hofs-zeit],"&gt;0"))/(MAX(Lose[Bahn-hofs-zeit])-_xlfn.MINIFS(Lose[Bahn-hofs-zeit],Lose[Bahn-hofs-zeit],"&gt;0"))),5))</f>
        <v>60</v>
      </c>
      <c r="O18">
        <f>IF(Lose[[#This Row],[Gehzeit (min)]]="",0,CEILING(3*(Lose[[#This Row],[Gehzeit (min)]]+Lose[[#This Row],[Aufgaben-zeit (min)]]),5))</f>
        <v>45</v>
      </c>
      <c r="P18">
        <v>5.75</v>
      </c>
      <c r="Q18">
        <f>IFERROR(ROUND(Lose[[#This Row],[Distanz (km)]]*60/Lose[[#This Row],[Gehzeit (min)]],1),"")</f>
        <v>4.5</v>
      </c>
      <c r="R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18">
        <f>IFERROR(Lose[[#This Row],[Distanz (km)]]-Lose[[#This Row],[Check Distanz]],"")</f>
        <v>0.21000000000000008</v>
      </c>
      <c r="T18" s="60">
        <f>IFERROR(Lose[[#This Row],[Check Umweg]]/Lose[[#This Row],[Check Distanz]],"")</f>
        <v>0.30434782608695665</v>
      </c>
      <c r="U18">
        <f ca="1">IF(RIGHT(Lose[[#This Row],[LosID]],1)="b",_xlfn.XLOOKUP(REPLACE(Lose[[#This Row],[LosID]],LEN(Lose[[#This Row],[LosID]]),1,"a"),Lose[LosID],Lose[Zufallszahl],"",0),RAND())</f>
        <v>0.66634740929524439</v>
      </c>
      <c r="V18" t="b" cm="1">
        <f t="array" aca="1" ref="V18" ca="1">Lose[[#This Row],[Zufallszahl]]&gt;=IFERROR(LARGE((LEFT(Lose[LosID],FIND("-",Lose[LosID])-1)=LEFT(Lose[[#This Row],[LosID]],FIND("-",Lose[[#This Row],[LosID]])-1))*Lose[Zufallszahl],_xlfn.XLOOKUP(LEFT(Lose[[#This Row],[LosID]],FIND("-",Lose[[#This Row],[LosID]])-1),Ziehungsanzahl[Kürzel],Ziehungsanzahl[Kontingent],FALSE,0)),9999)</f>
        <v>0</v>
      </c>
    </row>
    <row r="19" spans="1:23" ht="105">
      <c r="A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19" t="s">
        <v>23385</v>
      </c>
      <c r="C19" s="92" t="s">
        <v>23427</v>
      </c>
      <c r="D19" s="84" t="s">
        <v>23428</v>
      </c>
      <c r="E19" t="s">
        <v>23429</v>
      </c>
      <c r="F19" t="s">
        <v>23430</v>
      </c>
      <c r="G19">
        <v>3</v>
      </c>
      <c r="H19">
        <v>5</v>
      </c>
      <c r="I19">
        <v>0.2</v>
      </c>
      <c r="J19">
        <v>10</v>
      </c>
      <c r="K19" t="str" cm="1">
        <f t="array" ref="K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Lindau-Insel</v>
      </c>
      <c r="L19" t="str">
        <f>IFERROR(LEFT(TRIM(Lose[[#This Row],[Google Koordinaten]]),9),"")</f>
        <v>47.544460</v>
      </c>
      <c r="M19" t="str">
        <f>IFERROR(MID(TRIM(Lose[[#This Row],[Google Koordinaten]]),
FIND(",",TRIM(Lose[[#This Row],[Google Koordinaten]])) + 2,9),"")</f>
        <v>9.6834887</v>
      </c>
      <c r="N19">
        <f>IF(Lose[[#This Row],[Bahn-hofs-zeit]]=0,0,MROUND(30*25^((Lose[[#This Row],[Bahn-hofs-zeit]]-_xlfn.MINIFS(Lose[Bahn-hofs-zeit],Lose[Bahn-hofs-zeit],"&gt;0"))/(MAX(Lose[Bahn-hofs-zeit])-_xlfn.MINIFS(Lose[Bahn-hofs-zeit],Lose[Bahn-hofs-zeit],"&gt;0"))),5))</f>
        <v>340</v>
      </c>
      <c r="O19">
        <f>IF(Lose[[#This Row],[Gehzeit (min)]]="",0,CEILING(3*(Lose[[#This Row],[Gehzeit (min)]]+Lose[[#This Row],[Aufgaben-zeit (min)]]),5))</f>
        <v>25</v>
      </c>
      <c r="P19">
        <v>11.75</v>
      </c>
      <c r="Q19">
        <f>IFERROR(ROUND(Lose[[#This Row],[Distanz (km)]]*60/Lose[[#This Row],[Gehzeit (min)]],1),"")</f>
        <v>4</v>
      </c>
      <c r="R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19">
        <f>IFERROR(Lose[[#This Row],[Distanz (km)]]-Lose[[#This Row],[Check Distanz]],"")</f>
        <v>-0.03</v>
      </c>
      <c r="T19" s="60">
        <f>IFERROR(Lose[[#This Row],[Check Umweg]]/Lose[[#This Row],[Check Distanz]],"")</f>
        <v>-0.13043478260869565</v>
      </c>
      <c r="U19">
        <f ca="1">IF(RIGHT(Lose[[#This Row],[LosID]],1)="b",_xlfn.XLOOKUP(REPLACE(Lose[[#This Row],[LosID]],LEN(Lose[[#This Row],[LosID]]),1,"a"),Lose[LosID],Lose[Zufallszahl],"",0),RAND())</f>
        <v>0.39329959328776254</v>
      </c>
      <c r="V19" t="b" cm="1">
        <f t="array" aca="1" ref="V19" ca="1">Lose[[#This Row],[Zufallszahl]]&gt;=IFERROR(LARGE((LEFT(Lose[LosID],FIND("-",Lose[LosID])-1)=LEFT(Lose[[#This Row],[LosID]],FIND("-",Lose[[#This Row],[LosID]])-1))*Lose[Zufallszahl],_xlfn.XLOOKUP(LEFT(Lose[[#This Row],[LosID]],FIND("-",Lose[[#This Row],[LosID]])-1),Ziehungsanzahl[Kürzel],Ziehungsanzahl[Kontingent],FALSE,0)),9999)</f>
        <v>0</v>
      </c>
      <c r="W19" t="s">
        <v>23362</v>
      </c>
    </row>
    <row r="20" spans="1:23" ht="105" hidden="1">
      <c r="A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0" t="s">
        <v>23390</v>
      </c>
      <c r="C20" s="93" t="s">
        <v>1418</v>
      </c>
      <c r="D20" s="1" t="s">
        <v>23431</v>
      </c>
      <c r="E20" s="1" t="s">
        <v>23432</v>
      </c>
      <c r="F20" t="s">
        <v>23433</v>
      </c>
      <c r="G20">
        <v>10</v>
      </c>
      <c r="H20">
        <v>5</v>
      </c>
      <c r="I20">
        <v>0.8</v>
      </c>
      <c r="J20">
        <v>0</v>
      </c>
      <c r="K20" t="str" cm="1">
        <f t="array" ref="K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Baunatal-Guntershausen</v>
      </c>
      <c r="L20" t="str">
        <f>IFERROR(LEFT(TRIM(Lose[[#This Row],[Google Koordinaten]]),9),"")</f>
        <v>51.226520</v>
      </c>
      <c r="M20" t="str">
        <f>IFERROR(MID(TRIM(Lose[[#This Row],[Google Koordinaten]]),
FIND(",",TRIM(Lose[[#This Row],[Google Koordinaten]])) + 2,9),"")</f>
        <v>9.469010</v>
      </c>
      <c r="N20">
        <f>IF(Lose[[#This Row],[Bahn-hofs-zeit]]=0,0,MROUND(30*25^((Lose[[#This Row],[Bahn-hofs-zeit]]-_xlfn.MINIFS(Lose[Bahn-hofs-zeit],Lose[Bahn-hofs-zeit],"&gt;0"))/(MAX(Lose[Bahn-hofs-zeit])-_xlfn.MINIFS(Lose[Bahn-hofs-zeit],Lose[Bahn-hofs-zeit],"&gt;0"))),5))</f>
        <v>45</v>
      </c>
      <c r="O20">
        <f>IF(Lose[[#This Row],[Gehzeit (min)]]="",0,CEILING(3*(Lose[[#This Row],[Gehzeit (min)]]+Lose[[#This Row],[Aufgaben-zeit (min)]]),5))</f>
        <v>45</v>
      </c>
      <c r="P20">
        <v>4.75</v>
      </c>
      <c r="Q20">
        <f>IFERROR(ROUND(Lose[[#This Row],[Distanz (km)]]*60/Lose[[#This Row],[Gehzeit (min)]],1),"")</f>
        <v>4.8</v>
      </c>
      <c r="R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20">
        <f>IFERROR(Lose[[#This Row],[Distanz (km)]]-Lose[[#This Row],[Check Distanz]],"")</f>
        <v>0.4</v>
      </c>
      <c r="T20" s="60">
        <f>IFERROR(Lose[[#This Row],[Check Umweg]]/Lose[[#This Row],[Check Distanz]],"")</f>
        <v>1</v>
      </c>
      <c r="U20">
        <f ca="1">IF(RIGHT(Lose[[#This Row],[LosID]],1)="b",_xlfn.XLOOKUP(REPLACE(Lose[[#This Row],[LosID]],LEN(Lose[[#This Row],[LosID]]),1,"a"),Lose[LosID],Lose[Zufallszahl],"",0),RAND())</f>
        <v>0.55646648803830745</v>
      </c>
      <c r="V20" t="b" cm="1">
        <f t="array" aca="1" ref="V20" ca="1">Lose[[#This Row],[Zufallszahl]]&gt;=IFERROR(LARGE((LEFT(Lose[LosID],FIND("-",Lose[LosID])-1)=LEFT(Lose[[#This Row],[LosID]],FIND("-",Lose[[#This Row],[LosID]])-1))*Lose[Zufallszahl],_xlfn.XLOOKUP(LEFT(Lose[[#This Row],[LosID]],FIND("-",Lose[[#This Row],[LosID]])-1),Ziehungsanzahl[Kürzel],Ziehungsanzahl[Kontingent],FALSE,0)),9999)</f>
        <v>0</v>
      </c>
      <c r="W20" t="s">
        <v>23362</v>
      </c>
    </row>
    <row r="21" spans="1:23" ht="75" hidden="1">
      <c r="A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 t="s">
        <v>23394</v>
      </c>
      <c r="C21" s="91" t="s">
        <v>23434</v>
      </c>
      <c r="D21" s="1" t="s">
        <v>23435</v>
      </c>
      <c r="E21" t="s">
        <v>23436</v>
      </c>
      <c r="F21" t="s">
        <v>23437</v>
      </c>
      <c r="G21">
        <v>7</v>
      </c>
      <c r="H21">
        <v>10</v>
      </c>
      <c r="I21">
        <v>0.5</v>
      </c>
      <c r="K21" t="str" cm="1">
        <f t="array" ref="K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 Hbf</v>
      </c>
      <c r="L21" t="str">
        <f>IFERROR(LEFT(TRIM(Lose[[#This Row],[Google Koordinaten]]),9),"")</f>
        <v>51.454595</v>
      </c>
      <c r="M21" t="str">
        <f>IFERROR(MID(TRIM(Lose[[#This Row],[Google Koordinaten]]),
FIND(",",TRIM(Lose[[#This Row],[Google Koordinaten]])) + 2,9),"")</f>
        <v>7.0111270</v>
      </c>
      <c r="N21">
        <f>IF(Lose[[#This Row],[Bahn-hofs-zeit]]=0,0,MROUND(30*25^((Lose[[#This Row],[Bahn-hofs-zeit]]-_xlfn.MINIFS(Lose[Bahn-hofs-zeit],Lose[Bahn-hofs-zeit],"&gt;0"))/(MAX(Lose[Bahn-hofs-zeit])-_xlfn.MINIFS(Lose[Bahn-hofs-zeit],Lose[Bahn-hofs-zeit],"&gt;0"))),5))</f>
        <v>35</v>
      </c>
      <c r="O21">
        <f>IF(Lose[[#This Row],[Gehzeit (min)]]="",0,CEILING(3*(Lose[[#This Row],[Gehzeit (min)]]+Lose[[#This Row],[Aufgaben-zeit (min)]]),5))</f>
        <v>55</v>
      </c>
      <c r="P21">
        <v>3.75</v>
      </c>
      <c r="Q21">
        <f>IFERROR(ROUND(Lose[[#This Row],[Distanz (km)]]*60/Lose[[#This Row],[Gehzeit (min)]],1),"")</f>
        <v>4.3</v>
      </c>
      <c r="R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0.44</v>
      </c>
      <c r="S21">
        <f>IFERROR(Lose[[#This Row],[Distanz (km)]]-Lose[[#This Row],[Check Distanz]],"")</f>
        <v>0.06</v>
      </c>
      <c r="T21" s="60">
        <f>IFERROR(Lose[[#This Row],[Check Umweg]]/Lose[[#This Row],[Check Distanz]],"")</f>
        <v>0.13636363636363635</v>
      </c>
      <c r="U21">
        <f ca="1">IF(RIGHT(Lose[[#This Row],[LosID]],1)="b",_xlfn.XLOOKUP(REPLACE(Lose[[#This Row],[LosID]],LEN(Lose[[#This Row],[LosID]]),1,"a"),Lose[LosID],Lose[Zufallszahl],"",0),RAND())</f>
        <v>9.6006752416858965E-2</v>
      </c>
      <c r="V21" t="b" cm="1">
        <f t="array" aca="1" ref="V21" ca="1">Lose[[#This Row],[Zufallszahl]]&gt;=IFERROR(LARGE((LEFT(Lose[LosID],FIND("-",Lose[LosID])-1)=LEFT(Lose[[#This Row],[LosID]],FIND("-",Lose[[#This Row],[LosID]])-1))*Lose[Zufallszahl],_xlfn.XLOOKUP(LEFT(Lose[[#This Row],[LosID]],FIND("-",Lose[[#This Row],[LosID]])-1),Ziehungsanzahl[Kürzel],Ziehungsanzahl[Kontingent],FALSE,0)),9999)</f>
        <v>0</v>
      </c>
    </row>
    <row r="22" spans="1:23" ht="135" hidden="1">
      <c r="A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 t="s">
        <v>23403</v>
      </c>
      <c r="C22" s="92" t="s">
        <v>23438</v>
      </c>
      <c r="D22" s="1" t="s">
        <v>23439</v>
      </c>
      <c r="E22" t="s">
        <v>23440</v>
      </c>
      <c r="F22" t="s">
        <v>23441</v>
      </c>
      <c r="G22">
        <v>19</v>
      </c>
      <c r="H22">
        <v>5</v>
      </c>
      <c r="I22">
        <v>1.4</v>
      </c>
      <c r="J22">
        <v>10</v>
      </c>
      <c r="K22" t="s">
        <v>3649</v>
      </c>
      <c r="L22" t="str">
        <f>IFERROR(LEFT(TRIM(Lose[[#This Row],[Google Koordinaten]]),9),"")</f>
        <v>52.489252</v>
      </c>
      <c r="M22" t="str">
        <f>IFERROR(MID(TRIM(Lose[[#This Row],[Google Koordinaten]]),
FIND(",",TRIM(Lose[[#This Row],[Google Koordinaten]])) + 2,9),"")</f>
        <v>13.359617</v>
      </c>
      <c r="N22">
        <f>IF(Lose[[#This Row],[Bahn-hofs-zeit]]=0,0,MROUND(30*25^((Lose[[#This Row],[Bahn-hofs-zeit]]-_xlfn.MINIFS(Lose[Bahn-hofs-zeit],Lose[Bahn-hofs-zeit],"&gt;0"))/(MAX(Lose[Bahn-hofs-zeit])-_xlfn.MINIFS(Lose[Bahn-hofs-zeit],Lose[Bahn-hofs-zeit],"&gt;0"))),5))</f>
        <v>135</v>
      </c>
      <c r="O22">
        <f>IF(Lose[[#This Row],[Gehzeit (min)]]="",0,CEILING(3*(Lose[[#This Row],[Gehzeit (min)]]+Lose[[#This Row],[Aufgaben-zeit (min)]]),5))</f>
        <v>75</v>
      </c>
      <c r="P22">
        <v>8.5</v>
      </c>
      <c r="Q22">
        <f>IFERROR(ROUND(Lose[[#This Row],[Distanz (km)]]*60/Lose[[#This Row],[Gehzeit (min)]],1),"")</f>
        <v>4.4000000000000004</v>
      </c>
      <c r="R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22">
        <f>IFERROR(Lose[[#This Row],[Distanz (km)]]-Lose[[#This Row],[Check Distanz]],"")</f>
        <v>0.18999999999999995</v>
      </c>
      <c r="T22" s="60">
        <f>IFERROR(Lose[[#This Row],[Check Umweg]]/Lose[[#This Row],[Check Distanz]],"")</f>
        <v>0.1570247933884297</v>
      </c>
      <c r="U22">
        <f ca="1">IF(RIGHT(Lose[[#This Row],[LosID]],1)="b",_xlfn.XLOOKUP(REPLACE(Lose[[#This Row],[LosID]],LEN(Lose[[#This Row],[LosID]]),1,"a"),Lose[LosID],Lose[Zufallszahl],"",0),RAND())</f>
        <v>0.78073898395427577</v>
      </c>
      <c r="V22" t="b" cm="1">
        <f t="array" aca="1" ref="V22" ca="1">Lose[[#This Row],[Zufallszahl]]&gt;=IFERROR(LARGE((LEFT(Lose[LosID],FIND("-",Lose[LosID])-1)=LEFT(Lose[[#This Row],[LosID]],FIND("-",Lose[[#This Row],[LosID]])-1))*Lose[Zufallszahl],_xlfn.XLOOKUP(LEFT(Lose[[#This Row],[LosID]],FIND("-",Lose[[#This Row],[LosID]])-1),Ziehungsanzahl[Kürzel],Ziehungsanzahl[Kontingent],FALSE,0)),9999)</f>
        <v>0</v>
      </c>
    </row>
    <row r="23" spans="1:23" ht="45" hidden="1">
      <c r="A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 t="s">
        <v>23408</v>
      </c>
      <c r="C23" s="92" t="s">
        <v>23442</v>
      </c>
      <c r="D23" s="1" t="s">
        <v>23443</v>
      </c>
      <c r="E23" t="s">
        <v>23444</v>
      </c>
      <c r="F23" t="s">
        <v>23445</v>
      </c>
      <c r="G23">
        <v>9</v>
      </c>
      <c r="H23">
        <v>5</v>
      </c>
      <c r="I23">
        <v>0.65</v>
      </c>
      <c r="J23">
        <v>5</v>
      </c>
      <c r="K23" t="str" cm="1">
        <f t="array" ref="K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Holzwickede</v>
      </c>
      <c r="L23" t="str">
        <f>IFERROR(LEFT(TRIM(Lose[[#This Row],[Google Koordinaten]]),9),"")</f>
        <v>51.500244</v>
      </c>
      <c r="M23" t="str">
        <f>IFERROR(MID(TRIM(Lose[[#This Row],[Google Koordinaten]]),
FIND(",",TRIM(Lose[[#This Row],[Google Koordinaten]])) + 2,9),"")</f>
        <v>7.6176679</v>
      </c>
      <c r="N23">
        <f>IF(Lose[[#This Row],[Bahn-hofs-zeit]]=0,0,MROUND(30*25^((Lose[[#This Row],[Bahn-hofs-zeit]]-_xlfn.MINIFS(Lose[Bahn-hofs-zeit],Lose[Bahn-hofs-zeit],"&gt;0"))/(MAX(Lose[Bahn-hofs-zeit])-_xlfn.MINIFS(Lose[Bahn-hofs-zeit],Lose[Bahn-hofs-zeit],"&gt;0"))),5))</f>
        <v>40</v>
      </c>
      <c r="O23">
        <f>IF(Lose[[#This Row],[Gehzeit (min)]]="",0,CEILING(3*(Lose[[#This Row],[Gehzeit (min)]]+Lose[[#This Row],[Aufgaben-zeit (min)]]),5))</f>
        <v>45</v>
      </c>
      <c r="P23">
        <v>4.25</v>
      </c>
      <c r="Q23">
        <f>IFERROR(ROUND(Lose[[#This Row],[Distanz (km)]]*60/Lose[[#This Row],[Gehzeit (min)]],1),"")</f>
        <v>4.3</v>
      </c>
      <c r="R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23">
        <f>IFERROR(Lose[[#This Row],[Distanz (km)]]-Lose[[#This Row],[Check Distanz]],"")</f>
        <v>0.13</v>
      </c>
      <c r="T23" s="60">
        <f>IFERROR(Lose[[#This Row],[Check Umweg]]/Lose[[#This Row],[Check Distanz]],"")</f>
        <v>0.25</v>
      </c>
      <c r="U23">
        <f ca="1">IF(RIGHT(Lose[[#This Row],[LosID]],1)="b",_xlfn.XLOOKUP(REPLACE(Lose[[#This Row],[LosID]],LEN(Lose[[#This Row],[LosID]]),1,"a"),Lose[LosID],Lose[Zufallszahl],"",0),RAND())</f>
        <v>1.6553671409525794E-2</v>
      </c>
      <c r="V23" t="b" cm="1">
        <f t="array" aca="1" ref="V23" ca="1">Lose[[#This Row],[Zufallszahl]]&gt;=IFERROR(LARGE((LEFT(Lose[LosID],FIND("-",Lose[LosID])-1)=LEFT(Lose[[#This Row],[LosID]],FIND("-",Lose[[#This Row],[LosID]])-1))*Lose[Zufallszahl],_xlfn.XLOOKUP(LEFT(Lose[[#This Row],[LosID]],FIND("-",Lose[[#This Row],[LosID]])-1),Ziehungsanzahl[Kürzel],Ziehungsanzahl[Kontingent],FALSE,0)),9999)</f>
        <v>0</v>
      </c>
    </row>
    <row r="24" spans="1:23" ht="195" hidden="1">
      <c r="A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 t="s">
        <v>23412</v>
      </c>
      <c r="C24" s="92" t="s">
        <v>23446</v>
      </c>
      <c r="D24" s="1" t="s">
        <v>23447</v>
      </c>
      <c r="E24" t="s">
        <v>23448</v>
      </c>
      <c r="F24" t="s">
        <v>23449</v>
      </c>
      <c r="G24">
        <v>7</v>
      </c>
      <c r="H24">
        <v>10</v>
      </c>
      <c r="I24">
        <v>0.5</v>
      </c>
      <c r="J24">
        <v>20</v>
      </c>
      <c r="K24" t="str" cm="1">
        <f t="array" ref="K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Stuttgart-Zuffenhausen</v>
      </c>
      <c r="L24" t="str">
        <f>IFERROR(LEFT(TRIM(Lose[[#This Row],[Google Koordinaten]]),9),"")</f>
        <v>48.833376</v>
      </c>
      <c r="M24" t="str">
        <f>IFERROR(MID(TRIM(Lose[[#This Row],[Google Koordinaten]]),
FIND(",",TRIM(Lose[[#This Row],[Google Koordinaten]])) + 2,9),"")</f>
        <v>9.1650928</v>
      </c>
      <c r="N24">
        <f>IF(Lose[[#This Row],[Bahn-hofs-zeit]]=0,0,MROUND(30*25^((Lose[[#This Row],[Bahn-hofs-zeit]]-_xlfn.MINIFS(Lose[Bahn-hofs-zeit],Lose[Bahn-hofs-zeit],"&gt;0"))/(MAX(Lose[Bahn-hofs-zeit])-_xlfn.MINIFS(Lose[Bahn-hofs-zeit],Lose[Bahn-hofs-zeit],"&gt;0"))),5))</f>
        <v>80</v>
      </c>
      <c r="O24">
        <f>IF(Lose[[#This Row],[Gehzeit (min)]]="",0,CEILING(3*(Lose[[#This Row],[Gehzeit (min)]]+Lose[[#This Row],[Aufgaben-zeit (min)]]),5))</f>
        <v>55</v>
      </c>
      <c r="P24">
        <v>6.75</v>
      </c>
      <c r="Q24">
        <f>IFERROR(ROUND(Lose[[#This Row],[Distanz (km)]]*60/Lose[[#This Row],[Gehzeit (min)]],1),"")</f>
        <v>4.3</v>
      </c>
      <c r="R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24">
        <f>IFERROR(Lose[[#This Row],[Distanz (km)]]-Lose[[#This Row],[Check Distanz]],"")</f>
        <v>3.999999999999998E-2</v>
      </c>
      <c r="T24" s="60">
        <f>IFERROR(Lose[[#This Row],[Check Umweg]]/Lose[[#This Row],[Check Distanz]],"")</f>
        <v>8.6956521739130391E-2</v>
      </c>
      <c r="U24">
        <f ca="1">IF(RIGHT(Lose[[#This Row],[LosID]],1)="b",_xlfn.XLOOKUP(REPLACE(Lose[[#This Row],[LosID]],LEN(Lose[[#This Row],[LosID]]),1,"a"),Lose[LosID],Lose[Zufallszahl],"",0),RAND())</f>
        <v>0.31313221312998474</v>
      </c>
      <c r="V24" t="b" cm="1">
        <f t="array" aca="1" ref="V24" ca="1">Lose[[#This Row],[Zufallszahl]]&gt;=IFERROR(LARGE((LEFT(Lose[LosID],FIND("-",Lose[LosID])-1)=LEFT(Lose[[#This Row],[LosID]],FIND("-",Lose[[#This Row],[LosID]])-1))*Lose[Zufallszahl],_xlfn.XLOOKUP(LEFT(Lose[[#This Row],[LosID]],FIND("-",Lose[[#This Row],[LosID]])-1),Ziehungsanzahl[Kürzel],Ziehungsanzahl[Kontingent],FALSE,0)),9999)</f>
        <v>0</v>
      </c>
    </row>
    <row r="25" spans="1:23" ht="105" hidden="1">
      <c r="A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 t="s">
        <v>23416</v>
      </c>
      <c r="C25" s="92" t="s">
        <v>1419</v>
      </c>
      <c r="D25" s="1" t="s">
        <v>23450</v>
      </c>
      <c r="E25" t="s">
        <v>23451</v>
      </c>
      <c r="F25" t="s">
        <v>23452</v>
      </c>
      <c r="G25">
        <v>7</v>
      </c>
      <c r="H25">
        <v>15</v>
      </c>
      <c r="I25">
        <v>0.5</v>
      </c>
      <c r="K25" t="str" cm="1">
        <f t="array" ref="K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Gießen</v>
      </c>
      <c r="L25" t="str">
        <f>IFERROR(LEFT(TRIM(Lose[[#This Row],[Google Koordinaten]]),9),"")</f>
        <v>50.581109</v>
      </c>
      <c r="M25" t="str">
        <f>IFERROR(MID(TRIM(Lose[[#This Row],[Google Koordinaten]]),
FIND(",",TRIM(Lose[[#This Row],[Google Koordinaten]])) + 2,9),"")</f>
        <v>8.6658031</v>
      </c>
      <c r="N25">
        <f>IF(Lose[[#This Row],[Bahn-hofs-zeit]]=0,0,MROUND(30*25^((Lose[[#This Row],[Bahn-hofs-zeit]]-_xlfn.MINIFS(Lose[Bahn-hofs-zeit],Lose[Bahn-hofs-zeit],"&gt;0"))/(MAX(Lose[Bahn-hofs-zeit])-_xlfn.MINIFS(Lose[Bahn-hofs-zeit],Lose[Bahn-hofs-zeit],"&gt;0"))),5))</f>
        <v>55</v>
      </c>
      <c r="O25">
        <f>IF(Lose[[#This Row],[Gehzeit (min)]]="",0,CEILING(3*(Lose[[#This Row],[Gehzeit (min)]]+Lose[[#This Row],[Aufgaben-zeit (min)]]),5))</f>
        <v>70</v>
      </c>
      <c r="P25">
        <v>5.25</v>
      </c>
      <c r="Q25">
        <f>IFERROR(ROUND(Lose[[#This Row],[Distanz (km)]]*60/Lose[[#This Row],[Gehzeit (min)]],1),"")</f>
        <v>4.3</v>
      </c>
      <c r="R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5">
        <f>IFERROR(Lose[[#This Row],[Distanz (km)]]-Lose[[#This Row],[Check Distanz]],"")</f>
        <v>0.12</v>
      </c>
      <c r="T25" s="60">
        <f>IFERROR(Lose[[#This Row],[Check Umweg]]/Lose[[#This Row],[Check Distanz]],"")</f>
        <v>0.31578947368421051</v>
      </c>
      <c r="U25">
        <f ca="1">IF(RIGHT(Lose[[#This Row],[LosID]],1)="b",_xlfn.XLOOKUP(REPLACE(Lose[[#This Row],[LosID]],LEN(Lose[[#This Row],[LosID]]),1,"a"),Lose[LosID],Lose[Zufallszahl],"",0),RAND())</f>
        <v>0.89746916513443131</v>
      </c>
      <c r="V25" t="b" cm="1">
        <f t="array" aca="1" ref="V25" ca="1">Lose[[#This Row],[Zufallszahl]]&gt;=IFERROR(LARGE((LEFT(Lose[LosID],FIND("-",Lose[LosID])-1)=LEFT(Lose[[#This Row],[LosID]],FIND("-",Lose[[#This Row],[LosID]])-1))*Lose[Zufallszahl],_xlfn.XLOOKUP(LEFT(Lose[[#This Row],[LosID]],FIND("-",Lose[[#This Row],[LosID]])-1),Ziehungsanzahl[Kürzel],Ziehungsanzahl[Kontingent],FALSE,0)),9999)</f>
        <v>0</v>
      </c>
    </row>
    <row r="26" spans="1:23" hidden="1">
      <c r="A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 t="s">
        <v>23394</v>
      </c>
      <c r="C26" s="92" t="s">
        <v>23453</v>
      </c>
      <c r="D26" s="1" t="s">
        <v>23454</v>
      </c>
      <c r="F26" t="s">
        <v>23455</v>
      </c>
      <c r="G26" t="s">
        <v>23</v>
      </c>
      <c r="K26" t="str" cm="1">
        <f t="array" ref="K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Goldhausen</v>
      </c>
      <c r="L26" t="str">
        <f>IFERROR(LEFT(TRIM(Lose[[#This Row],[Google Koordinaten]]),9),"")</f>
        <v>50.461510</v>
      </c>
      <c r="M26" t="str">
        <f>IFERROR(MID(TRIM(Lose[[#This Row],[Google Koordinaten]]),
FIND(",",TRIM(Lose[[#This Row],[Google Koordinaten]])) + 2,9),"")</f>
        <v>7.8730466</v>
      </c>
      <c r="N26">
        <f>IF(Lose[[#This Row],[Bahn-hofs-zeit]]=0,0,MROUND(30*25^((Lose[[#This Row],[Bahn-hofs-zeit]]-_xlfn.MINIFS(Lose[Bahn-hofs-zeit],Lose[Bahn-hofs-zeit],"&gt;0"))/(MAX(Lose[Bahn-hofs-zeit])-_xlfn.MINIFS(Lose[Bahn-hofs-zeit],Lose[Bahn-hofs-zeit],"&gt;0"))),5))</f>
        <v>55</v>
      </c>
      <c r="O26">
        <f>IF(Lose[[#This Row],[Gehzeit (min)]]="",0,CEILING(3*(Lose[[#This Row],[Gehzeit (min)]]+Lose[[#This Row],[Aufgaben-zeit (min)]]),5))</f>
        <v>0</v>
      </c>
      <c r="P26">
        <v>5.5</v>
      </c>
      <c r="Q26" t="str">
        <f>IFERROR(ROUND(Lose[[#This Row],[Distanz (km)]]*60/Lose[[#This Row],[Gehzeit (min)]],1),"")</f>
        <v/>
      </c>
      <c r="R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26">
        <f>IFERROR(Lose[[#This Row],[Distanz (km)]]-Lose[[#This Row],[Check Distanz]],"")</f>
        <v>-0.01</v>
      </c>
      <c r="T26" s="60">
        <f>IFERROR(Lose[[#This Row],[Check Umweg]]/Lose[[#This Row],[Check Distanz]],"")</f>
        <v>-1</v>
      </c>
      <c r="U26">
        <f ca="1">IF(RIGHT(Lose[[#This Row],[LosID]],1)="b",_xlfn.XLOOKUP(REPLACE(Lose[[#This Row],[LosID]],LEN(Lose[[#This Row],[LosID]]),1,"a"),Lose[LosID],Lose[Zufallszahl],"",0),RAND())</f>
        <v>0.10078561280182685</v>
      </c>
      <c r="V26" t="b" cm="1">
        <f t="array" aca="1" ref="V26" ca="1">Lose[[#This Row],[Zufallszahl]]&gt;=IFERROR(LARGE((LEFT(Lose[LosID],FIND("-",Lose[LosID])-1)=LEFT(Lose[[#This Row],[LosID]],FIND("-",Lose[[#This Row],[LosID]])-1))*Lose[Zufallszahl],_xlfn.XLOOKUP(LEFT(Lose[[#This Row],[LosID]],FIND("-",Lose[[#This Row],[LosID]])-1),Ziehungsanzahl[Kürzel],Ziehungsanzahl[Kontingent],FALSE,0)),9999)</f>
        <v>0</v>
      </c>
    </row>
    <row r="27" spans="1:23" hidden="1">
      <c r="A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 t="s">
        <v>23394</v>
      </c>
      <c r="C27" s="92" t="s">
        <v>23456</v>
      </c>
      <c r="D27" s="1" t="s">
        <v>23457</v>
      </c>
      <c r="E27" s="86"/>
      <c r="F27" t="s">
        <v>23458</v>
      </c>
      <c r="G27" t="s">
        <v>23</v>
      </c>
      <c r="K27" t="str" cm="1">
        <f t="array" ref="K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Silberhausen</v>
      </c>
      <c r="L27" t="str">
        <f>IFERROR(LEFT(TRIM(Lose[[#This Row],[Google Koordinaten]]),9),"")</f>
        <v>51.319090</v>
      </c>
      <c r="M27" t="str">
        <f>IFERROR(MID(TRIM(Lose[[#This Row],[Google Koordinaten]]),
FIND(",",TRIM(Lose[[#This Row],[Google Koordinaten]])) + 2,9),"")</f>
        <v>10.342294</v>
      </c>
      <c r="N27">
        <f>IF(Lose[[#This Row],[Bahn-hofs-zeit]]=0,0,MROUND(30*25^((Lose[[#This Row],[Bahn-hofs-zeit]]-_xlfn.MINIFS(Lose[Bahn-hofs-zeit],Lose[Bahn-hofs-zeit],"&gt;0"))/(MAX(Lose[Bahn-hofs-zeit])-_xlfn.MINIFS(Lose[Bahn-hofs-zeit],Lose[Bahn-hofs-zeit],"&gt;0"))),5))</f>
        <v>90</v>
      </c>
      <c r="O27">
        <f>IF(Lose[[#This Row],[Gehzeit (min)]]="",0,CEILING(3*(Lose[[#This Row],[Gehzeit (min)]]+Lose[[#This Row],[Aufgaben-zeit (min)]]),5))</f>
        <v>0</v>
      </c>
      <c r="P27">
        <v>7</v>
      </c>
      <c r="Q27" t="str">
        <f>IFERROR(ROUND(Lose[[#This Row],[Distanz (km)]]*60/Lose[[#This Row],[Gehzeit (min)]],1),"")</f>
        <v/>
      </c>
      <c r="R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27">
        <f>IFERROR(Lose[[#This Row],[Distanz (km)]]-Lose[[#This Row],[Check Distanz]],"")</f>
        <v>-0.04</v>
      </c>
      <c r="T27" s="60">
        <f>IFERROR(Lose[[#This Row],[Check Umweg]]/Lose[[#This Row],[Check Distanz]],"")</f>
        <v>-1</v>
      </c>
      <c r="U27">
        <f ca="1">IF(RIGHT(Lose[[#This Row],[LosID]],1)="b",_xlfn.XLOOKUP(REPLACE(Lose[[#This Row],[LosID]],LEN(Lose[[#This Row],[LosID]]),1,"a"),Lose[LosID],Lose[Zufallszahl],"",0),RAND())</f>
        <v>0.10078561280182685</v>
      </c>
      <c r="V27" t="b" cm="1">
        <f t="array" aca="1" ref="V27" ca="1">Lose[[#This Row],[Zufallszahl]]&gt;=IFERROR(LARGE((LEFT(Lose[LosID],FIND("-",Lose[LosID])-1)=LEFT(Lose[[#This Row],[LosID]],FIND("-",Lose[[#This Row],[LosID]])-1))*Lose[Zufallszahl],_xlfn.XLOOKUP(LEFT(Lose[[#This Row],[LosID]],FIND("-",Lose[[#This Row],[LosID]])-1),Ziehungsanzahl[Kürzel],Ziehungsanzahl[Kontingent],FALSE,0)),9999)</f>
        <v>0</v>
      </c>
    </row>
    <row r="28" spans="1:23" hidden="1">
      <c r="A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 t="s">
        <v>23403</v>
      </c>
      <c r="C28" s="94" t="s">
        <v>210</v>
      </c>
      <c r="D28" s="1" t="s">
        <v>23459</v>
      </c>
      <c r="E28" t="s">
        <v>23</v>
      </c>
      <c r="F28" t="s">
        <v>23</v>
      </c>
      <c r="G28" t="s">
        <v>23</v>
      </c>
      <c r="K28" t="s">
        <v>1226</v>
      </c>
      <c r="L28" t="str">
        <f>IFERROR(LEFT(TRIM(Lose[[#This Row],[Google Koordinaten]]),9),"")</f>
        <v/>
      </c>
      <c r="M28" t="str">
        <f>IFERROR(MID(TRIM(Lose[[#This Row],[Google Koordinaten]]),
FIND(",",TRIM(Lose[[#This Row],[Google Koordinaten]])) + 2,9),"")</f>
        <v/>
      </c>
      <c r="N28">
        <f>IF(Lose[[#This Row],[Bahn-hofs-zeit]]=0,0,MROUND(30*25^((Lose[[#This Row],[Bahn-hofs-zeit]]-_xlfn.MINIFS(Lose[Bahn-hofs-zeit],Lose[Bahn-hofs-zeit],"&gt;0"))/(MAX(Lose[Bahn-hofs-zeit])-_xlfn.MINIFS(Lose[Bahn-hofs-zeit],Lose[Bahn-hofs-zeit],"&gt;0"))),5))</f>
        <v>90</v>
      </c>
      <c r="O28">
        <f>IF(Lose[[#This Row],[Gehzeit (min)]]="",0,CEILING(3*(Lose[[#This Row],[Gehzeit (min)]]+Lose[[#This Row],[Aufgaben-zeit (min)]]),5))</f>
        <v>0</v>
      </c>
      <c r="P28">
        <v>7</v>
      </c>
      <c r="Q28" t="str">
        <f>IFERROR(ROUND(Lose[[#This Row],[Distanz (km)]]*60/Lose[[#This Row],[Gehzeit (min)]],1),"")</f>
        <v/>
      </c>
      <c r="R2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8" t="str">
        <f>IFERROR(Lose[[#This Row],[Distanz (km)]]-Lose[[#This Row],[Check Distanz]],"")</f>
        <v/>
      </c>
      <c r="T28" s="60" t="str">
        <f>IFERROR(Lose[[#This Row],[Check Umweg]]/Lose[[#This Row],[Check Distanz]],"")</f>
        <v/>
      </c>
      <c r="U28">
        <f ca="1">IF(RIGHT(Lose[[#This Row],[LosID]],1)="b",_xlfn.XLOOKUP(REPLACE(Lose[[#This Row],[LosID]],LEN(Lose[[#This Row],[LosID]]),1,"a"),Lose[LosID],Lose[Zufallszahl],"",0),RAND())</f>
        <v>0.91665948684540544</v>
      </c>
      <c r="V28" t="b" cm="1">
        <f t="array" aca="1" ref="V28" ca="1">Lose[[#This Row],[Zufallszahl]]&gt;=IFERROR(LARGE((LEFT(Lose[LosID],FIND("-",Lose[LosID])-1)=LEFT(Lose[[#This Row],[LosID]],FIND("-",Lose[[#This Row],[LosID]])-1))*Lose[Zufallszahl],_xlfn.XLOOKUP(LEFT(Lose[[#This Row],[LosID]],FIND("-",Lose[[#This Row],[LosID]])-1),Ziehungsanzahl[Kürzel],Ziehungsanzahl[Kontingent],FALSE,0)),9999)</f>
        <v>0</v>
      </c>
    </row>
    <row r="29" spans="1:23" hidden="1">
      <c r="A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 t="s">
        <v>23403</v>
      </c>
      <c r="C29" s="94" t="s">
        <v>215</v>
      </c>
      <c r="D29" s="1" t="s">
        <v>23460</v>
      </c>
      <c r="E29" t="s">
        <v>23</v>
      </c>
      <c r="F29" t="s">
        <v>23</v>
      </c>
      <c r="G29" t="s">
        <v>23</v>
      </c>
      <c r="K29" t="s">
        <v>1228</v>
      </c>
      <c r="L29" t="str">
        <f>IFERROR(LEFT(TRIM(Lose[[#This Row],[Google Koordinaten]]),9),"")</f>
        <v/>
      </c>
      <c r="M29" t="str">
        <f>IFERROR(MID(TRIM(Lose[[#This Row],[Google Koordinaten]]),
FIND(",",TRIM(Lose[[#This Row],[Google Koordinaten]])) + 2,9),"")</f>
        <v/>
      </c>
      <c r="N29">
        <f>IF(Lose[[#This Row],[Bahn-hofs-zeit]]=0,0,MROUND(30*25^((Lose[[#This Row],[Bahn-hofs-zeit]]-_xlfn.MINIFS(Lose[Bahn-hofs-zeit],Lose[Bahn-hofs-zeit],"&gt;0"))/(MAX(Lose[Bahn-hofs-zeit])-_xlfn.MINIFS(Lose[Bahn-hofs-zeit],Lose[Bahn-hofs-zeit],"&gt;0"))),5))</f>
        <v>55</v>
      </c>
      <c r="O29">
        <f>IF(Lose[[#This Row],[Gehzeit (min)]]="",0,CEILING(3*(Lose[[#This Row],[Gehzeit (min)]]+Lose[[#This Row],[Aufgaben-zeit (min)]]),5))</f>
        <v>0</v>
      </c>
      <c r="P29">
        <v>5.25</v>
      </c>
      <c r="Q29" t="str">
        <f>IFERROR(ROUND(Lose[[#This Row],[Distanz (km)]]*60/Lose[[#This Row],[Gehzeit (min)]],1),"")</f>
        <v/>
      </c>
      <c r="R2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9" t="str">
        <f>IFERROR(Lose[[#This Row],[Distanz (km)]]-Lose[[#This Row],[Check Distanz]],"")</f>
        <v/>
      </c>
      <c r="T29" s="60" t="str">
        <f>IFERROR(Lose[[#This Row],[Check Umweg]]/Lose[[#This Row],[Check Distanz]],"")</f>
        <v/>
      </c>
      <c r="U29">
        <f ca="1">IF(RIGHT(Lose[[#This Row],[LosID]],1)="b",_xlfn.XLOOKUP(REPLACE(Lose[[#This Row],[LosID]],LEN(Lose[[#This Row],[LosID]]),1,"a"),Lose[LosID],Lose[Zufallszahl],"",0),RAND())</f>
        <v>0.91665948684540544</v>
      </c>
      <c r="V29" t="b" cm="1">
        <f t="array" aca="1" ref="V29" ca="1">Lose[[#This Row],[Zufallszahl]]&gt;=IFERROR(LARGE((LEFT(Lose[LosID],FIND("-",Lose[LosID])-1)=LEFT(Lose[[#This Row],[LosID]],FIND("-",Lose[[#This Row],[LosID]])-1))*Lose[Zufallszahl],_xlfn.XLOOKUP(LEFT(Lose[[#This Row],[LosID]],FIND("-",Lose[[#This Row],[LosID]])-1),Ziehungsanzahl[Kürzel],Ziehungsanzahl[Kontingent],FALSE,0)),9999)</f>
        <v>0</v>
      </c>
    </row>
    <row r="30" spans="1:23" hidden="1">
      <c r="A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 s="99" t="s">
        <v>23408</v>
      </c>
      <c r="C30" s="91" t="s">
        <v>23461</v>
      </c>
      <c r="D30" s="1" t="s">
        <v>23462</v>
      </c>
      <c r="F30" t="s">
        <v>23463</v>
      </c>
      <c r="G30">
        <v>0</v>
      </c>
      <c r="H30">
        <v>1</v>
      </c>
      <c r="K30" t="str" cm="1">
        <f t="array" ref="K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 am See</v>
      </c>
      <c r="L30" t="str">
        <f>IFERROR(LEFT(TRIM(Lose[[#This Row],[Google Koordinaten]]),9),"")</f>
        <v>49.249358</v>
      </c>
      <c r="M30" t="str">
        <f>IFERROR(MID(TRIM(Lose[[#This Row],[Google Koordinaten]]),
FIND(",",TRIM(Lose[[#This Row],[Google Koordinaten]])) + 2,9),"")</f>
        <v>10.030191</v>
      </c>
      <c r="N30">
        <f>IF(Lose[[#This Row],[Bahn-hofs-zeit]]=0,0,MROUND(30*25^((Lose[[#This Row],[Bahn-hofs-zeit]]-_xlfn.MINIFS(Lose[Bahn-hofs-zeit],Lose[Bahn-hofs-zeit],"&gt;0"))/(MAX(Lose[Bahn-hofs-zeit])-_xlfn.MINIFS(Lose[Bahn-hofs-zeit],Lose[Bahn-hofs-zeit],"&gt;0"))),5))</f>
        <v>180</v>
      </c>
      <c r="O30">
        <f>IF(Lose[[#This Row],[Gehzeit (min)]]="",0,CEILING(3*(Lose[[#This Row],[Gehzeit (min)]]+Lose[[#This Row],[Aufgaben-zeit (min)]]),5))</f>
        <v>5</v>
      </c>
      <c r="P30">
        <v>9.5</v>
      </c>
      <c r="Q30" t="str">
        <f>IFERROR(ROUND(Lose[[#This Row],[Distanz (km)]]*60/Lose[[#This Row],[Gehzeit (min)]],1),"")</f>
        <v/>
      </c>
      <c r="R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30">
        <f>IFERROR(Lose[[#This Row],[Distanz (km)]]-Lose[[#This Row],[Check Distanz]],"")</f>
        <v>-0.01</v>
      </c>
      <c r="T30" s="60">
        <f>IFERROR(Lose[[#This Row],[Check Umweg]]/Lose[[#This Row],[Check Distanz]],"")</f>
        <v>-1</v>
      </c>
      <c r="U30">
        <f ca="1">IF(RIGHT(Lose[[#This Row],[LosID]],1)="b",_xlfn.XLOOKUP(REPLACE(Lose[[#This Row],[LosID]],LEN(Lose[[#This Row],[LosID]]),1,"a"),Lose[LosID],Lose[Zufallszahl],"",0),RAND())</f>
        <v>0.73814042022004744</v>
      </c>
      <c r="V30" t="b" cm="1">
        <f t="array" aca="1" ref="V30" ca="1">Lose[[#This Row],[Zufallszahl]]&gt;=IFERROR(LARGE((LEFT(Lose[LosID],FIND("-",Lose[LosID])-1)=LEFT(Lose[[#This Row],[LosID]],FIND("-",Lose[[#This Row],[LosID]])-1))*Lose[Zufallszahl],_xlfn.XLOOKUP(LEFT(Lose[[#This Row],[LosID]],FIND("-",Lose[[#This Row],[LosID]])-1),Ziehungsanzahl[Kürzel],Ziehungsanzahl[Kontingent],FALSE,0)),9999)</f>
        <v>0</v>
      </c>
    </row>
    <row r="31" spans="1:23" ht="89.85" hidden="1" customHeight="1">
      <c r="A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 s="99" t="s">
        <v>23408</v>
      </c>
      <c r="C31" s="91" t="s">
        <v>23464</v>
      </c>
      <c r="D31" s="1" t="s">
        <v>23465</v>
      </c>
      <c r="E31" s="1"/>
      <c r="F31" t="s">
        <v>23466</v>
      </c>
      <c r="G31">
        <v>0</v>
      </c>
      <c r="H31">
        <v>1</v>
      </c>
      <c r="K31" t="str" cm="1">
        <f t="array" ref="K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Magdeburg-Rothensee</v>
      </c>
      <c r="L31" t="str">
        <f>IFERROR(LEFT(TRIM(Lose[[#This Row],[Google Koordinaten]]),9),"")</f>
        <v>52.187369</v>
      </c>
      <c r="M31" t="str">
        <f>IFERROR(MID(TRIM(Lose[[#This Row],[Google Koordinaten]]),
FIND(",",TRIM(Lose[[#This Row],[Google Koordinaten]])) + 2,9),"")</f>
        <v>11.647404</v>
      </c>
      <c r="N31">
        <f>IF(Lose[[#This Row],[Bahn-hofs-zeit]]=0,0,MROUND(30*25^((Lose[[#This Row],[Bahn-hofs-zeit]]-_xlfn.MINIFS(Lose[Bahn-hofs-zeit],Lose[Bahn-hofs-zeit],"&gt;0"))/(MAX(Lose[Bahn-hofs-zeit])-_xlfn.MINIFS(Lose[Bahn-hofs-zeit],Lose[Bahn-hofs-zeit],"&gt;0"))),5))</f>
        <v>165</v>
      </c>
      <c r="O31">
        <f>IF(Lose[[#This Row],[Gehzeit (min)]]="",0,CEILING(3*(Lose[[#This Row],[Gehzeit (min)]]+Lose[[#This Row],[Aufgaben-zeit (min)]]),5))</f>
        <v>5</v>
      </c>
      <c r="P31">
        <v>9.25</v>
      </c>
      <c r="Q31" t="str">
        <f>IFERROR(ROUND(Lose[[#This Row],[Distanz (km)]]*60/Lose[[#This Row],[Gehzeit (min)]],1),"")</f>
        <v/>
      </c>
      <c r="R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31">
        <f>IFERROR(Lose[[#This Row],[Distanz (km)]]-Lose[[#This Row],[Check Distanz]],"")</f>
        <v>-0.08</v>
      </c>
      <c r="T31" s="60">
        <f>IFERROR(Lose[[#This Row],[Check Umweg]]/Lose[[#This Row],[Check Distanz]],"")</f>
        <v>-1</v>
      </c>
      <c r="U31">
        <f ca="1">IF(RIGHT(Lose[[#This Row],[LosID]],1)="b",_xlfn.XLOOKUP(REPLACE(Lose[[#This Row],[LosID]],LEN(Lose[[#This Row],[LosID]]),1,"a"),Lose[LosID],Lose[Zufallszahl],"",0),RAND())</f>
        <v>0.73814042022004744</v>
      </c>
      <c r="V31" t="b" cm="1">
        <f t="array" aca="1" ref="V31" ca="1">Lose[[#This Row],[Zufallszahl]]&gt;=IFERROR(LARGE((LEFT(Lose[LosID],FIND("-",Lose[LosID])-1)=LEFT(Lose[[#This Row],[LosID]],FIND("-",Lose[[#This Row],[LosID]])-1))*Lose[Zufallszahl],_xlfn.XLOOKUP(LEFT(Lose[[#This Row],[LosID]],FIND("-",Lose[[#This Row],[LosID]])-1),Ziehungsanzahl[Kürzel],Ziehungsanzahl[Kontingent],FALSE,0)),9999)</f>
        <v>0</v>
      </c>
    </row>
    <row r="32" spans="1:23" ht="46.5" hidden="1" customHeight="1">
      <c r="A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 t="s">
        <v>23412</v>
      </c>
      <c r="C32" s="92" t="s">
        <v>23467</v>
      </c>
      <c r="D32" s="1" t="s">
        <v>23468</v>
      </c>
      <c r="F32" t="s">
        <v>23469</v>
      </c>
      <c r="K32" t="str" cm="1">
        <f t="array" ref="K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Halbe</v>
      </c>
      <c r="L32" t="str">
        <f>IFERROR(LEFT(TRIM(Lose[[#This Row],[Google Koordinaten]]),9),"")</f>
        <v>52.109110</v>
      </c>
      <c r="M32" t="str">
        <f>IFERROR(MID(TRIM(Lose[[#This Row],[Google Koordinaten]]),
FIND(",",TRIM(Lose[[#This Row],[Google Koordinaten]])) + 2,9),"")</f>
        <v>13.701432</v>
      </c>
      <c r="N32">
        <f>IF(Lose[[#This Row],[Bahn-hofs-zeit]]=0,0,MROUND(30*25^((Lose[[#This Row],[Bahn-hofs-zeit]]-_xlfn.MINIFS(Lose[Bahn-hofs-zeit],Lose[Bahn-hofs-zeit],"&gt;0"))/(MAX(Lose[Bahn-hofs-zeit])-_xlfn.MINIFS(Lose[Bahn-hofs-zeit],Lose[Bahn-hofs-zeit],"&gt;0"))),5))</f>
        <v>295</v>
      </c>
      <c r="O32">
        <f>IF(Lose[[#This Row],[Gehzeit (min)]]="",0,CEILING(3*(Lose[[#This Row],[Gehzeit (min)]]+Lose[[#This Row],[Aufgaben-zeit (min)]]),5))</f>
        <v>0</v>
      </c>
      <c r="P32">
        <v>11.25</v>
      </c>
      <c r="Q32" t="str">
        <f>IFERROR(ROUND(Lose[[#This Row],[Distanz (km)]]*60/Lose[[#This Row],[Gehzeit (min)]],1),"")</f>
        <v/>
      </c>
      <c r="R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32">
        <f>IFERROR(Lose[[#This Row],[Distanz (km)]]-Lose[[#This Row],[Check Distanz]],"")</f>
        <v>-0.09</v>
      </c>
      <c r="T32" s="60">
        <f>IFERROR(Lose[[#This Row],[Check Umweg]]/Lose[[#This Row],[Check Distanz]],"")</f>
        <v>-1</v>
      </c>
      <c r="U32">
        <f ca="1">IF(RIGHT(Lose[[#This Row],[LosID]],1)="b",_xlfn.XLOOKUP(REPLACE(Lose[[#This Row],[LosID]],LEN(Lose[[#This Row],[LosID]]),1,"a"),Lose[LosID],Lose[Zufallszahl],"",0),RAND())</f>
        <v>0.52597833760936163</v>
      </c>
      <c r="V32" t="b" cm="1">
        <f t="array" aca="1" ref="V32" ca="1">Lose[[#This Row],[Zufallszahl]]&gt;=IFERROR(LARGE((LEFT(Lose[LosID],FIND("-",Lose[LosID])-1)=LEFT(Lose[[#This Row],[LosID]],FIND("-",Lose[[#This Row],[LosID]])-1))*Lose[Zufallszahl],_xlfn.XLOOKUP(LEFT(Lose[[#This Row],[LosID]],FIND("-",Lose[[#This Row],[LosID]])-1),Ziehungsanzahl[Kürzel],Ziehungsanzahl[Kontingent],FALSE,0)),9999)</f>
        <v>0</v>
      </c>
    </row>
    <row r="33" spans="1:23" hidden="1">
      <c r="A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 t="s">
        <v>23412</v>
      </c>
      <c r="C33" s="92" t="s">
        <v>23470</v>
      </c>
      <c r="D33" s="1" t="s">
        <v>23471</v>
      </c>
      <c r="F33" t="s">
        <v>23472</v>
      </c>
      <c r="K33" t="str" cm="1">
        <f t="array" ref="K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Leer(Ostfriesl)</v>
      </c>
      <c r="L33" t="str">
        <f>IFERROR(LEFT(TRIM(Lose[[#This Row],[Google Koordinaten]]),9),"")</f>
        <v>53.231349</v>
      </c>
      <c r="M33" t="str">
        <f>IFERROR(MID(TRIM(Lose[[#This Row],[Google Koordinaten]]),
FIND(",",TRIM(Lose[[#This Row],[Google Koordinaten]])) + 2,9),"")</f>
        <v>7.4653970</v>
      </c>
      <c r="N33">
        <f>IF(Lose[[#This Row],[Bahn-hofs-zeit]]=0,0,MROUND(30*25^((Lose[[#This Row],[Bahn-hofs-zeit]]-_xlfn.MINIFS(Lose[Bahn-hofs-zeit],Lose[Bahn-hofs-zeit],"&gt;0"))/(MAX(Lose[Bahn-hofs-zeit])-_xlfn.MINIFS(Lose[Bahn-hofs-zeit],Lose[Bahn-hofs-zeit],"&gt;0"))),5))</f>
        <v>95</v>
      </c>
      <c r="O33">
        <f>IF(Lose[[#This Row],[Gehzeit (min)]]="",0,CEILING(3*(Lose[[#This Row],[Gehzeit (min)]]+Lose[[#This Row],[Aufgaben-zeit (min)]]),5))</f>
        <v>0</v>
      </c>
      <c r="P33">
        <v>7.25</v>
      </c>
      <c r="Q33" t="str">
        <f>IFERROR(ROUND(Lose[[#This Row],[Distanz (km)]]*60/Lose[[#This Row],[Gehzeit (min)]],1),"")</f>
        <v/>
      </c>
      <c r="R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33">
        <f>IFERROR(Lose[[#This Row],[Distanz (km)]]-Lose[[#This Row],[Check Distanz]],"")</f>
        <v>-0.03</v>
      </c>
      <c r="T33" s="60">
        <f>IFERROR(Lose[[#This Row],[Check Umweg]]/Lose[[#This Row],[Check Distanz]],"")</f>
        <v>-1</v>
      </c>
      <c r="U33">
        <f ca="1">IF(RIGHT(Lose[[#This Row],[LosID]],1)="b",_xlfn.XLOOKUP(REPLACE(Lose[[#This Row],[LosID]],LEN(Lose[[#This Row],[LosID]]),1,"a"),Lose[LosID],Lose[Zufallszahl],"",0),RAND())</f>
        <v>0.52597833760936163</v>
      </c>
      <c r="V33" t="b" cm="1">
        <f t="array" aca="1" ref="V33" ca="1">Lose[[#This Row],[Zufallszahl]]&gt;=IFERROR(LARGE((LEFT(Lose[LosID],FIND("-",Lose[LosID])-1)=LEFT(Lose[[#This Row],[LosID]],FIND("-",Lose[[#This Row],[LosID]])-1))*Lose[Zufallszahl],_xlfn.XLOOKUP(LEFT(Lose[[#This Row],[LosID]],FIND("-",Lose[[#This Row],[LosID]])-1),Ziehungsanzahl[Kürzel],Ziehungsanzahl[Kontingent],FALSE,0)),9999)</f>
        <v>0</v>
      </c>
    </row>
    <row r="34" spans="1:23" hidden="1">
      <c r="A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 t="s">
        <v>23416</v>
      </c>
      <c r="C34" s="93" t="s">
        <v>23473</v>
      </c>
      <c r="D34" s="1" t="s">
        <v>23474</v>
      </c>
      <c r="F34" t="s">
        <v>23475</v>
      </c>
      <c r="K34" t="str" cm="1">
        <f t="array" ref="K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Sorge</v>
      </c>
      <c r="L34" t="str">
        <f>IFERROR(LEFT(TRIM(Lose[[#This Row],[Google Koordinaten]]),9),"")</f>
        <v>51.695000</v>
      </c>
      <c r="M34" t="str">
        <f>IFERROR(MID(TRIM(Lose[[#This Row],[Google Koordinaten]]),
FIND(",",TRIM(Lose[[#This Row],[Google Koordinaten]])) + 2,9),"")</f>
        <v>10.697449</v>
      </c>
      <c r="N34">
        <f>IF(Lose[[#This Row],[Bahn-hofs-zeit]]=0,0,MROUND(30*25^((Lose[[#This Row],[Bahn-hofs-zeit]]-_xlfn.MINIFS(Lose[Bahn-hofs-zeit],Lose[Bahn-hofs-zeit],"&gt;0"))/(MAX(Lose[Bahn-hofs-zeit])-_xlfn.MINIFS(Lose[Bahn-hofs-zeit],Lose[Bahn-hofs-zeit],"&gt;0"))),5))</f>
        <v>750</v>
      </c>
      <c r="O34">
        <f>IF(Lose[[#This Row],[Gehzeit (min)]]="",0,CEILING(3*(Lose[[#This Row],[Gehzeit (min)]]+Lose[[#This Row],[Aufgaben-zeit (min)]]),5))</f>
        <v>0</v>
      </c>
      <c r="P34">
        <v>14.5</v>
      </c>
      <c r="Q34" t="str">
        <f>IFERROR(ROUND(Lose[[#This Row],[Distanz (km)]]*60/Lose[[#This Row],[Gehzeit (min)]],1),"")</f>
        <v/>
      </c>
      <c r="R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34">
        <f>IFERROR(Lose[[#This Row],[Distanz (km)]]-Lose[[#This Row],[Check Distanz]],"")</f>
        <v>-0.18</v>
      </c>
      <c r="T34" s="60">
        <f>IFERROR(Lose[[#This Row],[Check Umweg]]/Lose[[#This Row],[Check Distanz]],"")</f>
        <v>-1</v>
      </c>
      <c r="U34">
        <f ca="1">IF(RIGHT(Lose[[#This Row],[LosID]],1)="b",_xlfn.XLOOKUP(REPLACE(Lose[[#This Row],[LosID]],LEN(Lose[[#This Row],[LosID]]),1,"a"),Lose[LosID],Lose[Zufallszahl],"",0),RAND())</f>
        <v>0.38886832331593502</v>
      </c>
      <c r="V34" t="b" cm="1">
        <f t="array" aca="1" ref="V34" ca="1">Lose[[#This Row],[Zufallszahl]]&gt;=IFERROR(LARGE((LEFT(Lose[LosID],FIND("-",Lose[LosID])-1)=LEFT(Lose[[#This Row],[LosID]],FIND("-",Lose[[#This Row],[LosID]])-1))*Lose[Zufallszahl],_xlfn.XLOOKUP(LEFT(Lose[[#This Row],[LosID]],FIND("-",Lose[[#This Row],[LosID]])-1),Ziehungsanzahl[Kürzel],Ziehungsanzahl[Kontingent],FALSE,0)),9999)</f>
        <v>0</v>
      </c>
    </row>
    <row r="35" spans="1:23" hidden="1">
      <c r="A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 t="s">
        <v>23416</v>
      </c>
      <c r="C35" s="93" t="s">
        <v>23476</v>
      </c>
      <c r="D35" s="1" t="s">
        <v>23477</v>
      </c>
      <c r="F35" t="s">
        <v>23478</v>
      </c>
      <c r="K35" t="str" cm="1">
        <f t="array" ref="K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35" t="str">
        <f>IFERROR(LEFT(TRIM(Lose[[#This Row],[Google Koordinaten]]),9),"")</f>
        <v>51.748025</v>
      </c>
      <c r="M35" t="str">
        <f>IFERROR(MID(TRIM(Lose[[#This Row],[Google Koordinaten]]),
FIND(",",TRIM(Lose[[#This Row],[Google Koordinaten]])) + 2,9),"")</f>
        <v>10.689555</v>
      </c>
      <c r="N35">
        <f>IF(Lose[[#This Row],[Bahn-hofs-zeit]]=0,0,MROUND(30*25^((Lose[[#This Row],[Bahn-hofs-zeit]]-_xlfn.MINIFS(Lose[Bahn-hofs-zeit],Lose[Bahn-hofs-zeit],"&gt;0"))/(MAX(Lose[Bahn-hofs-zeit])-_xlfn.MINIFS(Lose[Bahn-hofs-zeit],Lose[Bahn-hofs-zeit],"&gt;0"))),5))</f>
        <v>750</v>
      </c>
      <c r="O35">
        <f>IF(Lose[[#This Row],[Gehzeit (min)]]="",0,CEILING(3*(Lose[[#This Row],[Gehzeit (min)]]+Lose[[#This Row],[Aufgaben-zeit (min)]]),5))</f>
        <v>0</v>
      </c>
      <c r="P35">
        <v>14.5</v>
      </c>
      <c r="Q35" t="str">
        <f>IFERROR(ROUND(Lose[[#This Row],[Distanz (km)]]*60/Lose[[#This Row],[Gehzeit (min)]],1),"")</f>
        <v/>
      </c>
      <c r="R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35">
        <f>IFERROR(Lose[[#This Row],[Distanz (km)]]-Lose[[#This Row],[Check Distanz]],"")</f>
        <v>-0.23</v>
      </c>
      <c r="T35" s="60">
        <f>IFERROR(Lose[[#This Row],[Check Umweg]]/Lose[[#This Row],[Check Distanz]],"")</f>
        <v>-1</v>
      </c>
      <c r="U35">
        <f ca="1">IF(RIGHT(Lose[[#This Row],[LosID]],1)="b",_xlfn.XLOOKUP(REPLACE(Lose[[#This Row],[LosID]],LEN(Lose[[#This Row],[LosID]]),1,"a"),Lose[LosID],Lose[Zufallszahl],"",0),RAND())</f>
        <v>0.38886832331593502</v>
      </c>
      <c r="V35" t="b" cm="1">
        <f t="array" aca="1" ref="V35" ca="1">Lose[[#This Row],[Zufallszahl]]&gt;=IFERROR(LARGE((LEFT(Lose[LosID],FIND("-",Lose[LosID])-1)=LEFT(Lose[[#This Row],[LosID]],FIND("-",Lose[[#This Row],[LosID]])-1))*Lose[Zufallszahl],_xlfn.XLOOKUP(LEFT(Lose[[#This Row],[LosID]],FIND("-",Lose[[#This Row],[LosID]])-1),Ziehungsanzahl[Kürzel],Ziehungsanzahl[Kontingent],FALSE,0)),9999)</f>
        <v>0</v>
      </c>
    </row>
    <row r="36" spans="1:23" hidden="1">
      <c r="A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 t="s">
        <v>23363</v>
      </c>
      <c r="C36" s="92" t="s">
        <v>220</v>
      </c>
      <c r="D36" s="1" t="s">
        <v>23479</v>
      </c>
      <c r="F36" t="s">
        <v>23480</v>
      </c>
      <c r="K36" t="str" cm="1">
        <f t="array" ref="K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Süßen</v>
      </c>
      <c r="L36" t="str">
        <f>IFERROR(LEFT(TRIM(Lose[[#This Row],[Google Koordinaten]]),9),"")</f>
        <v>48.683606</v>
      </c>
      <c r="M36" t="str">
        <f>IFERROR(MID(TRIM(Lose[[#This Row],[Google Koordinaten]]),
FIND(",",TRIM(Lose[[#This Row],[Google Koordinaten]])) + 2,9),"")</f>
        <v>9.7599824</v>
      </c>
      <c r="N36">
        <f>IF(Lose[[#This Row],[Bahn-hofs-zeit]]=0,0,MROUND(30*25^((Lose[[#This Row],[Bahn-hofs-zeit]]-_xlfn.MINIFS(Lose[Bahn-hofs-zeit],Lose[Bahn-hofs-zeit],"&gt;0"))/(MAX(Lose[Bahn-hofs-zeit])-_xlfn.MINIFS(Lose[Bahn-hofs-zeit],Lose[Bahn-hofs-zeit],"&gt;0"))),5))</f>
        <v>145</v>
      </c>
      <c r="O36">
        <f>IF(Lose[[#This Row],[Gehzeit (min)]]="",0,CEILING(3*(Lose[[#This Row],[Gehzeit (min)]]+Lose[[#This Row],[Aufgaben-zeit (min)]]),5))</f>
        <v>0</v>
      </c>
      <c r="P36">
        <v>8.75</v>
      </c>
      <c r="Q36" t="str">
        <f>IFERROR(ROUND(Lose[[#This Row],[Distanz (km)]]*60/Lose[[#This Row],[Gehzeit (min)]],1),"")</f>
        <v/>
      </c>
      <c r="R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36">
        <f>IFERROR(Lose[[#This Row],[Distanz (km)]]-Lose[[#This Row],[Check Distanz]],"")</f>
        <v>-0.02</v>
      </c>
      <c r="T36" s="60">
        <f>IFERROR(Lose[[#This Row],[Check Umweg]]/Lose[[#This Row],[Check Distanz]],"")</f>
        <v>-1</v>
      </c>
      <c r="U36">
        <f ca="1">IF(RIGHT(Lose[[#This Row],[LosID]],1)="b",_xlfn.XLOOKUP(REPLACE(Lose[[#This Row],[LosID]],LEN(Lose[[#This Row],[LosID]]),1,"a"),Lose[LosID],Lose[Zufallszahl],"",0),RAND())</f>
        <v>0.4912469480124646</v>
      </c>
      <c r="V36" t="b" cm="1">
        <f t="array" aca="1" ref="V36" ca="1">Lose[[#This Row],[Zufallszahl]]&gt;=IFERROR(LARGE((LEFT(Lose[LosID],FIND("-",Lose[LosID])-1)=LEFT(Lose[[#This Row],[LosID]],FIND("-",Lose[[#This Row],[LosID]])-1))*Lose[Zufallszahl],_xlfn.XLOOKUP(LEFT(Lose[[#This Row],[LosID]],FIND("-",Lose[[#This Row],[LosID]])-1),Ziehungsanzahl[Kürzel],Ziehungsanzahl[Kontingent],FALSE,0)),9999)</f>
        <v>0</v>
      </c>
    </row>
    <row r="37" spans="1:23" hidden="1">
      <c r="A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 t="s">
        <v>23363</v>
      </c>
      <c r="C37" s="92" t="s">
        <v>225</v>
      </c>
      <c r="D37" s="1" t="s">
        <v>23481</v>
      </c>
      <c r="F37" t="s">
        <v>23482</v>
      </c>
      <c r="K37" t="str" cm="1">
        <f t="array" ref="K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37" t="str">
        <f>IFERROR(LEFT(TRIM(Lose[[#This Row],[Google Koordinaten]]),9),"")</f>
        <v>48.640654</v>
      </c>
      <c r="M37" t="str">
        <f>IFERROR(MID(TRIM(Lose[[#This Row],[Google Koordinaten]]),
FIND(",",TRIM(Lose[[#This Row],[Google Koordinaten]])) + 2,9),"")</f>
        <v>9.8035931</v>
      </c>
      <c r="N37">
        <f>IF(Lose[[#This Row],[Bahn-hofs-zeit]]=0,0,MROUND(30*25^((Lose[[#This Row],[Bahn-hofs-zeit]]-_xlfn.MINIFS(Lose[Bahn-hofs-zeit],Lose[Bahn-hofs-zeit],"&gt;0"))/(MAX(Lose[Bahn-hofs-zeit])-_xlfn.MINIFS(Lose[Bahn-hofs-zeit],Lose[Bahn-hofs-zeit],"&gt;0"))),5))</f>
        <v>145</v>
      </c>
      <c r="O37">
        <f>IF(Lose[[#This Row],[Gehzeit (min)]]="",0,CEILING(3*(Lose[[#This Row],[Gehzeit (min)]]+Lose[[#This Row],[Aufgaben-zeit (min)]]),5))</f>
        <v>0</v>
      </c>
      <c r="P37">
        <v>8.75</v>
      </c>
      <c r="Q37" t="str">
        <f>IFERROR(ROUND(Lose[[#This Row],[Distanz (km)]]*60/Lose[[#This Row],[Gehzeit (min)]],1),"")</f>
        <v/>
      </c>
      <c r="R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37">
        <f>IFERROR(Lose[[#This Row],[Distanz (km)]]-Lose[[#This Row],[Check Distanz]],"")</f>
        <v>-0.02</v>
      </c>
      <c r="T37" s="60">
        <f>IFERROR(Lose[[#This Row],[Check Umweg]]/Lose[[#This Row],[Check Distanz]],"")</f>
        <v>-1</v>
      </c>
      <c r="U37">
        <f ca="1">IF(RIGHT(Lose[[#This Row],[LosID]],1)="b",_xlfn.XLOOKUP(REPLACE(Lose[[#This Row],[LosID]],LEN(Lose[[#This Row],[LosID]]),1,"a"),Lose[LosID],Lose[Zufallszahl],"",0),RAND())</f>
        <v>0.4912469480124646</v>
      </c>
      <c r="V37" t="b" cm="1">
        <f t="array" aca="1" ref="V37" ca="1">Lose[[#This Row],[Zufallszahl]]&gt;=IFERROR(LARGE((LEFT(Lose[LosID],FIND("-",Lose[LosID])-1)=LEFT(Lose[[#This Row],[LosID]],FIND("-",Lose[[#This Row],[LosID]])-1))*Lose[Zufallszahl],_xlfn.XLOOKUP(LEFT(Lose[[#This Row],[LosID]],FIND("-",Lose[[#This Row],[LosID]])-1),Ziehungsanzahl[Kürzel],Ziehungsanzahl[Kontingent],FALSE,0)),9999)</f>
        <v>0</v>
      </c>
    </row>
    <row r="38" spans="1:23" hidden="1">
      <c r="A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 t="s">
        <v>23367</v>
      </c>
      <c r="C38" s="92" t="s">
        <v>23483</v>
      </c>
      <c r="D38" s="1" t="s">
        <v>23484</v>
      </c>
      <c r="F38" t="s">
        <v>23485</v>
      </c>
      <c r="K38" t="str" cm="1">
        <f t="array" ref="K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Karlsruhe Entenfang</v>
      </c>
      <c r="L38" t="str">
        <f>IFERROR(LEFT(TRIM(Lose[[#This Row],[Google Koordinaten]]),9),"")</f>
        <v>49.010693</v>
      </c>
      <c r="M38" t="str">
        <f>IFERROR(MID(TRIM(Lose[[#This Row],[Google Koordinaten]]),
FIND(",",TRIM(Lose[[#This Row],[Google Koordinaten]])) + 2,9),"")</f>
        <v>8.3591448</v>
      </c>
      <c r="N38">
        <f>IF(Lose[[#This Row],[Bahn-hofs-zeit]]=0,0,MROUND(30*25^((Lose[[#This Row],[Bahn-hofs-zeit]]-_xlfn.MINIFS(Lose[Bahn-hofs-zeit],Lose[Bahn-hofs-zeit],"&gt;0"))/(MAX(Lose[Bahn-hofs-zeit])-_xlfn.MINIFS(Lose[Bahn-hofs-zeit],Lose[Bahn-hofs-zeit],"&gt;0"))),5))</f>
        <v>70</v>
      </c>
      <c r="O38">
        <f>IF(Lose[[#This Row],[Gehzeit (min)]]="",0,CEILING(3*(Lose[[#This Row],[Gehzeit (min)]]+Lose[[#This Row],[Aufgaben-zeit (min)]]),5))</f>
        <v>0</v>
      </c>
      <c r="P38">
        <v>6.25</v>
      </c>
      <c r="Q38" t="str">
        <f>IFERROR(ROUND(Lose[[#This Row],[Distanz (km)]]*60/Lose[[#This Row],[Gehzeit (min)]],1),"")</f>
        <v/>
      </c>
      <c r="R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38">
        <f>IFERROR(Lose[[#This Row],[Distanz (km)]]-Lose[[#This Row],[Check Distanz]],"")</f>
        <v>-0.03</v>
      </c>
      <c r="T38" s="60">
        <f>IFERROR(Lose[[#This Row],[Check Umweg]]/Lose[[#This Row],[Check Distanz]],"")</f>
        <v>-1</v>
      </c>
      <c r="U38">
        <f ca="1">IF(RIGHT(Lose[[#This Row],[LosID]],1)="b",_xlfn.XLOOKUP(REPLACE(Lose[[#This Row],[LosID]],LEN(Lose[[#This Row],[LosID]]),1,"a"),Lose[LosID],Lose[Zufallszahl],"",0),RAND())</f>
        <v>0.29249658237018361</v>
      </c>
      <c r="V38" t="b" cm="1">
        <f t="array" aca="1" ref="V38" ca="1">Lose[[#This Row],[Zufallszahl]]&gt;=IFERROR(LARGE((LEFT(Lose[LosID],FIND("-",Lose[LosID])-1)=LEFT(Lose[[#This Row],[LosID]],FIND("-",Lose[[#This Row],[LosID]])-1))*Lose[Zufallszahl],_xlfn.XLOOKUP(LEFT(Lose[[#This Row],[LosID]],FIND("-",Lose[[#This Row],[LosID]])-1),Ziehungsanzahl[Kürzel],Ziehungsanzahl[Kontingent],FALSE,0)),9999)</f>
        <v>0</v>
      </c>
    </row>
    <row r="39" spans="1:23" hidden="1">
      <c r="A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 t="s">
        <v>23367</v>
      </c>
      <c r="C39" s="92" t="s">
        <v>23486</v>
      </c>
      <c r="D39" s="1" t="s">
        <v>23487</v>
      </c>
      <c r="F39" t="s">
        <v>23488</v>
      </c>
      <c r="K39" t="str" cm="1">
        <f t="array" ref="K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Quakenbrück</v>
      </c>
      <c r="L39" t="str">
        <f>IFERROR(LEFT(TRIM(Lose[[#This Row],[Google Koordinaten]]),9),"")</f>
        <v>52.674027</v>
      </c>
      <c r="M39" t="str">
        <f>IFERROR(MID(TRIM(Lose[[#This Row],[Google Koordinaten]]),
FIND(",",TRIM(Lose[[#This Row],[Google Koordinaten]])) + 2,9),"")</f>
        <v>7.9477982</v>
      </c>
      <c r="N39">
        <f>IF(Lose[[#This Row],[Bahn-hofs-zeit]]=0,0,MROUND(30*25^((Lose[[#This Row],[Bahn-hofs-zeit]]-_xlfn.MINIFS(Lose[Bahn-hofs-zeit],Lose[Bahn-hofs-zeit],"&gt;0"))/(MAX(Lose[Bahn-hofs-zeit])-_xlfn.MINIFS(Lose[Bahn-hofs-zeit],Lose[Bahn-hofs-zeit],"&gt;0"))),5))</f>
        <v>80</v>
      </c>
      <c r="O39">
        <f>IF(Lose[[#This Row],[Gehzeit (min)]]="",0,CEILING(3*(Lose[[#This Row],[Gehzeit (min)]]+Lose[[#This Row],[Aufgaben-zeit (min)]]),5))</f>
        <v>0</v>
      </c>
      <c r="P39">
        <v>6.75</v>
      </c>
      <c r="Q39" t="str">
        <f>IFERROR(ROUND(Lose[[#This Row],[Distanz (km)]]*60/Lose[[#This Row],[Gehzeit (min)]],1),"")</f>
        <v/>
      </c>
      <c r="R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39">
        <f>IFERROR(Lose[[#This Row],[Distanz (km)]]-Lose[[#This Row],[Check Distanz]],"")</f>
        <v>-0.01</v>
      </c>
      <c r="T39" s="60">
        <f>IFERROR(Lose[[#This Row],[Check Umweg]]/Lose[[#This Row],[Check Distanz]],"")</f>
        <v>-1</v>
      </c>
      <c r="U39">
        <f ca="1">IF(RIGHT(Lose[[#This Row],[LosID]],1)="b",_xlfn.XLOOKUP(REPLACE(Lose[[#This Row],[LosID]],LEN(Lose[[#This Row],[LosID]]),1,"a"),Lose[LosID],Lose[Zufallszahl],"",0),RAND())</f>
        <v>0.29249658237018361</v>
      </c>
      <c r="V39" t="b" cm="1">
        <f t="array" aca="1" ref="V39" ca="1">Lose[[#This Row],[Zufallszahl]]&gt;=IFERROR(LARGE((LEFT(Lose[LosID],FIND("-",Lose[LosID])-1)=LEFT(Lose[[#This Row],[LosID]],FIND("-",Lose[[#This Row],[LosID]])-1))*Lose[Zufallszahl],_xlfn.XLOOKUP(LEFT(Lose[[#This Row],[LosID]],FIND("-",Lose[[#This Row],[LosID]])-1),Ziehungsanzahl[Kürzel],Ziehungsanzahl[Kontingent],FALSE,0)),9999)</f>
        <v>0</v>
      </c>
    </row>
    <row r="40" spans="1:23" hidden="1">
      <c r="A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 t="s">
        <v>23372</v>
      </c>
      <c r="C40" s="92" t="s">
        <v>23489</v>
      </c>
      <c r="D40" s="1" t="s">
        <v>23490</v>
      </c>
      <c r="F40" t="s">
        <v>23491</v>
      </c>
      <c r="K40" t="str" cm="1">
        <f t="array" ref="K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Salzbergen</v>
      </c>
      <c r="L40" t="str">
        <f>IFERROR(LEFT(TRIM(Lose[[#This Row],[Google Koordinaten]]),9),"")</f>
        <v>52.322925</v>
      </c>
      <c r="M40" t="str">
        <f>IFERROR(MID(TRIM(Lose[[#This Row],[Google Koordinaten]]),
FIND(",",TRIM(Lose[[#This Row],[Google Koordinaten]])) + 2,9),"")</f>
        <v>7.3502625</v>
      </c>
      <c r="N40">
        <f>IF(Lose[[#This Row],[Bahn-hofs-zeit]]=0,0,MROUND(30*25^((Lose[[#This Row],[Bahn-hofs-zeit]]-_xlfn.MINIFS(Lose[Bahn-hofs-zeit],Lose[Bahn-hofs-zeit],"&gt;0"))/(MAX(Lose[Bahn-hofs-zeit])-_xlfn.MINIFS(Lose[Bahn-hofs-zeit],Lose[Bahn-hofs-zeit],"&gt;0"))),5))</f>
        <v>55</v>
      </c>
      <c r="O40">
        <f>IF(Lose[[#This Row],[Gehzeit (min)]]="",0,CEILING(3*(Lose[[#This Row],[Gehzeit (min)]]+Lose[[#This Row],[Aufgaben-zeit (min)]]),5))</f>
        <v>0</v>
      </c>
      <c r="P40">
        <v>5.25</v>
      </c>
      <c r="Q40" t="str">
        <f>IFERROR(ROUND(Lose[[#This Row],[Distanz (km)]]*60/Lose[[#This Row],[Gehzeit (min)]],1),"")</f>
        <v/>
      </c>
      <c r="R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40">
        <f>IFERROR(Lose[[#This Row],[Distanz (km)]]-Lose[[#This Row],[Check Distanz]],"")</f>
        <v>-0.04</v>
      </c>
      <c r="T40" s="60">
        <f>IFERROR(Lose[[#This Row],[Check Umweg]]/Lose[[#This Row],[Check Distanz]],"")</f>
        <v>-1</v>
      </c>
      <c r="U40">
        <f ca="1">IF(RIGHT(Lose[[#This Row],[LosID]],1)="b",_xlfn.XLOOKUP(REPLACE(Lose[[#This Row],[LosID]],LEN(Lose[[#This Row],[LosID]]),1,"a"),Lose[LosID],Lose[Zufallszahl],"",0),RAND())</f>
        <v>0.48134052002552208</v>
      </c>
      <c r="V40" t="b" cm="1">
        <f t="array" aca="1" ref="V40" ca="1">Lose[[#This Row],[Zufallszahl]]&gt;=IFERROR(LARGE((LEFT(Lose[LosID],FIND("-",Lose[LosID])-1)=LEFT(Lose[[#This Row],[LosID]],FIND("-",Lose[[#This Row],[LosID]])-1))*Lose[Zufallszahl],_xlfn.XLOOKUP(LEFT(Lose[[#This Row],[LosID]],FIND("-",Lose[[#This Row],[LosID]])-1),Ziehungsanzahl[Kürzel],Ziehungsanzahl[Kontingent],FALSE,0)),9999)</f>
        <v>0</v>
      </c>
    </row>
    <row r="41" spans="1:23" hidden="1">
      <c r="A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 t="s">
        <v>23372</v>
      </c>
      <c r="C41" s="92" t="s">
        <v>23492</v>
      </c>
      <c r="D41" s="1" t="s">
        <v>23493</v>
      </c>
      <c r="F41" t="s">
        <v>23494</v>
      </c>
      <c r="K41" t="str" cm="1">
        <f t="array" ref="K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Salzkotten</v>
      </c>
      <c r="L41" t="str">
        <f>IFERROR(LEFT(TRIM(Lose[[#This Row],[Google Koordinaten]]),9),"")</f>
        <v>51.673151</v>
      </c>
      <c r="M41" t="str">
        <f>IFERROR(MID(TRIM(Lose[[#This Row],[Google Koordinaten]]),
FIND(",",TRIM(Lose[[#This Row],[Google Koordinaten]])) + 2,9),"")</f>
        <v>8.6009112</v>
      </c>
      <c r="N41">
        <f>IF(Lose[[#This Row],[Bahn-hofs-zeit]]=0,0,MROUND(30*25^((Lose[[#This Row],[Bahn-hofs-zeit]]-_xlfn.MINIFS(Lose[Bahn-hofs-zeit],Lose[Bahn-hofs-zeit],"&gt;0"))/(MAX(Lose[Bahn-hofs-zeit])-_xlfn.MINIFS(Lose[Bahn-hofs-zeit],Lose[Bahn-hofs-zeit],"&gt;0"))),5))</f>
        <v>55</v>
      </c>
      <c r="O41">
        <f>IF(Lose[[#This Row],[Gehzeit (min)]]="",0,CEILING(3*(Lose[[#This Row],[Gehzeit (min)]]+Lose[[#This Row],[Aufgaben-zeit (min)]]),5))</f>
        <v>0</v>
      </c>
      <c r="P41">
        <v>5.25</v>
      </c>
      <c r="Q41" t="str">
        <f>IFERROR(ROUND(Lose[[#This Row],[Distanz (km)]]*60/Lose[[#This Row],[Gehzeit (min)]],1),"")</f>
        <v/>
      </c>
      <c r="R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41">
        <f>IFERROR(Lose[[#This Row],[Distanz (km)]]-Lose[[#This Row],[Check Distanz]],"")</f>
        <v>-0.04</v>
      </c>
      <c r="T41" s="60">
        <f>IFERROR(Lose[[#This Row],[Check Umweg]]/Lose[[#This Row],[Check Distanz]],"")</f>
        <v>-1</v>
      </c>
      <c r="U41">
        <f ca="1">IF(RIGHT(Lose[[#This Row],[LosID]],1)="b",_xlfn.XLOOKUP(REPLACE(Lose[[#This Row],[LosID]],LEN(Lose[[#This Row],[LosID]]),1,"a"),Lose[LosID],Lose[Zufallszahl],"",0),RAND())</f>
        <v>0.48134052002552208</v>
      </c>
      <c r="V41" t="b" cm="1">
        <f t="array" aca="1" ref="V41" ca="1">Lose[[#This Row],[Zufallszahl]]&gt;=IFERROR(LARGE((LEFT(Lose[LosID],FIND("-",Lose[LosID])-1)=LEFT(Lose[[#This Row],[LosID]],FIND("-",Lose[[#This Row],[LosID]])-1))*Lose[Zufallszahl],_xlfn.XLOOKUP(LEFT(Lose[[#This Row],[LosID]],FIND("-",Lose[[#This Row],[LosID]])-1),Ziehungsanzahl[Kürzel],Ziehungsanzahl[Kontingent],FALSE,0)),9999)</f>
        <v>0</v>
      </c>
    </row>
    <row r="42" spans="1:23" hidden="1">
      <c r="A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 t="s">
        <v>4</v>
      </c>
      <c r="C42" s="92" t="s">
        <v>23495</v>
      </c>
      <c r="D42" s="1" t="s">
        <v>23496</v>
      </c>
      <c r="F42" t="s">
        <v>23497</v>
      </c>
      <c r="K42" t="s">
        <v>22</v>
      </c>
      <c r="L42" t="str">
        <f>IFERROR(LEFT(TRIM(Lose[[#This Row],[Google Koordinaten]]),9),"")</f>
        <v>50.111357</v>
      </c>
      <c r="M42" t="str">
        <f>IFERROR(MID(TRIM(Lose[[#This Row],[Google Koordinaten]]),
FIND(",",TRIM(Lose[[#This Row],[Google Koordinaten]])) + 2,9),"")</f>
        <v>8.6802741</v>
      </c>
      <c r="N42">
        <f>IF(Lose[[#This Row],[Bahn-hofs-zeit]]=0,0,MROUND(30*25^((Lose[[#This Row],[Bahn-hofs-zeit]]-_xlfn.MINIFS(Lose[Bahn-hofs-zeit],Lose[Bahn-hofs-zeit],"&gt;0"))/(MAX(Lose[Bahn-hofs-zeit])-_xlfn.MINIFS(Lose[Bahn-hofs-zeit],Lose[Bahn-hofs-zeit],"&gt;0"))),5))</f>
        <v>0</v>
      </c>
      <c r="O42">
        <f>IF(Lose[[#This Row],[Gehzeit (min)]]="",0,CEILING(3*(Lose[[#This Row],[Gehzeit (min)]]+Lose[[#This Row],[Aufgaben-zeit (min)]]),5))</f>
        <v>0</v>
      </c>
      <c r="Q42" t="str">
        <f>IFERROR(ROUND(Lose[[#This Row],[Distanz (km)]]*60/Lose[[#This Row],[Gehzeit (min)]],1),"")</f>
        <v/>
      </c>
      <c r="R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1.27</v>
      </c>
      <c r="S42">
        <f>IFERROR(Lose[[#This Row],[Distanz (km)]]-Lose[[#This Row],[Check Distanz]],"")</f>
        <v>-1.27</v>
      </c>
      <c r="T42" s="60">
        <f>IFERROR(Lose[[#This Row],[Check Umweg]]/Lose[[#This Row],[Check Distanz]],"")</f>
        <v>-1</v>
      </c>
      <c r="U42">
        <f ca="1">IF(RIGHT(Lose[[#This Row],[LosID]],1)="b",_xlfn.XLOOKUP(REPLACE(Lose[[#This Row],[LosID]],LEN(Lose[[#This Row],[LosID]]),1,"a"),Lose[LosID],Lose[Zufallszahl],"",0),RAND())</f>
        <v>0.53591461206008839</v>
      </c>
      <c r="V42" t="b" cm="1">
        <f t="array" aca="1" ref="V42" ca="1">Lose[[#This Row],[Zufallszahl]]&gt;=IFERROR(LARGE((LEFT(Lose[LosID],FIND("-",Lose[LosID])-1)=LEFT(Lose[[#This Row],[LosID]],FIND("-",Lose[[#This Row],[LosID]])-1))*Lose[Zufallszahl],_xlfn.XLOOKUP(LEFT(Lose[[#This Row],[LosID]],FIND("-",Lose[[#This Row],[LosID]])-1),Ziehungsanzahl[Kürzel],Ziehungsanzahl[Kontingent],FALSE,0)),9999)</f>
        <v>0</v>
      </c>
      <c r="W42" t="s">
        <v>23498</v>
      </c>
    </row>
    <row r="43" spans="1:23" hidden="1">
      <c r="A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 t="s">
        <v>4</v>
      </c>
      <c r="C43" s="92" t="s">
        <v>23499</v>
      </c>
      <c r="D43" s="1" t="s">
        <v>23500</v>
      </c>
      <c r="F43" t="s">
        <v>23501</v>
      </c>
      <c r="K43" t="str" cm="1">
        <f t="array" ref="K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Frankfurt(Oder)</v>
      </c>
      <c r="L43" t="str">
        <f>IFERROR(LEFT(TRIM(Lose[[#This Row],[Google Koordinaten]]),9),"")</f>
        <v>52.347962</v>
      </c>
      <c r="M43" t="str">
        <f>IFERROR(MID(TRIM(Lose[[#This Row],[Google Koordinaten]]),
FIND(",",TRIM(Lose[[#This Row],[Google Koordinaten]])) + 2,9),"")</f>
        <v>14.555423</v>
      </c>
      <c r="N43">
        <f>IF(Lose[[#This Row],[Bahn-hofs-zeit]]=0,0,MROUND(30*25^((Lose[[#This Row],[Bahn-hofs-zeit]]-_xlfn.MINIFS(Lose[Bahn-hofs-zeit],Lose[Bahn-hofs-zeit],"&gt;0"))/(MAX(Lose[Bahn-hofs-zeit])-_xlfn.MINIFS(Lose[Bahn-hofs-zeit],Lose[Bahn-hofs-zeit],"&gt;0"))),5))</f>
        <v>365</v>
      </c>
      <c r="O43">
        <f>IF(Lose[[#This Row],[Gehzeit (min)]]="",0,CEILING(3*(Lose[[#This Row],[Gehzeit (min)]]+Lose[[#This Row],[Aufgaben-zeit (min)]]),5))</f>
        <v>0</v>
      </c>
      <c r="P43">
        <v>12</v>
      </c>
      <c r="Q43" t="str">
        <f>IFERROR(ROUND(Lose[[#This Row],[Distanz (km)]]*60/Lose[[#This Row],[Gehzeit (min)]],1),"")</f>
        <v/>
      </c>
      <c r="R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1.42</v>
      </c>
      <c r="S43">
        <f>IFERROR(Lose[[#This Row],[Distanz (km)]]-Lose[[#This Row],[Check Distanz]],"")</f>
        <v>-1.42</v>
      </c>
      <c r="T43" s="60">
        <f>IFERROR(Lose[[#This Row],[Check Umweg]]/Lose[[#This Row],[Check Distanz]],"")</f>
        <v>-1</v>
      </c>
      <c r="U43">
        <f ca="1">IF(RIGHT(Lose[[#This Row],[LosID]],1)="b",_xlfn.XLOOKUP(REPLACE(Lose[[#This Row],[LosID]],LEN(Lose[[#This Row],[LosID]]),1,"a"),Lose[LosID],Lose[Zufallszahl],"",0),RAND())</f>
        <v>0.53591461206008839</v>
      </c>
      <c r="V43" t="b" cm="1">
        <f t="array" aca="1" ref="V43" ca="1">Lose[[#This Row],[Zufallszahl]]&gt;=IFERROR(LARGE((LEFT(Lose[LosID],FIND("-",Lose[LosID])-1)=LEFT(Lose[[#This Row],[LosID]],FIND("-",Lose[[#This Row],[LosID]])-1))*Lose[Zufallszahl],_xlfn.XLOOKUP(LEFT(Lose[[#This Row],[LosID]],FIND("-",Lose[[#This Row],[LosID]])-1),Ziehungsanzahl[Kürzel],Ziehungsanzahl[Kontingent],FALSE,0)),9999)</f>
        <v>0</v>
      </c>
    </row>
    <row r="44" spans="1:23" ht="30" hidden="1">
      <c r="A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 t="s">
        <v>23357</v>
      </c>
      <c r="C44" s="92" t="s">
        <v>23502</v>
      </c>
      <c r="D44" s="1" t="s">
        <v>23503</v>
      </c>
      <c r="F44" t="s">
        <v>23504</v>
      </c>
      <c r="K44" t="str" cm="1">
        <f t="array" ref="K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Hodenhagen</v>
      </c>
      <c r="L44" t="str">
        <f>IFERROR(LEFT(TRIM(Lose[[#This Row],[Google Koordinaten]]),9),"")</f>
        <v>52.766348</v>
      </c>
      <c r="M44" t="str">
        <f>IFERROR(MID(TRIM(Lose[[#This Row],[Google Koordinaten]]),
FIND(",",TRIM(Lose[[#This Row],[Google Koordinaten]])) + 2,9),"")</f>
        <v>9.5948485</v>
      </c>
      <c r="N44">
        <f>IF(Lose[[#This Row],[Bahn-hofs-zeit]]=0,0,MROUND(30*25^((Lose[[#This Row],[Bahn-hofs-zeit]]-_xlfn.MINIFS(Lose[Bahn-hofs-zeit],Lose[Bahn-hofs-zeit],"&gt;0"))/(MAX(Lose[Bahn-hofs-zeit])-_xlfn.MINIFS(Lose[Bahn-hofs-zeit],Lose[Bahn-hofs-zeit],"&gt;0"))),5))</f>
        <v>100</v>
      </c>
      <c r="O44">
        <f>IF(Lose[[#This Row],[Gehzeit (min)]]="",0,CEILING(3*(Lose[[#This Row],[Gehzeit (min)]]+Lose[[#This Row],[Aufgaben-zeit (min)]]),5))</f>
        <v>0</v>
      </c>
      <c r="P44">
        <v>7.5</v>
      </c>
      <c r="Q44" t="str">
        <f>IFERROR(ROUND(Lose[[#This Row],[Distanz (km)]]*60/Lose[[#This Row],[Gehzeit (min)]],1),"")</f>
        <v/>
      </c>
      <c r="R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44">
        <f>IFERROR(Lose[[#This Row],[Distanz (km)]]-Lose[[#This Row],[Check Distanz]],"")</f>
        <v>-0.03</v>
      </c>
      <c r="T44" s="60">
        <f>IFERROR(Lose[[#This Row],[Check Umweg]]/Lose[[#This Row],[Check Distanz]],"")</f>
        <v>-1</v>
      </c>
      <c r="U44">
        <f ca="1">IF(RIGHT(Lose[[#This Row],[LosID]],1)="b",_xlfn.XLOOKUP(REPLACE(Lose[[#This Row],[LosID]],LEN(Lose[[#This Row],[LosID]]),1,"a"),Lose[LosID],Lose[Zufallszahl],"",0),RAND())</f>
        <v>0.29144002397775137</v>
      </c>
      <c r="V44" t="b" cm="1">
        <f t="array" aca="1" ref="V44" ca="1">Lose[[#This Row],[Zufallszahl]]&gt;=IFERROR(LARGE((LEFT(Lose[LosID],FIND("-",Lose[LosID])-1)=LEFT(Lose[[#This Row],[LosID]],FIND("-",Lose[[#This Row],[LosID]])-1))*Lose[Zufallszahl],_xlfn.XLOOKUP(LEFT(Lose[[#This Row],[LosID]],FIND("-",Lose[[#This Row],[LosID]])-1),Ziehungsanzahl[Kürzel],Ziehungsanzahl[Kontingent],FALSE,0)),9999)</f>
        <v>0</v>
      </c>
    </row>
    <row r="45" spans="1:23" hidden="1">
      <c r="A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 t="s">
        <v>23357</v>
      </c>
      <c r="C45" s="92" t="s">
        <v>23505</v>
      </c>
      <c r="D45" s="1" t="s">
        <v>23506</v>
      </c>
      <c r="F45" t="s">
        <v>23507</v>
      </c>
      <c r="K45" t="str" cm="1">
        <f t="array" ref="K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Großen Buseck</v>
      </c>
      <c r="L45" t="str">
        <f>IFERROR(LEFT(TRIM(Lose[[#This Row],[Google Koordinaten]]),9),"")</f>
        <v>50.605940</v>
      </c>
      <c r="M45" t="str">
        <f>IFERROR(MID(TRIM(Lose[[#This Row],[Google Koordinaten]]),
FIND(",",TRIM(Lose[[#This Row],[Google Koordinaten]])) + 2,9),"")</f>
        <v>8.7805534</v>
      </c>
      <c r="N45">
        <f>IF(Lose[[#This Row],[Bahn-hofs-zeit]]=0,0,MROUND(30*25^((Lose[[#This Row],[Bahn-hofs-zeit]]-_xlfn.MINIFS(Lose[Bahn-hofs-zeit],Lose[Bahn-hofs-zeit],"&gt;0"))/(MAX(Lose[Bahn-hofs-zeit])-_xlfn.MINIFS(Lose[Bahn-hofs-zeit],Lose[Bahn-hofs-zeit],"&gt;0"))),5))</f>
        <v>70</v>
      </c>
      <c r="O45">
        <f>IF(Lose[[#This Row],[Gehzeit (min)]]="",0,CEILING(3*(Lose[[#This Row],[Gehzeit (min)]]+Lose[[#This Row],[Aufgaben-zeit (min)]]),5))</f>
        <v>0</v>
      </c>
      <c r="P45">
        <v>6.25</v>
      </c>
      <c r="Q45" t="str">
        <f>IFERROR(ROUND(Lose[[#This Row],[Distanz (km)]]*60/Lose[[#This Row],[Gehzeit (min)]],1),"")</f>
        <v/>
      </c>
      <c r="R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45">
        <f>IFERROR(Lose[[#This Row],[Distanz (km)]]-Lose[[#This Row],[Check Distanz]],"")</f>
        <v>-0.11</v>
      </c>
      <c r="T45" s="60">
        <f>IFERROR(Lose[[#This Row],[Check Umweg]]/Lose[[#This Row],[Check Distanz]],"")</f>
        <v>-1</v>
      </c>
      <c r="U45">
        <f ca="1">IF(RIGHT(Lose[[#This Row],[LosID]],1)="b",_xlfn.XLOOKUP(REPLACE(Lose[[#This Row],[LosID]],LEN(Lose[[#This Row],[LosID]]),1,"a"),Lose[LosID],Lose[Zufallszahl],"",0),RAND())</f>
        <v>0.29144002397775137</v>
      </c>
      <c r="V45" t="b" cm="1">
        <f t="array" aca="1" ref="V45" ca="1">Lose[[#This Row],[Zufallszahl]]&gt;=IFERROR(LARGE((LEFT(Lose[LosID],FIND("-",Lose[LosID])-1)=LEFT(Lose[[#This Row],[LosID]],FIND("-",Lose[[#This Row],[LosID]])-1))*Lose[Zufallszahl],_xlfn.XLOOKUP(LEFT(Lose[[#This Row],[LosID]],FIND("-",Lose[[#This Row],[LosID]])-1),Ziehungsanzahl[Kürzel],Ziehungsanzahl[Kontingent],FALSE,0)),9999)</f>
        <v>0</v>
      </c>
    </row>
    <row r="46" spans="1:23" ht="30" hidden="1">
      <c r="A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 t="s">
        <v>23363</v>
      </c>
      <c r="C46" s="92" t="s">
        <v>23508</v>
      </c>
      <c r="D46" s="1" t="s">
        <v>23509</v>
      </c>
      <c r="F46" t="s">
        <v>23510</v>
      </c>
      <c r="K46" t="str" cm="1">
        <f t="array" ref="K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Lorch(Rhein)</v>
      </c>
      <c r="L46" t="str">
        <f>IFERROR(LEFT(TRIM(Lose[[#This Row],[Google Koordinaten]]),9),"")</f>
        <v>50.040416</v>
      </c>
      <c r="M46" t="str">
        <f>IFERROR(MID(TRIM(Lose[[#This Row],[Google Koordinaten]]),
FIND(",",TRIM(Lose[[#This Row],[Google Koordinaten]])) + 2,9),"")</f>
        <v>7.8129497</v>
      </c>
      <c r="N46">
        <f>IF(Lose[[#This Row],[Bahn-hofs-zeit]]=0,0,MROUND(30*25^((Lose[[#This Row],[Bahn-hofs-zeit]]-_xlfn.MINIFS(Lose[Bahn-hofs-zeit],Lose[Bahn-hofs-zeit],"&gt;0"))/(MAX(Lose[Bahn-hofs-zeit])-_xlfn.MINIFS(Lose[Bahn-hofs-zeit],Lose[Bahn-hofs-zeit],"&gt;0"))),5))</f>
        <v>80</v>
      </c>
      <c r="O46">
        <f>IF(Lose[[#This Row],[Gehzeit (min)]]="",0,CEILING(3*(Lose[[#This Row],[Gehzeit (min)]]+Lose[[#This Row],[Aufgaben-zeit (min)]]),5))</f>
        <v>0</v>
      </c>
      <c r="P46">
        <v>6.75</v>
      </c>
      <c r="Q46" t="str">
        <f>IFERROR(ROUND(Lose[[#This Row],[Distanz (km)]]*60/Lose[[#This Row],[Gehzeit (min)]],1),"")</f>
        <v/>
      </c>
      <c r="R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6">
        <f>IFERROR(Lose[[#This Row],[Distanz (km)]]-Lose[[#This Row],[Check Distanz]],"")</f>
        <v>-0.01</v>
      </c>
      <c r="T46" s="60">
        <f>IFERROR(Lose[[#This Row],[Check Umweg]]/Lose[[#This Row],[Check Distanz]],"")</f>
        <v>-1</v>
      </c>
      <c r="U46">
        <f ca="1">IF(RIGHT(Lose[[#This Row],[LosID]],1)="b",_xlfn.XLOOKUP(REPLACE(Lose[[#This Row],[LosID]],LEN(Lose[[#This Row],[LosID]]),1,"a"),Lose[LosID],Lose[Zufallszahl],"",0),RAND())</f>
        <v>6.2101082261811991E-2</v>
      </c>
      <c r="V46" t="b" cm="1">
        <f t="array" aca="1" ref="V46" ca="1">Lose[[#This Row],[Zufallszahl]]&gt;=IFERROR(LARGE((LEFT(Lose[LosID],FIND("-",Lose[LosID])-1)=LEFT(Lose[[#This Row],[LosID]],FIND("-",Lose[[#This Row],[LosID]])-1))*Lose[Zufallszahl],_xlfn.XLOOKUP(LEFT(Lose[[#This Row],[LosID]],FIND("-",Lose[[#This Row],[LosID]])-1),Ziehungsanzahl[Kürzel],Ziehungsanzahl[Kontingent],FALSE,0)),9999)</f>
        <v>0</v>
      </c>
    </row>
    <row r="47" spans="1:23" ht="30" hidden="1">
      <c r="A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 t="s">
        <v>23363</v>
      </c>
      <c r="C47" s="92" t="s">
        <v>23511</v>
      </c>
      <c r="D47" s="1" t="s">
        <v>23512</v>
      </c>
      <c r="F47" t="s">
        <v>23513</v>
      </c>
      <c r="K47" t="str" cm="1">
        <f t="array" ref="K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Lorch(Württ)</v>
      </c>
      <c r="L47" t="str">
        <f>IFERROR(LEFT(TRIM(Lose[[#This Row],[Google Koordinaten]]),9),"")</f>
        <v>48.797927</v>
      </c>
      <c r="M47" t="str">
        <f>IFERROR(MID(TRIM(Lose[[#This Row],[Google Koordinaten]]),
FIND(",",TRIM(Lose[[#This Row],[Google Koordinaten]])) + 2,9),"")</f>
        <v>9.6958525</v>
      </c>
      <c r="N47">
        <f>IF(Lose[[#This Row],[Bahn-hofs-zeit]]=0,0,MROUND(30*25^((Lose[[#This Row],[Bahn-hofs-zeit]]-_xlfn.MINIFS(Lose[Bahn-hofs-zeit],Lose[Bahn-hofs-zeit],"&gt;0"))/(MAX(Lose[Bahn-hofs-zeit])-_xlfn.MINIFS(Lose[Bahn-hofs-zeit],Lose[Bahn-hofs-zeit],"&gt;0"))),5))</f>
        <v>95</v>
      </c>
      <c r="O47">
        <f>IF(Lose[[#This Row],[Gehzeit (min)]]="",0,CEILING(3*(Lose[[#This Row],[Gehzeit (min)]]+Lose[[#This Row],[Aufgaben-zeit (min)]]),5))</f>
        <v>0</v>
      </c>
      <c r="P47">
        <v>7.25</v>
      </c>
      <c r="Q47" t="str">
        <f>IFERROR(ROUND(Lose[[#This Row],[Distanz (km)]]*60/Lose[[#This Row],[Gehzeit (min)]],1),"")</f>
        <v/>
      </c>
      <c r="R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7">
        <f>IFERROR(Lose[[#This Row],[Distanz (km)]]-Lose[[#This Row],[Check Distanz]],"")</f>
        <v>-0.01</v>
      </c>
      <c r="T47" s="60">
        <f>IFERROR(Lose[[#This Row],[Check Umweg]]/Lose[[#This Row],[Check Distanz]],"")</f>
        <v>-1</v>
      </c>
      <c r="U47">
        <f ca="1">IF(RIGHT(Lose[[#This Row],[LosID]],1)="b",_xlfn.XLOOKUP(REPLACE(Lose[[#This Row],[LosID]],LEN(Lose[[#This Row],[LosID]]),1,"a"),Lose[LosID],Lose[Zufallszahl],"",0),RAND())</f>
        <v>6.2101082261811991E-2</v>
      </c>
      <c r="V47" t="b" cm="1">
        <f t="array" aca="1" ref="V47" ca="1">Lose[[#This Row],[Zufallszahl]]&gt;=IFERROR(LARGE((LEFT(Lose[LosID],FIND("-",Lose[LosID])-1)=LEFT(Lose[[#This Row],[LosID]],FIND("-",Lose[[#This Row],[LosID]])-1))*Lose[Zufallszahl],_xlfn.XLOOKUP(LEFT(Lose[[#This Row],[LosID]],FIND("-",Lose[[#This Row],[LosID]])-1),Ziehungsanzahl[Kürzel],Ziehungsanzahl[Kontingent],FALSE,0)),9999)</f>
        <v>0</v>
      </c>
    </row>
    <row r="48" spans="1:23" ht="30" hidden="1">
      <c r="A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 t="s">
        <v>23352</v>
      </c>
      <c r="C48" s="92" t="s">
        <v>230</v>
      </c>
      <c r="D48" s="1" t="s">
        <v>23514</v>
      </c>
      <c r="K48" t="s">
        <v>6670</v>
      </c>
      <c r="L48" t="str">
        <f>IFERROR(LEFT(TRIM(Lose[[#This Row],[Google Koordinaten]]),9),"")</f>
        <v/>
      </c>
      <c r="M48" t="str">
        <f>IFERROR(MID(TRIM(Lose[[#This Row],[Google Koordinaten]]),
FIND(",",TRIM(Lose[[#This Row],[Google Koordinaten]])) + 2,9),"")</f>
        <v/>
      </c>
      <c r="N48">
        <f>IF(Lose[[#This Row],[Bahn-hofs-zeit]]=0,0,MROUND(30*25^((Lose[[#This Row],[Bahn-hofs-zeit]]-_xlfn.MINIFS(Lose[Bahn-hofs-zeit],Lose[Bahn-hofs-zeit],"&gt;0"))/(MAX(Lose[Bahn-hofs-zeit])-_xlfn.MINIFS(Lose[Bahn-hofs-zeit],Lose[Bahn-hofs-zeit],"&gt;0"))),5))</f>
        <v>125</v>
      </c>
      <c r="O48">
        <f>IF(Lose[[#This Row],[Gehzeit (min)]]="",0,CEILING(3*(Lose[[#This Row],[Gehzeit (min)]]+Lose[[#This Row],[Aufgaben-zeit (min)]]),5))</f>
        <v>0</v>
      </c>
      <c r="P48">
        <v>8.25</v>
      </c>
      <c r="Q48" t="str">
        <f>IFERROR(ROUND(Lose[[#This Row],[Distanz (km)]]*60/Lose[[#This Row],[Gehzeit (min)]],1),"")</f>
        <v/>
      </c>
      <c r="R4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8" t="str">
        <f>IFERROR(Lose[[#This Row],[Distanz (km)]]-Lose[[#This Row],[Check Distanz]],"")</f>
        <v/>
      </c>
      <c r="T48" s="60" t="str">
        <f>IFERROR(Lose[[#This Row],[Check Umweg]]/Lose[[#This Row],[Check Distanz]],"")</f>
        <v/>
      </c>
      <c r="U48">
        <f ca="1">IF(RIGHT(Lose[[#This Row],[LosID]],1)="b",_xlfn.XLOOKUP(REPLACE(Lose[[#This Row],[LosID]],LEN(Lose[[#This Row],[LosID]]),1,"a"),Lose[LosID],Lose[Zufallszahl],"",0),RAND())</f>
        <v>0.68958878520766842</v>
      </c>
      <c r="V48" t="b" cm="1">
        <f t="array" aca="1" ref="V48" ca="1">Lose[[#This Row],[Zufallszahl]]&gt;=IFERROR(LARGE((LEFT(Lose[LosID],FIND("-",Lose[LosID])-1)=LEFT(Lose[[#This Row],[LosID]],FIND("-",Lose[[#This Row],[LosID]])-1))*Lose[Zufallszahl],_xlfn.XLOOKUP(LEFT(Lose[[#This Row],[LosID]],FIND("-",Lose[[#This Row],[LosID]])-1),Ziehungsanzahl[Kürzel],Ziehungsanzahl[Kontingent],FALSE,0)),9999)</f>
        <v>0</v>
      </c>
    </row>
    <row r="49" spans="1:23" ht="30" hidden="1">
      <c r="A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 t="s">
        <v>23352</v>
      </c>
      <c r="C49" s="92" t="s">
        <v>235</v>
      </c>
      <c r="D49" s="1" t="s">
        <v>23515</v>
      </c>
      <c r="K49" t="s">
        <v>20480</v>
      </c>
      <c r="L49" t="str">
        <f>IFERROR(LEFT(TRIM(Lose[[#This Row],[Google Koordinaten]]),9),"")</f>
        <v/>
      </c>
      <c r="M49" t="str">
        <f>IFERROR(MID(TRIM(Lose[[#This Row],[Google Koordinaten]]),
FIND(",",TRIM(Lose[[#This Row],[Google Koordinaten]])) + 2,9),"")</f>
        <v/>
      </c>
      <c r="N49">
        <f>IF(Lose[[#This Row],[Bahn-hofs-zeit]]=0,0,MROUND(30*25^((Lose[[#This Row],[Bahn-hofs-zeit]]-_xlfn.MINIFS(Lose[Bahn-hofs-zeit],Lose[Bahn-hofs-zeit],"&gt;0"))/(MAX(Lose[Bahn-hofs-zeit])-_xlfn.MINIFS(Lose[Bahn-hofs-zeit],Lose[Bahn-hofs-zeit],"&gt;0"))),5))</f>
        <v>80</v>
      </c>
      <c r="O49">
        <f>IF(Lose[[#This Row],[Gehzeit (min)]]="",0,CEILING(3*(Lose[[#This Row],[Gehzeit (min)]]+Lose[[#This Row],[Aufgaben-zeit (min)]]),5))</f>
        <v>0</v>
      </c>
      <c r="P49">
        <v>6.75</v>
      </c>
      <c r="Q49" t="str">
        <f>IFERROR(ROUND(Lose[[#This Row],[Distanz (km)]]*60/Lose[[#This Row],[Gehzeit (min)]],1),"")</f>
        <v/>
      </c>
      <c r="R4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9" t="str">
        <f>IFERROR(Lose[[#This Row],[Distanz (km)]]-Lose[[#This Row],[Check Distanz]],"")</f>
        <v/>
      </c>
      <c r="T49" s="60" t="str">
        <f>IFERROR(Lose[[#This Row],[Check Umweg]]/Lose[[#This Row],[Check Distanz]],"")</f>
        <v/>
      </c>
      <c r="U49">
        <f ca="1">IF(RIGHT(Lose[[#This Row],[LosID]],1)="b",_xlfn.XLOOKUP(REPLACE(Lose[[#This Row],[LosID]],LEN(Lose[[#This Row],[LosID]]),1,"a"),Lose[LosID],Lose[Zufallszahl],"",0),RAND())</f>
        <v>0.68958878520766842</v>
      </c>
      <c r="V49" t="b" cm="1">
        <f t="array" aca="1" ref="V49" ca="1">Lose[[#This Row],[Zufallszahl]]&gt;=IFERROR(LARGE((LEFT(Lose[LosID],FIND("-",Lose[LosID])-1)=LEFT(Lose[[#This Row],[LosID]],FIND("-",Lose[[#This Row],[LosID]])-1))*Lose[Zufallszahl],_xlfn.XLOOKUP(LEFT(Lose[[#This Row],[LosID]],FIND("-",Lose[[#This Row],[LosID]])-1),Ziehungsanzahl[Kürzel],Ziehungsanzahl[Kontingent],FALSE,0)),9999)</f>
        <v>0</v>
      </c>
    </row>
    <row r="50" spans="1:23" ht="30" hidden="1">
      <c r="A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 t="s">
        <v>23380</v>
      </c>
      <c r="C50" s="92" t="s">
        <v>23516</v>
      </c>
      <c r="D50" s="33" t="s">
        <v>23517</v>
      </c>
      <c r="F50" s="1" t="s">
        <v>23518</v>
      </c>
      <c r="K50" t="str" cm="1">
        <f t="array" ref="K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50" t="str">
        <f>IFERROR(LEFT(TRIM(Lose[[#This Row],[Google Koordinaten]]),9),"")</f>
        <v>50.940964</v>
      </c>
      <c r="M50" t="str">
        <f>IFERROR(MID(TRIM(Lose[[#This Row],[Google Koordinaten]]),
FIND(",",TRIM(Lose[[#This Row],[Google Koordinaten]])) + 2,9),"")</f>
        <v>6.9746949</v>
      </c>
      <c r="N50">
        <f>IF(Lose[[#This Row],[Bahn-hofs-zeit]]=0,0,MROUND(30*25^((Lose[[#This Row],[Bahn-hofs-zeit]]-_xlfn.MINIFS(Lose[Bahn-hofs-zeit],Lose[Bahn-hofs-zeit],"&gt;0"))/(MAX(Lose[Bahn-hofs-zeit])-_xlfn.MINIFS(Lose[Bahn-hofs-zeit],Lose[Bahn-hofs-zeit],"&gt;0"))),5))</f>
        <v>30</v>
      </c>
      <c r="O50">
        <f>IF(Lose[[#This Row],[Gehzeit (min)]]="",0,CEILING(3*(Lose[[#This Row],[Gehzeit (min)]]+Lose[[#This Row],[Aufgaben-zeit (min)]]),5))</f>
        <v>0</v>
      </c>
      <c r="P50">
        <v>3.5</v>
      </c>
      <c r="Q50" t="str">
        <f>IFERROR(ROUND(Lose[[#This Row],[Distanz (km)]]*60/Lose[[#This Row],[Gehzeit (min)]],1),"")</f>
        <v/>
      </c>
      <c r="R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50">
        <f>IFERROR(Lose[[#This Row],[Distanz (km)]]-Lose[[#This Row],[Check Distanz]],"")</f>
        <v>-0.02</v>
      </c>
      <c r="T50" s="60">
        <f>IFERROR(Lose[[#This Row],[Check Umweg]]/Lose[[#This Row],[Check Distanz]],"")</f>
        <v>-1</v>
      </c>
      <c r="U50">
        <f ca="1">IF(RIGHT(Lose[[#This Row],[LosID]],1)="b",_xlfn.XLOOKUP(REPLACE(Lose[[#This Row],[LosID]],LEN(Lose[[#This Row],[LosID]]),1,"a"),Lose[LosID],Lose[Zufallszahl],"",0),RAND())</f>
        <v>0.12837370620101507</v>
      </c>
      <c r="V50" t="b" cm="1">
        <f t="array" aca="1" ref="V50" ca="1">Lose[[#This Row],[Zufallszahl]]&gt;=IFERROR(LARGE((LEFT(Lose[LosID],FIND("-",Lose[LosID])-1)=LEFT(Lose[[#This Row],[LosID]],FIND("-",Lose[[#This Row],[LosID]])-1))*Lose[Zufallszahl],_xlfn.XLOOKUP(LEFT(Lose[[#This Row],[LosID]],FIND("-",Lose[[#This Row],[LosID]])-1),Ziehungsanzahl[Kürzel],Ziehungsanzahl[Kontingent],FALSE,0)),9999)</f>
        <v>0</v>
      </c>
    </row>
    <row r="51" spans="1:23" ht="30" hidden="1">
      <c r="A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 t="s">
        <v>23380</v>
      </c>
      <c r="C51" s="92" t="s">
        <v>23519</v>
      </c>
      <c r="D51" s="33" t="s">
        <v>23517</v>
      </c>
      <c r="F51" s="1" t="s">
        <v>23520</v>
      </c>
      <c r="K51" t="str" cm="1">
        <f t="array" ref="K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Hamburg-Altona</v>
      </c>
      <c r="L51" t="str">
        <f>IFERROR(LEFT(TRIM(Lose[[#This Row],[Google Koordinaten]]),9),"")</f>
        <v>53.552351</v>
      </c>
      <c r="M51" t="str">
        <f>IFERROR(MID(TRIM(Lose[[#This Row],[Google Koordinaten]]),
FIND(",",TRIM(Lose[[#This Row],[Google Koordinaten]])) + 2,9),"")</f>
        <v>9.9347800</v>
      </c>
      <c r="N51">
        <f>IF(Lose[[#This Row],[Bahn-hofs-zeit]]=0,0,MROUND(30*25^((Lose[[#This Row],[Bahn-hofs-zeit]]-_xlfn.MINIFS(Lose[Bahn-hofs-zeit],Lose[Bahn-hofs-zeit],"&gt;0"))/(MAX(Lose[Bahn-hofs-zeit])-_xlfn.MINIFS(Lose[Bahn-hofs-zeit],Lose[Bahn-hofs-zeit],"&gt;0"))),5))</f>
        <v>95</v>
      </c>
      <c r="O51">
        <f>IF(Lose[[#This Row],[Gehzeit (min)]]="",0,CEILING(3*(Lose[[#This Row],[Gehzeit (min)]]+Lose[[#This Row],[Aufgaben-zeit (min)]]),5))</f>
        <v>0</v>
      </c>
      <c r="P51">
        <v>7.25</v>
      </c>
      <c r="Q51" t="str">
        <f>IFERROR(ROUND(Lose[[#This Row],[Distanz (km)]]*60/Lose[[#This Row],[Gehzeit (min)]],1),"")</f>
        <v/>
      </c>
      <c r="R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51">
        <f>IFERROR(Lose[[#This Row],[Distanz (km)]]-Lose[[#This Row],[Check Distanz]],"")</f>
        <v>-0.05</v>
      </c>
      <c r="T51" s="60">
        <f>IFERROR(Lose[[#This Row],[Check Umweg]]/Lose[[#This Row],[Check Distanz]],"")</f>
        <v>-1</v>
      </c>
      <c r="U51">
        <f ca="1">IF(RIGHT(Lose[[#This Row],[LosID]],1)="b",_xlfn.XLOOKUP(REPLACE(Lose[[#This Row],[LosID]],LEN(Lose[[#This Row],[LosID]]),1,"a"),Lose[LosID],Lose[Zufallszahl],"",0),RAND())</f>
        <v>0.12837370620101507</v>
      </c>
      <c r="V51" t="b" cm="1">
        <f t="array" aca="1" ref="V51" ca="1">Lose[[#This Row],[Zufallszahl]]&gt;=IFERROR(LARGE((LEFT(Lose[LosID],FIND("-",Lose[LosID])-1)=LEFT(Lose[[#This Row],[LosID]],FIND("-",Lose[[#This Row],[LosID]])-1))*Lose[Zufallszahl],_xlfn.XLOOKUP(LEFT(Lose[[#This Row],[LosID]],FIND("-",Lose[[#This Row],[LosID]])-1),Ziehungsanzahl[Kürzel],Ziehungsanzahl[Kontingent],FALSE,0)),9999)</f>
        <v>0</v>
      </c>
    </row>
    <row r="52" spans="1:23">
      <c r="A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 t="s">
        <v>23385</v>
      </c>
      <c r="C52" s="92" t="s">
        <v>23521</v>
      </c>
      <c r="D52" s="84" t="s">
        <v>23522</v>
      </c>
      <c r="F52" t="s">
        <v>23523</v>
      </c>
      <c r="K52" t="str" cm="1">
        <f t="array" ref="K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Weinheim(Bergstr)Hbf</v>
      </c>
      <c r="L52" t="str">
        <f>IFERROR(LEFT(TRIM(Lose[[#This Row],[Google Koordinaten]]),9),"")</f>
        <v>49.553718</v>
      </c>
      <c r="M52" t="str">
        <f>IFERROR(MID(TRIM(Lose[[#This Row],[Google Koordinaten]]),
FIND(",",TRIM(Lose[[#This Row],[Google Koordinaten]])) + 2,9),"")</f>
        <v>8.6696533</v>
      </c>
      <c r="N52">
        <f>IF(Lose[[#This Row],[Bahn-hofs-zeit]]=0,0,MROUND(30*25^((Lose[[#This Row],[Bahn-hofs-zeit]]-_xlfn.MINIFS(Lose[Bahn-hofs-zeit],Lose[Bahn-hofs-zeit],"&gt;0"))/(MAX(Lose[Bahn-hofs-zeit])-_xlfn.MINIFS(Lose[Bahn-hofs-zeit],Lose[Bahn-hofs-zeit],"&gt;0"))),5))</f>
        <v>55</v>
      </c>
      <c r="O52">
        <f>IF(Lose[[#This Row],[Gehzeit (min)]]="",0,CEILING(3*(Lose[[#This Row],[Gehzeit (min)]]+Lose[[#This Row],[Aufgaben-zeit (min)]]),5))</f>
        <v>0</v>
      </c>
      <c r="P52">
        <v>5.25</v>
      </c>
      <c r="Q52" t="str">
        <f>IFERROR(ROUND(Lose[[#This Row],[Distanz (km)]]*60/Lose[[#This Row],[Gehzeit (min)]],1),"")</f>
        <v/>
      </c>
      <c r="R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52">
        <f>IFERROR(Lose[[#This Row],[Distanz (km)]]-Lose[[#This Row],[Check Distanz]],"")</f>
        <v>-0.31</v>
      </c>
      <c r="T52" s="60">
        <f>IFERROR(Lose[[#This Row],[Check Umweg]]/Lose[[#This Row],[Check Distanz]],"")</f>
        <v>-1</v>
      </c>
      <c r="U52">
        <f ca="1">IF(RIGHT(Lose[[#This Row],[LosID]],1)="b",_xlfn.XLOOKUP(REPLACE(Lose[[#This Row],[LosID]],LEN(Lose[[#This Row],[LosID]]),1,"a"),Lose[LosID],Lose[Zufallszahl],"",0),RAND())</f>
        <v>0.8330880518317918</v>
      </c>
      <c r="V52" t="b" cm="1">
        <f t="array" aca="1" ref="V52" ca="1">Lose[[#This Row],[Zufallszahl]]&gt;=IFERROR(LARGE((LEFT(Lose[LosID],FIND("-",Lose[LosID])-1)=LEFT(Lose[[#This Row],[LosID]],FIND("-",Lose[[#This Row],[LosID]])-1))*Lose[Zufallszahl],_xlfn.XLOOKUP(LEFT(Lose[[#This Row],[LosID]],FIND("-",Lose[[#This Row],[LosID]])-1),Ziehungsanzahl[Kürzel],Ziehungsanzahl[Kontingent],FALSE,0)),9999)</f>
        <v>0</v>
      </c>
    </row>
    <row r="53" spans="1:23">
      <c r="A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 t="s">
        <v>23385</v>
      </c>
      <c r="C53" s="92" t="s">
        <v>23524</v>
      </c>
      <c r="D53" s="84" t="s">
        <v>23525</v>
      </c>
      <c r="F53" t="s">
        <v>23526</v>
      </c>
      <c r="K53" t="str" cm="1">
        <f t="array" ref="K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Bierbach</v>
      </c>
      <c r="L53" t="str">
        <f>IFERROR(LEFT(TRIM(Lose[[#This Row],[Google Koordinaten]]),9),"")</f>
        <v>49.272559</v>
      </c>
      <c r="M53" t="str">
        <f>IFERROR(MID(TRIM(Lose[[#This Row],[Google Koordinaten]]),
FIND(",",TRIM(Lose[[#This Row],[Google Koordinaten]])) + 2,9),"")</f>
        <v>7.2762003</v>
      </c>
      <c r="N53">
        <f>IF(Lose[[#This Row],[Bahn-hofs-zeit]]=0,0,MROUND(30*25^((Lose[[#This Row],[Bahn-hofs-zeit]]-_xlfn.MINIFS(Lose[Bahn-hofs-zeit],Lose[Bahn-hofs-zeit],"&gt;0"))/(MAX(Lose[Bahn-hofs-zeit])-_xlfn.MINIFS(Lose[Bahn-hofs-zeit],Lose[Bahn-hofs-zeit],"&gt;0"))),5))</f>
        <v>220</v>
      </c>
      <c r="O53">
        <f>IF(Lose[[#This Row],[Gehzeit (min)]]="",0,CEILING(3*(Lose[[#This Row],[Gehzeit (min)]]+Lose[[#This Row],[Aufgaben-zeit (min)]]),5))</f>
        <v>0</v>
      </c>
      <c r="P53">
        <v>10.25</v>
      </c>
      <c r="Q53" t="str">
        <f>IFERROR(ROUND(Lose[[#This Row],[Distanz (km)]]*60/Lose[[#This Row],[Gehzeit (min)]],1),"")</f>
        <v/>
      </c>
      <c r="R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1.26</v>
      </c>
      <c r="S53">
        <f>IFERROR(Lose[[#This Row],[Distanz (km)]]-Lose[[#This Row],[Check Distanz]],"")</f>
        <v>-1.26</v>
      </c>
      <c r="T53" s="60">
        <f>IFERROR(Lose[[#This Row],[Check Umweg]]/Lose[[#This Row],[Check Distanz]],"")</f>
        <v>-1</v>
      </c>
      <c r="U53">
        <f ca="1">IF(RIGHT(Lose[[#This Row],[LosID]],1)="b",_xlfn.XLOOKUP(REPLACE(Lose[[#This Row],[LosID]],LEN(Lose[[#This Row],[LosID]]),1,"a"),Lose[LosID],Lose[Zufallszahl],"",0),RAND())</f>
        <v>0.8330880518317918</v>
      </c>
      <c r="V53" t="b" cm="1">
        <f t="array" aca="1" ref="V53" ca="1">Lose[[#This Row],[Zufallszahl]]&gt;=IFERROR(LARGE((LEFT(Lose[LosID],FIND("-",Lose[LosID])-1)=LEFT(Lose[[#This Row],[LosID]],FIND("-",Lose[[#This Row],[LosID]])-1))*Lose[Zufallszahl],_xlfn.XLOOKUP(LEFT(Lose[[#This Row],[LosID]],FIND("-",Lose[[#This Row],[LosID]])-1),Ziehungsanzahl[Kürzel],Ziehungsanzahl[Kontingent],FALSE,0)),9999)</f>
        <v>0</v>
      </c>
    </row>
    <row r="54" spans="1:23" hidden="1">
      <c r="A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 t="s">
        <v>23390</v>
      </c>
      <c r="C54" s="93" t="s">
        <v>23527</v>
      </c>
      <c r="D54" s="1" t="s">
        <v>23528</v>
      </c>
      <c r="F54" t="s">
        <v>23529</v>
      </c>
      <c r="K54" t="str" cm="1">
        <f t="array" ref="K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Steinsfurt</v>
      </c>
      <c r="L54" t="str">
        <f>IFERROR(LEFT(TRIM(Lose[[#This Row],[Google Koordinaten]]),9),"")</f>
        <v>49.235822</v>
      </c>
      <c r="M54" t="str">
        <f>IFERROR(MID(TRIM(Lose[[#This Row],[Google Koordinaten]]),
FIND(",",TRIM(Lose[[#This Row],[Google Koordinaten]])) + 2,9),"")</f>
        <v>8.9079780</v>
      </c>
      <c r="N54">
        <f>IF(Lose[[#This Row],[Bahn-hofs-zeit]]=0,0,MROUND(30*25^((Lose[[#This Row],[Bahn-hofs-zeit]]-_xlfn.MINIFS(Lose[Bahn-hofs-zeit],Lose[Bahn-hofs-zeit],"&gt;0"))/(MAX(Lose[Bahn-hofs-zeit])-_xlfn.MINIFS(Lose[Bahn-hofs-zeit],Lose[Bahn-hofs-zeit],"&gt;0"))),5))</f>
        <v>95</v>
      </c>
      <c r="O54">
        <f>IF(Lose[[#This Row],[Gehzeit (min)]]="",0,CEILING(3*(Lose[[#This Row],[Gehzeit (min)]]+Lose[[#This Row],[Aufgaben-zeit (min)]]),5))</f>
        <v>0</v>
      </c>
      <c r="P54">
        <v>7.25</v>
      </c>
      <c r="Q54" t="str">
        <f>IFERROR(ROUND(Lose[[#This Row],[Distanz (km)]]*60/Lose[[#This Row],[Gehzeit (min)]],1),"")</f>
        <v/>
      </c>
      <c r="R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4">
        <f>IFERROR(Lose[[#This Row],[Distanz (km)]]-Lose[[#This Row],[Check Distanz]],"")</f>
        <v>0</v>
      </c>
      <c r="T54" s="60" t="str">
        <f>IFERROR(Lose[[#This Row],[Check Umweg]]/Lose[[#This Row],[Check Distanz]],"")</f>
        <v/>
      </c>
      <c r="U54">
        <f ca="1">IF(RIGHT(Lose[[#This Row],[LosID]],1)="b",_xlfn.XLOOKUP(REPLACE(Lose[[#This Row],[LosID]],LEN(Lose[[#This Row],[LosID]]),1,"a"),Lose[LosID],Lose[Zufallszahl],"",0),RAND())</f>
        <v>1.6983634581603901E-2</v>
      </c>
      <c r="V54" t="b" cm="1">
        <f t="array" aca="1" ref="V54" ca="1">Lose[[#This Row],[Zufallszahl]]&gt;=IFERROR(LARGE((LEFT(Lose[LosID],FIND("-",Lose[LosID])-1)=LEFT(Lose[[#This Row],[LosID]],FIND("-",Lose[[#This Row],[LosID]])-1))*Lose[Zufallszahl],_xlfn.XLOOKUP(LEFT(Lose[[#This Row],[LosID]],FIND("-",Lose[[#This Row],[LosID]])-1),Ziehungsanzahl[Kürzel],Ziehungsanzahl[Kontingent],FALSE,0)),9999)</f>
        <v>0</v>
      </c>
    </row>
    <row r="55" spans="1:23" hidden="1">
      <c r="A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 t="s">
        <v>23390</v>
      </c>
      <c r="C55" s="93" t="s">
        <v>23530</v>
      </c>
      <c r="D55" s="1" t="s">
        <v>23531</v>
      </c>
      <c r="F55" t="s">
        <v>23532</v>
      </c>
      <c r="K55" t="str" cm="1">
        <f t="array" ref="K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Steinfurt-Burgsteinfurt</v>
      </c>
      <c r="L55" t="str">
        <f>IFERROR(LEFT(TRIM(Lose[[#This Row],[Google Koordinaten]]),9),"")</f>
        <v>52.147384</v>
      </c>
      <c r="M55" t="str">
        <f>IFERROR(MID(TRIM(Lose[[#This Row],[Google Koordinaten]]),
FIND(",",TRIM(Lose[[#This Row],[Google Koordinaten]])) + 2,9),"")</f>
        <v>7.3293400</v>
      </c>
      <c r="N55">
        <f>IF(Lose[[#This Row],[Bahn-hofs-zeit]]=0,0,MROUND(30*25^((Lose[[#This Row],[Bahn-hofs-zeit]]-_xlfn.MINIFS(Lose[Bahn-hofs-zeit],Lose[Bahn-hofs-zeit],"&gt;0"))/(MAX(Lose[Bahn-hofs-zeit])-_xlfn.MINIFS(Lose[Bahn-hofs-zeit],Lose[Bahn-hofs-zeit],"&gt;0"))),5))</f>
        <v>55</v>
      </c>
      <c r="O55">
        <f>IF(Lose[[#This Row],[Gehzeit (min)]]="",0,CEILING(3*(Lose[[#This Row],[Gehzeit (min)]]+Lose[[#This Row],[Aufgaben-zeit (min)]]),5))</f>
        <v>0</v>
      </c>
      <c r="P55">
        <v>5.25</v>
      </c>
      <c r="Q55" t="str">
        <f>IFERROR(ROUND(Lose[[#This Row],[Distanz (km)]]*60/Lose[[#This Row],[Gehzeit (min)]],1),"")</f>
        <v/>
      </c>
      <c r="R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5">
        <f>IFERROR(Lose[[#This Row],[Distanz (km)]]-Lose[[#This Row],[Check Distanz]],"")</f>
        <v>0</v>
      </c>
      <c r="T55" s="60" t="str">
        <f>IFERROR(Lose[[#This Row],[Check Umweg]]/Lose[[#This Row],[Check Distanz]],"")</f>
        <v/>
      </c>
      <c r="U55">
        <f ca="1">IF(RIGHT(Lose[[#This Row],[LosID]],1)="b",_xlfn.XLOOKUP(REPLACE(Lose[[#This Row],[LosID]],LEN(Lose[[#This Row],[LosID]]),1,"a"),Lose[LosID],Lose[Zufallszahl],"",0),RAND())</f>
        <v>1.6983634581603901E-2</v>
      </c>
      <c r="V55" t="b" cm="1">
        <f t="array" aca="1" ref="V55" ca="1">Lose[[#This Row],[Zufallszahl]]&gt;=IFERROR(LARGE((LEFT(Lose[LosID],FIND("-",Lose[LosID])-1)=LEFT(Lose[[#This Row],[LosID]],FIND("-",Lose[[#This Row],[LosID]])-1))*Lose[Zufallszahl],_xlfn.XLOOKUP(LEFT(Lose[[#This Row],[LosID]],FIND("-",Lose[[#This Row],[LosID]])-1),Ziehungsanzahl[Kürzel],Ziehungsanzahl[Kontingent],FALSE,0)),9999)</f>
        <v>0</v>
      </c>
    </row>
    <row r="56" spans="1:23" hidden="1">
      <c r="A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 t="s">
        <v>23394</v>
      </c>
      <c r="C56" s="92" t="s">
        <v>1230</v>
      </c>
      <c r="D56" s="1" t="s">
        <v>23533</v>
      </c>
      <c r="F56" t="s">
        <v>23534</v>
      </c>
      <c r="K56" t="str" cm="1">
        <f t="array" ref="K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56" t="str">
        <f>IFERROR(LEFT(TRIM(Lose[[#This Row],[Google Koordinaten]]),9),"")</f>
        <v>49.436253</v>
      </c>
      <c r="M56" t="str">
        <f>IFERROR(MID(TRIM(Lose[[#This Row],[Google Koordinaten]]),
FIND(",",TRIM(Lose[[#This Row],[Google Koordinaten]])) + 2,9),"")</f>
        <v>7.7686774</v>
      </c>
      <c r="N56">
        <f>IF(Lose[[#This Row],[Bahn-hofs-zeit]]=0,0,MROUND(30*25^((Lose[[#This Row],[Bahn-hofs-zeit]]-_xlfn.MINIFS(Lose[Bahn-hofs-zeit],Lose[Bahn-hofs-zeit],"&gt;0"))/(MAX(Lose[Bahn-hofs-zeit])-_xlfn.MINIFS(Lose[Bahn-hofs-zeit],Lose[Bahn-hofs-zeit],"&gt;0"))),5))</f>
        <v>70</v>
      </c>
      <c r="O56">
        <f>IF(Lose[[#This Row],[Gehzeit (min)]]="",0,CEILING(3*(Lose[[#This Row],[Gehzeit (min)]]+Lose[[#This Row],[Aufgaben-zeit (min)]]),5))</f>
        <v>0</v>
      </c>
      <c r="P56">
        <v>6.25</v>
      </c>
      <c r="Q56" t="str">
        <f>IFERROR(ROUND(Lose[[#This Row],[Distanz (km)]]*60/Lose[[#This Row],[Gehzeit (min)]],1),"")</f>
        <v/>
      </c>
      <c r="R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56">
        <f>IFERROR(Lose[[#This Row],[Distanz (km)]]-Lose[[#This Row],[Check Distanz]],"")</f>
        <v>-0.04</v>
      </c>
      <c r="T56" s="60">
        <f>IFERROR(Lose[[#This Row],[Check Umweg]]/Lose[[#This Row],[Check Distanz]],"")</f>
        <v>-1</v>
      </c>
      <c r="U56">
        <f ca="1">IF(RIGHT(Lose[[#This Row],[LosID]],1)="b",_xlfn.XLOOKUP(REPLACE(Lose[[#This Row],[LosID]],LEN(Lose[[#This Row],[LosID]]),1,"a"),Lose[LosID],Lose[Zufallszahl],"",0),RAND())</f>
        <v>0.84623064019747063</v>
      </c>
      <c r="V56" t="b" cm="1">
        <f t="array" aca="1" ref="V56" ca="1">Lose[[#This Row],[Zufallszahl]]&gt;=IFERROR(LARGE((LEFT(Lose[LosID],FIND("-",Lose[LosID])-1)=LEFT(Lose[[#This Row],[LosID]],FIND("-",Lose[[#This Row],[LosID]])-1))*Lose[Zufallszahl],_xlfn.XLOOKUP(LEFT(Lose[[#This Row],[LosID]],FIND("-",Lose[[#This Row],[LosID]])-1),Ziehungsanzahl[Kürzel],Ziehungsanzahl[Kontingent],FALSE,0)),9999)</f>
        <v>0</v>
      </c>
    </row>
    <row r="57" spans="1:23" hidden="1">
      <c r="A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 t="s">
        <v>23394</v>
      </c>
      <c r="C57" s="92" t="s">
        <v>1231</v>
      </c>
      <c r="D57" s="1" t="s">
        <v>23535</v>
      </c>
      <c r="F57" t="s">
        <v>23536</v>
      </c>
      <c r="K57" t="str" cm="1">
        <f t="array" ref="K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Königstein(Taunus)</v>
      </c>
      <c r="L57" t="str">
        <f>IFERROR(LEFT(TRIM(Lose[[#This Row],[Google Koordinaten]]),9),"")</f>
        <v>50.177917</v>
      </c>
      <c r="M57" t="str">
        <f>IFERROR(MID(TRIM(Lose[[#This Row],[Google Koordinaten]]),
FIND(",",TRIM(Lose[[#This Row],[Google Koordinaten]])) + 2,9),"")</f>
        <v>8.4689801</v>
      </c>
      <c r="N57">
        <f>IF(Lose[[#This Row],[Bahn-hofs-zeit]]=0,0,MROUND(30*25^((Lose[[#This Row],[Bahn-hofs-zeit]]-_xlfn.MINIFS(Lose[Bahn-hofs-zeit],Lose[Bahn-hofs-zeit],"&gt;0"))/(MAX(Lose[Bahn-hofs-zeit])-_xlfn.MINIFS(Lose[Bahn-hofs-zeit],Lose[Bahn-hofs-zeit],"&gt;0"))),5))</f>
        <v>55</v>
      </c>
      <c r="O57">
        <f>IF(Lose[[#This Row],[Gehzeit (min)]]="",0,CEILING(3*(Lose[[#This Row],[Gehzeit (min)]]+Lose[[#This Row],[Aufgaben-zeit (min)]]),5))</f>
        <v>0</v>
      </c>
      <c r="P57">
        <v>5.5</v>
      </c>
      <c r="Q57" t="str">
        <f>IFERROR(ROUND(Lose[[#This Row],[Distanz (km)]]*60/Lose[[#This Row],[Gehzeit (min)]],1),"")</f>
        <v/>
      </c>
      <c r="R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57">
        <f>IFERROR(Lose[[#This Row],[Distanz (km)]]-Lose[[#This Row],[Check Distanz]],"")</f>
        <v>-0.01</v>
      </c>
      <c r="T57" s="60">
        <f>IFERROR(Lose[[#This Row],[Check Umweg]]/Lose[[#This Row],[Check Distanz]],"")</f>
        <v>-1</v>
      </c>
      <c r="U57">
        <f ca="1">IF(RIGHT(Lose[[#This Row],[LosID]],1)="b",_xlfn.XLOOKUP(REPLACE(Lose[[#This Row],[LosID]],LEN(Lose[[#This Row],[LosID]]),1,"a"),Lose[LosID],Lose[Zufallszahl],"",0),RAND())</f>
        <v>0.84623064019747063</v>
      </c>
      <c r="V57" t="b" cm="1">
        <f t="array" aca="1" ref="V57" ca="1">Lose[[#This Row],[Zufallszahl]]&gt;=IFERROR(LARGE((LEFT(Lose[LosID],FIND("-",Lose[LosID])-1)=LEFT(Lose[[#This Row],[LosID]],FIND("-",Lose[[#This Row],[LosID]])-1))*Lose[Zufallszahl],_xlfn.XLOOKUP(LEFT(Lose[[#This Row],[LosID]],FIND("-",Lose[[#This Row],[LosID]])-1),Ziehungsanzahl[Kürzel],Ziehungsanzahl[Kontingent],FALSE,0)),9999)</f>
        <v>0</v>
      </c>
    </row>
    <row r="58" spans="1:23" ht="30" hidden="1">
      <c r="A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 t="s">
        <v>23403</v>
      </c>
      <c r="C58" s="93" t="s">
        <v>1232</v>
      </c>
      <c r="D58" s="1" t="s">
        <v>23537</v>
      </c>
      <c r="K58" t="s">
        <v>2119</v>
      </c>
      <c r="L58" t="str">
        <f>IFERROR(LEFT(TRIM(Lose[[#This Row],[Google Koordinaten]]),9),"")</f>
        <v/>
      </c>
      <c r="M58" t="str">
        <f>IFERROR(MID(TRIM(Lose[[#This Row],[Google Koordinaten]]),
FIND(",",TRIM(Lose[[#This Row],[Google Koordinaten]])) + 2,9),"")</f>
        <v/>
      </c>
      <c r="N58">
        <f>IF(Lose[[#This Row],[Bahn-hofs-zeit]]=0,0,MROUND(30*25^((Lose[[#This Row],[Bahn-hofs-zeit]]-_xlfn.MINIFS(Lose[Bahn-hofs-zeit],Lose[Bahn-hofs-zeit],"&gt;0"))/(MAX(Lose[Bahn-hofs-zeit])-_xlfn.MINIFS(Lose[Bahn-hofs-zeit],Lose[Bahn-hofs-zeit],"&gt;0"))),5))</f>
        <v>55</v>
      </c>
      <c r="O58">
        <f>IF(Lose[[#This Row],[Gehzeit (min)]]="",0,CEILING(3*(Lose[[#This Row],[Gehzeit (min)]]+Lose[[#This Row],[Aufgaben-zeit (min)]]),5))</f>
        <v>0</v>
      </c>
      <c r="P58">
        <v>5.25</v>
      </c>
      <c r="Q58" t="str">
        <f>IFERROR(ROUND(Lose[[#This Row],[Distanz (km)]]*60/Lose[[#This Row],[Gehzeit (min)]],1),"")</f>
        <v/>
      </c>
      <c r="R5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8" t="str">
        <f>IFERROR(Lose[[#This Row],[Distanz (km)]]-Lose[[#This Row],[Check Distanz]],"")</f>
        <v/>
      </c>
      <c r="T58" s="60" t="str">
        <f>IFERROR(Lose[[#This Row],[Check Umweg]]/Lose[[#This Row],[Check Distanz]],"")</f>
        <v/>
      </c>
      <c r="U58">
        <f ca="1">IF(RIGHT(Lose[[#This Row],[LosID]],1)="b",_xlfn.XLOOKUP(REPLACE(Lose[[#This Row],[LosID]],LEN(Lose[[#This Row],[LosID]]),1,"a"),Lose[LosID],Lose[Zufallszahl],"",0),RAND())</f>
        <v>1.6602277577971725E-2</v>
      </c>
      <c r="V58" t="b" cm="1">
        <f t="array" aca="1" ref="V58" ca="1">Lose[[#This Row],[Zufallszahl]]&gt;=IFERROR(LARGE((LEFT(Lose[LosID],FIND("-",Lose[LosID])-1)=LEFT(Lose[[#This Row],[LosID]],FIND("-",Lose[[#This Row],[LosID]])-1))*Lose[Zufallszahl],_xlfn.XLOOKUP(LEFT(Lose[[#This Row],[LosID]],FIND("-",Lose[[#This Row],[LosID]])-1),Ziehungsanzahl[Kürzel],Ziehungsanzahl[Kontingent],FALSE,0)),9999)</f>
        <v>0</v>
      </c>
    </row>
    <row r="59" spans="1:23" ht="30" hidden="1">
      <c r="A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 t="s">
        <v>23403</v>
      </c>
      <c r="C59" s="93" t="s">
        <v>1233</v>
      </c>
      <c r="D59" s="1" t="s">
        <v>23538</v>
      </c>
      <c r="K59" t="s">
        <v>14514</v>
      </c>
      <c r="L59" t="str">
        <f>IFERROR(LEFT(TRIM(Lose[[#This Row],[Google Koordinaten]]),9),"")</f>
        <v/>
      </c>
      <c r="M59" t="str">
        <f>IFERROR(MID(TRIM(Lose[[#This Row],[Google Koordinaten]]),
FIND(",",TRIM(Lose[[#This Row],[Google Koordinaten]])) + 2,9),"")</f>
        <v/>
      </c>
      <c r="N59">
        <f>IF(Lose[[#This Row],[Bahn-hofs-zeit]]=0,0,MROUND(30*25^((Lose[[#This Row],[Bahn-hofs-zeit]]-_xlfn.MINIFS(Lose[Bahn-hofs-zeit],Lose[Bahn-hofs-zeit],"&gt;0"))/(MAX(Lose[Bahn-hofs-zeit])-_xlfn.MINIFS(Lose[Bahn-hofs-zeit],Lose[Bahn-hofs-zeit],"&gt;0"))),5))</f>
        <v>165</v>
      </c>
      <c r="O59">
        <f>IF(Lose[[#This Row],[Gehzeit (min)]]="",0,CEILING(3*(Lose[[#This Row],[Gehzeit (min)]]+Lose[[#This Row],[Aufgaben-zeit (min)]]),5))</f>
        <v>0</v>
      </c>
      <c r="P59">
        <v>9.25</v>
      </c>
      <c r="Q59" t="str">
        <f>IFERROR(ROUND(Lose[[#This Row],[Distanz (km)]]*60/Lose[[#This Row],[Gehzeit (min)]],1),"")</f>
        <v/>
      </c>
      <c r="R5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9" t="str">
        <f>IFERROR(Lose[[#This Row],[Distanz (km)]]-Lose[[#This Row],[Check Distanz]],"")</f>
        <v/>
      </c>
      <c r="T59" s="60" t="str">
        <f>IFERROR(Lose[[#This Row],[Check Umweg]]/Lose[[#This Row],[Check Distanz]],"")</f>
        <v/>
      </c>
      <c r="U59">
        <f ca="1">IF(RIGHT(Lose[[#This Row],[LosID]],1)="b",_xlfn.XLOOKUP(REPLACE(Lose[[#This Row],[LosID]],LEN(Lose[[#This Row],[LosID]]),1,"a"),Lose[LosID],Lose[Zufallszahl],"",0),RAND())</f>
        <v>1.6602277577971725E-2</v>
      </c>
      <c r="V59" t="b" cm="1">
        <f t="array" aca="1" ref="V59" ca="1">Lose[[#This Row],[Zufallszahl]]&gt;=IFERROR(LARGE((LEFT(Lose[LosID],FIND("-",Lose[LosID])-1)=LEFT(Lose[[#This Row],[LosID]],FIND("-",Lose[[#This Row],[LosID]])-1))*Lose[Zufallszahl],_xlfn.XLOOKUP(LEFT(Lose[[#This Row],[LosID]],FIND("-",Lose[[#This Row],[LosID]])-1),Ziehungsanzahl[Kürzel],Ziehungsanzahl[Kontingent],FALSE,0)),9999)</f>
        <v>0</v>
      </c>
    </row>
    <row r="60" spans="1:23" hidden="1">
      <c r="A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0" s="99" t="s">
        <v>23408</v>
      </c>
      <c r="C60" s="91" t="s">
        <v>1234</v>
      </c>
      <c r="D60" s="1" t="s">
        <v>23539</v>
      </c>
      <c r="F60" t="s">
        <v>23540</v>
      </c>
      <c r="K60" t="str" cm="1">
        <f t="array" ref="K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Taubenheim(Spree)</v>
      </c>
      <c r="L60" t="str">
        <f>IFERROR(LEFT(TRIM(Lose[[#This Row],[Google Koordinaten]]),9),"")</f>
        <v>51.042262</v>
      </c>
      <c r="M60" t="str">
        <f>IFERROR(MID(TRIM(Lose[[#This Row],[Google Koordinaten]]),
FIND(",",TRIM(Lose[[#This Row],[Google Koordinaten]])) + 2,9),"")</f>
        <v>14.480583</v>
      </c>
      <c r="N60" s="91">
        <f>IF(Lose[[#This Row],[Bahn-hofs-zeit]]=0,0,MROUND(30*25^((Lose[[#This Row],[Bahn-hofs-zeit]]-_xlfn.MINIFS(Lose[Bahn-hofs-zeit],Lose[Bahn-hofs-zeit],"&gt;0"))/(MAX(Lose[Bahn-hofs-zeit])-_xlfn.MINIFS(Lose[Bahn-hofs-zeit],Lose[Bahn-hofs-zeit],"&gt;0"))),5))</f>
        <v>0</v>
      </c>
      <c r="O60">
        <f>IF(Lose[[#This Row],[Gehzeit (min)]]="",0,CEILING(3*(Lose[[#This Row],[Gehzeit (min)]]+Lose[[#This Row],[Aufgaben-zeit (min)]]),5))</f>
        <v>0</v>
      </c>
      <c r="Q60" t="str">
        <f>IFERROR(ROUND(Lose[[#This Row],[Distanz (km)]]*60/Lose[[#This Row],[Gehzeit (min)]],1),"")</f>
        <v/>
      </c>
      <c r="R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60">
        <f>IFERROR(Lose[[#This Row],[Distanz (km)]]-Lose[[#This Row],[Check Distanz]],"")</f>
        <v>-0.01</v>
      </c>
      <c r="T60" s="60">
        <f>IFERROR(Lose[[#This Row],[Check Umweg]]/Lose[[#This Row],[Check Distanz]],"")</f>
        <v>-1</v>
      </c>
      <c r="U60">
        <f ca="1">IF(RIGHT(Lose[[#This Row],[LosID]],1)="b",_xlfn.XLOOKUP(REPLACE(Lose[[#This Row],[LosID]],LEN(Lose[[#This Row],[LosID]]),1,"a"),Lose[LosID],Lose[Zufallszahl],"",0),RAND())</f>
        <v>0.51653294795527405</v>
      </c>
      <c r="V60" t="b" cm="1">
        <f t="array" aca="1" ref="V60" ca="1">Lose[[#This Row],[Zufallszahl]]&gt;=IFERROR(LARGE((LEFT(Lose[LosID],FIND("-",Lose[LosID])-1)=LEFT(Lose[[#This Row],[LosID]],FIND("-",Lose[[#This Row],[LosID]])-1))*Lose[Zufallszahl],_xlfn.XLOOKUP(LEFT(Lose[[#This Row],[LosID]],FIND("-",Lose[[#This Row],[LosID]])-1),Ziehungsanzahl[Kürzel],Ziehungsanzahl[Kontingent],FALSE,0)),9999)</f>
        <v>0</v>
      </c>
      <c r="W60" t="s">
        <v>23398</v>
      </c>
    </row>
    <row r="61" spans="1:23" hidden="1">
      <c r="A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1" s="99" t="s">
        <v>23408</v>
      </c>
      <c r="C61" s="91" t="s">
        <v>1235</v>
      </c>
      <c r="D61" s="1" t="s">
        <v>23541</v>
      </c>
      <c r="F61" t="s">
        <v>23542</v>
      </c>
      <c r="K61" t="str" cm="1">
        <f t="array" ref="K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Berlin-Adlershof</v>
      </c>
      <c r="L61" t="str">
        <f>IFERROR(LEFT(TRIM(Lose[[#This Row],[Google Koordinaten]]),9),"")</f>
        <v>52.435672</v>
      </c>
      <c r="M61" t="str">
        <f>IFERROR(MID(TRIM(Lose[[#This Row],[Google Koordinaten]]),
FIND(",",TRIM(Lose[[#This Row],[Google Koordinaten]])) + 2,9),"")</f>
        <v>13.540246</v>
      </c>
      <c r="N61">
        <f>IF(Lose[[#This Row],[Bahn-hofs-zeit]]=0,0,MROUND(30*25^((Lose[[#This Row],[Bahn-hofs-zeit]]-_xlfn.MINIFS(Lose[Bahn-hofs-zeit],Lose[Bahn-hofs-zeit],"&gt;0"))/(MAX(Lose[Bahn-hofs-zeit])-_xlfn.MINIFS(Lose[Bahn-hofs-zeit],Lose[Bahn-hofs-zeit],"&gt;0"))),5))</f>
        <v>145</v>
      </c>
      <c r="O61">
        <f>IF(Lose[[#This Row],[Gehzeit (min)]]="",0,CEILING(3*(Lose[[#This Row],[Gehzeit (min)]]+Lose[[#This Row],[Aufgaben-zeit (min)]]),5))</f>
        <v>0</v>
      </c>
      <c r="P61">
        <v>8.75</v>
      </c>
      <c r="Q61" t="str">
        <f>IFERROR(ROUND(Lose[[#This Row],[Distanz (km)]]*60/Lose[[#This Row],[Gehzeit (min)]],1),"")</f>
        <v/>
      </c>
      <c r="R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61">
        <f>IFERROR(Lose[[#This Row],[Distanz (km)]]-Lose[[#This Row],[Check Distanz]],"")</f>
        <v>-0.09</v>
      </c>
      <c r="T61" s="60">
        <f>IFERROR(Lose[[#This Row],[Check Umweg]]/Lose[[#This Row],[Check Distanz]],"")</f>
        <v>-1</v>
      </c>
      <c r="U61">
        <f ca="1">IF(RIGHT(Lose[[#This Row],[LosID]],1)="b",_xlfn.XLOOKUP(REPLACE(Lose[[#This Row],[LosID]],LEN(Lose[[#This Row],[LosID]]),1,"a"),Lose[LosID],Lose[Zufallszahl],"",0),RAND())</f>
        <v>0.51653294795527405</v>
      </c>
      <c r="V61" t="b" cm="1">
        <f t="array" aca="1" ref="V61" ca="1">Lose[[#This Row],[Zufallszahl]]&gt;=IFERROR(LARGE((LEFT(Lose[LosID],FIND("-",Lose[LosID])-1)=LEFT(Lose[[#This Row],[LosID]],FIND("-",Lose[[#This Row],[LosID]])-1))*Lose[Zufallszahl],_xlfn.XLOOKUP(LEFT(Lose[[#This Row],[LosID]],FIND("-",Lose[[#This Row],[LosID]])-1),Ziehungsanzahl[Kürzel],Ziehungsanzahl[Kontingent],FALSE,0)),9999)</f>
        <v>0</v>
      </c>
    </row>
    <row r="62" spans="1:23" hidden="1">
      <c r="A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2" t="s">
        <v>23412</v>
      </c>
      <c r="C62" s="92" t="s">
        <v>23543</v>
      </c>
      <c r="D62" s="1" t="s">
        <v>23544</v>
      </c>
      <c r="F62" t="s">
        <v>23545</v>
      </c>
      <c r="K62" t="str" cm="1">
        <f t="array" ref="K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 Hbf</v>
      </c>
      <c r="L62" t="str">
        <f>IFERROR(LEFT(TRIM(Lose[[#This Row],[Google Koordinaten]]),9),"")</f>
        <v>51.474573</v>
      </c>
      <c r="M62" t="str">
        <f>IFERROR(MID(TRIM(Lose[[#This Row],[Google Koordinaten]]),
FIND(",",TRIM(Lose[[#This Row],[Google Koordinaten]])) + 2,9),"")</f>
        <v>6.8524052</v>
      </c>
      <c r="N62">
        <f>IF(Lose[[#This Row],[Bahn-hofs-zeit]]=0,0,MROUND(30*25^((Lose[[#This Row],[Bahn-hofs-zeit]]-_xlfn.MINIFS(Lose[Bahn-hofs-zeit],Lose[Bahn-hofs-zeit],"&gt;0"))/(MAX(Lose[Bahn-hofs-zeit])-_xlfn.MINIFS(Lose[Bahn-hofs-zeit],Lose[Bahn-hofs-zeit],"&gt;0"))),5))</f>
        <v>35</v>
      </c>
      <c r="O62">
        <f>IF(Lose[[#This Row],[Gehzeit (min)]]="",0,CEILING(3*(Lose[[#This Row],[Gehzeit (min)]]+Lose[[#This Row],[Aufgaben-zeit (min)]]),5))</f>
        <v>0</v>
      </c>
      <c r="P62">
        <v>4</v>
      </c>
      <c r="Q62" t="str">
        <f>IFERROR(ROUND(Lose[[#This Row],[Distanz (km)]]*60/Lose[[#This Row],[Gehzeit (min)]],1),"")</f>
        <v/>
      </c>
      <c r="R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62">
        <f>IFERROR(Lose[[#This Row],[Distanz (km)]]-Lose[[#This Row],[Check Distanz]],"")</f>
        <v>-7.0000000000000007E-2</v>
      </c>
      <c r="T62" s="60">
        <f>IFERROR(Lose[[#This Row],[Check Umweg]]/Lose[[#This Row],[Check Distanz]],"")</f>
        <v>-1</v>
      </c>
      <c r="U62">
        <f ca="1">IF(RIGHT(Lose[[#This Row],[LosID]],1)="b",_xlfn.XLOOKUP(REPLACE(Lose[[#This Row],[LosID]],LEN(Lose[[#This Row],[LosID]]),1,"a"),Lose[LosID],Lose[Zufallszahl],"",0),RAND())</f>
        <v>0.17204392917409084</v>
      </c>
      <c r="V62" t="b" cm="1">
        <f t="array" aca="1" ref="V62" ca="1">Lose[[#This Row],[Zufallszahl]]&gt;=IFERROR(LARGE((LEFT(Lose[LosID],FIND("-",Lose[LosID])-1)=LEFT(Lose[[#This Row],[LosID]],FIND("-",Lose[[#This Row],[LosID]])-1))*Lose[Zufallszahl],_xlfn.XLOOKUP(LEFT(Lose[[#This Row],[LosID]],FIND("-",Lose[[#This Row],[LosID]])-1),Ziehungsanzahl[Kürzel],Ziehungsanzahl[Kontingent],FALSE,0)),9999)</f>
        <v>0</v>
      </c>
    </row>
    <row r="63" spans="1:23" hidden="1">
      <c r="A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3" t="s">
        <v>23412</v>
      </c>
      <c r="C63" s="92" t="s">
        <v>23546</v>
      </c>
      <c r="D63" s="1" t="s">
        <v>23547</v>
      </c>
      <c r="F63" t="s">
        <v>23548</v>
      </c>
      <c r="K63" t="str" cm="1">
        <f t="array" ref="K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Unterhausen(Bay)</v>
      </c>
      <c r="L63" t="str">
        <f>IFERROR(LEFT(TRIM(Lose[[#This Row],[Google Koordinaten]]),9),"")</f>
        <v>48.718675</v>
      </c>
      <c r="M63" t="str">
        <f>IFERROR(MID(TRIM(Lose[[#This Row],[Google Koordinaten]]),
FIND(",",TRIM(Lose[[#This Row],[Google Koordinaten]])) + 2,9),"")</f>
        <v>11.092760</v>
      </c>
      <c r="N63">
        <f>IF(Lose[[#This Row],[Bahn-hofs-zeit]]=0,0,MROUND(30*25^((Lose[[#This Row],[Bahn-hofs-zeit]]-_xlfn.MINIFS(Lose[Bahn-hofs-zeit],Lose[Bahn-hofs-zeit],"&gt;0"))/(MAX(Lose[Bahn-hofs-zeit])-_xlfn.MINIFS(Lose[Bahn-hofs-zeit],Lose[Bahn-hofs-zeit],"&gt;0"))),5))</f>
        <v>220</v>
      </c>
      <c r="O63">
        <f>IF(Lose[[#This Row],[Gehzeit (min)]]="",0,CEILING(3*(Lose[[#This Row],[Gehzeit (min)]]+Lose[[#This Row],[Aufgaben-zeit (min)]]),5))</f>
        <v>0</v>
      </c>
      <c r="P63">
        <v>10.25</v>
      </c>
      <c r="Q63" t="str">
        <f>IFERROR(ROUND(Lose[[#This Row],[Distanz (km)]]*60/Lose[[#This Row],[Gehzeit (min)]],1),"")</f>
        <v/>
      </c>
      <c r="R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63">
        <f>IFERROR(Lose[[#This Row],[Distanz (km)]]-Lose[[#This Row],[Check Distanz]],"")</f>
        <v>-0.59</v>
      </c>
      <c r="T63" s="60">
        <f>IFERROR(Lose[[#This Row],[Check Umweg]]/Lose[[#This Row],[Check Distanz]],"")</f>
        <v>-1</v>
      </c>
      <c r="U63">
        <f ca="1">IF(RIGHT(Lose[[#This Row],[LosID]],1)="b",_xlfn.XLOOKUP(REPLACE(Lose[[#This Row],[LosID]],LEN(Lose[[#This Row],[LosID]]),1,"a"),Lose[LosID],Lose[Zufallszahl],"",0),RAND())</f>
        <v>0.17204392917409084</v>
      </c>
      <c r="V63" t="b" cm="1">
        <f t="array" aca="1" ref="V63" ca="1">Lose[[#This Row],[Zufallszahl]]&gt;=IFERROR(LARGE((LEFT(Lose[LosID],FIND("-",Lose[LosID])-1)=LEFT(Lose[[#This Row],[LosID]],FIND("-",Lose[[#This Row],[LosID]])-1))*Lose[Zufallszahl],_xlfn.XLOOKUP(LEFT(Lose[[#This Row],[LosID]],FIND("-",Lose[[#This Row],[LosID]])-1),Ziehungsanzahl[Kürzel],Ziehungsanzahl[Kontingent],FALSE,0)),9999)</f>
        <v>0</v>
      </c>
    </row>
    <row r="64" spans="1:23" hidden="1">
      <c r="A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4" t="s">
        <v>23416</v>
      </c>
      <c r="C64" s="93" t="s">
        <v>23549</v>
      </c>
      <c r="D64" s="1" t="s">
        <v>23550</v>
      </c>
      <c r="F64" t="s">
        <v>23551</v>
      </c>
      <c r="K64" t="str" cm="1">
        <f t="array" ref="K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Himmelreich</v>
      </c>
      <c r="L64" t="str">
        <f>IFERROR(LEFT(TRIM(Lose[[#This Row],[Google Koordinaten]]),9),"")</f>
        <v>47.958710</v>
      </c>
      <c r="M64" t="str">
        <f>IFERROR(MID(TRIM(Lose[[#This Row],[Google Koordinaten]]),
FIND(",",TRIM(Lose[[#This Row],[Google Koordinaten]])) + 2,9),"")</f>
        <v>7.9917699</v>
      </c>
      <c r="N64">
        <f>IF(Lose[[#This Row],[Bahn-hofs-zeit]]=0,0,MROUND(30*25^((Lose[[#This Row],[Bahn-hofs-zeit]]-_xlfn.MINIFS(Lose[Bahn-hofs-zeit],Lose[Bahn-hofs-zeit],"&gt;0"))/(MAX(Lose[Bahn-hofs-zeit])-_xlfn.MINIFS(Lose[Bahn-hofs-zeit],Lose[Bahn-hofs-zeit],"&gt;0"))),5))</f>
        <v>145</v>
      </c>
      <c r="O64">
        <f>IF(Lose[[#This Row],[Gehzeit (min)]]="",0,CEILING(3*(Lose[[#This Row],[Gehzeit (min)]]+Lose[[#This Row],[Aufgaben-zeit (min)]]),5))</f>
        <v>0</v>
      </c>
      <c r="P64">
        <v>8.75</v>
      </c>
      <c r="Q64" t="str">
        <f>IFERROR(ROUND(Lose[[#This Row],[Distanz (km)]]*60/Lose[[#This Row],[Gehzeit (min)]],1),"")</f>
        <v/>
      </c>
      <c r="R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64">
        <f>IFERROR(Lose[[#This Row],[Distanz (km)]]-Lose[[#This Row],[Check Distanz]],"")</f>
        <v>-0.03</v>
      </c>
      <c r="T64" s="60">
        <f>IFERROR(Lose[[#This Row],[Check Umweg]]/Lose[[#This Row],[Check Distanz]],"")</f>
        <v>-1</v>
      </c>
      <c r="U64">
        <f ca="1">IF(RIGHT(Lose[[#This Row],[LosID]],1)="b",_xlfn.XLOOKUP(REPLACE(Lose[[#This Row],[LosID]],LEN(Lose[[#This Row],[LosID]]),1,"a"),Lose[LosID],Lose[Zufallszahl],"",0),RAND())</f>
        <v>0.72295259361903474</v>
      </c>
      <c r="V64" t="b" cm="1">
        <f t="array" aca="1" ref="V64" ca="1">Lose[[#This Row],[Zufallszahl]]&gt;=IFERROR(LARGE((LEFT(Lose[LosID],FIND("-",Lose[LosID])-1)=LEFT(Lose[[#This Row],[LosID]],FIND("-",Lose[[#This Row],[LosID]])-1))*Lose[Zufallszahl],_xlfn.XLOOKUP(LEFT(Lose[[#This Row],[LosID]],FIND("-",Lose[[#This Row],[LosID]])-1),Ziehungsanzahl[Kürzel],Ziehungsanzahl[Kontingent],FALSE,0)),9999)</f>
        <v>0</v>
      </c>
    </row>
    <row r="65" spans="1:23" hidden="1">
      <c r="A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5" t="s">
        <v>23416</v>
      </c>
      <c r="C65" s="93" t="s">
        <v>23552</v>
      </c>
      <c r="D65" s="1" t="s">
        <v>23553</v>
      </c>
      <c r="F65" t="s">
        <v>23554</v>
      </c>
      <c r="K65" t="str" cm="1">
        <f t="array" ref="K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Höllenthal</v>
      </c>
      <c r="L65" t="str">
        <f>IFERROR(LEFT(TRIM(Lose[[#This Row],[Google Koordinaten]]),9),"")</f>
        <v>50.364093</v>
      </c>
      <c r="M65" t="str">
        <f>IFERROR(MID(TRIM(Lose[[#This Row],[Google Koordinaten]]),
FIND(",",TRIM(Lose[[#This Row],[Google Koordinaten]])) + 2,9),"")</f>
        <v>11.684375</v>
      </c>
      <c r="N65" s="91">
        <f>IF(Lose[[#This Row],[Bahn-hofs-zeit]]=0,0,MROUND(30*25^((Lose[[#This Row],[Bahn-hofs-zeit]]-_xlfn.MINIFS(Lose[Bahn-hofs-zeit],Lose[Bahn-hofs-zeit],"&gt;0"))/(MAX(Lose[Bahn-hofs-zeit])-_xlfn.MINIFS(Lose[Bahn-hofs-zeit],Lose[Bahn-hofs-zeit],"&gt;0"))),5))</f>
        <v>0</v>
      </c>
      <c r="O65">
        <f>IF(Lose[[#This Row],[Gehzeit (min)]]="",0,CEILING(3*(Lose[[#This Row],[Gehzeit (min)]]+Lose[[#This Row],[Aufgaben-zeit (min)]]),5))</f>
        <v>0</v>
      </c>
      <c r="Q65" t="str">
        <f>IFERROR(ROUND(Lose[[#This Row],[Distanz (km)]]*60/Lose[[#This Row],[Gehzeit (min)]],1),"")</f>
        <v/>
      </c>
      <c r="R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65">
        <f>IFERROR(Lose[[#This Row],[Distanz (km)]]-Lose[[#This Row],[Check Distanz]],"")</f>
        <v>-0.05</v>
      </c>
      <c r="T65" s="60">
        <f>IFERROR(Lose[[#This Row],[Check Umweg]]/Lose[[#This Row],[Check Distanz]],"")</f>
        <v>-1</v>
      </c>
      <c r="U65">
        <f ca="1">IF(RIGHT(Lose[[#This Row],[LosID]],1)="b",_xlfn.XLOOKUP(REPLACE(Lose[[#This Row],[LosID]],LEN(Lose[[#This Row],[LosID]]),1,"a"),Lose[LosID],Lose[Zufallszahl],"",0),RAND())</f>
        <v>0.72295259361903474</v>
      </c>
      <c r="V65" t="b" cm="1">
        <f t="array" aca="1" ref="V65" ca="1">Lose[[#This Row],[Zufallszahl]]&gt;=IFERROR(LARGE((LEFT(Lose[LosID],FIND("-",Lose[LosID])-1)=LEFT(Lose[[#This Row],[LosID]],FIND("-",Lose[[#This Row],[LosID]])-1))*Lose[Zufallszahl],_xlfn.XLOOKUP(LEFT(Lose[[#This Row],[LosID]],FIND("-",Lose[[#This Row],[LosID]])-1),Ziehungsanzahl[Kürzel],Ziehungsanzahl[Kontingent],FALSE,0)),9999)</f>
        <v>0</v>
      </c>
      <c r="W65" t="s">
        <v>23398</v>
      </c>
    </row>
    <row r="66" spans="1:23" ht="30" hidden="1">
      <c r="A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6" t="s">
        <v>23363</v>
      </c>
      <c r="C66" s="92" t="s">
        <v>23555</v>
      </c>
      <c r="D66" s="1" t="s">
        <v>23556</v>
      </c>
      <c r="F66" t="s">
        <v>23557</v>
      </c>
      <c r="K66" t="str" cm="1">
        <f t="array" ref="K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Eisenärzt</v>
      </c>
      <c r="L66" t="str">
        <f>IFERROR(LEFT(TRIM(Lose[[#This Row],[Google Koordinaten]]),9),"")</f>
        <v>47.796475</v>
      </c>
      <c r="M66" t="str">
        <f>IFERROR(MID(TRIM(Lose[[#This Row],[Google Koordinaten]]),
FIND(",",TRIM(Lose[[#This Row],[Google Koordinaten]])) + 2,9),"")</f>
        <v>12.638301</v>
      </c>
      <c r="N66" s="91">
        <f>IF(Lose[[#This Row],[Bahn-hofs-zeit]]=0,0,MROUND(30*25^((Lose[[#This Row],[Bahn-hofs-zeit]]-_xlfn.MINIFS(Lose[Bahn-hofs-zeit],Lose[Bahn-hofs-zeit],"&gt;0"))/(MAX(Lose[Bahn-hofs-zeit])-_xlfn.MINIFS(Lose[Bahn-hofs-zeit],Lose[Bahn-hofs-zeit],"&gt;0"))),5))</f>
        <v>0</v>
      </c>
      <c r="O66">
        <f>IF(Lose[[#This Row],[Gehzeit (min)]]="",0,CEILING(3*(Lose[[#This Row],[Gehzeit (min)]]+Lose[[#This Row],[Aufgaben-zeit (min)]]),5))</f>
        <v>0</v>
      </c>
      <c r="Q66" t="str">
        <f>IFERROR(ROUND(Lose[[#This Row],[Distanz (km)]]*60/Lose[[#This Row],[Gehzeit (min)]],1),"")</f>
        <v/>
      </c>
      <c r="R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66">
        <f>IFERROR(Lose[[#This Row],[Distanz (km)]]-Lose[[#This Row],[Check Distanz]],"")</f>
        <v>-0.02</v>
      </c>
      <c r="T66" s="60">
        <f>IFERROR(Lose[[#This Row],[Check Umweg]]/Lose[[#This Row],[Check Distanz]],"")</f>
        <v>-1</v>
      </c>
      <c r="U66">
        <f ca="1">IF(RIGHT(Lose[[#This Row],[LosID]],1)="b",_xlfn.XLOOKUP(REPLACE(Lose[[#This Row],[LosID]],LEN(Lose[[#This Row],[LosID]]),1,"a"),Lose[LosID],Lose[Zufallszahl],"",0),RAND())</f>
        <v>0.86474725542617947</v>
      </c>
      <c r="V66" t="b" cm="1">
        <f t="array" aca="1" ref="V66" ca="1">Lose[[#This Row],[Zufallszahl]]&gt;=IFERROR(LARGE((LEFT(Lose[LosID],FIND("-",Lose[LosID])-1)=LEFT(Lose[[#This Row],[LosID]],FIND("-",Lose[[#This Row],[LosID]])-1))*Lose[Zufallszahl],_xlfn.XLOOKUP(LEFT(Lose[[#This Row],[LosID]],FIND("-",Lose[[#This Row],[LosID]])-1),Ziehungsanzahl[Kürzel],Ziehungsanzahl[Kontingent],FALSE,0)),9999)</f>
        <v>0</v>
      </c>
      <c r="W66" t="s">
        <v>23398</v>
      </c>
    </row>
    <row r="67" spans="1:23" ht="30" hidden="1">
      <c r="A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7" t="s">
        <v>23363</v>
      </c>
      <c r="C67" s="92" t="s">
        <v>23558</v>
      </c>
      <c r="D67" s="1" t="s">
        <v>23559</v>
      </c>
      <c r="F67" t="s">
        <v>23560</v>
      </c>
      <c r="K67" t="str" cm="1">
        <f t="array" ref="K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Grafling-Arzting</v>
      </c>
      <c r="L67" t="str">
        <f>IFERROR(LEFT(TRIM(Lose[[#This Row],[Google Koordinaten]]),9),"")</f>
        <v>48.889644</v>
      </c>
      <c r="M67" t="str">
        <f>IFERROR(MID(TRIM(Lose[[#This Row],[Google Koordinaten]]),
FIND(",",TRIM(Lose[[#This Row],[Google Koordinaten]])) + 2,9),"")</f>
        <v>12.973429</v>
      </c>
      <c r="N67" s="91">
        <f>IF(Lose[[#This Row],[Bahn-hofs-zeit]]=0,0,MROUND(30*25^((Lose[[#This Row],[Bahn-hofs-zeit]]-_xlfn.MINIFS(Lose[Bahn-hofs-zeit],Lose[Bahn-hofs-zeit],"&gt;0"))/(MAX(Lose[Bahn-hofs-zeit])-_xlfn.MINIFS(Lose[Bahn-hofs-zeit],Lose[Bahn-hofs-zeit],"&gt;0"))),5))</f>
        <v>0</v>
      </c>
      <c r="O67">
        <f>IF(Lose[[#This Row],[Gehzeit (min)]]="",0,CEILING(3*(Lose[[#This Row],[Gehzeit (min)]]+Lose[[#This Row],[Aufgaben-zeit (min)]]),5))</f>
        <v>0</v>
      </c>
      <c r="Q67" t="str">
        <f>IFERROR(ROUND(Lose[[#This Row],[Distanz (km)]]*60/Lose[[#This Row],[Gehzeit (min)]],1),"")</f>
        <v/>
      </c>
      <c r="R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67">
        <f>IFERROR(Lose[[#This Row],[Distanz (km)]]-Lose[[#This Row],[Check Distanz]],"")</f>
        <v>-0.01</v>
      </c>
      <c r="T67" s="60">
        <f>IFERROR(Lose[[#This Row],[Check Umweg]]/Lose[[#This Row],[Check Distanz]],"")</f>
        <v>-1</v>
      </c>
      <c r="U67">
        <f ca="1">IF(RIGHT(Lose[[#This Row],[LosID]],1)="b",_xlfn.XLOOKUP(REPLACE(Lose[[#This Row],[LosID]],LEN(Lose[[#This Row],[LosID]]),1,"a"),Lose[LosID],Lose[Zufallszahl],"",0),RAND())</f>
        <v>0.86474725542617947</v>
      </c>
      <c r="V67" t="b" cm="1">
        <f t="array" aca="1" ref="V67" ca="1">Lose[[#This Row],[Zufallszahl]]&gt;=IFERROR(LARGE((LEFT(Lose[LosID],FIND("-",Lose[LosID])-1)=LEFT(Lose[[#This Row],[LosID]],FIND("-",Lose[[#This Row],[LosID]])-1))*Lose[Zufallszahl],_xlfn.XLOOKUP(LEFT(Lose[[#This Row],[LosID]],FIND("-",Lose[[#This Row],[LosID]])-1),Ziehungsanzahl[Kürzel],Ziehungsanzahl[Kontingent],FALSE,0)),9999)</f>
        <v>0</v>
      </c>
      <c r="W67" t="s">
        <v>23398</v>
      </c>
    </row>
    <row r="68" spans="1:23" ht="30" hidden="1">
      <c r="A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8" t="s">
        <v>23367</v>
      </c>
      <c r="C68" s="92" t="s">
        <v>1214</v>
      </c>
      <c r="D68" s="1" t="s">
        <v>1216</v>
      </c>
      <c r="E68" t="s">
        <v>23</v>
      </c>
      <c r="F68" t="s">
        <v>23</v>
      </c>
      <c r="G68" t="s">
        <v>23</v>
      </c>
      <c r="K68" t="s">
        <v>1215</v>
      </c>
      <c r="L68" t="str">
        <f>IFERROR(LEFT(TRIM(Lose[[#This Row],[Google Koordinaten]]),9),"")</f>
        <v/>
      </c>
      <c r="M68" t="str">
        <f>IFERROR(MID(TRIM(Lose[[#This Row],[Google Koordinaten]]),
FIND(",",TRIM(Lose[[#This Row],[Google Koordinaten]])) + 2,9),"")</f>
        <v/>
      </c>
      <c r="N68">
        <f>IF(Lose[[#This Row],[Bahn-hofs-zeit]]=0,0,MROUND(30*25^((Lose[[#This Row],[Bahn-hofs-zeit]]-_xlfn.MINIFS(Lose[Bahn-hofs-zeit],Lose[Bahn-hofs-zeit],"&gt;0"))/(MAX(Lose[Bahn-hofs-zeit])-_xlfn.MINIFS(Lose[Bahn-hofs-zeit],Lose[Bahn-hofs-zeit],"&gt;0"))),5))</f>
        <v>125</v>
      </c>
      <c r="O68">
        <f>IF(Lose[[#This Row],[Gehzeit (min)]]="",0,CEILING(3*(Lose[[#This Row],[Gehzeit (min)]]+Lose[[#This Row],[Aufgaben-zeit (min)]]),5))</f>
        <v>0</v>
      </c>
      <c r="P68">
        <v>8.25</v>
      </c>
      <c r="Q68" t="str">
        <f>IFERROR(ROUND(Lose[[#This Row],[Distanz (km)]]*60/Lose[[#This Row],[Gehzeit (min)]],1),"")</f>
        <v/>
      </c>
      <c r="R6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68" t="str">
        <f>IFERROR(Lose[[#This Row],[Distanz (km)]]-Lose[[#This Row],[Check Distanz]],"")</f>
        <v/>
      </c>
      <c r="T68" s="60" t="str">
        <f>IFERROR(Lose[[#This Row],[Check Umweg]]/Lose[[#This Row],[Check Distanz]],"")</f>
        <v/>
      </c>
      <c r="U68">
        <f ca="1">IF(RIGHT(Lose[[#This Row],[LosID]],1)="b",_xlfn.XLOOKUP(REPLACE(Lose[[#This Row],[LosID]],LEN(Lose[[#This Row],[LosID]]),1,"a"),Lose[LosID],Lose[Zufallszahl],"",0),RAND())</f>
        <v>0.59618308421329025</v>
      </c>
      <c r="V68" t="b" cm="1">
        <f t="array" aca="1" ref="V68" ca="1">Lose[[#This Row],[Zufallszahl]]&gt;=IFERROR(LARGE((LEFT(Lose[LosID],FIND("-",Lose[LosID])-1)=LEFT(Lose[[#This Row],[LosID]],FIND("-",Lose[[#This Row],[LosID]])-1))*Lose[Zufallszahl],_xlfn.XLOOKUP(LEFT(Lose[[#This Row],[LosID]],FIND("-",Lose[[#This Row],[LosID]])-1),Ziehungsanzahl[Kürzel],Ziehungsanzahl[Kontingent],FALSE,0)),9999)</f>
        <v>0</v>
      </c>
    </row>
    <row r="69" spans="1:23" ht="30" hidden="1">
      <c r="A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9" t="s">
        <v>23367</v>
      </c>
      <c r="C69" s="92" t="s">
        <v>1217</v>
      </c>
      <c r="D69" s="1" t="s">
        <v>1219</v>
      </c>
      <c r="E69" t="s">
        <v>23</v>
      </c>
      <c r="F69" t="s">
        <v>23</v>
      </c>
      <c r="G69" t="s">
        <v>23</v>
      </c>
      <c r="K69" t="s">
        <v>1218</v>
      </c>
      <c r="L69" t="str">
        <f>IFERROR(LEFT(TRIM(Lose[[#This Row],[Google Koordinaten]]),9),"")</f>
        <v/>
      </c>
      <c r="M69" t="str">
        <f>IFERROR(MID(TRIM(Lose[[#This Row],[Google Koordinaten]]),
FIND(",",TRIM(Lose[[#This Row],[Google Koordinaten]])) + 2,9),"")</f>
        <v/>
      </c>
      <c r="N69">
        <f>IF(Lose[[#This Row],[Bahn-hofs-zeit]]=0,0,MROUND(30*25^((Lose[[#This Row],[Bahn-hofs-zeit]]-_xlfn.MINIFS(Lose[Bahn-hofs-zeit],Lose[Bahn-hofs-zeit],"&gt;0"))/(MAX(Lose[Bahn-hofs-zeit])-_xlfn.MINIFS(Lose[Bahn-hofs-zeit],Lose[Bahn-hofs-zeit],"&gt;0"))),5))</f>
        <v>145</v>
      </c>
      <c r="O69">
        <f>IF(Lose[[#This Row],[Gehzeit (min)]]="",0,CEILING(3*(Lose[[#This Row],[Gehzeit (min)]]+Lose[[#This Row],[Aufgaben-zeit (min)]]),5))</f>
        <v>0</v>
      </c>
      <c r="P69">
        <v>8.75</v>
      </c>
      <c r="Q69" t="str">
        <f>IFERROR(ROUND(Lose[[#This Row],[Distanz (km)]]*60/Lose[[#This Row],[Gehzeit (min)]],1),"")</f>
        <v/>
      </c>
      <c r="R6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69" t="str">
        <f>IFERROR(Lose[[#This Row],[Distanz (km)]]-Lose[[#This Row],[Check Distanz]],"")</f>
        <v/>
      </c>
      <c r="T69" s="60" t="str">
        <f>IFERROR(Lose[[#This Row],[Check Umweg]]/Lose[[#This Row],[Check Distanz]],"")</f>
        <v/>
      </c>
      <c r="U69">
        <f ca="1">IF(RIGHT(Lose[[#This Row],[LosID]],1)="b",_xlfn.XLOOKUP(REPLACE(Lose[[#This Row],[LosID]],LEN(Lose[[#This Row],[LosID]]),1,"a"),Lose[LosID],Lose[Zufallszahl],"",0),RAND())</f>
        <v>0.59618308421329025</v>
      </c>
      <c r="V69" t="b" cm="1">
        <f t="array" aca="1" ref="V69" ca="1">Lose[[#This Row],[Zufallszahl]]&gt;=IFERROR(LARGE((LEFT(Lose[LosID],FIND("-",Lose[LosID])-1)=LEFT(Lose[[#This Row],[LosID]],FIND("-",Lose[[#This Row],[LosID]])-1))*Lose[Zufallszahl],_xlfn.XLOOKUP(LEFT(Lose[[#This Row],[LosID]],FIND("-",Lose[[#This Row],[LosID]])-1),Ziehungsanzahl[Kürzel],Ziehungsanzahl[Kontingent],FALSE,0)),9999)</f>
        <v>0</v>
      </c>
    </row>
    <row r="70" spans="1:23" hidden="1">
      <c r="A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0" t="s">
        <v>23367</v>
      </c>
      <c r="C70" s="92" t="s">
        <v>23561</v>
      </c>
      <c r="D70" s="1" t="s">
        <v>23562</v>
      </c>
      <c r="F70" t="s">
        <v>23563</v>
      </c>
      <c r="K70" t="str" cm="1">
        <f t="array" ref="K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Hauenstein(Pfalz)</v>
      </c>
      <c r="L70" t="str">
        <f>IFERROR(LEFT(TRIM(Lose[[#This Row],[Google Koordinaten]]),9),"")</f>
        <v>49.201229</v>
      </c>
      <c r="M70" t="str">
        <f>IFERROR(MID(TRIM(Lose[[#This Row],[Google Koordinaten]]),
FIND(",",TRIM(Lose[[#This Row],[Google Koordinaten]])) + 2,9),"")</f>
        <v>7.8303839</v>
      </c>
      <c r="N70">
        <f>IF(Lose[[#This Row],[Bahn-hofs-zeit]]=0,0,MROUND(30*25^((Lose[[#This Row],[Bahn-hofs-zeit]]-_xlfn.MINIFS(Lose[Bahn-hofs-zeit],Lose[Bahn-hofs-zeit],"&gt;0"))/(MAX(Lose[Bahn-hofs-zeit])-_xlfn.MINIFS(Lose[Bahn-hofs-zeit],Lose[Bahn-hofs-zeit],"&gt;0"))),5))</f>
        <v>125</v>
      </c>
      <c r="O70">
        <f>IF(Lose[[#This Row],[Gehzeit (min)]]="",0,CEILING(3*(Lose[[#This Row],[Gehzeit (min)]]+Lose[[#This Row],[Aufgaben-zeit (min)]]),5))</f>
        <v>0</v>
      </c>
      <c r="P70">
        <v>8.25</v>
      </c>
      <c r="Q70" t="str">
        <f>IFERROR(ROUND(Lose[[#This Row],[Distanz (km)]]*60/Lose[[#This Row],[Gehzeit (min)]],1),"")</f>
        <v/>
      </c>
      <c r="R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70">
        <f>IFERROR(Lose[[#This Row],[Distanz (km)]]-Lose[[#This Row],[Check Distanz]],"")</f>
        <v>-0.03</v>
      </c>
      <c r="T70" s="60">
        <f>IFERROR(Lose[[#This Row],[Check Umweg]]/Lose[[#This Row],[Check Distanz]],"")</f>
        <v>-1</v>
      </c>
      <c r="U70">
        <f ca="1">IF(RIGHT(Lose[[#This Row],[LosID]],1)="b",_xlfn.XLOOKUP(REPLACE(Lose[[#This Row],[LosID]],LEN(Lose[[#This Row],[LosID]]),1,"a"),Lose[LosID],Lose[Zufallszahl],"",0),RAND())</f>
        <v>0.8184820619350992</v>
      </c>
      <c r="V70" t="b" cm="1">
        <f t="array" aca="1" ref="V70" ca="1">Lose[[#This Row],[Zufallszahl]]&gt;=IFERROR(LARGE((LEFT(Lose[LosID],FIND("-",Lose[LosID])-1)=LEFT(Lose[[#This Row],[LosID]],FIND("-",Lose[[#This Row],[LosID]])-1))*Lose[Zufallszahl],_xlfn.XLOOKUP(LEFT(Lose[[#This Row],[LosID]],FIND("-",Lose[[#This Row],[LosID]])-1),Ziehungsanzahl[Kürzel],Ziehungsanzahl[Kontingent],FALSE,0)),9999)</f>
        <v>0</v>
      </c>
    </row>
    <row r="71" spans="1:23" hidden="1">
      <c r="A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1" t="s">
        <v>23367</v>
      </c>
      <c r="C71" s="92" t="s">
        <v>23564</v>
      </c>
      <c r="D71" s="1" t="s">
        <v>23565</v>
      </c>
      <c r="F71" t="s">
        <v>23566</v>
      </c>
      <c r="K71" t="str" cm="1">
        <f t="array" ref="K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Cloppenburg</v>
      </c>
      <c r="L71" t="str">
        <f>IFERROR(LEFT(TRIM(Lose[[#This Row],[Google Koordinaten]]),9),"")</f>
        <v>52.844121</v>
      </c>
      <c r="M71" t="str">
        <f>IFERROR(MID(TRIM(Lose[[#This Row],[Google Koordinaten]]),
FIND(",",TRIM(Lose[[#This Row],[Google Koordinaten]])) + 2,9),"")</f>
        <v>8.0557308</v>
      </c>
      <c r="N71">
        <f>IF(Lose[[#This Row],[Bahn-hofs-zeit]]=0,0,MROUND(30*25^((Lose[[#This Row],[Bahn-hofs-zeit]]-_xlfn.MINIFS(Lose[Bahn-hofs-zeit],Lose[Bahn-hofs-zeit],"&gt;0"))/(MAX(Lose[Bahn-hofs-zeit])-_xlfn.MINIFS(Lose[Bahn-hofs-zeit],Lose[Bahn-hofs-zeit],"&gt;0"))),5))</f>
        <v>80</v>
      </c>
      <c r="O71">
        <f>IF(Lose[[#This Row],[Gehzeit (min)]]="",0,CEILING(3*(Lose[[#This Row],[Gehzeit (min)]]+Lose[[#This Row],[Aufgaben-zeit (min)]]),5))</f>
        <v>0</v>
      </c>
      <c r="P71">
        <v>6.75</v>
      </c>
      <c r="Q71" t="str">
        <f>IFERROR(ROUND(Lose[[#This Row],[Distanz (km)]]*60/Lose[[#This Row],[Gehzeit (min)]],1),"")</f>
        <v/>
      </c>
      <c r="R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71">
        <f>IFERROR(Lose[[#This Row],[Distanz (km)]]-Lose[[#This Row],[Check Distanz]],"")</f>
        <v>-0.01</v>
      </c>
      <c r="T71" s="60">
        <f>IFERROR(Lose[[#This Row],[Check Umweg]]/Lose[[#This Row],[Check Distanz]],"")</f>
        <v>-1</v>
      </c>
      <c r="U71">
        <f ca="1">IF(RIGHT(Lose[[#This Row],[LosID]],1)="b",_xlfn.XLOOKUP(REPLACE(Lose[[#This Row],[LosID]],LEN(Lose[[#This Row],[LosID]]),1,"a"),Lose[LosID],Lose[Zufallszahl],"",0),RAND())</f>
        <v>0.8184820619350992</v>
      </c>
      <c r="V71" t="b" cm="1">
        <f t="array" aca="1" ref="V71" ca="1">Lose[[#This Row],[Zufallszahl]]&gt;=IFERROR(LARGE((LEFT(Lose[LosID],FIND("-",Lose[LosID])-1)=LEFT(Lose[[#This Row],[LosID]],FIND("-",Lose[[#This Row],[LosID]])-1))*Lose[Zufallszahl],_xlfn.XLOOKUP(LEFT(Lose[[#This Row],[LosID]],FIND("-",Lose[[#This Row],[LosID]])-1),Ziehungsanzahl[Kürzel],Ziehungsanzahl[Kontingent],FALSE,0)),9999)</f>
        <v>0</v>
      </c>
    </row>
    <row r="72" spans="1:23" hidden="1">
      <c r="A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2" t="s">
        <v>23372</v>
      </c>
      <c r="C72" s="92" t="s">
        <v>1236</v>
      </c>
      <c r="D72" s="1" t="s">
        <v>23567</v>
      </c>
      <c r="F72" t="s">
        <v>23568</v>
      </c>
      <c r="K72" t="str" cm="1">
        <f t="array" ref="K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72" t="str">
        <f>IFERROR(LEFT(TRIM(Lose[[#This Row],[Google Koordinaten]]),9),"")</f>
        <v>51.477188</v>
      </c>
      <c r="M72" t="str">
        <f>IFERROR(MID(TRIM(Lose[[#This Row],[Google Koordinaten]]),
FIND(",",TRIM(Lose[[#This Row],[Google Koordinaten]])) + 2,9),"")</f>
        <v>11.987518</v>
      </c>
      <c r="N72">
        <f>IF(Lose[[#This Row],[Bahn-hofs-zeit]]=0,0,MROUND(30*25^((Lose[[#This Row],[Bahn-hofs-zeit]]-_xlfn.MINIFS(Lose[Bahn-hofs-zeit],Lose[Bahn-hofs-zeit],"&gt;0"))/(MAX(Lose[Bahn-hofs-zeit])-_xlfn.MINIFS(Lose[Bahn-hofs-zeit],Lose[Bahn-hofs-zeit],"&gt;0"))),5))</f>
        <v>135</v>
      </c>
      <c r="O72">
        <f>IF(Lose[[#This Row],[Gehzeit (min)]]="",0,CEILING(3*(Lose[[#This Row],[Gehzeit (min)]]+Lose[[#This Row],[Aufgaben-zeit (min)]]),5))</f>
        <v>0</v>
      </c>
      <c r="P72">
        <v>8.5</v>
      </c>
      <c r="Q72" t="str">
        <f>IFERROR(ROUND(Lose[[#This Row],[Distanz (km)]]*60/Lose[[#This Row],[Gehzeit (min)]],1),"")</f>
        <v/>
      </c>
      <c r="R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72">
        <f>IFERROR(Lose[[#This Row],[Distanz (km)]]-Lose[[#This Row],[Check Distanz]],"")</f>
        <v>-0.05</v>
      </c>
      <c r="T72" s="60">
        <f>IFERROR(Lose[[#This Row],[Check Umweg]]/Lose[[#This Row],[Check Distanz]],"")</f>
        <v>-1</v>
      </c>
      <c r="U72">
        <f ca="1">IF(RIGHT(Lose[[#This Row],[LosID]],1)="b",_xlfn.XLOOKUP(REPLACE(Lose[[#This Row],[LosID]],LEN(Lose[[#This Row],[LosID]]),1,"a"),Lose[LosID],Lose[Zufallszahl],"",0),RAND())</f>
        <v>0.49744093005152379</v>
      </c>
      <c r="V72" t="b" cm="1">
        <f t="array" aca="1" ref="V72" ca="1">Lose[[#This Row],[Zufallszahl]]&gt;=IFERROR(LARGE((LEFT(Lose[LosID],FIND("-",Lose[LosID])-1)=LEFT(Lose[[#This Row],[LosID]],FIND("-",Lose[[#This Row],[LosID]])-1))*Lose[Zufallszahl],_xlfn.XLOOKUP(LEFT(Lose[[#This Row],[LosID]],FIND("-",Lose[[#This Row],[LosID]])-1),Ziehungsanzahl[Kürzel],Ziehungsanzahl[Kontingent],FALSE,0)),9999)</f>
        <v>0</v>
      </c>
    </row>
    <row r="73" spans="1:23" hidden="1">
      <c r="A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3" t="s">
        <v>23372</v>
      </c>
      <c r="C73" s="92" t="s">
        <v>1237</v>
      </c>
      <c r="D73" s="1" t="s">
        <v>23569</v>
      </c>
      <c r="F73" t="s">
        <v>23570</v>
      </c>
      <c r="K73" t="str" cm="1">
        <f t="array" ref="K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Halle(Westf)</v>
      </c>
      <c r="L73" t="str">
        <f>IFERROR(LEFT(TRIM(Lose[[#This Row],[Google Koordinaten]]),9),"")</f>
        <v>52.057227</v>
      </c>
      <c r="M73" t="str">
        <f>IFERROR(MID(TRIM(Lose[[#This Row],[Google Koordinaten]]),
FIND(",",TRIM(Lose[[#This Row],[Google Koordinaten]])) + 2,9),"")</f>
        <v>8.3577103</v>
      </c>
      <c r="N73">
        <f>IF(Lose[[#This Row],[Bahn-hofs-zeit]]=0,0,MROUND(30*25^((Lose[[#This Row],[Bahn-hofs-zeit]]-_xlfn.MINIFS(Lose[Bahn-hofs-zeit],Lose[Bahn-hofs-zeit],"&gt;0"))/(MAX(Lose[Bahn-hofs-zeit])-_xlfn.MINIFS(Lose[Bahn-hofs-zeit],Lose[Bahn-hofs-zeit],"&gt;0"))),5))</f>
        <v>90</v>
      </c>
      <c r="O73">
        <f>IF(Lose[[#This Row],[Gehzeit (min)]]="",0,CEILING(3*(Lose[[#This Row],[Gehzeit (min)]]+Lose[[#This Row],[Aufgaben-zeit (min)]]),5))</f>
        <v>0</v>
      </c>
      <c r="P73">
        <v>7</v>
      </c>
      <c r="Q73" t="str">
        <f>IFERROR(ROUND(Lose[[#This Row],[Distanz (km)]]*60/Lose[[#This Row],[Gehzeit (min)]],1),"")</f>
        <v/>
      </c>
      <c r="R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73">
        <f>IFERROR(Lose[[#This Row],[Distanz (km)]]-Lose[[#This Row],[Check Distanz]],"")</f>
        <v>-0.01</v>
      </c>
      <c r="T73" s="60">
        <f>IFERROR(Lose[[#This Row],[Check Umweg]]/Lose[[#This Row],[Check Distanz]],"")</f>
        <v>-1</v>
      </c>
      <c r="U73">
        <f ca="1">IF(RIGHT(Lose[[#This Row],[LosID]],1)="b",_xlfn.XLOOKUP(REPLACE(Lose[[#This Row],[LosID]],LEN(Lose[[#This Row],[LosID]]),1,"a"),Lose[LosID],Lose[Zufallszahl],"",0),RAND())</f>
        <v>0.49744093005152379</v>
      </c>
      <c r="V73" t="b" cm="1">
        <f t="array" aca="1" ref="V73" ca="1">Lose[[#This Row],[Zufallszahl]]&gt;=IFERROR(LARGE((LEFT(Lose[LosID],FIND("-",Lose[LosID])-1)=LEFT(Lose[[#This Row],[LosID]],FIND("-",Lose[[#This Row],[LosID]])-1))*Lose[Zufallszahl],_xlfn.XLOOKUP(LEFT(Lose[[#This Row],[LosID]],FIND("-",Lose[[#This Row],[LosID]])-1),Ziehungsanzahl[Kürzel],Ziehungsanzahl[Kontingent],FALSE,0)),9999)</f>
        <v>0</v>
      </c>
    </row>
    <row r="74" spans="1:23" ht="60" hidden="1">
      <c r="A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4" t="s">
        <v>4</v>
      </c>
      <c r="C74" s="92" t="s">
        <v>1238</v>
      </c>
      <c r="D74" s="1" t="s">
        <v>23571</v>
      </c>
      <c r="F74" t="s">
        <v>23572</v>
      </c>
      <c r="K74" t="str" cm="1">
        <f t="array" ref="K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74" t="str">
        <f>IFERROR(LEFT(TRIM(Lose[[#This Row],[Google Koordinaten]]),9),"")</f>
        <v>52.969922</v>
      </c>
      <c r="M74" t="str">
        <f>IFERROR(MID(TRIM(Lose[[#This Row],[Google Koordinaten]]),
FIND(",",TRIM(Lose[[#This Row],[Google Koordinaten]])) + 2,9),"")</f>
        <v>10.552857</v>
      </c>
      <c r="N74">
        <f>IF(Lose[[#This Row],[Bahn-hofs-zeit]]=0,0,MROUND(30*25^((Lose[[#This Row],[Bahn-hofs-zeit]]-_xlfn.MINIFS(Lose[Bahn-hofs-zeit],Lose[Bahn-hofs-zeit],"&gt;0"))/(MAX(Lose[Bahn-hofs-zeit])-_xlfn.MINIFS(Lose[Bahn-hofs-zeit],Lose[Bahn-hofs-zeit],"&gt;0"))),5))</f>
        <v>75</v>
      </c>
      <c r="O74">
        <f>IF(Lose[[#This Row],[Gehzeit (min)]]="",0,CEILING(3*(Lose[[#This Row],[Gehzeit (min)]]+Lose[[#This Row],[Aufgaben-zeit (min)]]),5))</f>
        <v>0</v>
      </c>
      <c r="P74">
        <v>6.5</v>
      </c>
      <c r="Q74" t="str">
        <f>IFERROR(ROUND(Lose[[#This Row],[Distanz (km)]]*60/Lose[[#This Row],[Gehzeit (min)]],1),"")</f>
        <v/>
      </c>
      <c r="R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74">
        <f>IFERROR(Lose[[#This Row],[Distanz (km)]]-Lose[[#This Row],[Check Distanz]],"")</f>
        <v>-0.02</v>
      </c>
      <c r="T74" s="60">
        <f>IFERROR(Lose[[#This Row],[Check Umweg]]/Lose[[#This Row],[Check Distanz]],"")</f>
        <v>-1</v>
      </c>
      <c r="U74">
        <f ca="1">IF(RIGHT(Lose[[#This Row],[LosID]],1)="b",_xlfn.XLOOKUP(REPLACE(Lose[[#This Row],[LosID]],LEN(Lose[[#This Row],[LosID]]),1,"a"),Lose[LosID],Lose[Zufallszahl],"",0),RAND())</f>
        <v>0.11484743969120892</v>
      </c>
      <c r="V74" t="b" cm="1">
        <f t="array" aca="1" ref="V74" ca="1">Lose[[#This Row],[Zufallszahl]]&gt;=IFERROR(LARGE((LEFT(Lose[LosID],FIND("-",Lose[LosID])-1)=LEFT(Lose[[#This Row],[LosID]],FIND("-",Lose[[#This Row],[LosID]])-1))*Lose[Zufallszahl],_xlfn.XLOOKUP(LEFT(Lose[[#This Row],[LosID]],FIND("-",Lose[[#This Row],[LosID]])-1),Ziehungsanzahl[Kürzel],Ziehungsanzahl[Kontingent],FALSE,0)),9999)</f>
        <v>0</v>
      </c>
    </row>
    <row r="75" spans="1:23" ht="60" hidden="1">
      <c r="A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5" t="s">
        <v>4</v>
      </c>
      <c r="C75" s="92" t="s">
        <v>1239</v>
      </c>
      <c r="D75" s="1" t="s">
        <v>23573</v>
      </c>
      <c r="F75" t="s">
        <v>23574</v>
      </c>
      <c r="K75" t="str" cm="1">
        <f t="array" ref="K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75" t="str">
        <f>IFERROR(LEFT(TRIM(Lose[[#This Row],[Google Koordinaten]]),9),"")</f>
        <v>48.710222</v>
      </c>
      <c r="M75" t="str">
        <f>IFERROR(MID(TRIM(Lose[[#This Row],[Google Koordinaten]]),
FIND(",",TRIM(Lose[[#This Row],[Google Koordinaten]])) + 2,9),"")</f>
        <v>9.4162605</v>
      </c>
      <c r="N75">
        <f>IF(Lose[[#This Row],[Bahn-hofs-zeit]]=0,0,MROUND(30*25^((Lose[[#This Row],[Bahn-hofs-zeit]]-_xlfn.MINIFS(Lose[Bahn-hofs-zeit],Lose[Bahn-hofs-zeit],"&gt;0"))/(MAX(Lose[Bahn-hofs-zeit])-_xlfn.MINIFS(Lose[Bahn-hofs-zeit],Lose[Bahn-hofs-zeit],"&gt;0"))),5))</f>
        <v>80</v>
      </c>
      <c r="O75">
        <f>IF(Lose[[#This Row],[Gehzeit (min)]]="",0,CEILING(3*(Lose[[#This Row],[Gehzeit (min)]]+Lose[[#This Row],[Aufgaben-zeit (min)]]),5))</f>
        <v>0</v>
      </c>
      <c r="P75">
        <v>6.75</v>
      </c>
      <c r="Q75" t="str">
        <f>IFERROR(ROUND(Lose[[#This Row],[Distanz (km)]]*60/Lose[[#This Row],[Gehzeit (min)]],1),"")</f>
        <v/>
      </c>
      <c r="R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75">
        <f>IFERROR(Lose[[#This Row],[Distanz (km)]]-Lose[[#This Row],[Check Distanz]],"")</f>
        <v>-0.51</v>
      </c>
      <c r="T75" s="60">
        <f>IFERROR(Lose[[#This Row],[Check Umweg]]/Lose[[#This Row],[Check Distanz]],"")</f>
        <v>-1</v>
      </c>
      <c r="U75">
        <f ca="1">IF(RIGHT(Lose[[#This Row],[LosID]],1)="b",_xlfn.XLOOKUP(REPLACE(Lose[[#This Row],[LosID]],LEN(Lose[[#This Row],[LosID]]),1,"a"),Lose[LosID],Lose[Zufallszahl],"",0),RAND())</f>
        <v>0.11484743969120892</v>
      </c>
      <c r="V75" t="b" cm="1">
        <f t="array" aca="1" ref="V75" ca="1">Lose[[#This Row],[Zufallszahl]]&gt;=IFERROR(LARGE((LEFT(Lose[LosID],FIND("-",Lose[LosID])-1)=LEFT(Lose[[#This Row],[LosID]],FIND("-",Lose[[#This Row],[LosID]])-1))*Lose[Zufallszahl],_xlfn.XLOOKUP(LEFT(Lose[[#This Row],[LosID]],FIND("-",Lose[[#This Row],[LosID]])-1),Ziehungsanzahl[Kürzel],Ziehungsanzahl[Kontingent],FALSE,0)),9999)</f>
        <v>0</v>
      </c>
    </row>
    <row r="76" spans="1:23" hidden="1">
      <c r="A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6" t="s">
        <v>23357</v>
      </c>
      <c r="C76" s="93" t="s">
        <v>23575</v>
      </c>
      <c r="D76" s="1" t="s">
        <v>23576</v>
      </c>
      <c r="F76" t="s">
        <v>23577</v>
      </c>
      <c r="K76" t="str" cm="1">
        <f t="array" ref="K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Warburg(Westf)</v>
      </c>
      <c r="L76" t="str">
        <f>IFERROR(LEFT(TRIM(Lose[[#This Row],[Google Koordinaten]]),9),"")</f>
        <v>51.492881</v>
      </c>
      <c r="M76" t="str">
        <f>IFERROR(MID(TRIM(Lose[[#This Row],[Google Koordinaten]]),
FIND(",",TRIM(Lose[[#This Row],[Google Koordinaten]])) + 2,9),"")</f>
        <v>9.1638312</v>
      </c>
      <c r="N76">
        <f>IF(Lose[[#This Row],[Bahn-hofs-zeit]]=0,0,MROUND(30*25^((Lose[[#This Row],[Bahn-hofs-zeit]]-_xlfn.MINIFS(Lose[Bahn-hofs-zeit],Lose[Bahn-hofs-zeit],"&gt;0"))/(MAX(Lose[Bahn-hofs-zeit])-_xlfn.MINIFS(Lose[Bahn-hofs-zeit],Lose[Bahn-hofs-zeit],"&gt;0"))),5))</f>
        <v>55</v>
      </c>
      <c r="O76">
        <f>IF(Lose[[#This Row],[Gehzeit (min)]]="",0,CEILING(3*(Lose[[#This Row],[Gehzeit (min)]]+Lose[[#This Row],[Aufgaben-zeit (min)]]),5))</f>
        <v>0</v>
      </c>
      <c r="P76">
        <v>5.25</v>
      </c>
      <c r="Q76" t="str">
        <f>IFERROR(ROUND(Lose[[#This Row],[Distanz (km)]]*60/Lose[[#This Row],[Gehzeit (min)]],1),"")</f>
        <v/>
      </c>
      <c r="R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76">
        <f>IFERROR(Lose[[#This Row],[Distanz (km)]]-Lose[[#This Row],[Check Distanz]],"")</f>
        <v>-0.01</v>
      </c>
      <c r="T76" s="60">
        <f>IFERROR(Lose[[#This Row],[Check Umweg]]/Lose[[#This Row],[Check Distanz]],"")</f>
        <v>-1</v>
      </c>
      <c r="U76">
        <f ca="1">IF(RIGHT(Lose[[#This Row],[LosID]],1)="b",_xlfn.XLOOKUP(REPLACE(Lose[[#This Row],[LosID]],LEN(Lose[[#This Row],[LosID]]),1,"a"),Lose[LosID],Lose[Zufallszahl],"",0),RAND())</f>
        <v>0.52649068684504241</v>
      </c>
      <c r="V76" t="b" cm="1">
        <f t="array" aca="1" ref="V76" ca="1">Lose[[#This Row],[Zufallszahl]]&gt;=IFERROR(LARGE((LEFT(Lose[LosID],FIND("-",Lose[LosID])-1)=LEFT(Lose[[#This Row],[LosID]],FIND("-",Lose[[#This Row],[LosID]])-1))*Lose[Zufallszahl],_xlfn.XLOOKUP(LEFT(Lose[[#This Row],[LosID]],FIND("-",Lose[[#This Row],[LosID]])-1),Ziehungsanzahl[Kürzel],Ziehungsanzahl[Kontingent],FALSE,0)),9999)</f>
        <v>0</v>
      </c>
      <c r="W76" s="32"/>
    </row>
    <row r="77" spans="1:23" hidden="1">
      <c r="A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7" t="s">
        <v>23357</v>
      </c>
      <c r="C77" s="93" t="s">
        <v>23578</v>
      </c>
      <c r="D77" s="1" t="s">
        <v>23579</v>
      </c>
      <c r="F77" t="s">
        <v>23580</v>
      </c>
      <c r="K77" t="str" cm="1">
        <f t="array" ref="K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Essen-Werden</v>
      </c>
      <c r="L77" t="str">
        <f>IFERROR(LEFT(TRIM(Lose[[#This Row],[Google Koordinaten]]),9),"")</f>
        <v>51.386995</v>
      </c>
      <c r="M77" t="str">
        <f>IFERROR(MID(TRIM(Lose[[#This Row],[Google Koordinaten]]),
FIND(",",TRIM(Lose[[#This Row],[Google Koordinaten]])) + 2,9),"")</f>
        <v>6.9978938</v>
      </c>
      <c r="N77">
        <f>IF(Lose[[#This Row],[Bahn-hofs-zeit]]=0,0,MROUND(30*25^((Lose[[#This Row],[Bahn-hofs-zeit]]-_xlfn.MINIFS(Lose[Bahn-hofs-zeit],Lose[Bahn-hofs-zeit],"&gt;0"))/(MAX(Lose[Bahn-hofs-zeit])-_xlfn.MINIFS(Lose[Bahn-hofs-zeit],Lose[Bahn-hofs-zeit],"&gt;0"))),5))</f>
        <v>40</v>
      </c>
      <c r="O77">
        <f>IF(Lose[[#This Row],[Gehzeit (min)]]="",0,CEILING(3*(Lose[[#This Row],[Gehzeit (min)]]+Lose[[#This Row],[Aufgaben-zeit (min)]]),5))</f>
        <v>0</v>
      </c>
      <c r="P77">
        <v>4.25</v>
      </c>
      <c r="Q77" t="str">
        <f>IFERROR(ROUND(Lose[[#This Row],[Distanz (km)]]*60/Lose[[#This Row],[Gehzeit (min)]],1),"")</f>
        <v/>
      </c>
      <c r="R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77">
        <f>IFERROR(Lose[[#This Row],[Distanz (km)]]-Lose[[#This Row],[Check Distanz]],"")</f>
        <v>-0.02</v>
      </c>
      <c r="T77" s="60">
        <f>IFERROR(Lose[[#This Row],[Check Umweg]]/Lose[[#This Row],[Check Distanz]],"")</f>
        <v>-1</v>
      </c>
      <c r="U77">
        <f ca="1">IF(RIGHT(Lose[[#This Row],[LosID]],1)="b",_xlfn.XLOOKUP(REPLACE(Lose[[#This Row],[LosID]],LEN(Lose[[#This Row],[LosID]]),1,"a"),Lose[LosID],Lose[Zufallszahl],"",0),RAND())</f>
        <v>0.52649068684504241</v>
      </c>
      <c r="V77" t="b" cm="1">
        <f t="array" aca="1" ref="V77" ca="1">Lose[[#This Row],[Zufallszahl]]&gt;=IFERROR(LARGE((LEFT(Lose[LosID],FIND("-",Lose[LosID])-1)=LEFT(Lose[[#This Row],[LosID]],FIND("-",Lose[[#This Row],[LosID]])-1))*Lose[Zufallszahl],_xlfn.XLOOKUP(LEFT(Lose[[#This Row],[LosID]],FIND("-",Lose[[#This Row],[LosID]])-1),Ziehungsanzahl[Kürzel],Ziehungsanzahl[Kontingent],FALSE,0)),9999)</f>
        <v>0</v>
      </c>
    </row>
    <row r="78" spans="1:23" hidden="1">
      <c r="A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8" t="s">
        <v>23352</v>
      </c>
      <c r="C78" s="92" t="s">
        <v>23581</v>
      </c>
      <c r="D78" s="1" t="s">
        <v>23582</v>
      </c>
      <c r="K78" t="s">
        <v>6583</v>
      </c>
      <c r="L78" t="str">
        <f>IFERROR(LEFT(TRIM(Lose[[#This Row],[Google Koordinaten]]),9),"")</f>
        <v/>
      </c>
      <c r="M78" t="str">
        <f>IFERROR(MID(TRIM(Lose[[#This Row],[Google Koordinaten]]),
FIND(",",TRIM(Lose[[#This Row],[Google Koordinaten]])) + 2,9),"")</f>
        <v/>
      </c>
      <c r="N78">
        <f>IF(Lose[[#This Row],[Bahn-hofs-zeit]]=0,0,MROUND(30*25^((Lose[[#This Row],[Bahn-hofs-zeit]]-_xlfn.MINIFS(Lose[Bahn-hofs-zeit],Lose[Bahn-hofs-zeit],"&gt;0"))/(MAX(Lose[Bahn-hofs-zeit])-_xlfn.MINIFS(Lose[Bahn-hofs-zeit],Lose[Bahn-hofs-zeit],"&gt;0"))),5))</f>
        <v>180</v>
      </c>
      <c r="O78">
        <f>IF(Lose[[#This Row],[Gehzeit (min)]]="",0,CEILING(3*(Lose[[#This Row],[Gehzeit (min)]]+Lose[[#This Row],[Aufgaben-zeit (min)]]),5))</f>
        <v>0</v>
      </c>
      <c r="P78">
        <v>9.5</v>
      </c>
      <c r="Q78" t="str">
        <f>IFERROR(ROUND(Lose[[#This Row],[Distanz (km)]]*60/Lose[[#This Row],[Gehzeit (min)]],1),"")</f>
        <v/>
      </c>
      <c r="R7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78" t="str">
        <f>IFERROR(Lose[[#This Row],[Distanz (km)]]-Lose[[#This Row],[Check Distanz]],"")</f>
        <v/>
      </c>
      <c r="T78" s="60" t="str">
        <f>IFERROR(Lose[[#This Row],[Check Umweg]]/Lose[[#This Row],[Check Distanz]],"")</f>
        <v/>
      </c>
      <c r="U78">
        <f ca="1">IF(RIGHT(Lose[[#This Row],[LosID]],1)="b",_xlfn.XLOOKUP(REPLACE(Lose[[#This Row],[LosID]],LEN(Lose[[#This Row],[LosID]]),1,"a"),Lose[LosID],Lose[Zufallszahl],"",0),RAND())</f>
        <v>0.42598350524441986</v>
      </c>
      <c r="V78" t="b" cm="1">
        <f t="array" aca="1" ref="V78" ca="1">Lose[[#This Row],[Zufallszahl]]&gt;=IFERROR(LARGE((LEFT(Lose[LosID],FIND("-",Lose[LosID])-1)=LEFT(Lose[[#This Row],[LosID]],FIND("-",Lose[[#This Row],[LosID]])-1))*Lose[Zufallszahl],_xlfn.XLOOKUP(LEFT(Lose[[#This Row],[LosID]],FIND("-",Lose[[#This Row],[LosID]])-1),Ziehungsanzahl[Kürzel],Ziehungsanzahl[Kontingent],FALSE,0)),9999)</f>
        <v>0</v>
      </c>
    </row>
    <row r="79" spans="1:23" hidden="1">
      <c r="A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9" t="s">
        <v>23352</v>
      </c>
      <c r="C79" s="92" t="s">
        <v>23583</v>
      </c>
      <c r="D79" s="1" t="s">
        <v>23584</v>
      </c>
      <c r="K79" t="s">
        <v>4865</v>
      </c>
      <c r="L79" t="str">
        <f>IFERROR(LEFT(TRIM(Lose[[#This Row],[Google Koordinaten]]),9),"")</f>
        <v/>
      </c>
      <c r="M79" t="str">
        <f>IFERROR(MID(TRIM(Lose[[#This Row],[Google Koordinaten]]),
FIND(",",TRIM(Lose[[#This Row],[Google Koordinaten]])) + 2,9),"")</f>
        <v/>
      </c>
      <c r="N79">
        <f>IF(Lose[[#This Row],[Bahn-hofs-zeit]]=0,0,MROUND(30*25^((Lose[[#This Row],[Bahn-hofs-zeit]]-_xlfn.MINIFS(Lose[Bahn-hofs-zeit],Lose[Bahn-hofs-zeit],"&gt;0"))/(MAX(Lose[Bahn-hofs-zeit])-_xlfn.MINIFS(Lose[Bahn-hofs-zeit],Lose[Bahn-hofs-zeit],"&gt;0"))),5))</f>
        <v>275</v>
      </c>
      <c r="O79">
        <f>IF(Lose[[#This Row],[Gehzeit (min)]]="",0,CEILING(3*(Lose[[#This Row],[Gehzeit (min)]]+Lose[[#This Row],[Aufgaben-zeit (min)]]),5))</f>
        <v>0</v>
      </c>
      <c r="P79">
        <v>11</v>
      </c>
      <c r="Q79" t="str">
        <f>IFERROR(ROUND(Lose[[#This Row],[Distanz (km)]]*60/Lose[[#This Row],[Gehzeit (min)]],1),"")</f>
        <v/>
      </c>
      <c r="R7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79" t="str">
        <f>IFERROR(Lose[[#This Row],[Distanz (km)]]-Lose[[#This Row],[Check Distanz]],"")</f>
        <v/>
      </c>
      <c r="T79" s="60" t="str">
        <f>IFERROR(Lose[[#This Row],[Check Umweg]]/Lose[[#This Row],[Check Distanz]],"")</f>
        <v/>
      </c>
      <c r="U79">
        <f ca="1">IF(RIGHT(Lose[[#This Row],[LosID]],1)="b",_xlfn.XLOOKUP(REPLACE(Lose[[#This Row],[LosID]],LEN(Lose[[#This Row],[LosID]]),1,"a"),Lose[LosID],Lose[Zufallszahl],"",0),RAND())</f>
        <v>0.42598350524441986</v>
      </c>
      <c r="V79" t="b" cm="1">
        <f t="array" aca="1" ref="V79" ca="1">Lose[[#This Row],[Zufallszahl]]&gt;=IFERROR(LARGE((LEFT(Lose[LosID],FIND("-",Lose[LosID])-1)=LEFT(Lose[[#This Row],[LosID]],FIND("-",Lose[[#This Row],[LosID]])-1))*Lose[Zufallszahl],_xlfn.XLOOKUP(LEFT(Lose[[#This Row],[LosID]],FIND("-",Lose[[#This Row],[LosID]])-1),Ziehungsanzahl[Kürzel],Ziehungsanzahl[Kontingent],FALSE,0)),9999)</f>
        <v>0</v>
      </c>
    </row>
    <row r="80" spans="1:23" ht="45" hidden="1">
      <c r="A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0" t="s">
        <v>23380</v>
      </c>
      <c r="C80" s="92" t="s">
        <v>23585</v>
      </c>
      <c r="D80" s="1" t="s">
        <v>23586</v>
      </c>
      <c r="F80" t="s">
        <v>23587</v>
      </c>
      <c r="K80" t="str" cm="1">
        <f t="array" ref="K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80" t="str">
        <f>IFERROR(LEFT(TRIM(Lose[[#This Row],[Google Koordinaten]]),9),"")</f>
        <v>52.130517</v>
      </c>
      <c r="M80" t="str">
        <f>IFERROR(MID(TRIM(Lose[[#This Row],[Google Koordinaten]]),
FIND(",",TRIM(Lose[[#This Row],[Google Koordinaten]])) + 2,9),"")</f>
        <v>11.628275</v>
      </c>
      <c r="N80">
        <f>IF(Lose[[#This Row],[Bahn-hofs-zeit]]=0,0,MROUND(30*25^((Lose[[#This Row],[Bahn-hofs-zeit]]-_xlfn.MINIFS(Lose[Bahn-hofs-zeit],Lose[Bahn-hofs-zeit],"&gt;0"))/(MAX(Lose[Bahn-hofs-zeit])-_xlfn.MINIFS(Lose[Bahn-hofs-zeit],Lose[Bahn-hofs-zeit],"&gt;0"))),5))</f>
        <v>145</v>
      </c>
      <c r="O80">
        <f>IF(Lose[[#This Row],[Gehzeit (min)]]="",0,CEILING(3*(Lose[[#This Row],[Gehzeit (min)]]+Lose[[#This Row],[Aufgaben-zeit (min)]]),5))</f>
        <v>0</v>
      </c>
      <c r="P80">
        <v>8.75</v>
      </c>
      <c r="Q80" t="str">
        <f>IFERROR(ROUND(Lose[[#This Row],[Distanz (km)]]*60/Lose[[#This Row],[Gehzeit (min)]],1),"")</f>
        <v/>
      </c>
      <c r="R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80">
        <f>IFERROR(Lose[[#This Row],[Distanz (km)]]-Lose[[#This Row],[Check Distanz]],"")</f>
        <v>-0.09</v>
      </c>
      <c r="T80" s="60">
        <f>IFERROR(Lose[[#This Row],[Check Umweg]]/Lose[[#This Row],[Check Distanz]],"")</f>
        <v>-1</v>
      </c>
      <c r="U80">
        <f ca="1">IF(RIGHT(Lose[[#This Row],[LosID]],1)="b",_xlfn.XLOOKUP(REPLACE(Lose[[#This Row],[LosID]],LEN(Lose[[#This Row],[LosID]]),1,"a"),Lose[LosID],Lose[Zufallszahl],"",0),RAND())</f>
        <v>0.79204997383066611</v>
      </c>
      <c r="V80" t="b" cm="1">
        <f t="array" aca="1" ref="V80" ca="1">Lose[[#This Row],[Zufallszahl]]&gt;=IFERROR(LARGE((LEFT(Lose[LosID],FIND("-",Lose[LosID])-1)=LEFT(Lose[[#This Row],[LosID]],FIND("-",Lose[[#This Row],[LosID]])-1))*Lose[Zufallszahl],_xlfn.XLOOKUP(LEFT(Lose[[#This Row],[LosID]],FIND("-",Lose[[#This Row],[LosID]])-1),Ziehungsanzahl[Kürzel],Ziehungsanzahl[Kontingent],FALSE,0)),9999)</f>
        <v>0</v>
      </c>
    </row>
    <row r="81" spans="1:23" ht="45" hidden="1">
      <c r="A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1" t="s">
        <v>23380</v>
      </c>
      <c r="C81" s="92" t="s">
        <v>23588</v>
      </c>
      <c r="D81" s="33" t="s">
        <v>23589</v>
      </c>
      <c r="F81" t="s">
        <v>23590</v>
      </c>
      <c r="K81" t="str" cm="1">
        <f t="array" ref="K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Hof Hbf</v>
      </c>
      <c r="L81" t="str">
        <f>IFERROR(LEFT(TRIM(Lose[[#This Row],[Google Koordinaten]]),9),"")</f>
        <v>50.308560</v>
      </c>
      <c r="M81" t="str">
        <f>IFERROR(MID(TRIM(Lose[[#This Row],[Google Koordinaten]]),
FIND(",",TRIM(Lose[[#This Row],[Google Koordinaten]])) + 2,9),"")</f>
        <v>11.923782</v>
      </c>
      <c r="N81">
        <f>IF(Lose[[#This Row],[Bahn-hofs-zeit]]=0,0,MROUND(30*25^((Lose[[#This Row],[Bahn-hofs-zeit]]-_xlfn.MINIFS(Lose[Bahn-hofs-zeit],Lose[Bahn-hofs-zeit],"&gt;0"))/(MAX(Lose[Bahn-hofs-zeit])-_xlfn.MINIFS(Lose[Bahn-hofs-zeit],Lose[Bahn-hofs-zeit],"&gt;0"))),5))</f>
        <v>295</v>
      </c>
      <c r="O81">
        <f>IF(Lose[[#This Row],[Gehzeit (min)]]="",0,CEILING(3*(Lose[[#This Row],[Gehzeit (min)]]+Lose[[#This Row],[Aufgaben-zeit (min)]]),5))</f>
        <v>0</v>
      </c>
      <c r="P81">
        <v>11.25</v>
      </c>
      <c r="Q81" t="str">
        <f>IFERROR(ROUND(Lose[[#This Row],[Distanz (km)]]*60/Lose[[#This Row],[Gehzeit (min)]],1),"")</f>
        <v/>
      </c>
      <c r="R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v>
      </c>
      <c r="S81">
        <f>IFERROR(Lose[[#This Row],[Distanz (km)]]-Lose[[#This Row],[Check Distanz]],"")</f>
        <v>-0.1</v>
      </c>
      <c r="T81" s="60">
        <f>IFERROR(Lose[[#This Row],[Check Umweg]]/Lose[[#This Row],[Check Distanz]],"")</f>
        <v>-1</v>
      </c>
      <c r="U81">
        <f ca="1">IF(RIGHT(Lose[[#This Row],[LosID]],1)="b",_xlfn.XLOOKUP(REPLACE(Lose[[#This Row],[LosID]],LEN(Lose[[#This Row],[LosID]]),1,"a"),Lose[LosID],Lose[Zufallszahl],"",0),RAND())</f>
        <v>0.79204997383066611</v>
      </c>
      <c r="V81" t="b" cm="1">
        <f t="array" aca="1" ref="V81" ca="1">Lose[[#This Row],[Zufallszahl]]&gt;=IFERROR(LARGE((LEFT(Lose[LosID],FIND("-",Lose[LosID])-1)=LEFT(Lose[[#This Row],[LosID]],FIND("-",Lose[[#This Row],[LosID]])-1))*Lose[Zufallszahl],_xlfn.XLOOKUP(LEFT(Lose[[#This Row],[LosID]],FIND("-",Lose[[#This Row],[LosID]])-1),Ziehungsanzahl[Kürzel],Ziehungsanzahl[Kontingent],FALSE,0)),9999)</f>
        <v>0</v>
      </c>
    </row>
    <row r="82" spans="1:23" ht="60">
      <c r="A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2" t="s">
        <v>23385</v>
      </c>
      <c r="C82" s="92" t="s">
        <v>23591</v>
      </c>
      <c r="D82" s="1" t="s">
        <v>23592</v>
      </c>
      <c r="F82" t="s">
        <v>23593</v>
      </c>
      <c r="K82" t="str" cm="1">
        <f t="array" ref="K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Rüsselsheim</v>
      </c>
      <c r="L82" t="str">
        <f>IFERROR(LEFT(TRIM(Lose[[#This Row],[Google Koordinaten]]),9),"")</f>
        <v>49.996004</v>
      </c>
      <c r="M82" t="str">
        <f>IFERROR(MID(TRIM(Lose[[#This Row],[Google Koordinaten]]),
FIND(",",TRIM(Lose[[#This Row],[Google Koordinaten]])) + 2,9),"")</f>
        <v>8.4117424</v>
      </c>
      <c r="N82">
        <f>IF(Lose[[#This Row],[Bahn-hofs-zeit]]=0,0,MROUND(30*25^((Lose[[#This Row],[Bahn-hofs-zeit]]-_xlfn.MINIFS(Lose[Bahn-hofs-zeit],Lose[Bahn-hofs-zeit],"&gt;0"))/(MAX(Lose[Bahn-hofs-zeit])-_xlfn.MINIFS(Lose[Bahn-hofs-zeit],Lose[Bahn-hofs-zeit],"&gt;0"))),5))</f>
        <v>35</v>
      </c>
      <c r="O82">
        <f>IF(Lose[[#This Row],[Gehzeit (min)]]="",0,CEILING(3*(Lose[[#This Row],[Gehzeit (min)]]+Lose[[#This Row],[Aufgaben-zeit (min)]]),5))</f>
        <v>0</v>
      </c>
      <c r="P82">
        <v>4</v>
      </c>
      <c r="Q82" t="str">
        <f>IFERROR(ROUND(Lose[[#This Row],[Distanz (km)]]*60/Lose[[#This Row],[Gehzeit (min)]],1),"")</f>
        <v/>
      </c>
      <c r="R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v>
      </c>
      <c r="S82">
        <f>IFERROR(Lose[[#This Row],[Distanz (km)]]-Lose[[#This Row],[Check Distanz]],"")</f>
        <v>-0.5</v>
      </c>
      <c r="T82" s="60">
        <f>IFERROR(Lose[[#This Row],[Check Umweg]]/Lose[[#This Row],[Check Distanz]],"")</f>
        <v>-1</v>
      </c>
      <c r="U82">
        <f ca="1">IF(RIGHT(Lose[[#This Row],[LosID]],1)="b",_xlfn.XLOOKUP(REPLACE(Lose[[#This Row],[LosID]],LEN(Lose[[#This Row],[LosID]]),1,"a"),Lose[LosID],Lose[Zufallszahl],"",0),RAND())</f>
        <v>0.40012576109396925</v>
      </c>
      <c r="V82" t="b" cm="1">
        <f t="array" aca="1" ref="V82" ca="1">Lose[[#This Row],[Zufallszahl]]&gt;=IFERROR(LARGE((LEFT(Lose[LosID],FIND("-",Lose[LosID])-1)=LEFT(Lose[[#This Row],[LosID]],FIND("-",Lose[[#This Row],[LosID]])-1))*Lose[Zufallszahl],_xlfn.XLOOKUP(LEFT(Lose[[#This Row],[LosID]],FIND("-",Lose[[#This Row],[LosID]])-1),Ziehungsanzahl[Kürzel],Ziehungsanzahl[Kontingent],FALSE,0)),9999)</f>
        <v>0</v>
      </c>
    </row>
    <row r="83" spans="1:23" ht="45">
      <c r="A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3" t="s">
        <v>23385</v>
      </c>
      <c r="C83" s="92" t="s">
        <v>23594</v>
      </c>
      <c r="D83" s="1" t="s">
        <v>23595</v>
      </c>
      <c r="F83" t="s">
        <v>23596</v>
      </c>
      <c r="K83" t="str" cm="1">
        <f t="array" ref="K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Rüsselbach</v>
      </c>
      <c r="L83" t="str">
        <f>IFERROR(LEFT(TRIM(Lose[[#This Row],[Google Koordinaten]]),9),"")</f>
        <v>49.610399</v>
      </c>
      <c r="M83" t="str">
        <f>IFERROR(MID(TRIM(Lose[[#This Row],[Google Koordinaten]]),
FIND(",",TRIM(Lose[[#This Row],[Google Koordinaten]])) + 2,9),"")</f>
        <v>11.232364</v>
      </c>
      <c r="N83">
        <f>IF(Lose[[#This Row],[Bahn-hofs-zeit]]=0,0,MROUND(30*25^((Lose[[#This Row],[Bahn-hofs-zeit]]-_xlfn.MINIFS(Lose[Bahn-hofs-zeit],Lose[Bahn-hofs-zeit],"&gt;0"))/(MAX(Lose[Bahn-hofs-zeit])-_xlfn.MINIFS(Lose[Bahn-hofs-zeit],Lose[Bahn-hofs-zeit],"&gt;0"))),5))</f>
        <v>240</v>
      </c>
      <c r="O83">
        <f>IF(Lose[[#This Row],[Gehzeit (min)]]="",0,CEILING(3*(Lose[[#This Row],[Gehzeit (min)]]+Lose[[#This Row],[Aufgaben-zeit (min)]]),5))</f>
        <v>0</v>
      </c>
      <c r="P83">
        <v>10.5</v>
      </c>
      <c r="Q83" t="str">
        <f>IFERROR(ROUND(Lose[[#This Row],[Distanz (km)]]*60/Lose[[#This Row],[Gehzeit (min)]],1),"")</f>
        <v/>
      </c>
      <c r="R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83">
        <f>IFERROR(Lose[[#This Row],[Distanz (km)]]-Lose[[#This Row],[Check Distanz]],"")</f>
        <v>-0.19</v>
      </c>
      <c r="T83" s="60">
        <f>IFERROR(Lose[[#This Row],[Check Umweg]]/Lose[[#This Row],[Check Distanz]],"")</f>
        <v>-1</v>
      </c>
      <c r="U83">
        <f ca="1">IF(RIGHT(Lose[[#This Row],[LosID]],1)="b",_xlfn.XLOOKUP(REPLACE(Lose[[#This Row],[LosID]],LEN(Lose[[#This Row],[LosID]]),1,"a"),Lose[LosID],Lose[Zufallszahl],"",0),RAND())</f>
        <v>0.40012576109396925</v>
      </c>
      <c r="V83" t="b" cm="1">
        <f t="array" aca="1" ref="V83" ca="1">Lose[[#This Row],[Zufallszahl]]&gt;=IFERROR(LARGE((LEFT(Lose[LosID],FIND("-",Lose[LosID])-1)=LEFT(Lose[[#This Row],[LosID]],FIND("-",Lose[[#This Row],[LosID]])-1))*Lose[Zufallszahl],_xlfn.XLOOKUP(LEFT(Lose[[#This Row],[LosID]],FIND("-",Lose[[#This Row],[LosID]])-1),Ziehungsanzahl[Kürzel],Ziehungsanzahl[Kontingent],FALSE,0)),9999)</f>
        <v>0</v>
      </c>
    </row>
    <row r="84" spans="1:23" hidden="1">
      <c r="A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4" t="s">
        <v>23390</v>
      </c>
      <c r="C84" s="92" t="s">
        <v>23597</v>
      </c>
      <c r="D84" s="1" t="s">
        <v>23598</v>
      </c>
      <c r="K84" t="s">
        <v>22769</v>
      </c>
      <c r="L84" t="str">
        <f>IFERROR(LEFT(TRIM(Lose[[#This Row],[Google Koordinaten]]),9),"")</f>
        <v/>
      </c>
      <c r="M84" t="str">
        <f>IFERROR(MID(TRIM(Lose[[#This Row],[Google Koordinaten]]),
FIND(",",TRIM(Lose[[#This Row],[Google Koordinaten]])) + 2,9),"")</f>
        <v/>
      </c>
      <c r="N84">
        <f>IF(Lose[[#This Row],[Bahn-hofs-zeit]]=0,0,MROUND(30*25^((Lose[[#This Row],[Bahn-hofs-zeit]]-_xlfn.MINIFS(Lose[Bahn-hofs-zeit],Lose[Bahn-hofs-zeit],"&gt;0"))/(MAX(Lose[Bahn-hofs-zeit])-_xlfn.MINIFS(Lose[Bahn-hofs-zeit],Lose[Bahn-hofs-zeit],"&gt;0"))),5))</f>
        <v>70</v>
      </c>
      <c r="O84">
        <f>IF(Lose[[#This Row],[Gehzeit (min)]]="",0,CEILING(3*(Lose[[#This Row],[Gehzeit (min)]]+Lose[[#This Row],[Aufgaben-zeit (min)]]),5))</f>
        <v>0</v>
      </c>
      <c r="P84">
        <v>6.25</v>
      </c>
      <c r="Q84" t="str">
        <f>IFERROR(ROUND(Lose[[#This Row],[Distanz (km)]]*60/Lose[[#This Row],[Gehzeit (min)]],1),"")</f>
        <v/>
      </c>
      <c r="R8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84" t="str">
        <f>IFERROR(Lose[[#This Row],[Distanz (km)]]-Lose[[#This Row],[Check Distanz]],"")</f>
        <v/>
      </c>
      <c r="T84" s="60" t="str">
        <f>IFERROR(Lose[[#This Row],[Check Umweg]]/Lose[[#This Row],[Check Distanz]],"")</f>
        <v/>
      </c>
      <c r="U84">
        <f ca="1">IF(RIGHT(Lose[[#This Row],[LosID]],1)="b",_xlfn.XLOOKUP(REPLACE(Lose[[#This Row],[LosID]],LEN(Lose[[#This Row],[LosID]]),1,"a"),Lose[LosID],Lose[Zufallszahl],"",0),RAND())</f>
        <v>0.42765889603972529</v>
      </c>
      <c r="V84" t="b" cm="1">
        <f t="array" aca="1" ref="V84" ca="1">Lose[[#This Row],[Zufallszahl]]&gt;=IFERROR(LARGE((LEFT(Lose[LosID],FIND("-",Lose[LosID])-1)=LEFT(Lose[[#This Row],[LosID]],FIND("-",Lose[[#This Row],[LosID]])-1))*Lose[Zufallszahl],_xlfn.XLOOKUP(LEFT(Lose[[#This Row],[LosID]],FIND("-",Lose[[#This Row],[LosID]])-1),Ziehungsanzahl[Kürzel],Ziehungsanzahl[Kontingent],FALSE,0)),9999)</f>
        <v>0</v>
      </c>
    </row>
    <row r="85" spans="1:23" hidden="1">
      <c r="A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5" t="s">
        <v>23390</v>
      </c>
      <c r="C85" s="92" t="s">
        <v>23599</v>
      </c>
      <c r="D85" s="1" t="s">
        <v>23600</v>
      </c>
      <c r="K85" t="s">
        <v>22763</v>
      </c>
      <c r="L85" t="str">
        <f>IFERROR(LEFT(TRIM(Lose[[#This Row],[Google Koordinaten]]),9),"")</f>
        <v/>
      </c>
      <c r="M85" t="str">
        <f>IFERROR(MID(TRIM(Lose[[#This Row],[Google Koordinaten]]),
FIND(",",TRIM(Lose[[#This Row],[Google Koordinaten]])) + 2,9),"")</f>
        <v/>
      </c>
      <c r="N85">
        <f>IF(Lose[[#This Row],[Bahn-hofs-zeit]]=0,0,MROUND(30*25^((Lose[[#This Row],[Bahn-hofs-zeit]]-_xlfn.MINIFS(Lose[Bahn-hofs-zeit],Lose[Bahn-hofs-zeit],"&gt;0"))/(MAX(Lose[Bahn-hofs-zeit])-_xlfn.MINIFS(Lose[Bahn-hofs-zeit],Lose[Bahn-hofs-zeit],"&gt;0"))),5))</f>
        <v>80</v>
      </c>
      <c r="O85">
        <f>IF(Lose[[#This Row],[Gehzeit (min)]]="",0,CEILING(3*(Lose[[#This Row],[Gehzeit (min)]]+Lose[[#This Row],[Aufgaben-zeit (min)]]),5))</f>
        <v>0</v>
      </c>
      <c r="P85">
        <v>6.75</v>
      </c>
      <c r="Q85" t="str">
        <f>IFERROR(ROUND(Lose[[#This Row],[Distanz (km)]]*60/Lose[[#This Row],[Gehzeit (min)]],1),"")</f>
        <v/>
      </c>
      <c r="R8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85" t="str">
        <f>IFERROR(Lose[[#This Row],[Distanz (km)]]-Lose[[#This Row],[Check Distanz]],"")</f>
        <v/>
      </c>
      <c r="T85" s="60" t="str">
        <f>IFERROR(Lose[[#This Row],[Check Umweg]]/Lose[[#This Row],[Check Distanz]],"")</f>
        <v/>
      </c>
      <c r="U85">
        <f ca="1">IF(RIGHT(Lose[[#This Row],[LosID]],1)="b",_xlfn.XLOOKUP(REPLACE(Lose[[#This Row],[LosID]],LEN(Lose[[#This Row],[LosID]]),1,"a"),Lose[LosID],Lose[Zufallszahl],"",0),RAND())</f>
        <v>0.42765889603972529</v>
      </c>
      <c r="V85" t="b" cm="1">
        <f t="array" aca="1" ref="V85" ca="1">Lose[[#This Row],[Zufallszahl]]&gt;=IFERROR(LARGE((LEFT(Lose[LosID],FIND("-",Lose[LosID])-1)=LEFT(Lose[[#This Row],[LosID]],FIND("-",Lose[[#This Row],[LosID]])-1))*Lose[Zufallszahl],_xlfn.XLOOKUP(LEFT(Lose[[#This Row],[LosID]],FIND("-",Lose[[#This Row],[LosID]])-1),Ziehungsanzahl[Kürzel],Ziehungsanzahl[Kontingent],FALSE,0)),9999)</f>
        <v>0</v>
      </c>
    </row>
    <row r="86" spans="1:23" hidden="1">
      <c r="A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6" t="s">
        <v>23394</v>
      </c>
      <c r="C86" s="92" t="s">
        <v>23601</v>
      </c>
      <c r="D86" s="1" t="s">
        <v>23602</v>
      </c>
      <c r="F86" t="s">
        <v>23603</v>
      </c>
      <c r="K86" t="str" cm="1">
        <f t="array" ref="K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 Tropical Islands</v>
      </c>
      <c r="L86" t="str">
        <f>IFERROR(LEFT(TRIM(Lose[[#This Row],[Google Koordinaten]]),9),"")</f>
        <v>52.029969</v>
      </c>
      <c r="M86" t="str">
        <f>IFERROR(MID(TRIM(Lose[[#This Row],[Google Koordinaten]]),
FIND(",",TRIM(Lose[[#This Row],[Google Koordinaten]])) + 2,9),"")</f>
        <v>13.721494</v>
      </c>
      <c r="N86">
        <f>IF(Lose[[#This Row],[Bahn-hofs-zeit]]=0,0,MROUND(30*25^((Lose[[#This Row],[Bahn-hofs-zeit]]-_xlfn.MINIFS(Lose[Bahn-hofs-zeit],Lose[Bahn-hofs-zeit],"&gt;0"))/(MAX(Lose[Bahn-hofs-zeit])-_xlfn.MINIFS(Lose[Bahn-hofs-zeit],Lose[Bahn-hofs-zeit],"&gt;0"))),5))</f>
        <v>240</v>
      </c>
      <c r="O86">
        <f>IF(Lose[[#This Row],[Gehzeit (min)]]="",0,CEILING(3*(Lose[[#This Row],[Gehzeit (min)]]+Lose[[#This Row],[Aufgaben-zeit (min)]]),5))</f>
        <v>0</v>
      </c>
      <c r="P86">
        <v>10.5</v>
      </c>
      <c r="Q86" t="str">
        <f>IFERROR(ROUND(Lose[[#This Row],[Distanz (km)]]*60/Lose[[#This Row],[Gehzeit (min)]],1),"")</f>
        <v/>
      </c>
      <c r="R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6">
        <f>IFERROR(Lose[[#This Row],[Distanz (km)]]-Lose[[#This Row],[Check Distanz]],"")</f>
        <v>0</v>
      </c>
      <c r="T86" s="60" t="str">
        <f>IFERROR(Lose[[#This Row],[Check Umweg]]/Lose[[#This Row],[Check Distanz]],"")</f>
        <v/>
      </c>
      <c r="U86">
        <f ca="1">IF(RIGHT(Lose[[#This Row],[LosID]],1)="b",_xlfn.XLOOKUP(REPLACE(Lose[[#This Row],[LosID]],LEN(Lose[[#This Row],[LosID]]),1,"a"),Lose[LosID],Lose[Zufallszahl],"",0),RAND())</f>
        <v>0.79276715756894989</v>
      </c>
      <c r="V86" t="b" cm="1">
        <f t="array" aca="1" ref="V86" ca="1">Lose[[#This Row],[Zufallszahl]]&gt;=IFERROR(LARGE((LEFT(Lose[LosID],FIND("-",Lose[LosID])-1)=LEFT(Lose[[#This Row],[LosID]],FIND("-",Lose[[#This Row],[LosID]])-1))*Lose[Zufallszahl],_xlfn.XLOOKUP(LEFT(Lose[[#This Row],[LosID]],FIND("-",Lose[[#This Row],[LosID]])-1),Ziehungsanzahl[Kürzel],Ziehungsanzahl[Kontingent],FALSE,0)),9999)</f>
        <v>0</v>
      </c>
    </row>
    <row r="87" spans="1:23" hidden="1">
      <c r="A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7" t="s">
        <v>23394</v>
      </c>
      <c r="C87" s="92" t="s">
        <v>23604</v>
      </c>
      <c r="D87" s="1" t="s">
        <v>23605</v>
      </c>
      <c r="F87" t="s">
        <v>23606</v>
      </c>
      <c r="K87" t="str" cm="1">
        <f t="array" ref="K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Wüstenbrand</v>
      </c>
      <c r="L87" t="str">
        <f>IFERROR(LEFT(TRIM(Lose[[#This Row],[Google Koordinaten]]),9),"")</f>
        <v>50.805842</v>
      </c>
      <c r="M87" t="str">
        <f>IFERROR(MID(TRIM(Lose[[#This Row],[Google Koordinaten]]),
FIND(",",TRIM(Lose[[#This Row],[Google Koordinaten]])) + 2,9),"")</f>
        <v>12.756229</v>
      </c>
      <c r="N87">
        <f>IF(Lose[[#This Row],[Bahn-hofs-zeit]]=0,0,MROUND(30*25^((Lose[[#This Row],[Bahn-hofs-zeit]]-_xlfn.MINIFS(Lose[Bahn-hofs-zeit],Lose[Bahn-hofs-zeit],"&gt;0"))/(MAX(Lose[Bahn-hofs-zeit])-_xlfn.MINIFS(Lose[Bahn-hofs-zeit],Lose[Bahn-hofs-zeit],"&gt;0"))),5))</f>
        <v>320</v>
      </c>
      <c r="O87">
        <f>IF(Lose[[#This Row],[Gehzeit (min)]]="",0,CEILING(3*(Lose[[#This Row],[Gehzeit (min)]]+Lose[[#This Row],[Aufgaben-zeit (min)]]),5))</f>
        <v>0</v>
      </c>
      <c r="P87">
        <v>11.5</v>
      </c>
      <c r="Q87" t="str">
        <f>IFERROR(ROUND(Lose[[#This Row],[Distanz (km)]]*60/Lose[[#This Row],[Gehzeit (min)]],1),"")</f>
        <v/>
      </c>
      <c r="R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87">
        <f>IFERROR(Lose[[#This Row],[Distanz (km)]]-Lose[[#This Row],[Check Distanz]],"")</f>
        <v>-0.04</v>
      </c>
      <c r="T87" s="60">
        <f>IFERROR(Lose[[#This Row],[Check Umweg]]/Lose[[#This Row],[Check Distanz]],"")</f>
        <v>-1</v>
      </c>
      <c r="U87">
        <f ca="1">IF(RIGHT(Lose[[#This Row],[LosID]],1)="b",_xlfn.XLOOKUP(REPLACE(Lose[[#This Row],[LosID]],LEN(Lose[[#This Row],[LosID]]),1,"a"),Lose[LosID],Lose[Zufallszahl],"",0),RAND())</f>
        <v>0.79276715756894989</v>
      </c>
      <c r="V87" t="b" cm="1">
        <f t="array" aca="1" ref="V87" ca="1">Lose[[#This Row],[Zufallszahl]]&gt;=IFERROR(LARGE((LEFT(Lose[LosID],FIND("-",Lose[LosID])-1)=LEFT(Lose[[#This Row],[LosID]],FIND("-",Lose[[#This Row],[LosID]])-1))*Lose[Zufallszahl],_xlfn.XLOOKUP(LEFT(Lose[[#This Row],[LosID]],FIND("-",Lose[[#This Row],[LosID]])-1),Ziehungsanzahl[Kürzel],Ziehungsanzahl[Kontingent],FALSE,0)),9999)</f>
        <v>0</v>
      </c>
    </row>
    <row r="88" spans="1:23" hidden="1">
      <c r="A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8" t="s">
        <v>23403</v>
      </c>
      <c r="C88" s="93" t="s">
        <v>1240</v>
      </c>
      <c r="D88" s="1" t="s">
        <v>23607</v>
      </c>
      <c r="K88" t="s">
        <v>18651</v>
      </c>
      <c r="L88" t="str">
        <f>IFERROR(LEFT(TRIM(Lose[[#This Row],[Google Koordinaten]]),9),"")</f>
        <v/>
      </c>
      <c r="M88" t="str">
        <f>IFERROR(MID(TRIM(Lose[[#This Row],[Google Koordinaten]]),
FIND(",",TRIM(Lose[[#This Row],[Google Koordinaten]])) + 2,9),"")</f>
        <v/>
      </c>
      <c r="N88">
        <f>IF(Lose[[#This Row],[Bahn-hofs-zeit]]=0,0,MROUND(30*25^((Lose[[#This Row],[Bahn-hofs-zeit]]-_xlfn.MINIFS(Lose[Bahn-hofs-zeit],Lose[Bahn-hofs-zeit],"&gt;0"))/(MAX(Lose[Bahn-hofs-zeit])-_xlfn.MINIFS(Lose[Bahn-hofs-zeit],Lose[Bahn-hofs-zeit],"&gt;0"))),5))</f>
        <v>100</v>
      </c>
      <c r="O88">
        <f>IF(Lose[[#This Row],[Gehzeit (min)]]="",0,CEILING(3*(Lose[[#This Row],[Gehzeit (min)]]+Lose[[#This Row],[Aufgaben-zeit (min)]]),5))</f>
        <v>0</v>
      </c>
      <c r="P88">
        <v>7.5</v>
      </c>
      <c r="Q88" t="str">
        <f>IFERROR(ROUND(Lose[[#This Row],[Distanz (km)]]*60/Lose[[#This Row],[Gehzeit (min)]],1),"")</f>
        <v/>
      </c>
      <c r="R8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88" t="str">
        <f>IFERROR(Lose[[#This Row],[Distanz (km)]]-Lose[[#This Row],[Check Distanz]],"")</f>
        <v/>
      </c>
      <c r="T88" s="60" t="str">
        <f>IFERROR(Lose[[#This Row],[Check Umweg]]/Lose[[#This Row],[Check Distanz]],"")</f>
        <v/>
      </c>
      <c r="U88">
        <f ca="1">IF(RIGHT(Lose[[#This Row],[LosID]],1)="b",_xlfn.XLOOKUP(REPLACE(Lose[[#This Row],[LosID]],LEN(Lose[[#This Row],[LosID]]),1,"a"),Lose[LosID],Lose[Zufallszahl],"",0),RAND())</f>
        <v>0.29974984115944159</v>
      </c>
      <c r="V88" t="b" cm="1">
        <f t="array" aca="1" ref="V88" ca="1">Lose[[#This Row],[Zufallszahl]]&gt;=IFERROR(LARGE((LEFT(Lose[LosID],FIND("-",Lose[LosID])-1)=LEFT(Lose[[#This Row],[LosID]],FIND("-",Lose[[#This Row],[LosID]])-1))*Lose[Zufallszahl],_xlfn.XLOOKUP(LEFT(Lose[[#This Row],[LosID]],FIND("-",Lose[[#This Row],[LosID]])-1),Ziehungsanzahl[Kürzel],Ziehungsanzahl[Kontingent],FALSE,0)),9999)</f>
        <v>0</v>
      </c>
      <c r="W88" t="s">
        <v>132</v>
      </c>
    </row>
    <row r="89" spans="1:23" hidden="1">
      <c r="A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9" t="s">
        <v>23403</v>
      </c>
      <c r="C89" s="92" t="s">
        <v>1241</v>
      </c>
      <c r="D89" s="1" t="s">
        <v>23608</v>
      </c>
      <c r="K89" t="s">
        <v>21195</v>
      </c>
      <c r="L89" t="str">
        <f>IFERROR(LEFT(TRIM(Lose[[#This Row],[Google Koordinaten]]),9),"")</f>
        <v/>
      </c>
      <c r="M89" t="str">
        <f>IFERROR(MID(TRIM(Lose[[#This Row],[Google Koordinaten]]),
FIND(",",TRIM(Lose[[#This Row],[Google Koordinaten]])) + 2,9),"")</f>
        <v/>
      </c>
      <c r="N89">
        <f>IF(Lose[[#This Row],[Bahn-hofs-zeit]]=0,0,MROUND(30*25^((Lose[[#This Row],[Bahn-hofs-zeit]]-_xlfn.MINIFS(Lose[Bahn-hofs-zeit],Lose[Bahn-hofs-zeit],"&gt;0"))/(MAX(Lose[Bahn-hofs-zeit])-_xlfn.MINIFS(Lose[Bahn-hofs-zeit],Lose[Bahn-hofs-zeit],"&gt;0"))),5))</f>
        <v>55</v>
      </c>
      <c r="O89">
        <f>IF(Lose[[#This Row],[Gehzeit (min)]]="",0,CEILING(3*(Lose[[#This Row],[Gehzeit (min)]]+Lose[[#This Row],[Aufgaben-zeit (min)]]),5))</f>
        <v>0</v>
      </c>
      <c r="P89">
        <v>5.5</v>
      </c>
      <c r="Q89" t="str">
        <f>IFERROR(ROUND(Lose[[#This Row],[Distanz (km)]]*60/Lose[[#This Row],[Gehzeit (min)]],1),"")</f>
        <v/>
      </c>
      <c r="R8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89" t="str">
        <f>IFERROR(Lose[[#This Row],[Distanz (km)]]-Lose[[#This Row],[Check Distanz]],"")</f>
        <v/>
      </c>
      <c r="T89" s="60" t="str">
        <f>IFERROR(Lose[[#This Row],[Check Umweg]]/Lose[[#This Row],[Check Distanz]],"")</f>
        <v/>
      </c>
      <c r="U89">
        <f ca="1">IF(RIGHT(Lose[[#This Row],[LosID]],1)="b",_xlfn.XLOOKUP(REPLACE(Lose[[#This Row],[LosID]],LEN(Lose[[#This Row],[LosID]]),1,"a"),Lose[LosID],Lose[Zufallszahl],"",0),RAND())</f>
        <v>0.29974984115944159</v>
      </c>
      <c r="V89" t="b" cm="1">
        <f t="array" aca="1" ref="V89" ca="1">Lose[[#This Row],[Zufallszahl]]&gt;=IFERROR(LARGE((LEFT(Lose[LosID],FIND("-",Lose[LosID])-1)=LEFT(Lose[[#This Row],[LosID]],FIND("-",Lose[[#This Row],[LosID]])-1))*Lose[Zufallszahl],_xlfn.XLOOKUP(LEFT(Lose[[#This Row],[LosID]],FIND("-",Lose[[#This Row],[LosID]])-1),Ziehungsanzahl[Kürzel],Ziehungsanzahl[Kontingent],FALSE,0)),9999)</f>
        <v>0</v>
      </c>
    </row>
    <row r="90" spans="1:23" ht="30" hidden="1">
      <c r="A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0" t="s">
        <v>23372</v>
      </c>
      <c r="C90" s="92" t="s">
        <v>23609</v>
      </c>
      <c r="D90" s="1" t="s">
        <v>23610</v>
      </c>
      <c r="F90" t="s">
        <v>23611</v>
      </c>
      <c r="K90" t="str" cm="1">
        <f t="array" ref="K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Landstuhl</v>
      </c>
      <c r="L90" t="str">
        <f>IFERROR(LEFT(TRIM(Lose[[#This Row],[Google Koordinaten]]),9),"")</f>
        <v>49.416054</v>
      </c>
      <c r="M90" t="str">
        <f>IFERROR(MID(TRIM(Lose[[#This Row],[Google Koordinaten]]),
FIND(",",TRIM(Lose[[#This Row],[Google Koordinaten]])) + 2,9),"")</f>
        <v>7.5652485</v>
      </c>
      <c r="N90">
        <f>IF(Lose[[#This Row],[Bahn-hofs-zeit]]=0,0,MROUND(30*25^((Lose[[#This Row],[Bahn-hofs-zeit]]-_xlfn.MINIFS(Lose[Bahn-hofs-zeit],Lose[Bahn-hofs-zeit],"&gt;0"))/(MAX(Lose[Bahn-hofs-zeit])-_xlfn.MINIFS(Lose[Bahn-hofs-zeit],Lose[Bahn-hofs-zeit],"&gt;0"))),5))</f>
        <v>95</v>
      </c>
      <c r="O90">
        <f>IF(Lose[[#This Row],[Gehzeit (min)]]="",0,CEILING(3*(Lose[[#This Row],[Gehzeit (min)]]+Lose[[#This Row],[Aufgaben-zeit (min)]]),5))</f>
        <v>0</v>
      </c>
      <c r="P90">
        <v>7.25</v>
      </c>
      <c r="Q90" t="str">
        <f>IFERROR(ROUND(Lose[[#This Row],[Distanz (km)]]*60/Lose[[#This Row],[Gehzeit (min)]],1),"")</f>
        <v/>
      </c>
      <c r="R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90">
        <f>IFERROR(Lose[[#This Row],[Distanz (km)]]-Lose[[#This Row],[Check Distanz]],"")</f>
        <v>-0.06</v>
      </c>
      <c r="T90" s="60">
        <f>IFERROR(Lose[[#This Row],[Check Umweg]]/Lose[[#This Row],[Check Distanz]],"")</f>
        <v>-1</v>
      </c>
      <c r="U90">
        <f ca="1">IF(RIGHT(Lose[[#This Row],[LosID]],1)="b",_xlfn.XLOOKUP(REPLACE(Lose[[#This Row],[LosID]],LEN(Lose[[#This Row],[LosID]]),1,"a"),Lose[LosID],Lose[Zufallszahl],"",0),RAND())</f>
        <v>0.87618892109956059</v>
      </c>
      <c r="V90" t="b" cm="1">
        <f t="array" aca="1" ref="V90" ca="1">Lose[[#This Row],[Zufallszahl]]&gt;=IFERROR(LARGE((LEFT(Lose[LosID],FIND("-",Lose[LosID])-1)=LEFT(Lose[[#This Row],[LosID]],FIND("-",Lose[[#This Row],[LosID]])-1))*Lose[Zufallszahl],_xlfn.XLOOKUP(LEFT(Lose[[#This Row],[LosID]],FIND("-",Lose[[#This Row],[LosID]])-1),Ziehungsanzahl[Kürzel],Ziehungsanzahl[Kontingent],FALSE,0)),9999)</f>
        <v>0</v>
      </c>
    </row>
    <row r="91" spans="1:23" ht="30" hidden="1">
      <c r="A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1" t="s">
        <v>23372</v>
      </c>
      <c r="C91" s="92" t="s">
        <v>23612</v>
      </c>
      <c r="D91" s="1" t="s">
        <v>23613</v>
      </c>
      <c r="F91" t="s">
        <v>23614</v>
      </c>
      <c r="K91" t="str" cm="1">
        <f t="array" ref="K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Strullendorf</v>
      </c>
      <c r="L91" t="str">
        <f>IFERROR(LEFT(TRIM(Lose[[#This Row],[Google Koordinaten]]),9),"")</f>
        <v>49.845490</v>
      </c>
      <c r="M91" t="str">
        <f>IFERROR(MID(TRIM(Lose[[#This Row],[Google Koordinaten]]),
FIND(",",TRIM(Lose[[#This Row],[Google Koordinaten]])) + 2,9),"")</f>
        <v>10.962303</v>
      </c>
      <c r="N91">
        <f>IF(Lose[[#This Row],[Bahn-hofs-zeit]]=0,0,MROUND(30*25^((Lose[[#This Row],[Bahn-hofs-zeit]]-_xlfn.MINIFS(Lose[Bahn-hofs-zeit],Lose[Bahn-hofs-zeit],"&gt;0"))/(MAX(Lose[Bahn-hofs-zeit])-_xlfn.MINIFS(Lose[Bahn-hofs-zeit],Lose[Bahn-hofs-zeit],"&gt;0"))),5))</f>
        <v>165</v>
      </c>
      <c r="O91">
        <f>IF(Lose[[#This Row],[Gehzeit (min)]]="",0,CEILING(3*(Lose[[#This Row],[Gehzeit (min)]]+Lose[[#This Row],[Aufgaben-zeit (min)]]),5))</f>
        <v>0</v>
      </c>
      <c r="P91">
        <v>9.25</v>
      </c>
      <c r="Q91" t="str">
        <f>IFERROR(ROUND(Lose[[#This Row],[Distanz (km)]]*60/Lose[[#This Row],[Gehzeit (min)]],1),"")</f>
        <v/>
      </c>
      <c r="R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91">
        <f>IFERROR(Lose[[#This Row],[Distanz (km)]]-Lose[[#This Row],[Check Distanz]],"")</f>
        <v>-0.05</v>
      </c>
      <c r="T91" s="60">
        <f>IFERROR(Lose[[#This Row],[Check Umweg]]/Lose[[#This Row],[Check Distanz]],"")</f>
        <v>-1</v>
      </c>
      <c r="U91">
        <f ca="1">IF(RIGHT(Lose[[#This Row],[LosID]],1)="b",_xlfn.XLOOKUP(REPLACE(Lose[[#This Row],[LosID]],LEN(Lose[[#This Row],[LosID]]),1,"a"),Lose[LosID],Lose[Zufallszahl],"",0),RAND())</f>
        <v>0.87618892109956059</v>
      </c>
      <c r="V91" t="b" cm="1">
        <f t="array" aca="1" ref="V91" ca="1">Lose[[#This Row],[Zufallszahl]]&gt;=IFERROR(LARGE((LEFT(Lose[LosID],FIND("-",Lose[LosID])-1)=LEFT(Lose[[#This Row],[LosID]],FIND("-",Lose[[#This Row],[LosID]])-1))*Lose[Zufallszahl],_xlfn.XLOOKUP(LEFT(Lose[[#This Row],[LosID]],FIND("-",Lose[[#This Row],[LosID]])-1),Ziehungsanzahl[Kürzel],Ziehungsanzahl[Kontingent],FALSE,0)),9999)</f>
        <v>0</v>
      </c>
    </row>
    <row r="92" spans="1:23" hidden="1">
      <c r="A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2" s="99" t="s">
        <v>23408</v>
      </c>
      <c r="C92" s="91" t="s">
        <v>1242</v>
      </c>
      <c r="D92" s="1" t="s">
        <v>23615</v>
      </c>
      <c r="F92" t="s">
        <v>23616</v>
      </c>
      <c r="K92" t="str" cm="1">
        <f t="array" ref="K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Lübeck-Dänischburg IKEA</v>
      </c>
      <c r="L92" t="str">
        <f>IFERROR(LEFT(TRIM(Lose[[#This Row],[Google Koordinaten]]),9),"")</f>
        <v>53.911237</v>
      </c>
      <c r="M92" t="str">
        <f>IFERROR(MID(TRIM(Lose[[#This Row],[Google Koordinaten]]),
FIND(",",TRIM(Lose[[#This Row],[Google Koordinaten]])) + 2,9),"")</f>
        <v>10.734885</v>
      </c>
      <c r="N92">
        <f>IF(Lose[[#This Row],[Bahn-hofs-zeit]]=0,0,MROUND(30*25^((Lose[[#This Row],[Bahn-hofs-zeit]]-_xlfn.MINIFS(Lose[Bahn-hofs-zeit],Lose[Bahn-hofs-zeit],"&gt;0"))/(MAX(Lose[Bahn-hofs-zeit])-_xlfn.MINIFS(Lose[Bahn-hofs-zeit],Lose[Bahn-hofs-zeit],"&gt;0"))),5))</f>
        <v>155</v>
      </c>
      <c r="O92">
        <f>IF(Lose[[#This Row],[Gehzeit (min)]]="",0,CEILING(3*(Lose[[#This Row],[Gehzeit (min)]]+Lose[[#This Row],[Aufgaben-zeit (min)]]),5))</f>
        <v>0</v>
      </c>
      <c r="P92">
        <v>9</v>
      </c>
      <c r="Q92" t="str">
        <f>IFERROR(ROUND(Lose[[#This Row],[Distanz (km)]]*60/Lose[[#This Row],[Gehzeit (min)]],1),"")</f>
        <v/>
      </c>
      <c r="R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92">
        <f>IFERROR(Lose[[#This Row],[Distanz (km)]]-Lose[[#This Row],[Check Distanz]],"")</f>
        <v>-0.05</v>
      </c>
      <c r="T92" s="60">
        <f>IFERROR(Lose[[#This Row],[Check Umweg]]/Lose[[#This Row],[Check Distanz]],"")</f>
        <v>-1</v>
      </c>
      <c r="U92">
        <f ca="1">IF(RIGHT(Lose[[#This Row],[LosID]],1)="b",_xlfn.XLOOKUP(REPLACE(Lose[[#This Row],[LosID]],LEN(Lose[[#This Row],[LosID]]),1,"a"),Lose[LosID],Lose[Zufallszahl],"",0),RAND())</f>
        <v>0.6727769736159448</v>
      </c>
      <c r="V92" t="b" cm="1">
        <f t="array" aca="1" ref="V92" ca="1">Lose[[#This Row],[Zufallszahl]]&gt;=IFERROR(LARGE((LEFT(Lose[LosID],FIND("-",Lose[LosID])-1)=LEFT(Lose[[#This Row],[LosID]],FIND("-",Lose[[#This Row],[LosID]])-1))*Lose[Zufallszahl],_xlfn.XLOOKUP(LEFT(Lose[[#This Row],[LosID]],FIND("-",Lose[[#This Row],[LosID]])-1),Ziehungsanzahl[Kürzel],Ziehungsanzahl[Kontingent],FALSE,0)),9999)</f>
        <v>0</v>
      </c>
    </row>
    <row r="93" spans="1:23" hidden="1">
      <c r="A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3" t="s">
        <v>23408</v>
      </c>
      <c r="C93" s="91" t="s">
        <v>1243</v>
      </c>
      <c r="D93" s="1" t="s">
        <v>23617</v>
      </c>
      <c r="F93" t="s">
        <v>23618</v>
      </c>
      <c r="K93" t="str" cm="1">
        <f t="array" ref="K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Kaarst IKEA</v>
      </c>
      <c r="L93" t="str">
        <f>IFERROR(LEFT(TRIM(Lose[[#This Row],[Google Koordinaten]]),9),"")</f>
        <v>51.217327</v>
      </c>
      <c r="M93" t="str">
        <f>IFERROR(MID(TRIM(Lose[[#This Row],[Google Koordinaten]]),
FIND(",",TRIM(Lose[[#This Row],[Google Koordinaten]])) + 2,9),"")</f>
        <v>6.6296439</v>
      </c>
      <c r="N93">
        <f>IF(Lose[[#This Row],[Bahn-hofs-zeit]]=0,0,MROUND(30*25^((Lose[[#This Row],[Bahn-hofs-zeit]]-_xlfn.MINIFS(Lose[Bahn-hofs-zeit],Lose[Bahn-hofs-zeit],"&gt;0"))/(MAX(Lose[Bahn-hofs-zeit])-_xlfn.MINIFS(Lose[Bahn-hofs-zeit],Lose[Bahn-hofs-zeit],"&gt;0"))),5))</f>
        <v>45</v>
      </c>
      <c r="O93">
        <f>IF(Lose[[#This Row],[Gehzeit (min)]]="",0,CEILING(3*(Lose[[#This Row],[Gehzeit (min)]]+Lose[[#This Row],[Aufgaben-zeit (min)]]),5))</f>
        <v>0</v>
      </c>
      <c r="P93">
        <v>4.5</v>
      </c>
      <c r="Q93" t="str">
        <f>IFERROR(ROUND(Lose[[#This Row],[Distanz (km)]]*60/Lose[[#This Row],[Gehzeit (min)]],1),"")</f>
        <v/>
      </c>
      <c r="R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93">
        <f>IFERROR(Lose[[#This Row],[Distanz (km)]]-Lose[[#This Row],[Check Distanz]],"")</f>
        <v>-0.04</v>
      </c>
      <c r="T93" s="60">
        <f>IFERROR(Lose[[#This Row],[Check Umweg]]/Lose[[#This Row],[Check Distanz]],"")</f>
        <v>-1</v>
      </c>
      <c r="U93">
        <f ca="1">IF(RIGHT(Lose[[#This Row],[LosID]],1)="b",_xlfn.XLOOKUP(REPLACE(Lose[[#This Row],[LosID]],LEN(Lose[[#This Row],[LosID]]),1,"a"),Lose[LosID],Lose[Zufallszahl],"",0),RAND())</f>
        <v>0.6727769736159448</v>
      </c>
      <c r="V93" t="b" cm="1">
        <f t="array" aca="1" ref="V93" ca="1">Lose[[#This Row],[Zufallszahl]]&gt;=IFERROR(LARGE((LEFT(Lose[LosID],FIND("-",Lose[LosID])-1)=LEFT(Lose[[#This Row],[LosID]],FIND("-",Lose[[#This Row],[LosID]])-1))*Lose[Zufallszahl],_xlfn.XLOOKUP(LEFT(Lose[[#This Row],[LosID]],FIND("-",Lose[[#This Row],[LosID]])-1),Ziehungsanzahl[Kürzel],Ziehungsanzahl[Kontingent],FALSE,0)),9999)</f>
        <v>0</v>
      </c>
    </row>
    <row r="94" spans="1:23" hidden="1">
      <c r="A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4" t="s">
        <v>4</v>
      </c>
      <c r="C94" s="92" t="s">
        <v>23619</v>
      </c>
      <c r="D94" s="1" t="s">
        <v>23620</v>
      </c>
      <c r="F94" t="s">
        <v>23621</v>
      </c>
      <c r="K94" t="str" cm="1">
        <f t="array" ref="K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Rückersdorf</v>
      </c>
      <c r="L94" t="str">
        <f>IFERROR(LEFT(TRIM(Lose[[#This Row],[Google Koordinaten]]),9),"")</f>
        <v>51.567525</v>
      </c>
      <c r="M94" t="str">
        <f>IFERROR(MID(TRIM(Lose[[#This Row],[Google Koordinaten]]),
FIND(",",TRIM(Lose[[#This Row],[Google Koordinaten]])) + 2,9),"")</f>
        <v>13.574886</v>
      </c>
      <c r="N94" s="91">
        <f>IF(Lose[[#This Row],[Bahn-hofs-zeit]]=0,0,MROUND(30*25^((Lose[[#This Row],[Bahn-hofs-zeit]]-_xlfn.MINIFS(Lose[Bahn-hofs-zeit],Lose[Bahn-hofs-zeit],"&gt;0"))/(MAX(Lose[Bahn-hofs-zeit])-_xlfn.MINIFS(Lose[Bahn-hofs-zeit],Lose[Bahn-hofs-zeit],"&gt;0"))),5))</f>
        <v>0</v>
      </c>
      <c r="O94">
        <f>IF(Lose[[#This Row],[Gehzeit (min)]]="",0,CEILING(3*(Lose[[#This Row],[Gehzeit (min)]]+Lose[[#This Row],[Aufgaben-zeit (min)]]),5))</f>
        <v>0</v>
      </c>
      <c r="Q94" t="str">
        <f>IFERROR(ROUND(Lose[[#This Row],[Distanz (km)]]*60/Lose[[#This Row],[Gehzeit (min)]],1),"")</f>
        <v/>
      </c>
      <c r="R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94">
        <f>IFERROR(Lose[[#This Row],[Distanz (km)]]-Lose[[#This Row],[Check Distanz]],"")</f>
        <v>-0.05</v>
      </c>
      <c r="T94" s="60">
        <f>IFERROR(Lose[[#This Row],[Check Umweg]]/Lose[[#This Row],[Check Distanz]],"")</f>
        <v>-1</v>
      </c>
      <c r="U94">
        <f ca="1">IF(RIGHT(Lose[[#This Row],[LosID]],1)="b",_xlfn.XLOOKUP(REPLACE(Lose[[#This Row],[LosID]],LEN(Lose[[#This Row],[LosID]]),1,"a"),Lose[LosID],Lose[Zufallszahl],"",0),RAND())</f>
        <v>0.52072536031785432</v>
      </c>
      <c r="V94" t="b" cm="1">
        <f t="array" aca="1" ref="V94" ca="1">Lose[[#This Row],[Zufallszahl]]&gt;=IFERROR(LARGE((LEFT(Lose[LosID],FIND("-",Lose[LosID])-1)=LEFT(Lose[[#This Row],[LosID]],FIND("-",Lose[[#This Row],[LosID]])-1))*Lose[Zufallszahl],_xlfn.XLOOKUP(LEFT(Lose[[#This Row],[LosID]],FIND("-",Lose[[#This Row],[LosID]])-1),Ziehungsanzahl[Kürzel],Ziehungsanzahl[Kontingent],FALSE,0)),9999)</f>
        <v>0</v>
      </c>
      <c r="W94" t="s">
        <v>23398</v>
      </c>
    </row>
    <row r="95" spans="1:23" hidden="1">
      <c r="A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5" t="s">
        <v>4</v>
      </c>
      <c r="C95" s="92" t="s">
        <v>23622</v>
      </c>
      <c r="D95" s="1" t="s">
        <v>23623</v>
      </c>
      <c r="F95" t="s">
        <v>23624</v>
      </c>
      <c r="K95" t="str" cm="1">
        <f t="array" ref="K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Rückersdorf(Mfr)</v>
      </c>
      <c r="L95" t="str">
        <f>IFERROR(LEFT(TRIM(Lose[[#This Row],[Google Koordinaten]]),9),"")</f>
        <v>49.491332</v>
      </c>
      <c r="M95" t="str">
        <f>IFERROR(MID(TRIM(Lose[[#This Row],[Google Koordinaten]]),
FIND(",",TRIM(Lose[[#This Row],[Google Koordinaten]])) + 2,9),"")</f>
        <v>11.232135</v>
      </c>
      <c r="N95">
        <f>IF(Lose[[#This Row],[Bahn-hofs-zeit]]=0,0,MROUND(30*25^((Lose[[#This Row],[Bahn-hofs-zeit]]-_xlfn.MINIFS(Lose[Bahn-hofs-zeit],Lose[Bahn-hofs-zeit],"&gt;0"))/(MAX(Lose[Bahn-hofs-zeit])-_xlfn.MINIFS(Lose[Bahn-hofs-zeit],Lose[Bahn-hofs-zeit],"&gt;0"))),5))</f>
        <v>180</v>
      </c>
      <c r="O95">
        <f>IF(Lose[[#This Row],[Gehzeit (min)]]="",0,CEILING(3*(Lose[[#This Row],[Gehzeit (min)]]+Lose[[#This Row],[Aufgaben-zeit (min)]]),5))</f>
        <v>0</v>
      </c>
      <c r="P95">
        <v>9.5</v>
      </c>
      <c r="Q95" t="str">
        <f>IFERROR(ROUND(Lose[[#This Row],[Distanz (km)]]*60/Lose[[#This Row],[Gehzeit (min)]],1),"")</f>
        <v/>
      </c>
      <c r="R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95">
        <f>IFERROR(Lose[[#This Row],[Distanz (km)]]-Lose[[#This Row],[Check Distanz]],"")</f>
        <v>-7.0000000000000007E-2</v>
      </c>
      <c r="T95" s="60">
        <f>IFERROR(Lose[[#This Row],[Check Umweg]]/Lose[[#This Row],[Check Distanz]],"")</f>
        <v>-1</v>
      </c>
      <c r="U95">
        <f ca="1">IF(RIGHT(Lose[[#This Row],[LosID]],1)="b",_xlfn.XLOOKUP(REPLACE(Lose[[#This Row],[LosID]],LEN(Lose[[#This Row],[LosID]]),1,"a"),Lose[LosID],Lose[Zufallszahl],"",0),RAND())</f>
        <v>0.52072536031785432</v>
      </c>
      <c r="V95" t="b" cm="1">
        <f t="array" aca="1" ref="V95" ca="1">Lose[[#This Row],[Zufallszahl]]&gt;=IFERROR(LARGE((LEFT(Lose[LosID],FIND("-",Lose[LosID])-1)=LEFT(Lose[[#This Row],[LosID]],FIND("-",Lose[[#This Row],[LosID]])-1))*Lose[Zufallszahl],_xlfn.XLOOKUP(LEFT(Lose[[#This Row],[LosID]],FIND("-",Lose[[#This Row],[LosID]])-1),Ziehungsanzahl[Kürzel],Ziehungsanzahl[Kontingent],FALSE,0)),9999)</f>
        <v>0</v>
      </c>
      <c r="W95" t="s">
        <v>132</v>
      </c>
    </row>
    <row r="96" spans="1:23" ht="30" hidden="1">
      <c r="A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6" t="s">
        <v>23357</v>
      </c>
      <c r="C96" s="92" t="s">
        <v>1220</v>
      </c>
      <c r="D96" s="1" t="s">
        <v>1222</v>
      </c>
      <c r="E96" t="s">
        <v>23</v>
      </c>
      <c r="F96" t="s">
        <v>23625</v>
      </c>
      <c r="K96" t="str" cm="1">
        <f t="array" ref="K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96" t="str">
        <f>IFERROR(LEFT(TRIM(Lose[[#This Row],[Google Koordinaten]]),9),"")</f>
        <v>49.012615</v>
      </c>
      <c r="M96" t="str">
        <f>IFERROR(MID(TRIM(Lose[[#This Row],[Google Koordinaten]]),
FIND(",",TRIM(Lose[[#This Row],[Google Koordinaten]])) + 2,9),"")</f>
        <v>12.099008</v>
      </c>
      <c r="N96">
        <f>IF(Lose[[#This Row],[Bahn-hofs-zeit]]=0,0,MROUND(30*25^((Lose[[#This Row],[Bahn-hofs-zeit]]-_xlfn.MINIFS(Lose[Bahn-hofs-zeit],Lose[Bahn-hofs-zeit],"&gt;0"))/(MAX(Lose[Bahn-hofs-zeit])-_xlfn.MINIFS(Lose[Bahn-hofs-zeit],Lose[Bahn-hofs-zeit],"&gt;0"))),5))</f>
        <v>240</v>
      </c>
      <c r="O96">
        <f>IF(Lose[[#This Row],[Gehzeit (min)]]="",0,CEILING(3*(Lose[[#This Row],[Gehzeit (min)]]+Lose[[#This Row],[Aufgaben-zeit (min)]]),5))</f>
        <v>0</v>
      </c>
      <c r="P96">
        <v>10.5</v>
      </c>
      <c r="Q96" t="str">
        <f>IFERROR(ROUND(Lose[[#This Row],[Distanz (km)]]*60/Lose[[#This Row],[Gehzeit (min)]],1),"")</f>
        <v/>
      </c>
      <c r="R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96">
        <f>IFERROR(Lose[[#This Row],[Distanz (km)]]-Lose[[#This Row],[Check Distanz]],"")</f>
        <v>-0.11</v>
      </c>
      <c r="T96" s="60">
        <f>IFERROR(Lose[[#This Row],[Check Umweg]]/Lose[[#This Row],[Check Distanz]],"")</f>
        <v>-1</v>
      </c>
      <c r="U96">
        <f ca="1">IF(RIGHT(Lose[[#This Row],[LosID]],1)="b",_xlfn.XLOOKUP(REPLACE(Lose[[#This Row],[LosID]],LEN(Lose[[#This Row],[LosID]]),1,"a"),Lose[LosID],Lose[Zufallszahl],"",0),RAND())</f>
        <v>0.90469708195054988</v>
      </c>
      <c r="V96" t="b" cm="1">
        <f t="array" aca="1" ref="V96" ca="1">Lose[[#This Row],[Zufallszahl]]&gt;=IFERROR(LARGE((LEFT(Lose[LosID],FIND("-",Lose[LosID])-1)=LEFT(Lose[[#This Row],[LosID]],FIND("-",Lose[[#This Row],[LosID]])-1))*Lose[Zufallszahl],_xlfn.XLOOKUP(LEFT(Lose[[#This Row],[LosID]],FIND("-",Lose[[#This Row],[LosID]])-1),Ziehungsanzahl[Kürzel],Ziehungsanzahl[Kontingent],FALSE,0)),9999)</f>
        <v>0</v>
      </c>
    </row>
    <row r="97" spans="1:23" ht="30" hidden="1">
      <c r="A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7" t="s">
        <v>23357</v>
      </c>
      <c r="C97" s="92" t="s">
        <v>1223</v>
      </c>
      <c r="D97" s="1" t="s">
        <v>1225</v>
      </c>
      <c r="E97" t="s">
        <v>23</v>
      </c>
      <c r="F97" t="s">
        <v>23626</v>
      </c>
      <c r="K97" t="str" cm="1">
        <f t="array" ref="K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Sonneberg(Thür)Hbf</v>
      </c>
      <c r="L97" t="str">
        <f>IFERROR(LEFT(TRIM(Lose[[#This Row],[Google Koordinaten]]),9),"")</f>
        <v>50.355845</v>
      </c>
      <c r="M97" t="str">
        <f>IFERROR(MID(TRIM(Lose[[#This Row],[Google Koordinaten]]),
FIND(",",TRIM(Lose[[#This Row],[Google Koordinaten]])) + 2,9),"")</f>
        <v>11.168742</v>
      </c>
      <c r="N97">
        <f>IF(Lose[[#This Row],[Bahn-hofs-zeit]]=0,0,MROUND(30*25^((Lose[[#This Row],[Bahn-hofs-zeit]]-_xlfn.MINIFS(Lose[Bahn-hofs-zeit],Lose[Bahn-hofs-zeit],"&gt;0"))/(MAX(Lose[Bahn-hofs-zeit])-_xlfn.MINIFS(Lose[Bahn-hofs-zeit],Lose[Bahn-hofs-zeit],"&gt;0"))),5))</f>
        <v>220</v>
      </c>
      <c r="O97">
        <f>IF(Lose[[#This Row],[Gehzeit (min)]]="",0,CEILING(3*(Lose[[#This Row],[Gehzeit (min)]]+Lose[[#This Row],[Aufgaben-zeit (min)]]),5))</f>
        <v>0</v>
      </c>
      <c r="P97">
        <v>10.25</v>
      </c>
      <c r="Q97" t="str">
        <f>IFERROR(ROUND(Lose[[#This Row],[Distanz (km)]]*60/Lose[[#This Row],[Gehzeit (min)]],1),"")</f>
        <v/>
      </c>
      <c r="R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97">
        <f>IFERROR(Lose[[#This Row],[Distanz (km)]]-Lose[[#This Row],[Check Distanz]],"")</f>
        <v>-0.09</v>
      </c>
      <c r="T97" s="60">
        <f>IFERROR(Lose[[#This Row],[Check Umweg]]/Lose[[#This Row],[Check Distanz]],"")</f>
        <v>-1</v>
      </c>
      <c r="U97">
        <f ca="1">IF(RIGHT(Lose[[#This Row],[LosID]],1)="b",_xlfn.XLOOKUP(REPLACE(Lose[[#This Row],[LosID]],LEN(Lose[[#This Row],[LosID]]),1,"a"),Lose[LosID],Lose[Zufallszahl],"",0),RAND())</f>
        <v>0.90469708195054988</v>
      </c>
      <c r="V97" t="b" cm="1">
        <f t="array" aca="1" ref="V97" ca="1">Lose[[#This Row],[Zufallszahl]]&gt;=IFERROR(LARGE((LEFT(Lose[LosID],FIND("-",Lose[LosID])-1)=LEFT(Lose[[#This Row],[LosID]],FIND("-",Lose[[#This Row],[LosID]])-1))*Lose[Zufallszahl],_xlfn.XLOOKUP(LEFT(Lose[[#This Row],[LosID]],FIND("-",Lose[[#This Row],[LosID]])-1),Ziehungsanzahl[Kürzel],Ziehungsanzahl[Kontingent],FALSE,0)),9999)</f>
        <v>0</v>
      </c>
    </row>
    <row r="98" spans="1:23" ht="30" hidden="1">
      <c r="A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8" t="s">
        <v>23352</v>
      </c>
      <c r="C98" s="92" t="s">
        <v>23627</v>
      </c>
      <c r="D98" s="1" t="s">
        <v>23628</v>
      </c>
      <c r="E98" t="s">
        <v>23</v>
      </c>
      <c r="F98" t="s">
        <v>23</v>
      </c>
      <c r="G98" t="s">
        <v>23</v>
      </c>
      <c r="K98" t="s">
        <v>10089</v>
      </c>
      <c r="L98" t="str">
        <f>IFERROR(LEFT(TRIM(Lose[[#This Row],[Google Koordinaten]]),9),"")</f>
        <v/>
      </c>
      <c r="M98" t="str">
        <f>IFERROR(MID(TRIM(Lose[[#This Row],[Google Koordinaten]]),
FIND(",",TRIM(Lose[[#This Row],[Google Koordinaten]])) + 2,9),"")</f>
        <v/>
      </c>
      <c r="N98">
        <f>IF(Lose[[#This Row],[Bahn-hofs-zeit]]=0,0,MROUND(30*25^((Lose[[#This Row],[Bahn-hofs-zeit]]-_xlfn.MINIFS(Lose[Bahn-hofs-zeit],Lose[Bahn-hofs-zeit],"&gt;0"))/(MAX(Lose[Bahn-hofs-zeit])-_xlfn.MINIFS(Lose[Bahn-hofs-zeit],Lose[Bahn-hofs-zeit],"&gt;0"))),5))</f>
        <v>95</v>
      </c>
      <c r="O98">
        <f>IF(Lose[[#This Row],[Gehzeit (min)]]="",0,CEILING(3*(Lose[[#This Row],[Gehzeit (min)]]+Lose[[#This Row],[Aufgaben-zeit (min)]]),5))</f>
        <v>0</v>
      </c>
      <c r="P98">
        <v>7.25</v>
      </c>
      <c r="Q98" t="str">
        <f>IFERROR(ROUND(Lose[[#This Row],[Distanz (km)]]*60/Lose[[#This Row],[Gehzeit (min)]],1),"")</f>
        <v/>
      </c>
      <c r="R9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98" t="str">
        <f>IFERROR(Lose[[#This Row],[Distanz (km)]]-Lose[[#This Row],[Check Distanz]],"")</f>
        <v/>
      </c>
      <c r="T98" s="60" t="str">
        <f>IFERROR(Lose[[#This Row],[Check Umweg]]/Lose[[#This Row],[Check Distanz]],"")</f>
        <v/>
      </c>
      <c r="U98">
        <f ca="1">IF(RIGHT(Lose[[#This Row],[LosID]],1)="b",_xlfn.XLOOKUP(REPLACE(Lose[[#This Row],[LosID]],LEN(Lose[[#This Row],[LosID]]),1,"a"),Lose[LosID],Lose[Zufallszahl],"",0),RAND())</f>
        <v>1.0306662392210009E-2</v>
      </c>
      <c r="V98" t="b" cm="1">
        <f t="array" aca="1" ref="V98" ca="1">Lose[[#This Row],[Zufallszahl]]&gt;=IFERROR(LARGE((LEFT(Lose[LosID],FIND("-",Lose[LosID])-1)=LEFT(Lose[[#This Row],[LosID]],FIND("-",Lose[[#This Row],[LosID]])-1))*Lose[Zufallszahl],_xlfn.XLOOKUP(LEFT(Lose[[#This Row],[LosID]],FIND("-",Lose[[#This Row],[LosID]])-1),Ziehungsanzahl[Kürzel],Ziehungsanzahl[Kontingent],FALSE,0)),9999)</f>
        <v>0</v>
      </c>
    </row>
    <row r="99" spans="1:23" ht="30" hidden="1">
      <c r="A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9" t="s">
        <v>23352</v>
      </c>
      <c r="C99" s="92" t="s">
        <v>23629</v>
      </c>
      <c r="D99" s="1" t="s">
        <v>23630</v>
      </c>
      <c r="E99" t="s">
        <v>23</v>
      </c>
      <c r="F99" t="s">
        <v>23</v>
      </c>
      <c r="G99" t="s">
        <v>23</v>
      </c>
      <c r="K99" t="s">
        <v>10152</v>
      </c>
      <c r="L99" t="str">
        <f>IFERROR(LEFT(TRIM(Lose[[#This Row],[Google Koordinaten]]),9),"")</f>
        <v/>
      </c>
      <c r="M99" t="str">
        <f>IFERROR(MID(TRIM(Lose[[#This Row],[Google Koordinaten]]),
FIND(",",TRIM(Lose[[#This Row],[Google Koordinaten]])) + 2,9),"")</f>
        <v/>
      </c>
      <c r="N99">
        <f>IF(Lose[[#This Row],[Bahn-hofs-zeit]]=0,0,MROUND(30*25^((Lose[[#This Row],[Bahn-hofs-zeit]]-_xlfn.MINIFS(Lose[Bahn-hofs-zeit],Lose[Bahn-hofs-zeit],"&gt;0"))/(MAX(Lose[Bahn-hofs-zeit])-_xlfn.MINIFS(Lose[Bahn-hofs-zeit],Lose[Bahn-hofs-zeit],"&gt;0"))),5))</f>
        <v>125</v>
      </c>
      <c r="O99">
        <f>IF(Lose[[#This Row],[Gehzeit (min)]]="",0,CEILING(3*(Lose[[#This Row],[Gehzeit (min)]]+Lose[[#This Row],[Aufgaben-zeit (min)]]),5))</f>
        <v>0</v>
      </c>
      <c r="P99">
        <v>8.25</v>
      </c>
      <c r="Q99" t="str">
        <f>IFERROR(ROUND(Lose[[#This Row],[Distanz (km)]]*60/Lose[[#This Row],[Gehzeit (min)]],1),"")</f>
        <v/>
      </c>
      <c r="R9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99" t="str">
        <f>IFERROR(Lose[[#This Row],[Distanz (km)]]-Lose[[#This Row],[Check Distanz]],"")</f>
        <v/>
      </c>
      <c r="T99" s="60" t="str">
        <f>IFERROR(Lose[[#This Row],[Check Umweg]]/Lose[[#This Row],[Check Distanz]],"")</f>
        <v/>
      </c>
      <c r="U99">
        <f ca="1">IF(RIGHT(Lose[[#This Row],[LosID]],1)="b",_xlfn.XLOOKUP(REPLACE(Lose[[#This Row],[LosID]],LEN(Lose[[#This Row],[LosID]]),1,"a"),Lose[LosID],Lose[Zufallszahl],"",0),RAND())</f>
        <v>1.0306662392210009E-2</v>
      </c>
      <c r="V99" t="b" cm="1">
        <f t="array" aca="1" ref="V99" ca="1">Lose[[#This Row],[Zufallszahl]]&gt;=IFERROR(LARGE((LEFT(Lose[LosID],FIND("-",Lose[LosID])-1)=LEFT(Lose[[#This Row],[LosID]],FIND("-",Lose[[#This Row],[LosID]])-1))*Lose[Zufallszahl],_xlfn.XLOOKUP(LEFT(Lose[[#This Row],[LosID]],FIND("-",Lose[[#This Row],[LosID]])-1),Ziehungsanzahl[Kürzel],Ziehungsanzahl[Kontingent],FALSE,0)),9999)</f>
        <v>0</v>
      </c>
    </row>
    <row r="100" spans="1:23" hidden="1">
      <c r="A1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0" t="s">
        <v>23380</v>
      </c>
      <c r="C100" s="92" t="s">
        <v>23631</v>
      </c>
      <c r="D100" s="33" t="s">
        <v>23632</v>
      </c>
      <c r="F100" t="s">
        <v>23633</v>
      </c>
      <c r="K100" t="str" cm="1">
        <f t="array" ref="K1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West</v>
      </c>
      <c r="L100" t="str">
        <f>IFERROR(LEFT(TRIM(Lose[[#This Row],[Google Koordinaten]]),9),"")</f>
        <v>48.983063</v>
      </c>
      <c r="M100" t="str">
        <f>IFERROR(MID(TRIM(Lose[[#This Row],[Google Koordinaten]]),
FIND(",",TRIM(Lose[[#This Row],[Google Koordinaten]])) + 2,9),"")</f>
        <v>8.7816418</v>
      </c>
      <c r="N100">
        <f>IF(Lose[[#This Row],[Bahn-hofs-zeit]]=0,0,MROUND(30*25^((Lose[[#This Row],[Bahn-hofs-zeit]]-_xlfn.MINIFS(Lose[Bahn-hofs-zeit],Lose[Bahn-hofs-zeit],"&gt;0"))/(MAX(Lose[Bahn-hofs-zeit])-_xlfn.MINIFS(Lose[Bahn-hofs-zeit],Lose[Bahn-hofs-zeit],"&gt;0"))),5))</f>
        <v>110</v>
      </c>
      <c r="O100">
        <f>IF(Lose[[#This Row],[Gehzeit (min)]]="",0,CEILING(3*(Lose[[#This Row],[Gehzeit (min)]]+Lose[[#This Row],[Aufgaben-zeit (min)]]),5))</f>
        <v>0</v>
      </c>
      <c r="P100">
        <v>7.75</v>
      </c>
      <c r="Q100" t="str">
        <f>IFERROR(ROUND(Lose[[#This Row],[Distanz (km)]]*60/Lose[[#This Row],[Gehzeit (min)]],1),"")</f>
        <v/>
      </c>
      <c r="R1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100">
        <f>IFERROR(Lose[[#This Row],[Distanz (km)]]-Lose[[#This Row],[Check Distanz]],"")</f>
        <v>-7.0000000000000007E-2</v>
      </c>
      <c r="T100" s="60">
        <f>IFERROR(Lose[[#This Row],[Check Umweg]]/Lose[[#This Row],[Check Distanz]],"")</f>
        <v>-1</v>
      </c>
      <c r="U100">
        <f ca="1">IF(RIGHT(Lose[[#This Row],[LosID]],1)="b",_xlfn.XLOOKUP(REPLACE(Lose[[#This Row],[LosID]],LEN(Lose[[#This Row],[LosID]]),1,"a"),Lose[LosID],Lose[Zufallszahl],"",0),RAND())</f>
        <v>8.7942762756409665E-2</v>
      </c>
      <c r="V100" t="b" cm="1">
        <f t="array" aca="1" ref="V100" ca="1">Lose[[#This Row],[Zufallszahl]]&gt;=IFERROR(LARGE((LEFT(Lose[LosID],FIND("-",Lose[LosID])-1)=LEFT(Lose[[#This Row],[LosID]],FIND("-",Lose[[#This Row],[LosID]])-1))*Lose[Zufallszahl],_xlfn.XLOOKUP(LEFT(Lose[[#This Row],[LosID]],FIND("-",Lose[[#This Row],[LosID]])-1),Ziehungsanzahl[Kürzel],Ziehungsanzahl[Kontingent],FALSE,0)),9999)</f>
        <v>0</v>
      </c>
    </row>
    <row r="101" spans="1:23" hidden="1">
      <c r="A1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1" t="s">
        <v>23380</v>
      </c>
      <c r="C101" s="92" t="s">
        <v>23634</v>
      </c>
      <c r="D101" s="33" t="s">
        <v>23635</v>
      </c>
      <c r="F101" t="s">
        <v>23636</v>
      </c>
      <c r="K101" t="str" cm="1">
        <f t="array" ref="K1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Schnabelwaid</v>
      </c>
      <c r="L101" t="str">
        <f>IFERROR(LEFT(TRIM(Lose[[#This Row],[Google Koordinaten]]),9),"")</f>
        <v>49.810972</v>
      </c>
      <c r="M101" t="str">
        <f>IFERROR(MID(TRIM(Lose[[#This Row],[Google Koordinaten]]),
FIND(",",TRIM(Lose[[#This Row],[Google Koordinaten]])) + 2,9),"")</f>
        <v>11.595990</v>
      </c>
      <c r="N101">
        <f>IF(Lose[[#This Row],[Bahn-hofs-zeit]]=0,0,MROUND(30*25^((Lose[[#This Row],[Bahn-hofs-zeit]]-_xlfn.MINIFS(Lose[Bahn-hofs-zeit],Lose[Bahn-hofs-zeit],"&gt;0"))/(MAX(Lose[Bahn-hofs-zeit])-_xlfn.MINIFS(Lose[Bahn-hofs-zeit],Lose[Bahn-hofs-zeit],"&gt;0"))),5))</f>
        <v>295</v>
      </c>
      <c r="O101">
        <f>IF(Lose[[#This Row],[Gehzeit (min)]]="",0,CEILING(3*(Lose[[#This Row],[Gehzeit (min)]]+Lose[[#This Row],[Aufgaben-zeit (min)]]),5))</f>
        <v>0</v>
      </c>
      <c r="P101">
        <v>11.25</v>
      </c>
      <c r="Q101" t="str">
        <f>IFERROR(ROUND(Lose[[#This Row],[Distanz (km)]]*60/Lose[[#This Row],[Gehzeit (min)]],1),"")</f>
        <v/>
      </c>
      <c r="R1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01">
        <f>IFERROR(Lose[[#This Row],[Distanz (km)]]-Lose[[#This Row],[Check Distanz]],"")</f>
        <v>-0.06</v>
      </c>
      <c r="T101" s="60">
        <f>IFERROR(Lose[[#This Row],[Check Umweg]]/Lose[[#This Row],[Check Distanz]],"")</f>
        <v>-1</v>
      </c>
      <c r="U101">
        <f ca="1">IF(RIGHT(Lose[[#This Row],[LosID]],1)="b",_xlfn.XLOOKUP(REPLACE(Lose[[#This Row],[LosID]],LEN(Lose[[#This Row],[LosID]]),1,"a"),Lose[LosID],Lose[Zufallszahl],"",0),RAND())</f>
        <v>8.7942762756409665E-2</v>
      </c>
      <c r="V101" t="b" cm="1">
        <f t="array" aca="1" ref="V101" ca="1">Lose[[#This Row],[Zufallszahl]]&gt;=IFERROR(LARGE((LEFT(Lose[LosID],FIND("-",Lose[LosID])-1)=LEFT(Lose[[#This Row],[LosID]],FIND("-",Lose[[#This Row],[LosID]])-1))*Lose[Zufallszahl],_xlfn.XLOOKUP(LEFT(Lose[[#This Row],[LosID]],FIND("-",Lose[[#This Row],[LosID]])-1),Ziehungsanzahl[Kürzel],Ziehungsanzahl[Kontingent],FALSE,0)),9999)</f>
        <v>0</v>
      </c>
    </row>
    <row r="102" spans="1:23">
      <c r="A1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2" t="s">
        <v>23385</v>
      </c>
      <c r="C102" s="92" t="s">
        <v>23637</v>
      </c>
      <c r="D102" s="1" t="s">
        <v>23638</v>
      </c>
      <c r="F102" t="s">
        <v>23639</v>
      </c>
      <c r="K102" t="str" cm="1">
        <f t="array" ref="K1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Amberg</v>
      </c>
      <c r="L102" t="str">
        <f>IFERROR(LEFT(TRIM(Lose[[#This Row],[Google Koordinaten]]),9),"")</f>
        <v>49.445200</v>
      </c>
      <c r="M102" t="str">
        <f>IFERROR(MID(TRIM(Lose[[#This Row],[Google Koordinaten]]),
FIND(",",TRIM(Lose[[#This Row],[Google Koordinaten]])) + 2,9),"")</f>
        <v>11.852773</v>
      </c>
      <c r="N102">
        <f>IF(Lose[[#This Row],[Bahn-hofs-zeit]]=0,0,MROUND(30*25^((Lose[[#This Row],[Bahn-hofs-zeit]]-_xlfn.MINIFS(Lose[Bahn-hofs-zeit],Lose[Bahn-hofs-zeit],"&gt;0"))/(MAX(Lose[Bahn-hofs-zeit])-_xlfn.MINIFS(Lose[Bahn-hofs-zeit],Lose[Bahn-hofs-zeit],"&gt;0"))),5))</f>
        <v>220</v>
      </c>
      <c r="O102">
        <f>IF(Lose[[#This Row],[Gehzeit (min)]]="",0,CEILING(3*(Lose[[#This Row],[Gehzeit (min)]]+Lose[[#This Row],[Aufgaben-zeit (min)]]),5))</f>
        <v>0</v>
      </c>
      <c r="P102">
        <v>10.25</v>
      </c>
      <c r="Q102" t="str">
        <f>IFERROR(ROUND(Lose[[#This Row],[Distanz (km)]]*60/Lose[[#This Row],[Gehzeit (min)]],1),"")</f>
        <v/>
      </c>
      <c r="R1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02">
        <f>IFERROR(Lose[[#This Row],[Distanz (km)]]-Lose[[#This Row],[Check Distanz]],"")</f>
        <v>-0.78</v>
      </c>
      <c r="T102" s="60">
        <f>IFERROR(Lose[[#This Row],[Check Umweg]]/Lose[[#This Row],[Check Distanz]],"")</f>
        <v>-1</v>
      </c>
      <c r="U102">
        <f ca="1">IF(RIGHT(Lose[[#This Row],[LosID]],1)="b",_xlfn.XLOOKUP(REPLACE(Lose[[#This Row],[LosID]],LEN(Lose[[#This Row],[LosID]]),1,"a"),Lose[LosID],Lose[Zufallszahl],"",0),RAND())</f>
        <v>0.40264703771845067</v>
      </c>
      <c r="V102" t="b" cm="1">
        <f t="array" aca="1" ref="V102" ca="1">Lose[[#This Row],[Zufallszahl]]&gt;=IFERROR(LARGE((LEFT(Lose[LosID],FIND("-",Lose[LosID])-1)=LEFT(Lose[[#This Row],[LosID]],FIND("-",Lose[[#This Row],[LosID]])-1))*Lose[Zufallszahl],_xlfn.XLOOKUP(LEFT(Lose[[#This Row],[LosID]],FIND("-",Lose[[#This Row],[LosID]])-1),Ziehungsanzahl[Kürzel],Ziehungsanzahl[Kontingent],FALSE,0)),9999)</f>
        <v>0</v>
      </c>
    </row>
    <row r="103" spans="1:23">
      <c r="A1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3" t="s">
        <v>23385</v>
      </c>
      <c r="C103" s="92" t="s">
        <v>23640</v>
      </c>
      <c r="D103" s="1" t="s">
        <v>23641</v>
      </c>
      <c r="F103" t="s">
        <v>23642</v>
      </c>
      <c r="K103" t="str" cm="1">
        <f t="array" ref="K1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Bamberg</v>
      </c>
      <c r="L103" t="str">
        <f>IFERROR(LEFT(TRIM(Lose[[#This Row],[Google Koordinaten]]),9),"")</f>
        <v>49.891834</v>
      </c>
      <c r="M103" t="str">
        <f>IFERROR(MID(TRIM(Lose[[#This Row],[Google Koordinaten]]),
FIND(",",TRIM(Lose[[#This Row],[Google Koordinaten]])) + 2,9),"")</f>
        <v>10.886685</v>
      </c>
      <c r="N103">
        <f>IF(Lose[[#This Row],[Bahn-hofs-zeit]]=0,0,MROUND(30*25^((Lose[[#This Row],[Bahn-hofs-zeit]]-_xlfn.MINIFS(Lose[Bahn-hofs-zeit],Lose[Bahn-hofs-zeit],"&gt;0"))/(MAX(Lose[Bahn-hofs-zeit])-_xlfn.MINIFS(Lose[Bahn-hofs-zeit],Lose[Bahn-hofs-zeit],"&gt;0"))),5))</f>
        <v>95</v>
      </c>
      <c r="O103">
        <f>IF(Lose[[#This Row],[Gehzeit (min)]]="",0,CEILING(3*(Lose[[#This Row],[Gehzeit (min)]]+Lose[[#This Row],[Aufgaben-zeit (min)]]),5))</f>
        <v>0</v>
      </c>
      <c r="P103">
        <v>7.25</v>
      </c>
      <c r="Q103" t="str">
        <f>IFERROR(ROUND(Lose[[#This Row],[Distanz (km)]]*60/Lose[[#This Row],[Gehzeit (min)]],1),"")</f>
        <v/>
      </c>
      <c r="R1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103">
        <f>IFERROR(Lose[[#This Row],[Distanz (km)]]-Lose[[#This Row],[Check Distanz]],"")</f>
        <v>-1.35</v>
      </c>
      <c r="T103" s="60">
        <f>IFERROR(Lose[[#This Row],[Check Umweg]]/Lose[[#This Row],[Check Distanz]],"")</f>
        <v>-1</v>
      </c>
      <c r="U103">
        <f ca="1">IF(RIGHT(Lose[[#This Row],[LosID]],1)="b",_xlfn.XLOOKUP(REPLACE(Lose[[#This Row],[LosID]],LEN(Lose[[#This Row],[LosID]]),1,"a"),Lose[LosID],Lose[Zufallszahl],"",0),RAND())</f>
        <v>0.40264703771845067</v>
      </c>
      <c r="V103" t="b" cm="1">
        <f t="array" aca="1" ref="V103" ca="1">Lose[[#This Row],[Zufallszahl]]&gt;=IFERROR(LARGE((LEFT(Lose[LosID],FIND("-",Lose[LosID])-1)=LEFT(Lose[[#This Row],[LosID]],FIND("-",Lose[[#This Row],[LosID]])-1))*Lose[Zufallszahl],_xlfn.XLOOKUP(LEFT(Lose[[#This Row],[LosID]],FIND("-",Lose[[#This Row],[LosID]])-1),Ziehungsanzahl[Kürzel],Ziehungsanzahl[Kontingent],FALSE,0)),9999)</f>
        <v>0</v>
      </c>
    </row>
    <row r="104" spans="1:23" ht="30" hidden="1">
      <c r="A1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4" t="s">
        <v>23390</v>
      </c>
      <c r="C104" s="93" t="s">
        <v>23643</v>
      </c>
      <c r="D104" s="1" t="s">
        <v>23644</v>
      </c>
      <c r="E104" t="s">
        <v>23</v>
      </c>
      <c r="F104" t="s">
        <v>23</v>
      </c>
      <c r="G104" t="s">
        <v>23</v>
      </c>
      <c r="K104" t="s">
        <v>21505</v>
      </c>
      <c r="L104" t="str">
        <f>IFERROR(LEFT(TRIM(Lose[[#This Row],[Google Koordinaten]]),9),"")</f>
        <v/>
      </c>
      <c r="M104" t="str">
        <f>IFERROR(MID(TRIM(Lose[[#This Row],[Google Koordinaten]]),
FIND(",",TRIM(Lose[[#This Row],[Google Koordinaten]])) + 2,9),"")</f>
        <v/>
      </c>
      <c r="N104">
        <f>IF(Lose[[#This Row],[Bahn-hofs-zeit]]=0,0,MROUND(30*25^((Lose[[#This Row],[Bahn-hofs-zeit]]-_xlfn.MINIFS(Lose[Bahn-hofs-zeit],Lose[Bahn-hofs-zeit],"&gt;0"))/(MAX(Lose[Bahn-hofs-zeit])-_xlfn.MINIFS(Lose[Bahn-hofs-zeit],Lose[Bahn-hofs-zeit],"&gt;0"))),5))</f>
        <v>50</v>
      </c>
      <c r="O104">
        <f>IF(Lose[[#This Row],[Gehzeit (min)]]="",0,CEILING(3*(Lose[[#This Row],[Gehzeit (min)]]+Lose[[#This Row],[Aufgaben-zeit (min)]]),5))</f>
        <v>0</v>
      </c>
      <c r="P104">
        <v>5</v>
      </c>
      <c r="Q104" t="str">
        <f>IFERROR(ROUND(Lose[[#This Row],[Distanz (km)]]*60/Lose[[#This Row],[Gehzeit (min)]],1),"")</f>
        <v/>
      </c>
      <c r="R10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04" t="str">
        <f>IFERROR(Lose[[#This Row],[Distanz (km)]]-Lose[[#This Row],[Check Distanz]],"")</f>
        <v/>
      </c>
      <c r="T104" s="60" t="str">
        <f>IFERROR(Lose[[#This Row],[Check Umweg]]/Lose[[#This Row],[Check Distanz]],"")</f>
        <v/>
      </c>
      <c r="U104">
        <f ca="1">IF(RIGHT(Lose[[#This Row],[LosID]],1)="b",_xlfn.XLOOKUP(REPLACE(Lose[[#This Row],[LosID]],LEN(Lose[[#This Row],[LosID]]),1,"a"),Lose[LosID],Lose[Zufallszahl],"",0),RAND())</f>
        <v>0.9713984984269578</v>
      </c>
      <c r="V104" t="b" cm="1">
        <f t="array" aca="1" ref="V104" ca="1">Lose[[#This Row],[Zufallszahl]]&gt;=IFERROR(LARGE((LEFT(Lose[LosID],FIND("-",Lose[LosID])-1)=LEFT(Lose[[#This Row],[LosID]],FIND("-",Lose[[#This Row],[LosID]])-1))*Lose[Zufallszahl],_xlfn.XLOOKUP(LEFT(Lose[[#This Row],[LosID]],FIND("-",Lose[[#This Row],[LosID]])-1),Ziehungsanzahl[Kürzel],Ziehungsanzahl[Kontingent],FALSE,0)),9999)</f>
        <v>0</v>
      </c>
    </row>
    <row r="105" spans="1:23" ht="30" hidden="1">
      <c r="A1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5" t="s">
        <v>23390</v>
      </c>
      <c r="C105" s="93" t="s">
        <v>23645</v>
      </c>
      <c r="D105" s="1" t="s">
        <v>23646</v>
      </c>
      <c r="E105" t="s">
        <v>23</v>
      </c>
      <c r="F105" t="s">
        <v>23</v>
      </c>
      <c r="G105" t="s">
        <v>23</v>
      </c>
      <c r="K105" t="s">
        <v>23292</v>
      </c>
      <c r="L105" t="str">
        <f>IFERROR(LEFT(TRIM(Lose[[#This Row],[Google Koordinaten]]),9),"")</f>
        <v/>
      </c>
      <c r="M105" t="str">
        <f>IFERROR(MID(TRIM(Lose[[#This Row],[Google Koordinaten]]),
FIND(",",TRIM(Lose[[#This Row],[Google Koordinaten]])) + 2,9),"")</f>
        <v/>
      </c>
      <c r="N105">
        <f>IF(Lose[[#This Row],[Bahn-hofs-zeit]]=0,0,MROUND(30*25^((Lose[[#This Row],[Bahn-hofs-zeit]]-_xlfn.MINIFS(Lose[Bahn-hofs-zeit],Lose[Bahn-hofs-zeit],"&gt;0"))/(MAX(Lose[Bahn-hofs-zeit])-_xlfn.MINIFS(Lose[Bahn-hofs-zeit],Lose[Bahn-hofs-zeit],"&gt;0"))),5))</f>
        <v>220</v>
      </c>
      <c r="O105">
        <f>IF(Lose[[#This Row],[Gehzeit (min)]]="",0,CEILING(3*(Lose[[#This Row],[Gehzeit (min)]]+Lose[[#This Row],[Aufgaben-zeit (min)]]),5))</f>
        <v>0</v>
      </c>
      <c r="P105">
        <v>10.25</v>
      </c>
      <c r="Q105" t="str">
        <f>IFERROR(ROUND(Lose[[#This Row],[Distanz (km)]]*60/Lose[[#This Row],[Gehzeit (min)]],1),"")</f>
        <v/>
      </c>
      <c r="R10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05" t="str">
        <f>IFERROR(Lose[[#This Row],[Distanz (km)]]-Lose[[#This Row],[Check Distanz]],"")</f>
        <v/>
      </c>
      <c r="T105" s="60" t="str">
        <f>IFERROR(Lose[[#This Row],[Check Umweg]]/Lose[[#This Row],[Check Distanz]],"")</f>
        <v/>
      </c>
      <c r="U105">
        <f ca="1">IF(RIGHT(Lose[[#This Row],[LosID]],1)="b",_xlfn.XLOOKUP(REPLACE(Lose[[#This Row],[LosID]],LEN(Lose[[#This Row],[LosID]]),1,"a"),Lose[LosID],Lose[Zufallszahl],"",0),RAND())</f>
        <v>0.9713984984269578</v>
      </c>
      <c r="V105" t="b" cm="1">
        <f t="array" aca="1" ref="V105" ca="1">Lose[[#This Row],[Zufallszahl]]&gt;=IFERROR(LARGE((LEFT(Lose[LosID],FIND("-",Lose[LosID])-1)=LEFT(Lose[[#This Row],[LosID]],FIND("-",Lose[[#This Row],[LosID]])-1))*Lose[Zufallszahl],_xlfn.XLOOKUP(LEFT(Lose[[#This Row],[LosID]],FIND("-",Lose[[#This Row],[LosID]])-1),Ziehungsanzahl[Kürzel],Ziehungsanzahl[Kontingent],FALSE,0)),9999)</f>
        <v>0</v>
      </c>
    </row>
    <row r="106" spans="1:23" ht="60" hidden="1">
      <c r="A1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6" t="s">
        <v>23408</v>
      </c>
      <c r="C106" s="93" t="s">
        <v>23647</v>
      </c>
      <c r="D106" s="1" t="s">
        <v>23648</v>
      </c>
      <c r="E106" t="s">
        <v>23649</v>
      </c>
      <c r="F106" t="s">
        <v>23650</v>
      </c>
      <c r="G106">
        <v>16</v>
      </c>
      <c r="H106">
        <v>3</v>
      </c>
      <c r="I106">
        <v>1.2</v>
      </c>
      <c r="K106" t="str" cm="1">
        <f t="array" ref="K1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Rödermark-Ober Roden</v>
      </c>
      <c r="L106" t="str">
        <f>IFERROR(LEFT(TRIM(Lose[[#This Row],[Google Koordinaten]]),9),"")</f>
        <v>49.968231</v>
      </c>
      <c r="M106" t="str">
        <f>IFERROR(MID(TRIM(Lose[[#This Row],[Google Koordinaten]]),
FIND(",",TRIM(Lose[[#This Row],[Google Koordinaten]])) + 2,9),"")</f>
        <v>8.8378213</v>
      </c>
      <c r="N106">
        <f>IF(Lose[[#This Row],[Bahn-hofs-zeit]]=0,0,MROUND(30*25^((Lose[[#This Row],[Bahn-hofs-zeit]]-_xlfn.MINIFS(Lose[Bahn-hofs-zeit],Lose[Bahn-hofs-zeit],"&gt;0"))/(MAX(Lose[Bahn-hofs-zeit])-_xlfn.MINIFS(Lose[Bahn-hofs-zeit],Lose[Bahn-hofs-zeit],"&gt;0"))),5))</f>
        <v>55</v>
      </c>
      <c r="O106">
        <f>IF(Lose[[#This Row],[Gehzeit (min)]]="",0,CEILING(3*(Lose[[#This Row],[Gehzeit (min)]]+Lose[[#This Row],[Aufgaben-zeit (min)]]),5))</f>
        <v>60</v>
      </c>
      <c r="P106">
        <v>5.25</v>
      </c>
      <c r="Q106">
        <f>IFERROR(ROUND(Lose[[#This Row],[Distanz (km)]]*60/Lose[[#This Row],[Gehzeit (min)]],1),"")</f>
        <v>4.5</v>
      </c>
      <c r="R1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106">
        <f>IFERROR(Lose[[#This Row],[Distanz (km)]]-Lose[[#This Row],[Check Distanz]],"")</f>
        <v>0.32999999999999996</v>
      </c>
      <c r="T106" s="60">
        <f>IFERROR(Lose[[#This Row],[Check Umweg]]/Lose[[#This Row],[Check Distanz]],"")</f>
        <v>0.37931034482758619</v>
      </c>
      <c r="U106">
        <f ca="1">IF(RIGHT(Lose[[#This Row],[LosID]],1)="b",_xlfn.XLOOKUP(REPLACE(Lose[[#This Row],[LosID]],LEN(Lose[[#This Row],[LosID]]),1,"a"),Lose[LosID],Lose[Zufallszahl],"",0),RAND())</f>
        <v>0.30730102842517071</v>
      </c>
      <c r="V106" t="b" cm="1">
        <f t="array" aca="1" ref="V106" ca="1">Lose[[#This Row],[Zufallszahl]]&gt;=IFERROR(LARGE((LEFT(Lose[LosID],FIND("-",Lose[LosID])-1)=LEFT(Lose[[#This Row],[LosID]],FIND("-",Lose[[#This Row],[LosID]])-1))*Lose[Zufallszahl],_xlfn.XLOOKUP(LEFT(Lose[[#This Row],[LosID]],FIND("-",Lose[[#This Row],[LosID]])-1),Ziehungsanzahl[Kürzel],Ziehungsanzahl[Kontingent],FALSE,0)),9999)</f>
        <v>0</v>
      </c>
    </row>
    <row r="107" spans="1:23" ht="150" hidden="1">
      <c r="A1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7" t="s">
        <v>23380</v>
      </c>
      <c r="C107" s="93" t="s">
        <v>1272</v>
      </c>
      <c r="D107" s="1" t="s">
        <v>23651</v>
      </c>
      <c r="E107" t="s">
        <v>23652</v>
      </c>
      <c r="F107" t="s">
        <v>23653</v>
      </c>
      <c r="G107">
        <v>4</v>
      </c>
      <c r="H107">
        <v>6</v>
      </c>
      <c r="I107">
        <v>0.3</v>
      </c>
      <c r="J107">
        <v>25</v>
      </c>
      <c r="K107" t="str" cm="1">
        <f t="array" ref="K1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107" t="str">
        <f>IFERROR(LEFT(TRIM(Lose[[#This Row],[Google Koordinaten]]),9),"")</f>
        <v>50.938715</v>
      </c>
      <c r="M107" t="str">
        <f>IFERROR(MID(TRIM(Lose[[#This Row],[Google Koordinaten]]),
FIND(",",TRIM(Lose[[#This Row],[Google Koordinaten]])) + 2,9),"")</f>
        <v>6.9743534</v>
      </c>
      <c r="N107">
        <f>IF(Lose[[#This Row],[Bahn-hofs-zeit]]=0,0,MROUND(30*25^((Lose[[#This Row],[Bahn-hofs-zeit]]-_xlfn.MINIFS(Lose[Bahn-hofs-zeit],Lose[Bahn-hofs-zeit],"&gt;0"))/(MAX(Lose[Bahn-hofs-zeit])-_xlfn.MINIFS(Lose[Bahn-hofs-zeit],Lose[Bahn-hofs-zeit],"&gt;0"))),5))</f>
        <v>30</v>
      </c>
      <c r="O107">
        <f>IF(Lose[[#This Row],[Gehzeit (min)]]="",0,CEILING(3*(Lose[[#This Row],[Gehzeit (min)]]+Lose[[#This Row],[Aufgaben-zeit (min)]]),5))</f>
        <v>30</v>
      </c>
      <c r="P107">
        <v>3.5</v>
      </c>
      <c r="Q107">
        <f>IFERROR(ROUND(Lose[[#This Row],[Distanz (km)]]*60/Lose[[#This Row],[Gehzeit (min)]],1),"")</f>
        <v>4.5</v>
      </c>
      <c r="R1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107">
        <f>IFERROR(Lose[[#This Row],[Distanz (km)]]-Lose[[#This Row],[Check Distanz]],"")</f>
        <v>0.06</v>
      </c>
      <c r="T107" s="60">
        <f>IFERROR(Lose[[#This Row],[Check Umweg]]/Lose[[#This Row],[Check Distanz]],"")</f>
        <v>0.25</v>
      </c>
      <c r="U107">
        <f ca="1">IF(RIGHT(Lose[[#This Row],[LosID]],1)="b",_xlfn.XLOOKUP(REPLACE(Lose[[#This Row],[LosID]],LEN(Lose[[#This Row],[LosID]]),1,"a"),Lose[LosID],Lose[Zufallszahl],"",0),RAND())</f>
        <v>0.58904672746427555</v>
      </c>
      <c r="V107" t="b" cm="1">
        <f t="array" aca="1" ref="V107" ca="1">Lose[[#This Row],[Zufallszahl]]&gt;=IFERROR(LARGE((LEFT(Lose[LosID],FIND("-",Lose[LosID])-1)=LEFT(Lose[[#This Row],[LosID]],FIND("-",Lose[[#This Row],[LosID]])-1))*Lose[Zufallszahl],_xlfn.XLOOKUP(LEFT(Lose[[#This Row],[LosID]],FIND("-",Lose[[#This Row],[LosID]])-1),Ziehungsanzahl[Kürzel],Ziehungsanzahl[Kontingent],FALSE,0)),9999)</f>
        <v>0</v>
      </c>
    </row>
    <row r="108" spans="1:23" ht="120">
      <c r="A1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8" t="s">
        <v>23385</v>
      </c>
      <c r="C108" s="93" t="s">
        <v>1273</v>
      </c>
      <c r="D108" s="1" t="s">
        <v>23654</v>
      </c>
      <c r="E108" t="s">
        <v>23655</v>
      </c>
      <c r="F108" t="s">
        <v>23656</v>
      </c>
      <c r="G108">
        <v>16</v>
      </c>
      <c r="H108">
        <v>5</v>
      </c>
      <c r="I108">
        <v>1.2</v>
      </c>
      <c r="J108">
        <v>20</v>
      </c>
      <c r="K108" t="str" cm="1">
        <f t="array" ref="K1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108" t="str">
        <f>IFERROR(LEFT(TRIM(Lose[[#This Row],[Google Koordinaten]]),9),"")</f>
        <v>52.022228</v>
      </c>
      <c r="M108" t="str">
        <f>IFERROR(MID(TRIM(Lose[[#This Row],[Google Koordinaten]]),
FIND(",",TRIM(Lose[[#This Row],[Google Koordinaten]])) + 2,9),"")</f>
        <v>8.5292309</v>
      </c>
      <c r="N108">
        <f>IF(Lose[[#This Row],[Bahn-hofs-zeit]]=0,0,MROUND(30*25^((Lose[[#This Row],[Bahn-hofs-zeit]]-_xlfn.MINIFS(Lose[Bahn-hofs-zeit],Lose[Bahn-hofs-zeit],"&gt;0"))/(MAX(Lose[Bahn-hofs-zeit])-_xlfn.MINIFS(Lose[Bahn-hofs-zeit],Lose[Bahn-hofs-zeit],"&gt;0"))),5))</f>
        <v>50</v>
      </c>
      <c r="O108">
        <f>IF(Lose[[#This Row],[Gehzeit (min)]]="",0,CEILING(3*(Lose[[#This Row],[Gehzeit (min)]]+Lose[[#This Row],[Aufgaben-zeit (min)]]),5))</f>
        <v>65</v>
      </c>
      <c r="P108">
        <v>5</v>
      </c>
      <c r="Q108">
        <f>IFERROR(ROUND(Lose[[#This Row],[Distanz (km)]]*60/Lose[[#This Row],[Gehzeit (min)]],1),"")</f>
        <v>4.5</v>
      </c>
      <c r="R1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108">
        <f>IFERROR(Lose[[#This Row],[Distanz (km)]]-Lose[[#This Row],[Check Distanz]],"")</f>
        <v>0.38</v>
      </c>
      <c r="T108" s="60">
        <f>IFERROR(Lose[[#This Row],[Check Umweg]]/Lose[[#This Row],[Check Distanz]],"")</f>
        <v>0.46341463414634149</v>
      </c>
      <c r="U108">
        <f ca="1">IF(RIGHT(Lose[[#This Row],[LosID]],1)="b",_xlfn.XLOOKUP(REPLACE(Lose[[#This Row],[LosID]],LEN(Lose[[#This Row],[LosID]]),1,"a"),Lose[LosID],Lose[Zufallszahl],"",0),RAND())</f>
        <v>0.47182620637180883</v>
      </c>
      <c r="V108" t="b" cm="1">
        <f t="array" aca="1" ref="V108" ca="1">Lose[[#This Row],[Zufallszahl]]&gt;=IFERROR(LARGE((LEFT(Lose[LosID],FIND("-",Lose[LosID])-1)=LEFT(Lose[[#This Row],[LosID]],FIND("-",Lose[[#This Row],[LosID]])-1))*Lose[Zufallszahl],_xlfn.XLOOKUP(LEFT(Lose[[#This Row],[LosID]],FIND("-",Lose[[#This Row],[LosID]])-1),Ziehungsanzahl[Kürzel],Ziehungsanzahl[Kontingent],FALSE,0)),9999)</f>
        <v>0</v>
      </c>
    </row>
    <row r="109" spans="1:23" ht="75" hidden="1">
      <c r="A1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9" t="s">
        <v>23390</v>
      </c>
      <c r="C109" s="93" t="s">
        <v>23657</v>
      </c>
      <c r="D109" s="1" t="s">
        <v>23658</v>
      </c>
      <c r="E109" s="1" t="s">
        <v>23659</v>
      </c>
      <c r="F109" t="s">
        <v>23660</v>
      </c>
      <c r="G109">
        <v>8</v>
      </c>
      <c r="H109">
        <v>8</v>
      </c>
      <c r="I109">
        <v>0.6</v>
      </c>
      <c r="J109">
        <v>5</v>
      </c>
      <c r="K109" t="str" cm="1">
        <f t="array" ref="K1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 Stadtmitte</v>
      </c>
      <c r="L109" t="str">
        <f>IFERROR(LEFT(TRIM(Lose[[#This Row],[Google Koordinaten]]),9),"")</f>
        <v>50.360800</v>
      </c>
      <c r="M109" t="str">
        <f>IFERROR(MID(TRIM(Lose[[#This Row],[Google Koordinaten]]),
FIND(",",TRIM(Lose[[#This Row],[Google Koordinaten]])) + 2,9),"")</f>
        <v>7.596630</v>
      </c>
      <c r="N109">
        <f>IF(Lose[[#This Row],[Bahn-hofs-zeit]]=0,0,MROUND(30*25^((Lose[[#This Row],[Bahn-hofs-zeit]]-_xlfn.MINIFS(Lose[Bahn-hofs-zeit],Lose[Bahn-hofs-zeit],"&gt;0"))/(MAX(Lose[Bahn-hofs-zeit])-_xlfn.MINIFS(Lose[Bahn-hofs-zeit],Lose[Bahn-hofs-zeit],"&gt;0"))),5))</f>
        <v>55</v>
      </c>
      <c r="O109">
        <f>IF(Lose[[#This Row],[Gehzeit (min)]]="",0,CEILING(3*(Lose[[#This Row],[Gehzeit (min)]]+Lose[[#This Row],[Aufgaben-zeit (min)]]),5))</f>
        <v>50</v>
      </c>
      <c r="P109">
        <v>5.25</v>
      </c>
      <c r="Q109">
        <f>IFERROR(ROUND(Lose[[#This Row],[Distanz (km)]]*60/Lose[[#This Row],[Gehzeit (min)]],1),"")</f>
        <v>4.5</v>
      </c>
      <c r="R1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109">
        <f>IFERROR(Lose[[#This Row],[Distanz (km)]]-Lose[[#This Row],[Check Distanz]],"")</f>
        <v>3.0000000000000027E-2</v>
      </c>
      <c r="T109" s="60">
        <f>IFERROR(Lose[[#This Row],[Check Umweg]]/Lose[[#This Row],[Check Distanz]],"")</f>
        <v>5.2631578947368474E-2</v>
      </c>
      <c r="U109">
        <f ca="1">IF(RIGHT(Lose[[#This Row],[LosID]],1)="b",_xlfn.XLOOKUP(REPLACE(Lose[[#This Row],[LosID]],LEN(Lose[[#This Row],[LosID]]),1,"a"),Lose[LosID],Lose[Zufallszahl],"",0),RAND())</f>
        <v>0.19682463411884954</v>
      </c>
      <c r="V109" t="b" cm="1">
        <f t="array" aca="1" ref="V109" ca="1">Lose[[#This Row],[Zufallszahl]]&gt;=IFERROR(LARGE((LEFT(Lose[LosID],FIND("-",Lose[LosID])-1)=LEFT(Lose[[#This Row],[LosID]],FIND("-",Lose[[#This Row],[LosID]])-1))*Lose[Zufallszahl],_xlfn.XLOOKUP(LEFT(Lose[[#This Row],[LosID]],FIND("-",Lose[[#This Row],[LosID]])-1),Ziehungsanzahl[Kürzel],Ziehungsanzahl[Kontingent],FALSE,0)),9999)</f>
        <v>0</v>
      </c>
    </row>
    <row r="110" spans="1:23" ht="105" hidden="1">
      <c r="A1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10" t="s">
        <v>23394</v>
      </c>
      <c r="C110" s="92" t="s">
        <v>23661</v>
      </c>
      <c r="D110" s="1" t="s">
        <v>23662</v>
      </c>
      <c r="E110" t="s">
        <v>23663</v>
      </c>
      <c r="F110" t="s">
        <v>23664</v>
      </c>
      <c r="G110">
        <v>22</v>
      </c>
      <c r="H110">
        <v>8</v>
      </c>
      <c r="I110">
        <v>1.2</v>
      </c>
      <c r="K110" t="str" cm="1">
        <f t="array" ref="K1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Mayschoß</v>
      </c>
      <c r="L110" t="str">
        <f>IFERROR(LEFT(TRIM(Lose[[#This Row],[Google Koordinaten]]),9),"")</f>
        <v>50.519570</v>
      </c>
      <c r="M110" t="str">
        <f>IFERROR(MID(TRIM(Lose[[#This Row],[Google Koordinaten]]),
FIND(",",TRIM(Lose[[#This Row],[Google Koordinaten]])) + 2,9),"")</f>
        <v>7.0239193</v>
      </c>
      <c r="N110">
        <f>IF(Lose[[#This Row],[Bahn-hofs-zeit]]=0,0,MROUND(30*25^((Lose[[#This Row],[Bahn-hofs-zeit]]-_xlfn.MINIFS(Lose[Bahn-hofs-zeit],Lose[Bahn-hofs-zeit],"&gt;0"))/(MAX(Lose[Bahn-hofs-zeit])-_xlfn.MINIFS(Lose[Bahn-hofs-zeit],Lose[Bahn-hofs-zeit],"&gt;0"))),5))</f>
        <v>95</v>
      </c>
      <c r="O110">
        <f>IF(Lose[[#This Row],[Gehzeit (min)]]="",0,CEILING(3*(Lose[[#This Row],[Gehzeit (min)]]+Lose[[#This Row],[Aufgaben-zeit (min)]]),5))</f>
        <v>90</v>
      </c>
      <c r="P110">
        <v>7.25</v>
      </c>
      <c r="Q110">
        <f>IFERROR(ROUND(Lose[[#This Row],[Distanz (km)]]*60/Lose[[#This Row],[Gehzeit (min)]],1),"")</f>
        <v>3.3</v>
      </c>
      <c r="R1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10">
        <f>IFERROR(Lose[[#This Row],[Distanz (km)]]-Lose[[#This Row],[Check Distanz]],"")</f>
        <v>0.84</v>
      </c>
      <c r="T110" s="60">
        <f>IFERROR(Lose[[#This Row],[Check Umweg]]/Lose[[#This Row],[Check Distanz]],"")</f>
        <v>2.3333333333333335</v>
      </c>
      <c r="U110">
        <f ca="1">IF(RIGHT(Lose[[#This Row],[LosID]],1)="b",_xlfn.XLOOKUP(REPLACE(Lose[[#This Row],[LosID]],LEN(Lose[[#This Row],[LosID]]),1,"a"),Lose[LosID],Lose[Zufallszahl],"",0),RAND())</f>
        <v>0.20287571342620847</v>
      </c>
      <c r="V110" t="b" cm="1">
        <f t="array" aca="1" ref="V110" ca="1">Lose[[#This Row],[Zufallszahl]]&gt;=IFERROR(LARGE((LEFT(Lose[LosID],FIND("-",Lose[LosID])-1)=LEFT(Lose[[#This Row],[LosID]],FIND("-",Lose[[#This Row],[LosID]])-1))*Lose[Zufallszahl],_xlfn.XLOOKUP(LEFT(Lose[[#This Row],[LosID]],FIND("-",Lose[[#This Row],[LosID]])-1),Ziehungsanzahl[Kürzel],Ziehungsanzahl[Kontingent],FALSE,0)),9999)</f>
        <v>0</v>
      </c>
      <c r="W110" t="s">
        <v>23362</v>
      </c>
    </row>
    <row r="111" spans="1:23" ht="75" hidden="1">
      <c r="A1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1" t="s">
        <v>23403</v>
      </c>
      <c r="C111" s="92" t="s">
        <v>1274</v>
      </c>
      <c r="D111" s="1" t="s">
        <v>23665</v>
      </c>
      <c r="E111" t="s">
        <v>23666</v>
      </c>
      <c r="F111" t="s">
        <v>23667</v>
      </c>
      <c r="G111">
        <v>6</v>
      </c>
      <c r="H111">
        <v>1</v>
      </c>
      <c r="I111">
        <v>0.45</v>
      </c>
      <c r="J111">
        <v>20</v>
      </c>
      <c r="K111" t="str" cm="1">
        <f t="array" ref="K1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Frankfurt(M)Lokalbahnhof</v>
      </c>
      <c r="L111" t="str">
        <f>IFERROR(LEFT(TRIM(Lose[[#This Row],[Google Koordinaten]]),9),"")</f>
        <v>50.105252</v>
      </c>
      <c r="M111" t="str">
        <f>IFERROR(MID(TRIM(Lose[[#This Row],[Google Koordinaten]]),
FIND(",",TRIM(Lose[[#This Row],[Google Koordinaten]])) + 2,9),"")</f>
        <v>8.6915052</v>
      </c>
      <c r="N111">
        <f>IF(Lose[[#This Row],[Bahn-hofs-zeit]]=0,0,MROUND(30*25^((Lose[[#This Row],[Bahn-hofs-zeit]]-_xlfn.MINIFS(Lose[Bahn-hofs-zeit],Lose[Bahn-hofs-zeit],"&gt;0"))/(MAX(Lose[Bahn-hofs-zeit])-_xlfn.MINIFS(Lose[Bahn-hofs-zeit],Lose[Bahn-hofs-zeit],"&gt;0"))),5))</f>
        <v>35</v>
      </c>
      <c r="O111">
        <f>IF(Lose[[#This Row],[Gehzeit (min)]]="",0,CEILING(3*(Lose[[#This Row],[Gehzeit (min)]]+Lose[[#This Row],[Aufgaben-zeit (min)]]),5))</f>
        <v>25</v>
      </c>
      <c r="P111">
        <v>3.75</v>
      </c>
      <c r="Q111">
        <f>IFERROR(ROUND(Lose[[#This Row],[Distanz (km)]]*60/Lose[[#This Row],[Gehzeit (min)]],1),"")</f>
        <v>4.5</v>
      </c>
      <c r="R1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11">
        <f>IFERROR(Lose[[#This Row],[Distanz (km)]]-Lose[[#This Row],[Check Distanz]],"")</f>
        <v>9.0000000000000024E-2</v>
      </c>
      <c r="T111" s="60">
        <f>IFERROR(Lose[[#This Row],[Check Umweg]]/Lose[[#This Row],[Check Distanz]],"")</f>
        <v>0.25000000000000006</v>
      </c>
      <c r="U111">
        <f ca="1">IF(RIGHT(Lose[[#This Row],[LosID]],1)="b",_xlfn.XLOOKUP(REPLACE(Lose[[#This Row],[LosID]],LEN(Lose[[#This Row],[LosID]]),1,"a"),Lose[LosID],Lose[Zufallszahl],"",0),RAND())</f>
        <v>0.25175080102515812</v>
      </c>
      <c r="V111" t="b" cm="1">
        <f t="array" aca="1" ref="V111" ca="1">Lose[[#This Row],[Zufallszahl]]&gt;=IFERROR(LARGE((LEFT(Lose[LosID],FIND("-",Lose[LosID])-1)=LEFT(Lose[[#This Row],[LosID]],FIND("-",Lose[[#This Row],[LosID]])-1))*Lose[Zufallszahl],_xlfn.XLOOKUP(LEFT(Lose[[#This Row],[LosID]],FIND("-",Lose[[#This Row],[LosID]])-1),Ziehungsanzahl[Kürzel],Ziehungsanzahl[Kontingent],FALSE,0)),9999)</f>
        <v>0</v>
      </c>
    </row>
    <row r="112" spans="1:23" ht="105" hidden="1">
      <c r="A1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2" t="s">
        <v>23408</v>
      </c>
      <c r="C112" s="93" t="s">
        <v>23668</v>
      </c>
      <c r="D112" s="1" t="s">
        <v>23669</v>
      </c>
      <c r="E112" t="s">
        <v>23670</v>
      </c>
      <c r="F112" t="s">
        <v>23671</v>
      </c>
      <c r="G112">
        <v>16</v>
      </c>
      <c r="H112">
        <v>20</v>
      </c>
      <c r="I112">
        <v>1.1000000000000001</v>
      </c>
      <c r="J112">
        <v>5</v>
      </c>
      <c r="K112" t="str" cm="1">
        <f t="array" ref="K1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Rheinhausen Ost</v>
      </c>
      <c r="L112" t="str">
        <f>IFERROR(LEFT(TRIM(Lose[[#This Row],[Google Koordinaten]]),9),"")</f>
        <v>51.410018</v>
      </c>
      <c r="M112" t="str">
        <f>IFERROR(MID(TRIM(Lose[[#This Row],[Google Koordinaten]]),
FIND(",",TRIM(Lose[[#This Row],[Google Koordinaten]])) + 2,9),"")</f>
        <v>6.7203464</v>
      </c>
      <c r="N112">
        <f>IF(Lose[[#This Row],[Bahn-hofs-zeit]]=0,0,MROUND(30*25^((Lose[[#This Row],[Bahn-hofs-zeit]]-_xlfn.MINIFS(Lose[Bahn-hofs-zeit],Lose[Bahn-hofs-zeit],"&gt;0"))/(MAX(Lose[Bahn-hofs-zeit])-_xlfn.MINIFS(Lose[Bahn-hofs-zeit],Lose[Bahn-hofs-zeit],"&gt;0"))),5))</f>
        <v>45</v>
      </c>
      <c r="O112">
        <f>IF(Lose[[#This Row],[Gehzeit (min)]]="",0,CEILING(3*(Lose[[#This Row],[Gehzeit (min)]]+Lose[[#This Row],[Aufgaben-zeit (min)]]),5))</f>
        <v>110</v>
      </c>
      <c r="P112">
        <v>4.75</v>
      </c>
      <c r="Q112">
        <f>IFERROR(ROUND(Lose[[#This Row],[Distanz (km)]]*60/Lose[[#This Row],[Gehzeit (min)]],1),"")</f>
        <v>4.0999999999999996</v>
      </c>
      <c r="R1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112">
        <f>IFERROR(Lose[[#This Row],[Distanz (km)]]-Lose[[#This Row],[Check Distanz]],"")</f>
        <v>0.16000000000000014</v>
      </c>
      <c r="T112" s="60">
        <f>IFERROR(Lose[[#This Row],[Check Umweg]]/Lose[[#This Row],[Check Distanz]],"")</f>
        <v>0.17021276595744697</v>
      </c>
      <c r="U112">
        <f ca="1">IF(RIGHT(Lose[[#This Row],[LosID]],1)="b",_xlfn.XLOOKUP(REPLACE(Lose[[#This Row],[LosID]],LEN(Lose[[#This Row],[LosID]]),1,"a"),Lose[LosID],Lose[Zufallszahl],"",0),RAND())</f>
        <v>0.14841038790008054</v>
      </c>
      <c r="V112" t="b" cm="1">
        <f t="array" aca="1" ref="V112" ca="1">Lose[[#This Row],[Zufallszahl]]&gt;=IFERROR(LARGE((LEFT(Lose[LosID],FIND("-",Lose[LosID])-1)=LEFT(Lose[[#This Row],[LosID]],FIND("-",Lose[[#This Row],[LosID]])-1))*Lose[Zufallszahl],_xlfn.XLOOKUP(LEFT(Lose[[#This Row],[LosID]],FIND("-",Lose[[#This Row],[LosID]])-1),Ziehungsanzahl[Kürzel],Ziehungsanzahl[Kontingent],FALSE,0)),9999)</f>
        <v>0</v>
      </c>
    </row>
    <row r="113" spans="1:23" ht="120" hidden="1">
      <c r="A1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3" t="s">
        <v>23412</v>
      </c>
      <c r="C113" s="93" t="s">
        <v>23672</v>
      </c>
      <c r="D113" s="89" t="s">
        <v>23673</v>
      </c>
      <c r="E113" t="s">
        <v>23674</v>
      </c>
      <c r="F113" t="s">
        <v>23675</v>
      </c>
      <c r="G113">
        <v>2</v>
      </c>
      <c r="H113">
        <v>5</v>
      </c>
      <c r="I113">
        <v>0.1</v>
      </c>
      <c r="J113">
        <v>10</v>
      </c>
      <c r="K113" t="str" cm="1">
        <f t="array" ref="K1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Balduinstein</v>
      </c>
      <c r="L113" t="str">
        <f>IFERROR(LEFT(TRIM(Lose[[#This Row],[Google Koordinaten]]),9),"")</f>
        <v>50.346757</v>
      </c>
      <c r="M113" t="str">
        <f>IFERROR(MID(TRIM(Lose[[#This Row],[Google Koordinaten]]),
FIND(",",TRIM(Lose[[#This Row],[Google Koordinaten]])) + 2,9),"")</f>
        <v>7.9680735</v>
      </c>
      <c r="N113">
        <f>IF(Lose[[#This Row],[Bahn-hofs-zeit]]=0,0,MROUND(30*25^((Lose[[#This Row],[Bahn-hofs-zeit]]-_xlfn.MINIFS(Lose[Bahn-hofs-zeit],Lose[Bahn-hofs-zeit],"&gt;0"))/(MAX(Lose[Bahn-hofs-zeit])-_xlfn.MINIFS(Lose[Bahn-hofs-zeit],Lose[Bahn-hofs-zeit],"&gt;0"))),5))</f>
        <v>75</v>
      </c>
      <c r="O113">
        <f>IF(Lose[[#This Row],[Gehzeit (min)]]="",0,CEILING(3*(Lose[[#This Row],[Gehzeit (min)]]+Lose[[#This Row],[Aufgaben-zeit (min)]]),5))</f>
        <v>25</v>
      </c>
      <c r="P113">
        <v>6.5</v>
      </c>
      <c r="Q113">
        <f>IFERROR(ROUND(Lose[[#This Row],[Distanz (km)]]*60/Lose[[#This Row],[Gehzeit (min)]],1),"")</f>
        <v>3</v>
      </c>
      <c r="R1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13">
        <f>IFERROR(Lose[[#This Row],[Distanz (km)]]-Lose[[#This Row],[Check Distanz]],"")</f>
        <v>2.0000000000000004E-2</v>
      </c>
      <c r="T113" s="60">
        <f>IFERROR(Lose[[#This Row],[Check Umweg]]/Lose[[#This Row],[Check Distanz]],"")</f>
        <v>0.25000000000000006</v>
      </c>
      <c r="U113">
        <f ca="1">IF(RIGHT(Lose[[#This Row],[LosID]],1)="b",_xlfn.XLOOKUP(REPLACE(Lose[[#This Row],[LosID]],LEN(Lose[[#This Row],[LosID]]),1,"a"),Lose[LosID],Lose[Zufallszahl],"",0),RAND())</f>
        <v>0.11961915223554265</v>
      </c>
      <c r="V113" t="b" cm="1">
        <f t="array" aca="1" ref="V113" ca="1">Lose[[#This Row],[Zufallszahl]]&gt;=IFERROR(LARGE((LEFT(Lose[LosID],FIND("-",Lose[LosID])-1)=LEFT(Lose[[#This Row],[LosID]],FIND("-",Lose[[#This Row],[LosID]])-1))*Lose[Zufallszahl],_xlfn.XLOOKUP(LEFT(Lose[[#This Row],[LosID]],FIND("-",Lose[[#This Row],[LosID]])-1),Ziehungsanzahl[Kürzel],Ziehungsanzahl[Kontingent],FALSE,0)),9999)</f>
        <v>0</v>
      </c>
    </row>
    <row r="114" spans="1:23" ht="60" hidden="1">
      <c r="A1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4" t="s">
        <v>23416</v>
      </c>
      <c r="C114" s="92" t="s">
        <v>1275</v>
      </c>
      <c r="D114" s="1" t="s">
        <v>23676</v>
      </c>
      <c r="E114" t="s">
        <v>23677</v>
      </c>
      <c r="F114" t="s">
        <v>23678</v>
      </c>
      <c r="G114">
        <v>24</v>
      </c>
      <c r="H114">
        <v>10</v>
      </c>
      <c r="I114">
        <v>1.8</v>
      </c>
      <c r="J114">
        <v>10</v>
      </c>
      <c r="K114" t="str" cm="1">
        <f t="array" ref="K1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114" t="str">
        <f>IFERROR(LEFT(TRIM(Lose[[#This Row],[Google Koordinaten]]),9),"")</f>
        <v>50.086323</v>
      </c>
      <c r="M114" t="str">
        <f>IFERROR(MID(TRIM(Lose[[#This Row],[Google Koordinaten]]),
FIND(",",TRIM(Lose[[#This Row],[Google Koordinaten]])) + 2,9),"")</f>
        <v>8.2421652</v>
      </c>
      <c r="N114">
        <f>IF(Lose[[#This Row],[Bahn-hofs-zeit]]=0,0,MROUND(30*25^((Lose[[#This Row],[Bahn-hofs-zeit]]-_xlfn.MINIFS(Lose[Bahn-hofs-zeit],Lose[Bahn-hofs-zeit],"&gt;0"))/(MAX(Lose[Bahn-hofs-zeit])-_xlfn.MINIFS(Lose[Bahn-hofs-zeit],Lose[Bahn-hofs-zeit],"&gt;0"))),5))</f>
        <v>45</v>
      </c>
      <c r="O114">
        <f>IF(Lose[[#This Row],[Gehzeit (min)]]="",0,CEILING(3*(Lose[[#This Row],[Gehzeit (min)]]+Lose[[#This Row],[Aufgaben-zeit (min)]]),5))</f>
        <v>105</v>
      </c>
      <c r="P114">
        <v>4.5</v>
      </c>
      <c r="Q114">
        <f>IFERROR(ROUND(Lose[[#This Row],[Distanz (km)]]*60/Lose[[#This Row],[Gehzeit (min)]],1),"")</f>
        <v>4.5</v>
      </c>
      <c r="R1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1.73</v>
      </c>
      <c r="S114">
        <f>IFERROR(Lose[[#This Row],[Distanz (km)]]-Lose[[#This Row],[Check Distanz]],"")</f>
        <v>7.0000000000000062E-2</v>
      </c>
      <c r="T114" s="60">
        <f>IFERROR(Lose[[#This Row],[Check Umweg]]/Lose[[#This Row],[Check Distanz]],"")</f>
        <v>4.0462427745664775E-2</v>
      </c>
      <c r="U114">
        <f ca="1">IF(RIGHT(Lose[[#This Row],[LosID]],1)="b",_xlfn.XLOOKUP(REPLACE(Lose[[#This Row],[LosID]],LEN(Lose[[#This Row],[LosID]]),1,"a"),Lose[LosID],Lose[Zufallszahl],"",0),RAND())</f>
        <v>0.43265443767414447</v>
      </c>
      <c r="V114" t="b" cm="1">
        <f t="array" aca="1" ref="V114" ca="1">Lose[[#This Row],[Zufallszahl]]&gt;=IFERROR(LARGE((LEFT(Lose[LosID],FIND("-",Lose[LosID])-1)=LEFT(Lose[[#This Row],[LosID]],FIND("-",Lose[[#This Row],[LosID]])-1))*Lose[Zufallszahl],_xlfn.XLOOKUP(LEFT(Lose[[#This Row],[LosID]],FIND("-",Lose[[#This Row],[LosID]])-1),Ziehungsanzahl[Kürzel],Ziehungsanzahl[Kontingent],FALSE,0)),9999)</f>
        <v>0</v>
      </c>
    </row>
    <row r="115" spans="1:23" ht="105" hidden="1">
      <c r="A1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5" t="s">
        <v>23357</v>
      </c>
      <c r="C115" s="92" t="s">
        <v>1276</v>
      </c>
      <c r="D115" s="1" t="s">
        <v>23679</v>
      </c>
      <c r="E115" t="s">
        <v>23680</v>
      </c>
      <c r="F115" t="s">
        <v>23681</v>
      </c>
      <c r="G115">
        <v>3</v>
      </c>
      <c r="H115">
        <v>10</v>
      </c>
      <c r="I115">
        <v>0.2</v>
      </c>
      <c r="J115">
        <v>10</v>
      </c>
      <c r="K115" t="str" cm="1">
        <f t="array" ref="K1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Jungfernstieg</v>
      </c>
      <c r="L115" t="str">
        <f>IFERROR(LEFT(TRIM(Lose[[#This Row],[Google Koordinaten]]),9),"")</f>
        <v>53.553509</v>
      </c>
      <c r="M115" t="str">
        <f>IFERROR(MID(TRIM(Lose[[#This Row],[Google Koordinaten]]),
FIND(",",TRIM(Lose[[#This Row],[Google Koordinaten]])) + 2,9),"")</f>
        <v>9.9930468</v>
      </c>
      <c r="N115">
        <f>IF(Lose[[#This Row],[Bahn-hofs-zeit]]=0,0,MROUND(30*25^((Lose[[#This Row],[Bahn-hofs-zeit]]-_xlfn.MINIFS(Lose[Bahn-hofs-zeit],Lose[Bahn-hofs-zeit],"&gt;0"))/(MAX(Lose[Bahn-hofs-zeit])-_xlfn.MINIFS(Lose[Bahn-hofs-zeit],Lose[Bahn-hofs-zeit],"&gt;0"))),5))</f>
        <v>80</v>
      </c>
      <c r="O115">
        <f>IF(Lose[[#This Row],[Gehzeit (min)]]="",0,CEILING(3*(Lose[[#This Row],[Gehzeit (min)]]+Lose[[#This Row],[Aufgaben-zeit (min)]]),5))</f>
        <v>40</v>
      </c>
      <c r="P115">
        <v>6.75</v>
      </c>
      <c r="Q115">
        <f>IFERROR(ROUND(Lose[[#This Row],[Distanz (km)]]*60/Lose[[#This Row],[Gehzeit (min)]],1),"")</f>
        <v>4</v>
      </c>
      <c r="R1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0.16</v>
      </c>
      <c r="S115">
        <f>IFERROR(Lose[[#This Row],[Distanz (km)]]-Lose[[#This Row],[Check Distanz]],"")</f>
        <v>4.0000000000000008E-2</v>
      </c>
      <c r="T115" s="60">
        <f>IFERROR(Lose[[#This Row],[Check Umweg]]/Lose[[#This Row],[Check Distanz]],"")</f>
        <v>0.25000000000000006</v>
      </c>
      <c r="U115">
        <f ca="1">IF(RIGHT(Lose[[#This Row],[LosID]],1)="b",_xlfn.XLOOKUP(REPLACE(Lose[[#This Row],[LosID]],LEN(Lose[[#This Row],[LosID]]),1,"a"),Lose[LosID],Lose[Zufallszahl],"",0),RAND())</f>
        <v>0.28020564205776033</v>
      </c>
      <c r="V115" t="b" cm="1">
        <f t="array" aca="1" ref="V115" ca="1">Lose[[#This Row],[Zufallszahl]]&gt;=IFERROR(LARGE((LEFT(Lose[LosID],FIND("-",Lose[LosID])-1)=LEFT(Lose[[#This Row],[LosID]],FIND("-",Lose[[#This Row],[LosID]])-1))*Lose[Zufallszahl],_xlfn.XLOOKUP(LEFT(Lose[[#This Row],[LosID]],FIND("-",Lose[[#This Row],[LosID]])-1),Ziehungsanzahl[Kürzel],Ziehungsanzahl[Kontingent],FALSE,0)),9999)</f>
        <v>0</v>
      </c>
    </row>
    <row r="116" spans="1:23" ht="135" hidden="1">
      <c r="A1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6" t="s">
        <v>23363</v>
      </c>
      <c r="C116" s="93" t="s">
        <v>23682</v>
      </c>
      <c r="D116" s="1" t="s">
        <v>23683</v>
      </c>
      <c r="E116" t="s">
        <v>23684</v>
      </c>
      <c r="F116" t="s">
        <v>23685</v>
      </c>
      <c r="G116">
        <v>12</v>
      </c>
      <c r="H116">
        <v>15</v>
      </c>
      <c r="I116">
        <v>0.8</v>
      </c>
      <c r="K116" t="str" cm="1">
        <f t="array" ref="K1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Frankfurt(M)Hauptwache</v>
      </c>
      <c r="L116" t="str">
        <f>IFERROR(LEFT(TRIM(Lose[[#This Row],[Google Koordinaten]]),9),"")</f>
        <v>50.120857</v>
      </c>
      <c r="M116" t="str">
        <f>IFERROR(MID(TRIM(Lose[[#This Row],[Google Koordinaten]]),
FIND(",",TRIM(Lose[[#This Row],[Google Koordinaten]])) + 2,9),"")</f>
        <v>8.6807639</v>
      </c>
      <c r="N116">
        <f>IF(Lose[[#This Row],[Bahn-hofs-zeit]]=0,0,MROUND(30*25^((Lose[[#This Row],[Bahn-hofs-zeit]]-_xlfn.MINIFS(Lose[Bahn-hofs-zeit],Lose[Bahn-hofs-zeit],"&gt;0"))/(MAX(Lose[Bahn-hofs-zeit])-_xlfn.MINIFS(Lose[Bahn-hofs-zeit],Lose[Bahn-hofs-zeit],"&gt;0"))),5))</f>
        <v>35</v>
      </c>
      <c r="O116">
        <f>IF(Lose[[#This Row],[Gehzeit (min)]]="",0,CEILING(3*(Lose[[#This Row],[Gehzeit (min)]]+Lose[[#This Row],[Aufgaben-zeit (min)]]),5))</f>
        <v>85</v>
      </c>
      <c r="P116">
        <v>3.75</v>
      </c>
      <c r="Q116">
        <f>IFERROR(ROUND(Lose[[#This Row],[Distanz (km)]]*60/Lose[[#This Row],[Gehzeit (min)]],1),"")</f>
        <v>4</v>
      </c>
      <c r="R1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16">
        <f>IFERROR(Lose[[#This Row],[Distanz (km)]]-Lose[[#This Row],[Check Distanz]],"")</f>
        <v>2.0000000000000018E-2</v>
      </c>
      <c r="T116" s="60">
        <f>IFERROR(Lose[[#This Row],[Check Umweg]]/Lose[[#This Row],[Check Distanz]],"")</f>
        <v>2.5641025641025664E-2</v>
      </c>
      <c r="U116">
        <f ca="1">IF(RIGHT(Lose[[#This Row],[LosID]],1)="b",_xlfn.XLOOKUP(REPLACE(Lose[[#This Row],[LosID]],LEN(Lose[[#This Row],[LosID]]),1,"a"),Lose[LosID],Lose[Zufallszahl],"",0),RAND())</f>
        <v>9.4460332371887334E-2</v>
      </c>
      <c r="V116" t="b" cm="1">
        <f t="array" aca="1" ref="V116" ca="1">Lose[[#This Row],[Zufallszahl]]&gt;=IFERROR(LARGE((LEFT(Lose[LosID],FIND("-",Lose[LosID])-1)=LEFT(Lose[[#This Row],[LosID]],FIND("-",Lose[[#This Row],[LosID]])-1))*Lose[Zufallszahl],_xlfn.XLOOKUP(LEFT(Lose[[#This Row],[LosID]],FIND("-",Lose[[#This Row],[LosID]])-1),Ziehungsanzahl[Kürzel],Ziehungsanzahl[Kontingent],FALSE,0)),9999)</f>
        <v>0</v>
      </c>
    </row>
    <row r="117" spans="1:23" ht="75" hidden="1">
      <c r="A1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7" t="s">
        <v>23412</v>
      </c>
      <c r="C117" s="92" t="s">
        <v>1271</v>
      </c>
      <c r="D117" s="1" t="s">
        <v>23686</v>
      </c>
      <c r="E117" t="s">
        <v>23687</v>
      </c>
      <c r="F117" t="s">
        <v>23688</v>
      </c>
      <c r="G117">
        <v>8</v>
      </c>
      <c r="H117">
        <v>5</v>
      </c>
      <c r="I117">
        <v>0.5</v>
      </c>
      <c r="J117">
        <v>10</v>
      </c>
      <c r="K117" t="str" cm="1">
        <f t="array" ref="K1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Eschborn</v>
      </c>
      <c r="L117" t="str">
        <f>IFERROR(LEFT(TRIM(Lose[[#This Row],[Google Koordinaten]]),9),"")</f>
        <v>50.141516</v>
      </c>
      <c r="M117" t="str">
        <f>IFERROR(MID(TRIM(Lose[[#This Row],[Google Koordinaten]]),
FIND(",",TRIM(Lose[[#This Row],[Google Koordinaten]])) + 2,9),"")</f>
        <v>8.5664997</v>
      </c>
      <c r="N117">
        <f>IF(Lose[[#This Row],[Bahn-hofs-zeit]]=0,0,MROUND(30*25^((Lose[[#This Row],[Bahn-hofs-zeit]]-_xlfn.MINIFS(Lose[Bahn-hofs-zeit],Lose[Bahn-hofs-zeit],"&gt;0"))/(MAX(Lose[Bahn-hofs-zeit])-_xlfn.MINIFS(Lose[Bahn-hofs-zeit],Lose[Bahn-hofs-zeit],"&gt;0"))),5))</f>
        <v>40</v>
      </c>
      <c r="O117">
        <f>IF(Lose[[#This Row],[Gehzeit (min)]]="",0,CEILING(3*(Lose[[#This Row],[Gehzeit (min)]]+Lose[[#This Row],[Aufgaben-zeit (min)]]),5))</f>
        <v>40</v>
      </c>
      <c r="P117">
        <v>4.25</v>
      </c>
      <c r="Q117">
        <f>IFERROR(ROUND(Lose[[#This Row],[Distanz (km)]]*60/Lose[[#This Row],[Gehzeit (min)]],1),"")</f>
        <v>3.8</v>
      </c>
      <c r="R1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117">
        <f>IFERROR(Lose[[#This Row],[Distanz (km)]]-Lose[[#This Row],[Check Distanz]],"")</f>
        <v>3.999999999999998E-2</v>
      </c>
      <c r="T117" s="60">
        <f>IFERROR(Lose[[#This Row],[Check Umweg]]/Lose[[#This Row],[Check Distanz]],"")</f>
        <v>8.6956521739130391E-2</v>
      </c>
      <c r="U117">
        <f ca="1">IF(RIGHT(Lose[[#This Row],[LosID]],1)="b",_xlfn.XLOOKUP(REPLACE(Lose[[#This Row],[LosID]],LEN(Lose[[#This Row],[LosID]]),1,"a"),Lose[LosID],Lose[Zufallszahl],"",0),RAND())</f>
        <v>0.85426954308023884</v>
      </c>
      <c r="V117" t="b" cm="1">
        <f t="array" aca="1" ref="V117" ca="1">Lose[[#This Row],[Zufallszahl]]&gt;=IFERROR(LARGE((LEFT(Lose[LosID],FIND("-",Lose[LosID])-1)=LEFT(Lose[[#This Row],[LosID]],FIND("-",Lose[[#This Row],[LosID]])-1))*Lose[Zufallszahl],_xlfn.XLOOKUP(LEFT(Lose[[#This Row],[LosID]],FIND("-",Lose[[#This Row],[LosID]])-1),Ziehungsanzahl[Kürzel],Ziehungsanzahl[Kontingent],FALSE,0)),9999)</f>
        <v>0</v>
      </c>
    </row>
    <row r="118" spans="1:23" ht="75" hidden="1">
      <c r="A1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118" t="s">
        <v>23390</v>
      </c>
      <c r="C118" s="93" t="s">
        <v>23689</v>
      </c>
      <c r="D118" s="1" t="s">
        <v>23690</v>
      </c>
      <c r="E118" t="s">
        <v>23691</v>
      </c>
      <c r="F118" t="s">
        <v>23692</v>
      </c>
      <c r="G118">
        <v>7</v>
      </c>
      <c r="H118">
        <v>8</v>
      </c>
      <c r="I118">
        <v>0.5</v>
      </c>
      <c r="J118">
        <v>5</v>
      </c>
      <c r="K118" t="str" cm="1">
        <f t="array" ref="K1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Bergzabern</v>
      </c>
      <c r="L118" t="str">
        <f>IFERROR(LEFT(TRIM(Lose[[#This Row],[Google Koordinaten]]),9),"")</f>
        <v>49.101060</v>
      </c>
      <c r="M118" t="str">
        <f>IFERROR(MID(TRIM(Lose[[#This Row],[Google Koordinaten]]),
FIND(",",TRIM(Lose[[#This Row],[Google Koordinaten]])) + 2,9),"")</f>
        <v>7.996690</v>
      </c>
      <c r="N118">
        <f>IF(Lose[[#This Row],[Bahn-hofs-zeit]]=0,0,MROUND(30*25^((Lose[[#This Row],[Bahn-hofs-zeit]]-_xlfn.MINIFS(Lose[Bahn-hofs-zeit],Lose[Bahn-hofs-zeit],"&gt;0"))/(MAX(Lose[Bahn-hofs-zeit])-_xlfn.MINIFS(Lose[Bahn-hofs-zeit],Lose[Bahn-hofs-zeit],"&gt;0"))),5))</f>
        <v>145</v>
      </c>
      <c r="O118">
        <f>IF(Lose[[#This Row],[Gehzeit (min)]]="",0,CEILING(3*(Lose[[#This Row],[Gehzeit (min)]]+Lose[[#This Row],[Aufgaben-zeit (min)]]),5))</f>
        <v>45</v>
      </c>
      <c r="P118">
        <v>8.75</v>
      </c>
      <c r="Q118">
        <f>IFERROR(ROUND(Lose[[#This Row],[Distanz (km)]]*60/Lose[[#This Row],[Gehzeit (min)]],1),"")</f>
        <v>4.3</v>
      </c>
      <c r="R1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v>
      </c>
      <c r="S118">
        <f>IFERROR(Lose[[#This Row],[Distanz (km)]]-Lose[[#This Row],[Check Distanz]],"")</f>
        <v>0</v>
      </c>
      <c r="T118" s="60">
        <f>IFERROR(Lose[[#This Row],[Check Umweg]]/Lose[[#This Row],[Check Distanz]],"")</f>
        <v>0</v>
      </c>
      <c r="U118">
        <f ca="1">IF(RIGHT(Lose[[#This Row],[LosID]],1)="b",_xlfn.XLOOKUP(REPLACE(Lose[[#This Row],[LosID]],LEN(Lose[[#This Row],[LosID]]),1,"a"),Lose[LosID],Lose[Zufallszahl],"",0),RAND())</f>
        <v>0.43657649217095773</v>
      </c>
      <c r="V118" t="b" cm="1">
        <f t="array" aca="1" ref="V118" ca="1">Lose[[#This Row],[Zufallszahl]]&gt;=IFERROR(LARGE((LEFT(Lose[LosID],FIND("-",Lose[LosID])-1)=LEFT(Lose[[#This Row],[LosID]],FIND("-",Lose[[#This Row],[LosID]])-1))*Lose[Zufallszahl],_xlfn.XLOOKUP(LEFT(Lose[[#This Row],[LosID]],FIND("-",Lose[[#This Row],[LosID]])-1),Ziehungsanzahl[Kürzel],Ziehungsanzahl[Kontingent],FALSE,0)),9999)</f>
        <v>0</v>
      </c>
      <c r="W118" t="s">
        <v>23362</v>
      </c>
    </row>
    <row r="119" spans="1:23" ht="90" hidden="1">
      <c r="A1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9" t="s">
        <v>23372</v>
      </c>
      <c r="C119" s="92" t="s">
        <v>1277</v>
      </c>
      <c r="D119" s="89" t="s">
        <v>23693</v>
      </c>
      <c r="E119" t="s">
        <v>23694</v>
      </c>
      <c r="F119" t="s">
        <v>23695</v>
      </c>
      <c r="G119">
        <v>8</v>
      </c>
      <c r="H119">
        <v>1</v>
      </c>
      <c r="I119">
        <v>0.6</v>
      </c>
      <c r="J119">
        <v>15</v>
      </c>
      <c r="K119" t="str" cm="1">
        <f t="array" ref="K1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Schanz</v>
      </c>
      <c r="L119" t="str">
        <f>IFERROR(LEFT(TRIM(Lose[[#This Row],[Google Koordinaten]]),9),"")</f>
        <v>50.772404</v>
      </c>
      <c r="M119" t="str">
        <f>IFERROR(MID(TRIM(Lose[[#This Row],[Google Koordinaten]]),
FIND(",",TRIM(Lose[[#This Row],[Google Koordinaten]])) + 2,9),"")</f>
        <v>6.0802040</v>
      </c>
      <c r="N119">
        <f>IF(Lose[[#This Row],[Bahn-hofs-zeit]]=0,0,MROUND(30*25^((Lose[[#This Row],[Bahn-hofs-zeit]]-_xlfn.MINIFS(Lose[Bahn-hofs-zeit],Lose[Bahn-hofs-zeit],"&gt;0"))/(MAX(Lose[Bahn-hofs-zeit])-_xlfn.MINIFS(Lose[Bahn-hofs-zeit],Lose[Bahn-hofs-zeit],"&gt;0"))),5))</f>
        <v>55</v>
      </c>
      <c r="O119">
        <f>IF(Lose[[#This Row],[Gehzeit (min)]]="",0,CEILING(3*(Lose[[#This Row],[Gehzeit (min)]]+Lose[[#This Row],[Aufgaben-zeit (min)]]),5))</f>
        <v>30</v>
      </c>
      <c r="P119">
        <v>5.5</v>
      </c>
      <c r="Q119">
        <f>IFERROR(ROUND(Lose[[#This Row],[Distanz (km)]]*60/Lose[[#This Row],[Gehzeit (min)]],1),"")</f>
        <v>4.5</v>
      </c>
      <c r="R1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119">
        <f>IFERROR(Lose[[#This Row],[Distanz (km)]]-Lose[[#This Row],[Check Distanz]],"")</f>
        <v>6.9999999999999951E-2</v>
      </c>
      <c r="T119" s="60">
        <f>IFERROR(Lose[[#This Row],[Check Umweg]]/Lose[[#This Row],[Check Distanz]],"")</f>
        <v>0.13207547169811309</v>
      </c>
      <c r="U119">
        <f ca="1">IF(RIGHT(Lose[[#This Row],[LosID]],1)="b",_xlfn.XLOOKUP(REPLACE(Lose[[#This Row],[LosID]],LEN(Lose[[#This Row],[LosID]]),1,"a"),Lose[LosID],Lose[Zufallszahl],"",0),RAND())</f>
        <v>0.84667927425853939</v>
      </c>
      <c r="V119" t="b" cm="1">
        <f t="array" aca="1" ref="V119" ca="1">Lose[[#This Row],[Zufallszahl]]&gt;=IFERROR(LARGE((LEFT(Lose[LosID],FIND("-",Lose[LosID])-1)=LEFT(Lose[[#This Row],[LosID]],FIND("-",Lose[[#This Row],[LosID]])-1))*Lose[Zufallszahl],_xlfn.XLOOKUP(LEFT(Lose[[#This Row],[LosID]],FIND("-",Lose[[#This Row],[LosID]])-1),Ziehungsanzahl[Kürzel],Ziehungsanzahl[Kontingent],FALSE,0)),9999)</f>
        <v>0</v>
      </c>
    </row>
    <row r="120" spans="1:23" ht="75" hidden="1">
      <c r="A1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0" t="s">
        <v>4</v>
      </c>
      <c r="C120" s="93" t="s">
        <v>1278</v>
      </c>
      <c r="D120" s="1" t="s">
        <v>23696</v>
      </c>
      <c r="E120" t="s">
        <v>23697</v>
      </c>
      <c r="F120" t="s">
        <v>23698</v>
      </c>
      <c r="G120">
        <v>13</v>
      </c>
      <c r="H120">
        <v>5</v>
      </c>
      <c r="I120">
        <v>0.9</v>
      </c>
      <c r="K120" t="str" cm="1">
        <f t="array" ref="K1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Mannheim Hbf</v>
      </c>
      <c r="L120" t="str">
        <f>IFERROR(LEFT(TRIM(Lose[[#This Row],[Google Koordinaten]]),9),"")</f>
        <v>49.473880</v>
      </c>
      <c r="M120" t="str">
        <f>IFERROR(MID(TRIM(Lose[[#This Row],[Google Koordinaten]]),
FIND(",",TRIM(Lose[[#This Row],[Google Koordinaten]])) + 2,9),"")</f>
        <v>8.4691336</v>
      </c>
      <c r="N120">
        <f>IF(Lose[[#This Row],[Bahn-hofs-zeit]]=0,0,MROUND(30*25^((Lose[[#This Row],[Bahn-hofs-zeit]]-_xlfn.MINIFS(Lose[Bahn-hofs-zeit],Lose[Bahn-hofs-zeit],"&gt;0"))/(MAX(Lose[Bahn-hofs-zeit])-_xlfn.MINIFS(Lose[Bahn-hofs-zeit],Lose[Bahn-hofs-zeit],"&gt;0"))),5))</f>
        <v>40</v>
      </c>
      <c r="O120">
        <f>IF(Lose[[#This Row],[Gehzeit (min)]]="",0,CEILING(3*(Lose[[#This Row],[Gehzeit (min)]]+Lose[[#This Row],[Aufgaben-zeit (min)]]),5))</f>
        <v>55</v>
      </c>
      <c r="P120">
        <v>4.25</v>
      </c>
      <c r="Q120">
        <f>IFERROR(ROUND(Lose[[#This Row],[Distanz (km)]]*60/Lose[[#This Row],[Gehzeit (min)]],1),"")</f>
        <v>4.2</v>
      </c>
      <c r="R1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120">
        <f>IFERROR(Lose[[#This Row],[Distanz (km)]]-Lose[[#This Row],[Check Distanz]],"")</f>
        <v>0.29000000000000004</v>
      </c>
      <c r="T120" s="60">
        <f>IFERROR(Lose[[#This Row],[Check Umweg]]/Lose[[#This Row],[Check Distanz]],"")</f>
        <v>0.47540983606557385</v>
      </c>
      <c r="U120">
        <f ca="1">IF(RIGHT(Lose[[#This Row],[LosID]],1)="b",_xlfn.XLOOKUP(REPLACE(Lose[[#This Row],[LosID]],LEN(Lose[[#This Row],[LosID]]),1,"a"),Lose[LosID],Lose[Zufallszahl],"",0),RAND())</f>
        <v>0.98102279363559974</v>
      </c>
      <c r="V120" t="b" cm="1">
        <f t="array" aca="1" ref="V120" ca="1">Lose[[#This Row],[Zufallszahl]]&gt;=IFERROR(LARGE((LEFT(Lose[LosID],FIND("-",Lose[LosID])-1)=LEFT(Lose[[#This Row],[LosID]],FIND("-",Lose[[#This Row],[LosID]])-1))*Lose[Zufallszahl],_xlfn.XLOOKUP(LEFT(Lose[[#This Row],[LosID]],FIND("-",Lose[[#This Row],[LosID]])-1),Ziehungsanzahl[Kürzel],Ziehungsanzahl[Kontingent],FALSE,0)),9999)</f>
        <v>0</v>
      </c>
    </row>
    <row r="121" spans="1:23" ht="120" hidden="1">
      <c r="A1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1" t="s">
        <v>23352</v>
      </c>
      <c r="C121" s="92" t="s">
        <v>1279</v>
      </c>
      <c r="D121" s="1" t="s">
        <v>23699</v>
      </c>
      <c r="E121" t="s">
        <v>23700</v>
      </c>
      <c r="F121" t="s">
        <v>23701</v>
      </c>
      <c r="G121">
        <v>4</v>
      </c>
      <c r="H121">
        <v>10</v>
      </c>
      <c r="I121">
        <v>0.2</v>
      </c>
      <c r="J121">
        <v>10</v>
      </c>
      <c r="K121" t="str" cm="1">
        <f t="array" ref="K1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Reeperbahn</v>
      </c>
      <c r="L121" t="str">
        <f>IFERROR(LEFT(TRIM(Lose[[#This Row],[Google Koordinaten]]),9),"")</f>
        <v>53.549733</v>
      </c>
      <c r="M121" t="str">
        <f>IFERROR(MID(TRIM(Lose[[#This Row],[Google Koordinaten]]),
FIND(",",TRIM(Lose[[#This Row],[Google Koordinaten]])) + 2,9),"")</f>
        <v>9.9605243</v>
      </c>
      <c r="N121">
        <f>IF(Lose[[#This Row],[Bahn-hofs-zeit]]=0,0,MROUND(30*25^((Lose[[#This Row],[Bahn-hofs-zeit]]-_xlfn.MINIFS(Lose[Bahn-hofs-zeit],Lose[Bahn-hofs-zeit],"&gt;0"))/(MAX(Lose[Bahn-hofs-zeit])-_xlfn.MINIFS(Lose[Bahn-hofs-zeit],Lose[Bahn-hofs-zeit],"&gt;0"))),5))</f>
        <v>80</v>
      </c>
      <c r="O121">
        <f>IF(Lose[[#This Row],[Gehzeit (min)]]="",0,CEILING(3*(Lose[[#This Row],[Gehzeit (min)]]+Lose[[#This Row],[Aufgaben-zeit (min)]]),5))</f>
        <v>45</v>
      </c>
      <c r="P121">
        <v>6.75</v>
      </c>
      <c r="Q121">
        <f>IFERROR(ROUND(Lose[[#This Row],[Distanz (km)]]*60/Lose[[#This Row],[Gehzeit (min)]],1),"")</f>
        <v>3</v>
      </c>
      <c r="R1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121">
        <f>IFERROR(Lose[[#This Row],[Distanz (km)]]-Lose[[#This Row],[Check Distanz]],"")</f>
        <v>1.0000000000000009E-2</v>
      </c>
      <c r="T121" s="60">
        <f>IFERROR(Lose[[#This Row],[Check Umweg]]/Lose[[#This Row],[Check Distanz]],"")</f>
        <v>5.2631578947368467E-2</v>
      </c>
      <c r="U121">
        <f ca="1">IF(RIGHT(Lose[[#This Row],[LosID]],1)="b",_xlfn.XLOOKUP(REPLACE(Lose[[#This Row],[LosID]],LEN(Lose[[#This Row],[LosID]]),1,"a"),Lose[LosID],Lose[Zufallszahl],"",0),RAND())</f>
        <v>0.82558015379579852</v>
      </c>
      <c r="V121" t="b" cm="1">
        <f t="array" aca="1" ref="V121" ca="1">Lose[[#This Row],[Zufallszahl]]&gt;=IFERROR(LARGE((LEFT(Lose[LosID],FIND("-",Lose[LosID])-1)=LEFT(Lose[[#This Row],[LosID]],FIND("-",Lose[[#This Row],[LosID]])-1))*Lose[Zufallszahl],_xlfn.XLOOKUP(LEFT(Lose[[#This Row],[LosID]],FIND("-",Lose[[#This Row],[LosID]])-1),Ziehungsanzahl[Kürzel],Ziehungsanzahl[Kontingent],FALSE,0)),9999)</f>
        <v>0</v>
      </c>
    </row>
    <row r="122" spans="1:23" ht="165" hidden="1">
      <c r="A1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2" t="s">
        <v>23380</v>
      </c>
      <c r="C122" s="93" t="s">
        <v>23702</v>
      </c>
      <c r="D122" s="1" t="s">
        <v>23703</v>
      </c>
      <c r="E122" t="s">
        <v>23704</v>
      </c>
      <c r="F122" t="s">
        <v>23705</v>
      </c>
      <c r="G122">
        <v>6</v>
      </c>
      <c r="H122">
        <v>15</v>
      </c>
      <c r="I122">
        <v>0.45</v>
      </c>
      <c r="K122" t="str" cm="1">
        <f t="array" ref="K1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Frankfurt(M)Konstablerwache</v>
      </c>
      <c r="L122" t="str">
        <f>IFERROR(LEFT(TRIM(Lose[[#This Row],[Google Koordinaten]]),9),"")</f>
        <v>50.112697</v>
      </c>
      <c r="M122" t="str">
        <f>IFERROR(MID(TRIM(Lose[[#This Row],[Google Koordinaten]]),
FIND(",",TRIM(Lose[[#This Row],[Google Koordinaten]])) + 2,9),"")</f>
        <v>8.6833806</v>
      </c>
      <c r="N122">
        <f>IF(Lose[[#This Row],[Bahn-hofs-zeit]]=0,0,MROUND(30*25^((Lose[[#This Row],[Bahn-hofs-zeit]]-_xlfn.MINIFS(Lose[Bahn-hofs-zeit],Lose[Bahn-hofs-zeit],"&gt;0"))/(MAX(Lose[Bahn-hofs-zeit])-_xlfn.MINIFS(Lose[Bahn-hofs-zeit],Lose[Bahn-hofs-zeit],"&gt;0"))),5))</f>
        <v>35</v>
      </c>
      <c r="O122">
        <f>IF(Lose[[#This Row],[Gehzeit (min)]]="",0,CEILING(3*(Lose[[#This Row],[Gehzeit (min)]]+Lose[[#This Row],[Aufgaben-zeit (min)]]),5))</f>
        <v>65</v>
      </c>
      <c r="P122">
        <v>3.75</v>
      </c>
      <c r="Q122">
        <f>IFERROR(ROUND(Lose[[#This Row],[Distanz (km)]]*60/Lose[[#This Row],[Gehzeit (min)]],1),"")</f>
        <v>4.5</v>
      </c>
      <c r="R1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22">
        <f>IFERROR(Lose[[#This Row],[Distanz (km)]]-Lose[[#This Row],[Check Distanz]],"")</f>
        <v>0.10999999999999999</v>
      </c>
      <c r="T122" s="60">
        <f>IFERROR(Lose[[#This Row],[Check Umweg]]/Lose[[#This Row],[Check Distanz]],"")</f>
        <v>0.32352941176470584</v>
      </c>
      <c r="U122">
        <f ca="1">IF(RIGHT(Lose[[#This Row],[LosID]],1)="b",_xlfn.XLOOKUP(REPLACE(Lose[[#This Row],[LosID]],LEN(Lose[[#This Row],[LosID]]),1,"a"),Lose[LosID],Lose[Zufallszahl],"",0),RAND())</f>
        <v>0.93785837086854507</v>
      </c>
      <c r="V122" t="b" cm="1">
        <f t="array" aca="1" ref="V122" ca="1">Lose[[#This Row],[Zufallszahl]]&gt;=IFERROR(LARGE((LEFT(Lose[LosID],FIND("-",Lose[LosID])-1)=LEFT(Lose[[#This Row],[LosID]],FIND("-",Lose[[#This Row],[LosID]])-1))*Lose[Zufallszahl],_xlfn.XLOOKUP(LEFT(Lose[[#This Row],[LosID]],FIND("-",Lose[[#This Row],[LosID]])-1),Ziehungsanzahl[Kürzel],Ziehungsanzahl[Kontingent],FALSE,0)),9999)</f>
        <v>0</v>
      </c>
    </row>
    <row r="123" spans="1:23" ht="150">
      <c r="A1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3" t="s">
        <v>23385</v>
      </c>
      <c r="C123" s="93" t="s">
        <v>1280</v>
      </c>
      <c r="D123" s="1" t="s">
        <v>23706</v>
      </c>
      <c r="E123" t="s">
        <v>23707</v>
      </c>
      <c r="F123" t="s">
        <v>23708</v>
      </c>
      <c r="G123">
        <v>18</v>
      </c>
      <c r="H123">
        <v>10</v>
      </c>
      <c r="I123">
        <v>1.3</v>
      </c>
      <c r="J123">
        <v>20</v>
      </c>
      <c r="K123" t="str" cm="1">
        <f t="array" ref="K1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Düsseldorf-Zoo</v>
      </c>
      <c r="L123" t="str">
        <f>IFERROR(LEFT(TRIM(Lose[[#This Row],[Google Koordinaten]]),9),"")</f>
        <v>51.238166</v>
      </c>
      <c r="M123" t="str">
        <f>IFERROR(MID(TRIM(Lose[[#This Row],[Google Koordinaten]]),
FIND(",",TRIM(Lose[[#This Row],[Google Koordinaten]])) + 2,9),"")</f>
        <v>6.7797684</v>
      </c>
      <c r="N123">
        <f>IF(Lose[[#This Row],[Bahn-hofs-zeit]]=0,0,MROUND(30*25^((Lose[[#This Row],[Bahn-hofs-zeit]]-_xlfn.MINIFS(Lose[Bahn-hofs-zeit],Lose[Bahn-hofs-zeit],"&gt;0"))/(MAX(Lose[Bahn-hofs-zeit])-_xlfn.MINIFS(Lose[Bahn-hofs-zeit],Lose[Bahn-hofs-zeit],"&gt;0"))),5))</f>
        <v>35</v>
      </c>
      <c r="O123">
        <f>IF(Lose[[#This Row],[Gehzeit (min)]]="",0,CEILING(3*(Lose[[#This Row],[Gehzeit (min)]]+Lose[[#This Row],[Aufgaben-zeit (min)]]),5))</f>
        <v>85</v>
      </c>
      <c r="P123">
        <v>4</v>
      </c>
      <c r="Q123">
        <f>IFERROR(ROUND(Lose[[#This Row],[Distanz (km)]]*60/Lose[[#This Row],[Gehzeit (min)]],1),"")</f>
        <v>4.3</v>
      </c>
      <c r="R1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123">
        <f>IFERROR(Lose[[#This Row],[Distanz (km)]]-Lose[[#This Row],[Check Distanz]],"")</f>
        <v>0.10000000000000009</v>
      </c>
      <c r="T123" s="60">
        <f>IFERROR(Lose[[#This Row],[Check Umweg]]/Lose[[#This Row],[Check Distanz]],"")</f>
        <v>8.3333333333333412E-2</v>
      </c>
      <c r="U123">
        <f ca="1">IF(RIGHT(Lose[[#This Row],[LosID]],1)="b",_xlfn.XLOOKUP(REPLACE(Lose[[#This Row],[LosID]],LEN(Lose[[#This Row],[LosID]]),1,"a"),Lose[LosID],Lose[Zufallszahl],"",0),RAND())</f>
        <v>0.16217212033928929</v>
      </c>
      <c r="V123" t="b" cm="1">
        <f t="array" aca="1" ref="V123" ca="1">Lose[[#This Row],[Zufallszahl]]&gt;=IFERROR(LARGE((LEFT(Lose[LosID],FIND("-",Lose[LosID])-1)=LEFT(Lose[[#This Row],[LosID]],FIND("-",Lose[[#This Row],[LosID]])-1))*Lose[Zufallszahl],_xlfn.XLOOKUP(LEFT(Lose[[#This Row],[LosID]],FIND("-",Lose[[#This Row],[LosID]])-1),Ziehungsanzahl[Kürzel],Ziehungsanzahl[Kontingent],FALSE,0)),9999)</f>
        <v>0</v>
      </c>
    </row>
    <row r="124" spans="1:23" ht="195" hidden="1">
      <c r="A1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4" t="s">
        <v>23416</v>
      </c>
      <c r="C124" s="93" t="s">
        <v>23709</v>
      </c>
      <c r="D124" s="109" t="s">
        <v>23710</v>
      </c>
      <c r="E124" t="s">
        <v>23711</v>
      </c>
      <c r="F124" t="s">
        <v>23712</v>
      </c>
      <c r="G124">
        <v>16</v>
      </c>
      <c r="H124">
        <v>15</v>
      </c>
      <c r="I124">
        <v>1.2</v>
      </c>
      <c r="J124">
        <v>10</v>
      </c>
      <c r="K124" t="str" cm="1">
        <f t="array" ref="K1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Salzwedel</v>
      </c>
      <c r="L124" t="str">
        <f>IFERROR(LEFT(TRIM(Lose[[#This Row],[Google Koordinaten]]),9),"")</f>
        <v>52.852736</v>
      </c>
      <c r="M124" t="str">
        <f>IFERROR(MID(TRIM(Lose[[#This Row],[Google Koordinaten]]),
FIND(",",TRIM(Lose[[#This Row],[Google Koordinaten]])) + 2,9),"")</f>
        <v>11.152739</v>
      </c>
      <c r="N124">
        <f>IF(Lose[[#This Row],[Bahn-hofs-zeit]]=0,0,MROUND(30*25^((Lose[[#This Row],[Bahn-hofs-zeit]]-_xlfn.MINIFS(Lose[Bahn-hofs-zeit],Lose[Bahn-hofs-zeit],"&gt;0"))/(MAX(Lose[Bahn-hofs-zeit])-_xlfn.MINIFS(Lose[Bahn-hofs-zeit],Lose[Bahn-hofs-zeit],"&gt;0"))),5))</f>
        <v>125</v>
      </c>
      <c r="O124">
        <f>IF(Lose[[#This Row],[Gehzeit (min)]]="",0,CEILING(3*(Lose[[#This Row],[Gehzeit (min)]]+Lose[[#This Row],[Aufgaben-zeit (min)]]),5))</f>
        <v>95</v>
      </c>
      <c r="P124">
        <v>8.25</v>
      </c>
      <c r="Q124">
        <f>IFERROR(ROUND(Lose[[#This Row],[Distanz (km)]]*60/Lose[[#This Row],[Gehzeit (min)]],1),"")</f>
        <v>4.5</v>
      </c>
      <c r="R1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0.86</v>
      </c>
      <c r="S124">
        <f>IFERROR(Lose[[#This Row],[Distanz (km)]]-Lose[[#This Row],[Check Distanz]],"")</f>
        <v>0.33999999999999997</v>
      </c>
      <c r="T124" s="60">
        <f>IFERROR(Lose[[#This Row],[Check Umweg]]/Lose[[#This Row],[Check Distanz]],"")</f>
        <v>0.39534883720930231</v>
      </c>
      <c r="U124">
        <f ca="1">IF(RIGHT(Lose[[#This Row],[LosID]],1)="b",_xlfn.XLOOKUP(REPLACE(Lose[[#This Row],[LosID]],LEN(Lose[[#This Row],[LosID]]),1,"a"),Lose[LosID],Lose[Zufallszahl],"",0),RAND())</f>
        <v>0.36507972829715973</v>
      </c>
      <c r="V124" t="b" cm="1">
        <f t="array" aca="1" ref="V124" ca="1">Lose[[#This Row],[Zufallszahl]]&gt;=IFERROR(LARGE((LEFT(Lose[LosID],FIND("-",Lose[LosID])-1)=LEFT(Lose[[#This Row],[LosID]],FIND("-",Lose[[#This Row],[LosID]])-1))*Lose[Zufallszahl],_xlfn.XLOOKUP(LEFT(Lose[[#This Row],[LosID]],FIND("-",Lose[[#This Row],[LosID]])-1),Ziehungsanzahl[Kürzel],Ziehungsanzahl[Kontingent],FALSE,0)),9999)</f>
        <v>0</v>
      </c>
    </row>
    <row r="125" spans="1:23" ht="45" hidden="1">
      <c r="A1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5" t="s">
        <v>23357</v>
      </c>
      <c r="C125" s="93" t="s">
        <v>23713</v>
      </c>
      <c r="D125" s="1" t="s">
        <v>23714</v>
      </c>
      <c r="E125" t="s">
        <v>23715</v>
      </c>
      <c r="F125" t="s">
        <v>23716</v>
      </c>
      <c r="G125">
        <v>15</v>
      </c>
      <c r="H125">
        <v>10</v>
      </c>
      <c r="I125">
        <v>0.9</v>
      </c>
      <c r="K125" t="str" cm="1">
        <f t="array" ref="K1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Hanau West</v>
      </c>
      <c r="L125" t="str">
        <f>IFERROR(LEFT(TRIM(Lose[[#This Row],[Google Koordinaten]]),9),"")</f>
        <v>50.134292</v>
      </c>
      <c r="M125" t="str">
        <f>IFERROR(MID(TRIM(Lose[[#This Row],[Google Koordinaten]]),
FIND(",",TRIM(Lose[[#This Row],[Google Koordinaten]])) + 2,9),"")</f>
        <v>8.9181334</v>
      </c>
      <c r="N125">
        <f>IF(Lose[[#This Row],[Bahn-hofs-zeit]]=0,0,MROUND(30*25^((Lose[[#This Row],[Bahn-hofs-zeit]]-_xlfn.MINIFS(Lose[Bahn-hofs-zeit],Lose[Bahn-hofs-zeit],"&gt;0"))/(MAX(Lose[Bahn-hofs-zeit])-_xlfn.MINIFS(Lose[Bahn-hofs-zeit],Lose[Bahn-hofs-zeit],"&gt;0"))),5))</f>
        <v>45</v>
      </c>
      <c r="O125">
        <f>IF(Lose[[#This Row],[Gehzeit (min)]]="",0,CEILING(3*(Lose[[#This Row],[Gehzeit (min)]]+Lose[[#This Row],[Aufgaben-zeit (min)]]),5))</f>
        <v>75</v>
      </c>
      <c r="P125">
        <v>4.5</v>
      </c>
      <c r="Q125">
        <f>IFERROR(ROUND(Lose[[#This Row],[Distanz (km)]]*60/Lose[[#This Row],[Gehzeit (min)]],1),"")</f>
        <v>3.6</v>
      </c>
      <c r="R1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125">
        <f>IFERROR(Lose[[#This Row],[Distanz (km)]]-Lose[[#This Row],[Check Distanz]],"")</f>
        <v>0.19000000000000006</v>
      </c>
      <c r="T125" s="60">
        <f>IFERROR(Lose[[#This Row],[Check Umweg]]/Lose[[#This Row],[Check Distanz]],"")</f>
        <v>0.26760563380281699</v>
      </c>
      <c r="U125">
        <f ca="1">IF(RIGHT(Lose[[#This Row],[LosID]],1)="b",_xlfn.XLOOKUP(REPLACE(Lose[[#This Row],[LosID]],LEN(Lose[[#This Row],[LosID]]),1,"a"),Lose[LosID],Lose[Zufallszahl],"",0),RAND())</f>
        <v>0.59999539110033528</v>
      </c>
      <c r="V125" t="b" cm="1">
        <f t="array" aca="1" ref="V125" ca="1">Lose[[#This Row],[Zufallszahl]]&gt;=IFERROR(LARGE((LEFT(Lose[LosID],FIND("-",Lose[LosID])-1)=LEFT(Lose[[#This Row],[LosID]],FIND("-",Lose[[#This Row],[LosID]])-1))*Lose[Zufallszahl],_xlfn.XLOOKUP(LEFT(Lose[[#This Row],[LosID]],FIND("-",Lose[[#This Row],[LosID]])-1),Ziehungsanzahl[Kürzel],Ziehungsanzahl[Kontingent],FALSE,0)),9999)</f>
        <v>0</v>
      </c>
    </row>
    <row r="126" spans="1:23" ht="225" hidden="1">
      <c r="A1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6" t="s">
        <v>23363</v>
      </c>
      <c r="C126" s="92" t="s">
        <v>23717</v>
      </c>
      <c r="D126" s="1" t="s">
        <v>23718</v>
      </c>
      <c r="E126" t="s">
        <v>23719</v>
      </c>
      <c r="F126" t="s">
        <v>23720</v>
      </c>
      <c r="G126">
        <v>8</v>
      </c>
      <c r="H126">
        <v>10</v>
      </c>
      <c r="I126">
        <v>0.5</v>
      </c>
      <c r="J126">
        <v>20</v>
      </c>
      <c r="K126" t="str" cm="1">
        <f t="array" ref="K1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Römisches Theater</v>
      </c>
      <c r="L126" t="str">
        <f>IFERROR(LEFT(TRIM(Lose[[#This Row],[Google Koordinaten]]),9),"")</f>
        <v>49.995655</v>
      </c>
      <c r="M126" t="str">
        <f>IFERROR(MID(TRIM(Lose[[#This Row],[Google Koordinaten]]),
FIND(",",TRIM(Lose[[#This Row],[Google Koordinaten]])) + 2,9),"")</f>
        <v>8.2822487</v>
      </c>
      <c r="N126">
        <f>IF(Lose[[#This Row],[Bahn-hofs-zeit]]=0,0,MROUND(30*25^((Lose[[#This Row],[Bahn-hofs-zeit]]-_xlfn.MINIFS(Lose[Bahn-hofs-zeit],Lose[Bahn-hofs-zeit],"&gt;0"))/(MAX(Lose[Bahn-hofs-zeit])-_xlfn.MINIFS(Lose[Bahn-hofs-zeit],Lose[Bahn-hofs-zeit],"&gt;0"))),5))</f>
        <v>45</v>
      </c>
      <c r="O126">
        <f>IF(Lose[[#This Row],[Gehzeit (min)]]="",0,CEILING(3*(Lose[[#This Row],[Gehzeit (min)]]+Lose[[#This Row],[Aufgaben-zeit (min)]]),5))</f>
        <v>55</v>
      </c>
      <c r="P126">
        <v>4.75</v>
      </c>
      <c r="Q126">
        <f>IFERROR(ROUND(Lose[[#This Row],[Distanz (km)]]*60/Lose[[#This Row],[Gehzeit (min)]],1),"")</f>
        <v>3.8</v>
      </c>
      <c r="R1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26">
        <f>IFERROR(Lose[[#This Row],[Distanz (km)]]-Lose[[#This Row],[Check Distanz]],"")</f>
        <v>9.0000000000000024E-2</v>
      </c>
      <c r="T126" s="60">
        <f>IFERROR(Lose[[#This Row],[Check Umweg]]/Lose[[#This Row],[Check Distanz]],"")</f>
        <v>0.2195121951219513</v>
      </c>
      <c r="U126">
        <f ca="1">IF(RIGHT(Lose[[#This Row],[LosID]],1)="b",_xlfn.XLOOKUP(REPLACE(Lose[[#This Row],[LosID]],LEN(Lose[[#This Row],[LosID]]),1,"a"),Lose[LosID],Lose[Zufallszahl],"",0),RAND())</f>
        <v>0.31948104037952685</v>
      </c>
      <c r="V126" t="b" cm="1">
        <f t="array" aca="1" ref="V126" ca="1">Lose[[#This Row],[Zufallszahl]]&gt;=IFERROR(LARGE((LEFT(Lose[LosID],FIND("-",Lose[LosID])-1)=LEFT(Lose[[#This Row],[LosID]],FIND("-",Lose[[#This Row],[LosID]])-1))*Lose[Zufallszahl],_xlfn.XLOOKUP(LEFT(Lose[[#This Row],[LosID]],FIND("-",Lose[[#This Row],[LosID]])-1),Ziehungsanzahl[Kürzel],Ziehungsanzahl[Kontingent],FALSE,0)),9999)</f>
        <v>0</v>
      </c>
    </row>
    <row r="127" spans="1:23" ht="45" hidden="1">
      <c r="A1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7" t="s">
        <v>23367</v>
      </c>
      <c r="C127" s="92" t="s">
        <v>23721</v>
      </c>
      <c r="D127" s="1" t="s">
        <v>23722</v>
      </c>
      <c r="E127" t="s">
        <v>23723</v>
      </c>
      <c r="F127" t="s">
        <v>23724</v>
      </c>
      <c r="G127">
        <v>11</v>
      </c>
      <c r="H127">
        <v>5</v>
      </c>
      <c r="I127">
        <v>0.8</v>
      </c>
      <c r="K127" t="str" cm="1">
        <f t="array" ref="K1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Vechta</v>
      </c>
      <c r="L127" t="str">
        <f>IFERROR(LEFT(TRIM(Lose[[#This Row],[Google Koordinaten]]),9),"")</f>
        <v>52.730083</v>
      </c>
      <c r="M127" t="str">
        <f>IFERROR(MID(TRIM(Lose[[#This Row],[Google Koordinaten]]),
FIND(",",TRIM(Lose[[#This Row],[Google Koordinaten]])) + 2,9),"")</f>
        <v>8.2898976</v>
      </c>
      <c r="N127">
        <f>IF(Lose[[#This Row],[Bahn-hofs-zeit]]=0,0,MROUND(30*25^((Lose[[#This Row],[Bahn-hofs-zeit]]-_xlfn.MINIFS(Lose[Bahn-hofs-zeit],Lose[Bahn-hofs-zeit],"&gt;0"))/(MAX(Lose[Bahn-hofs-zeit])-_xlfn.MINIFS(Lose[Bahn-hofs-zeit],Lose[Bahn-hofs-zeit],"&gt;0"))),5))</f>
        <v>95</v>
      </c>
      <c r="O127">
        <f>IF(Lose[[#This Row],[Gehzeit (min)]]="",0,CEILING(3*(Lose[[#This Row],[Gehzeit (min)]]+Lose[[#This Row],[Aufgaben-zeit (min)]]),5))</f>
        <v>50</v>
      </c>
      <c r="P127">
        <v>7.25</v>
      </c>
      <c r="Q127">
        <f>IFERROR(ROUND(Lose[[#This Row],[Distanz (km)]]*60/Lose[[#This Row],[Gehzeit (min)]],1),"")</f>
        <v>4.4000000000000004</v>
      </c>
      <c r="R1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127">
        <f>IFERROR(Lose[[#This Row],[Distanz (km)]]-Lose[[#This Row],[Check Distanz]],"")</f>
        <v>0.14000000000000001</v>
      </c>
      <c r="T127" s="60">
        <f>IFERROR(Lose[[#This Row],[Check Umweg]]/Lose[[#This Row],[Check Distanz]],"")</f>
        <v>0.21212121212121213</v>
      </c>
      <c r="U127">
        <f ca="1">IF(RIGHT(Lose[[#This Row],[LosID]],1)="b",_xlfn.XLOOKUP(REPLACE(Lose[[#This Row],[LosID]],LEN(Lose[[#This Row],[LosID]]),1,"a"),Lose[LosID],Lose[Zufallszahl],"",0),RAND())</f>
        <v>3.8681223404525511E-2</v>
      </c>
      <c r="V127" t="b" cm="1">
        <f t="array" aca="1" ref="V127" ca="1">Lose[[#This Row],[Zufallszahl]]&gt;=IFERROR(LARGE((LEFT(Lose[LosID],FIND("-",Lose[LosID])-1)=LEFT(Lose[[#This Row],[LosID]],FIND("-",Lose[[#This Row],[LosID]])-1))*Lose[Zufallszahl],_xlfn.XLOOKUP(LEFT(Lose[[#This Row],[LosID]],FIND("-",Lose[[#This Row],[LosID]])-1),Ziehungsanzahl[Kürzel],Ziehungsanzahl[Kontingent],FALSE,0)),9999)</f>
        <v>0</v>
      </c>
    </row>
    <row r="128" spans="1:23" ht="75" hidden="1">
      <c r="A1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8" t="s">
        <v>23372</v>
      </c>
      <c r="C128" s="92" t="s">
        <v>23725</v>
      </c>
      <c r="D128" s="1" t="s">
        <v>23726</v>
      </c>
      <c r="E128" t="s">
        <v>23727</v>
      </c>
      <c r="F128" t="s">
        <v>23728</v>
      </c>
      <c r="G128">
        <v>3</v>
      </c>
      <c r="H128">
        <v>5</v>
      </c>
      <c r="I128">
        <v>0.2</v>
      </c>
      <c r="J128">
        <v>5</v>
      </c>
      <c r="K128" t="str" cm="1">
        <f t="array" ref="K1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Soest</v>
      </c>
      <c r="L128" t="str">
        <f>IFERROR(LEFT(TRIM(Lose[[#This Row],[Google Koordinaten]]),9),"")</f>
        <v>51.576905</v>
      </c>
      <c r="M128" t="str">
        <f>IFERROR(MID(TRIM(Lose[[#This Row],[Google Koordinaten]]),
FIND(",",TRIM(Lose[[#This Row],[Google Koordinaten]])) + 2,9),"")</f>
        <v>8.1036395</v>
      </c>
      <c r="N128">
        <f>IF(Lose[[#This Row],[Bahn-hofs-zeit]]=0,0,MROUND(30*25^((Lose[[#This Row],[Bahn-hofs-zeit]]-_xlfn.MINIFS(Lose[Bahn-hofs-zeit],Lose[Bahn-hofs-zeit],"&gt;0"))/(MAX(Lose[Bahn-hofs-zeit])-_xlfn.MINIFS(Lose[Bahn-hofs-zeit],Lose[Bahn-hofs-zeit],"&gt;0"))),5))</f>
        <v>40</v>
      </c>
      <c r="O128">
        <f>IF(Lose[[#This Row],[Gehzeit (min)]]="",0,CEILING(3*(Lose[[#This Row],[Gehzeit (min)]]+Lose[[#This Row],[Aufgaben-zeit (min)]]),5))</f>
        <v>25</v>
      </c>
      <c r="P128">
        <v>4.25</v>
      </c>
      <c r="Q128">
        <f>IFERROR(ROUND(Lose[[#This Row],[Distanz (km)]]*60/Lose[[#This Row],[Gehzeit (min)]],1),"")</f>
        <v>4</v>
      </c>
      <c r="R1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128">
        <f>IFERROR(Lose[[#This Row],[Distanz (km)]]-Lose[[#This Row],[Check Distanz]],"")</f>
        <v>2.0000000000000018E-2</v>
      </c>
      <c r="T128" s="60">
        <f>IFERROR(Lose[[#This Row],[Check Umweg]]/Lose[[#This Row],[Check Distanz]],"")</f>
        <v>0.11111111111111122</v>
      </c>
      <c r="U128">
        <f ca="1">IF(RIGHT(Lose[[#This Row],[LosID]],1)="b",_xlfn.XLOOKUP(REPLACE(Lose[[#This Row],[LosID]],LEN(Lose[[#This Row],[LosID]]),1,"a"),Lose[LosID],Lose[Zufallszahl],"",0),RAND())</f>
        <v>0.44882411588782178</v>
      </c>
      <c r="V128" t="b" cm="1">
        <f t="array" aca="1" ref="V128" ca="1">Lose[[#This Row],[Zufallszahl]]&gt;=IFERROR(LARGE((LEFT(Lose[LosID],FIND("-",Lose[LosID])-1)=LEFT(Lose[[#This Row],[LosID]],FIND("-",Lose[[#This Row],[LosID]])-1))*Lose[Zufallszahl],_xlfn.XLOOKUP(LEFT(Lose[[#This Row],[LosID]],FIND("-",Lose[[#This Row],[LosID]])-1),Ziehungsanzahl[Kürzel],Ziehungsanzahl[Kontingent],FALSE,0)),9999)</f>
        <v>0</v>
      </c>
    </row>
    <row r="129" spans="1:23" ht="105" hidden="1">
      <c r="A1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9" t="s">
        <v>4</v>
      </c>
      <c r="C129" s="92" t="s">
        <v>23729</v>
      </c>
      <c r="D129" s="1" t="s">
        <v>23730</v>
      </c>
      <c r="E129" t="s">
        <v>23731</v>
      </c>
      <c r="F129" t="s">
        <v>23732</v>
      </c>
      <c r="G129">
        <v>14</v>
      </c>
      <c r="H129">
        <v>8</v>
      </c>
      <c r="I129">
        <v>1.1000000000000001</v>
      </c>
      <c r="J129">
        <v>20</v>
      </c>
      <c r="K129" t="str" cm="1">
        <f t="array" ref="K1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Verden(Aller)</v>
      </c>
      <c r="L129" t="str">
        <f>IFERROR(LEFT(TRIM(Lose[[#This Row],[Google Koordinaten]]),9),"")</f>
        <v>52.914459</v>
      </c>
      <c r="M129" t="str">
        <f>IFERROR(MID(TRIM(Lose[[#This Row],[Google Koordinaten]]),
FIND(",",TRIM(Lose[[#This Row],[Google Koordinaten]])) + 2,9),"")</f>
        <v>9.2484754</v>
      </c>
      <c r="N129">
        <f>IF(Lose[[#This Row],[Bahn-hofs-zeit]]=0,0,MROUND(30*25^((Lose[[#This Row],[Bahn-hofs-zeit]]-_xlfn.MINIFS(Lose[Bahn-hofs-zeit],Lose[Bahn-hofs-zeit],"&gt;0"))/(MAX(Lose[Bahn-hofs-zeit])-_xlfn.MINIFS(Lose[Bahn-hofs-zeit],Lose[Bahn-hofs-zeit],"&gt;0"))),5))</f>
        <v>60</v>
      </c>
      <c r="O129">
        <f>IF(Lose[[#This Row],[Gehzeit (min)]]="",0,CEILING(3*(Lose[[#This Row],[Gehzeit (min)]]+Lose[[#This Row],[Aufgaben-zeit (min)]]),5))</f>
        <v>70</v>
      </c>
      <c r="P129">
        <v>5.75</v>
      </c>
      <c r="Q129">
        <f>IFERROR(ROUND(Lose[[#This Row],[Distanz (km)]]*60/Lose[[#This Row],[Gehzeit (min)]],1),"")</f>
        <v>4.7</v>
      </c>
      <c r="R1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129">
        <f>IFERROR(Lose[[#This Row],[Distanz (km)]]-Lose[[#This Row],[Check Distanz]],"")</f>
        <v>0.10000000000000009</v>
      </c>
      <c r="T129" s="60">
        <f>IFERROR(Lose[[#This Row],[Check Umweg]]/Lose[[#This Row],[Check Distanz]],"")</f>
        <v>0.10000000000000009</v>
      </c>
      <c r="U129">
        <f ca="1">IF(RIGHT(Lose[[#This Row],[LosID]],1)="b",_xlfn.XLOOKUP(REPLACE(Lose[[#This Row],[LosID]],LEN(Lose[[#This Row],[LosID]]),1,"a"),Lose[LosID],Lose[Zufallszahl],"",0),RAND())</f>
        <v>0.99753229454404913</v>
      </c>
      <c r="V129" t="b" cm="1">
        <f t="array" aca="1" ref="V129" ca="1">Lose[[#This Row],[Zufallszahl]]&gt;=IFERROR(LARGE((LEFT(Lose[LosID],FIND("-",Lose[LosID])-1)=LEFT(Lose[[#This Row],[LosID]],FIND("-",Lose[[#This Row],[LosID]])-1))*Lose[Zufallszahl],_xlfn.XLOOKUP(LEFT(Lose[[#This Row],[LosID]],FIND("-",Lose[[#This Row],[LosID]])-1),Ziehungsanzahl[Kürzel],Ziehungsanzahl[Kontingent],FALSE,0)),9999)</f>
        <v>0</v>
      </c>
    </row>
    <row r="130" spans="1:23" ht="150" hidden="1">
      <c r="A1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0" t="s">
        <v>23352</v>
      </c>
      <c r="C130" s="92" t="s">
        <v>23733</v>
      </c>
      <c r="D130" s="1" t="s">
        <v>23734</v>
      </c>
      <c r="E130" t="s">
        <v>23735</v>
      </c>
      <c r="F130" t="s">
        <v>23736</v>
      </c>
      <c r="G130">
        <v>5</v>
      </c>
      <c r="H130">
        <v>15</v>
      </c>
      <c r="I130">
        <v>0.2</v>
      </c>
      <c r="K130" t="str" cm="1">
        <f t="array" ref="K1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Gesundbrunnen</v>
      </c>
      <c r="L130" t="str">
        <f>IFERROR(LEFT(TRIM(Lose[[#This Row],[Google Koordinaten]]),9),"")</f>
        <v>52.549518</v>
      </c>
      <c r="M130" t="str">
        <f>IFERROR(MID(TRIM(Lose[[#This Row],[Google Koordinaten]]),
FIND(",",TRIM(Lose[[#This Row],[Google Koordinaten]])) + 2,9),"")</f>
        <v>13.386963</v>
      </c>
      <c r="N130">
        <f>IF(Lose[[#This Row],[Bahn-hofs-zeit]]=0,0,MROUND(30*25^((Lose[[#This Row],[Bahn-hofs-zeit]]-_xlfn.MINIFS(Lose[Bahn-hofs-zeit],Lose[Bahn-hofs-zeit],"&gt;0"))/(MAX(Lose[Bahn-hofs-zeit])-_xlfn.MINIFS(Lose[Bahn-hofs-zeit],Lose[Bahn-hofs-zeit],"&gt;0"))),5))</f>
        <v>135</v>
      </c>
      <c r="O130">
        <f>IF(Lose[[#This Row],[Gehzeit (min)]]="",0,CEILING(3*(Lose[[#This Row],[Gehzeit (min)]]+Lose[[#This Row],[Aufgaben-zeit (min)]]),5))</f>
        <v>60</v>
      </c>
      <c r="P130">
        <v>8.5</v>
      </c>
      <c r="Q130">
        <f>IFERROR(ROUND(Lose[[#This Row],[Distanz (km)]]*60/Lose[[#This Row],[Gehzeit (min)]],1),"")</f>
        <v>2.4</v>
      </c>
      <c r="R1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30">
        <f>IFERROR(Lose[[#This Row],[Distanz (km)]]-Lose[[#This Row],[Check Distanz]],"")</f>
        <v>8.0000000000000016E-2</v>
      </c>
      <c r="T130" s="60">
        <f>IFERROR(Lose[[#This Row],[Check Umweg]]/Lose[[#This Row],[Check Distanz]],"")</f>
        <v>0.66666666666666685</v>
      </c>
      <c r="U130">
        <f ca="1">IF(RIGHT(Lose[[#This Row],[LosID]],1)="b",_xlfn.XLOOKUP(REPLACE(Lose[[#This Row],[LosID]],LEN(Lose[[#This Row],[LosID]]),1,"a"),Lose[LosID],Lose[Zufallszahl],"",0),RAND())</f>
        <v>0.1142908605420645</v>
      </c>
      <c r="V130" t="b" cm="1">
        <f t="array" aca="1" ref="V130" ca="1">Lose[[#This Row],[Zufallszahl]]&gt;=IFERROR(LARGE((LEFT(Lose[LosID],FIND("-",Lose[LosID])-1)=LEFT(Lose[[#This Row],[LosID]],FIND("-",Lose[[#This Row],[LosID]])-1))*Lose[Zufallszahl],_xlfn.XLOOKUP(LEFT(Lose[[#This Row],[LosID]],FIND("-",Lose[[#This Row],[LosID]])-1),Ziehungsanzahl[Kürzel],Ziehungsanzahl[Kontingent],FALSE,0)),9999)</f>
        <v>0</v>
      </c>
    </row>
    <row r="131" spans="1:23" ht="120" hidden="1">
      <c r="A1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1" t="s">
        <v>23412</v>
      </c>
      <c r="C131" s="92" t="s">
        <v>1260</v>
      </c>
      <c r="D131" s="1" t="s">
        <v>23737</v>
      </c>
      <c r="E131" t="s">
        <v>23738</v>
      </c>
      <c r="F131" t="s">
        <v>23739</v>
      </c>
      <c r="G131">
        <v>2</v>
      </c>
      <c r="H131">
        <v>18</v>
      </c>
      <c r="I131">
        <v>0.1</v>
      </c>
      <c r="J131">
        <v>20</v>
      </c>
      <c r="K131" t="str" cm="1">
        <f t="array" ref="K1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Tübingen Hbf</v>
      </c>
      <c r="L131" t="str">
        <f>IFERROR(LEFT(TRIM(Lose[[#This Row],[Google Koordinaten]]),9),"")</f>
        <v>48.516138</v>
      </c>
      <c r="M131" t="str">
        <f>IFERROR(MID(TRIM(Lose[[#This Row],[Google Koordinaten]]),
FIND(",",TRIM(Lose[[#This Row],[Google Koordinaten]])) + 2,9),"")</f>
        <v>9.0551843</v>
      </c>
      <c r="N131">
        <f>IF(Lose[[#This Row],[Bahn-hofs-zeit]]=0,0,MROUND(30*25^((Lose[[#This Row],[Bahn-hofs-zeit]]-_xlfn.MINIFS(Lose[Bahn-hofs-zeit],Lose[Bahn-hofs-zeit],"&gt;0"))/(MAX(Lose[Bahn-hofs-zeit])-_xlfn.MINIFS(Lose[Bahn-hofs-zeit],Lose[Bahn-hofs-zeit],"&gt;0"))),5))</f>
        <v>145</v>
      </c>
      <c r="O131">
        <f>IF(Lose[[#This Row],[Gehzeit (min)]]="",0,CEILING(3*(Lose[[#This Row],[Gehzeit (min)]]+Lose[[#This Row],[Aufgaben-zeit (min)]]),5))</f>
        <v>60</v>
      </c>
      <c r="P131">
        <v>8.75</v>
      </c>
      <c r="Q131">
        <f>IFERROR(ROUND(Lose[[#This Row],[Distanz (km)]]*60/Lose[[#This Row],[Gehzeit (min)]],1),"")</f>
        <v>3</v>
      </c>
      <c r="R1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31">
        <f>IFERROR(Lose[[#This Row],[Distanz (km)]]-Lose[[#This Row],[Check Distanz]],"")</f>
        <v>4.0000000000000008E-2</v>
      </c>
      <c r="T131" s="60">
        <f>IFERROR(Lose[[#This Row],[Check Umweg]]/Lose[[#This Row],[Check Distanz]],"")</f>
        <v>0.66666666666666685</v>
      </c>
      <c r="U131">
        <f ca="1">IF(RIGHT(Lose[[#This Row],[LosID]],1)="b",_xlfn.XLOOKUP(REPLACE(Lose[[#This Row],[LosID]],LEN(Lose[[#This Row],[LosID]]),1,"a"),Lose[LosID],Lose[Zufallszahl],"",0),RAND())</f>
        <v>9.9237756405548105E-2</v>
      </c>
      <c r="V131" t="b" cm="1">
        <f t="array" aca="1" ref="V131" ca="1">Lose[[#This Row],[Zufallszahl]]&gt;=IFERROR(LARGE((LEFT(Lose[LosID],FIND("-",Lose[LosID])-1)=LEFT(Lose[[#This Row],[LosID]],FIND("-",Lose[[#This Row],[LosID]])-1))*Lose[Zufallszahl],_xlfn.XLOOKUP(LEFT(Lose[[#This Row],[LosID]],FIND("-",Lose[[#This Row],[LosID]])-1),Ziehungsanzahl[Kürzel],Ziehungsanzahl[Kontingent],FALSE,0)),9999)</f>
        <v>0</v>
      </c>
    </row>
    <row r="132" spans="1:23" ht="105">
      <c r="A1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2" t="s">
        <v>23385</v>
      </c>
      <c r="C132" s="93" t="s">
        <v>1263</v>
      </c>
      <c r="D132" s="1" t="s">
        <v>23740</v>
      </c>
      <c r="E132" t="s">
        <v>23741</v>
      </c>
      <c r="F132" t="s">
        <v>23742</v>
      </c>
      <c r="G132">
        <v>9</v>
      </c>
      <c r="H132">
        <v>5</v>
      </c>
      <c r="I132">
        <v>0.65</v>
      </c>
      <c r="J132">
        <v>15</v>
      </c>
      <c r="K132" t="str" cm="1">
        <f t="array" ref="K1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Unna-Königsborn</v>
      </c>
      <c r="L132" t="str">
        <f>IFERROR(LEFT(TRIM(Lose[[#This Row],[Google Koordinaten]]),9),"")</f>
        <v>51.550914</v>
      </c>
      <c r="M132" t="str">
        <f>IFERROR(MID(TRIM(Lose[[#This Row],[Google Koordinaten]]),
FIND(",",TRIM(Lose[[#This Row],[Google Koordinaten]])) + 2,9),"")</f>
        <v>7.6826142</v>
      </c>
      <c r="N132">
        <f>IF(Lose[[#This Row],[Bahn-hofs-zeit]]=0,0,MROUND(30*25^((Lose[[#This Row],[Bahn-hofs-zeit]]-_xlfn.MINIFS(Lose[Bahn-hofs-zeit],Lose[Bahn-hofs-zeit],"&gt;0"))/(MAX(Lose[Bahn-hofs-zeit])-_xlfn.MINIFS(Lose[Bahn-hofs-zeit],Lose[Bahn-hofs-zeit],"&gt;0"))),5))</f>
        <v>45</v>
      </c>
      <c r="O132">
        <f>IF(Lose[[#This Row],[Gehzeit (min)]]="",0,CEILING(3*(Lose[[#This Row],[Gehzeit (min)]]+Lose[[#This Row],[Aufgaben-zeit (min)]]),5))</f>
        <v>45</v>
      </c>
      <c r="P132">
        <v>4.75</v>
      </c>
      <c r="Q132">
        <f>IFERROR(ROUND(Lose[[#This Row],[Distanz (km)]]*60/Lose[[#This Row],[Gehzeit (min)]],1),"")</f>
        <v>4.3</v>
      </c>
      <c r="R1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0.45</v>
      </c>
      <c r="S132">
        <f>IFERROR(Lose[[#This Row],[Distanz (km)]]-Lose[[#This Row],[Check Distanz]],"")</f>
        <v>0.2</v>
      </c>
      <c r="T132" s="60">
        <f>IFERROR(Lose[[#This Row],[Check Umweg]]/Lose[[#This Row],[Check Distanz]],"")</f>
        <v>0.44444444444444448</v>
      </c>
      <c r="U132">
        <f ca="1">IF(RIGHT(Lose[[#This Row],[LosID]],1)="b",_xlfn.XLOOKUP(REPLACE(Lose[[#This Row],[LosID]],LEN(Lose[[#This Row],[LosID]]),1,"a"),Lose[LosID],Lose[Zufallszahl],"",0),RAND())</f>
        <v>8.4502499064290304E-2</v>
      </c>
      <c r="V132" t="b" cm="1">
        <f t="array" aca="1" ref="V132" ca="1">Lose[[#This Row],[Zufallszahl]]&gt;=IFERROR(LARGE((LEFT(Lose[LosID],FIND("-",Lose[LosID])-1)=LEFT(Lose[[#This Row],[LosID]],FIND("-",Lose[[#This Row],[LosID]])-1))*Lose[Zufallszahl],_xlfn.XLOOKUP(LEFT(Lose[[#This Row],[LosID]],FIND("-",Lose[[#This Row],[LosID]])-1),Ziehungsanzahl[Kürzel],Ziehungsanzahl[Kontingent],FALSE,0)),9999)</f>
        <v>0</v>
      </c>
    </row>
    <row r="133" spans="1:23" ht="75" hidden="1">
      <c r="A1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3" t="s">
        <v>23390</v>
      </c>
      <c r="C133" s="92" t="s">
        <v>1264</v>
      </c>
      <c r="D133" s="1" t="s">
        <v>23743</v>
      </c>
      <c r="E133" t="s">
        <v>23744</v>
      </c>
      <c r="F133" t="s">
        <v>23745</v>
      </c>
      <c r="G133">
        <v>10</v>
      </c>
      <c r="H133">
        <v>2</v>
      </c>
      <c r="I133">
        <v>0.7</v>
      </c>
      <c r="K133" t="s">
        <v>1740</v>
      </c>
      <c r="L133" t="str">
        <f>IFERROR(LEFT(TRIM(Lose[[#This Row],[Google Koordinaten]]),9),"")</f>
        <v>51.983965</v>
      </c>
      <c r="M133" t="str">
        <f>IFERROR(MID(TRIM(Lose[[#This Row],[Google Koordinaten]]),
FIND(",",TRIM(Lose[[#This Row],[Google Koordinaten]])) + 2,9),"")</f>
        <v>9.8095970</v>
      </c>
      <c r="N133">
        <f>IF(Lose[[#This Row],[Bahn-hofs-zeit]]=0,0,MROUND(30*25^((Lose[[#This Row],[Bahn-hofs-zeit]]-_xlfn.MINIFS(Lose[Bahn-hofs-zeit],Lose[Bahn-hofs-zeit],"&gt;0"))/(MAX(Lose[Bahn-hofs-zeit])-_xlfn.MINIFS(Lose[Bahn-hofs-zeit],Lose[Bahn-hofs-zeit],"&gt;0"))),5))</f>
        <v>70</v>
      </c>
      <c r="O133">
        <f>IF(Lose[[#This Row],[Gehzeit (min)]]="",0,CEILING(3*(Lose[[#This Row],[Gehzeit (min)]]+Lose[[#This Row],[Aufgaben-zeit (min)]]),5))</f>
        <v>40</v>
      </c>
      <c r="P133">
        <v>6.25</v>
      </c>
      <c r="Q133">
        <f>IFERROR(ROUND(Lose[[#This Row],[Distanz (km)]]*60/Lose[[#This Row],[Gehzeit (min)]],1),"")</f>
        <v>4.2</v>
      </c>
      <c r="R1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133">
        <f>IFERROR(Lose[[#This Row],[Distanz (km)]]-Lose[[#This Row],[Check Distanz]],"")</f>
        <v>6.9999999999999951E-2</v>
      </c>
      <c r="T133" s="60">
        <f>IFERROR(Lose[[#This Row],[Check Umweg]]/Lose[[#This Row],[Check Distanz]],"")</f>
        <v>0.11111111111111104</v>
      </c>
      <c r="U133">
        <f ca="1">IF(RIGHT(Lose[[#This Row],[LosID]],1)="b",_xlfn.XLOOKUP(REPLACE(Lose[[#This Row],[LosID]],LEN(Lose[[#This Row],[LosID]]),1,"a"),Lose[LosID],Lose[Zufallszahl],"",0),RAND())</f>
        <v>0.46180859337319613</v>
      </c>
      <c r="V133" t="b" cm="1">
        <f t="array" aca="1" ref="V133" ca="1">Lose[[#This Row],[Zufallszahl]]&gt;=IFERROR(LARGE((LEFT(Lose[LosID],FIND("-",Lose[LosID])-1)=LEFT(Lose[[#This Row],[LosID]],FIND("-",Lose[[#This Row],[LosID]])-1))*Lose[Zufallszahl],_xlfn.XLOOKUP(LEFT(Lose[[#This Row],[LosID]],FIND("-",Lose[[#This Row],[LosID]])-1),Ziehungsanzahl[Kürzel],Ziehungsanzahl[Kontingent],FALSE,0)),9999)</f>
        <v>0</v>
      </c>
    </row>
    <row r="134" spans="1:23" ht="75" hidden="1">
      <c r="A1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4" t="s">
        <v>23394</v>
      </c>
      <c r="C134" s="92" t="s">
        <v>1265</v>
      </c>
      <c r="D134" s="1" t="s">
        <v>23746</v>
      </c>
      <c r="E134" t="s">
        <v>23747</v>
      </c>
      <c r="F134" t="s">
        <v>23748</v>
      </c>
      <c r="G134">
        <v>18</v>
      </c>
      <c r="H134">
        <v>3</v>
      </c>
      <c r="I134">
        <v>1.2</v>
      </c>
      <c r="J134">
        <v>5</v>
      </c>
      <c r="K134" t="str" cm="1">
        <f t="array" ref="K1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Bayreuth Hbf</v>
      </c>
      <c r="L134" t="str">
        <f>IFERROR(LEFT(TRIM(Lose[[#This Row],[Google Koordinaten]]),9),"")</f>
        <v>49.959394</v>
      </c>
      <c r="M134" t="str">
        <f>IFERROR(MID(TRIM(Lose[[#This Row],[Google Koordinaten]]),
FIND(",",TRIM(Lose[[#This Row],[Google Koordinaten]])) + 2,9),"")</f>
        <v>11.579481</v>
      </c>
      <c r="N134">
        <f>IF(Lose[[#This Row],[Bahn-hofs-zeit]]=0,0,MROUND(30*25^((Lose[[#This Row],[Bahn-hofs-zeit]]-_xlfn.MINIFS(Lose[Bahn-hofs-zeit],Lose[Bahn-hofs-zeit],"&gt;0"))/(MAX(Lose[Bahn-hofs-zeit])-_xlfn.MINIFS(Lose[Bahn-hofs-zeit],Lose[Bahn-hofs-zeit],"&gt;0"))),5))</f>
        <v>240</v>
      </c>
      <c r="O134">
        <f>IF(Lose[[#This Row],[Gehzeit (min)]]="",0,CEILING(3*(Lose[[#This Row],[Gehzeit (min)]]+Lose[[#This Row],[Aufgaben-zeit (min)]]),5))</f>
        <v>65</v>
      </c>
      <c r="P134">
        <v>10.5</v>
      </c>
      <c r="Q134">
        <f>IFERROR(ROUND(Lose[[#This Row],[Distanz (km)]]*60/Lose[[#This Row],[Gehzeit (min)]],1),"")</f>
        <v>4</v>
      </c>
      <c r="R1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1.0900000000000001</v>
      </c>
      <c r="S134">
        <f>IFERROR(Lose[[#This Row],[Distanz (km)]]-Lose[[#This Row],[Check Distanz]],"")</f>
        <v>0.10999999999999988</v>
      </c>
      <c r="T134" s="60">
        <f>IFERROR(Lose[[#This Row],[Check Umweg]]/Lose[[#This Row],[Check Distanz]],"")</f>
        <v>0.10091743119266043</v>
      </c>
      <c r="U134">
        <f ca="1">IF(RIGHT(Lose[[#This Row],[LosID]],1)="b",_xlfn.XLOOKUP(REPLACE(Lose[[#This Row],[LosID]],LEN(Lose[[#This Row],[LosID]]),1,"a"),Lose[LosID],Lose[Zufallszahl],"",0),RAND())</f>
        <v>2.4855030146293533E-3</v>
      </c>
      <c r="V134" t="b" cm="1">
        <f t="array" aca="1" ref="V134" ca="1">Lose[[#This Row],[Zufallszahl]]&gt;=IFERROR(LARGE((LEFT(Lose[LosID],FIND("-",Lose[LosID])-1)=LEFT(Lose[[#This Row],[LosID]],FIND("-",Lose[[#This Row],[LosID]])-1))*Lose[Zufallszahl],_xlfn.XLOOKUP(LEFT(Lose[[#This Row],[LosID]],FIND("-",Lose[[#This Row],[LosID]])-1),Ziehungsanzahl[Kürzel],Ziehungsanzahl[Kontingent],FALSE,0)),9999)</f>
        <v>0</v>
      </c>
    </row>
    <row r="135" spans="1:23" ht="120" hidden="1">
      <c r="A1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5" t="s">
        <v>23403</v>
      </c>
      <c r="C135" s="91" t="s">
        <v>23749</v>
      </c>
      <c r="D135" s="1" t="s">
        <v>23750</v>
      </c>
      <c r="E135" t="s">
        <v>23751</v>
      </c>
      <c r="F135" t="s">
        <v>23752</v>
      </c>
      <c r="G135">
        <v>10</v>
      </c>
      <c r="H135">
        <v>5</v>
      </c>
      <c r="I135">
        <v>0.7</v>
      </c>
      <c r="J135">
        <v>10</v>
      </c>
      <c r="K135" t="str" cm="1">
        <f t="array" ref="K1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Anhalter Bf</v>
      </c>
      <c r="L135" t="str">
        <f>IFERROR(LEFT(TRIM(Lose[[#This Row],[Google Koordinaten]]),9),"")</f>
        <v>52.499363</v>
      </c>
      <c r="M135" t="str">
        <f>IFERROR(MID(TRIM(Lose[[#This Row],[Google Koordinaten]]),
FIND(",",TRIM(Lose[[#This Row],[Google Koordinaten]])) + 2,9),"")</f>
        <v>13.379230</v>
      </c>
      <c r="N135">
        <f>IF(Lose[[#This Row],[Bahn-hofs-zeit]]=0,0,MROUND(30*25^((Lose[[#This Row],[Bahn-hofs-zeit]]-_xlfn.MINIFS(Lose[Bahn-hofs-zeit],Lose[Bahn-hofs-zeit],"&gt;0"))/(MAX(Lose[Bahn-hofs-zeit])-_xlfn.MINIFS(Lose[Bahn-hofs-zeit],Lose[Bahn-hofs-zeit],"&gt;0"))),5))</f>
        <v>135</v>
      </c>
      <c r="O135">
        <f>IF(Lose[[#This Row],[Gehzeit (min)]]="",0,CEILING(3*(Lose[[#This Row],[Gehzeit (min)]]+Lose[[#This Row],[Aufgaben-zeit (min)]]),5))</f>
        <v>45</v>
      </c>
      <c r="P135">
        <v>8.5</v>
      </c>
      <c r="Q135">
        <f>IFERROR(ROUND(Lose[[#This Row],[Distanz (km)]]*60/Lose[[#This Row],[Gehzeit (min)]],1),"")</f>
        <v>4.2</v>
      </c>
      <c r="R1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135">
        <f>IFERROR(Lose[[#This Row],[Distanz (km)]]-Lose[[#This Row],[Check Distanz]],"")</f>
        <v>0.21999999999999997</v>
      </c>
      <c r="T135" s="60">
        <f>IFERROR(Lose[[#This Row],[Check Umweg]]/Lose[[#This Row],[Check Distanz]],"")</f>
        <v>0.45833333333333331</v>
      </c>
      <c r="U135">
        <f ca="1">IF(RIGHT(Lose[[#This Row],[LosID]],1)="b",_xlfn.XLOOKUP(REPLACE(Lose[[#This Row],[LosID]],LEN(Lose[[#This Row],[LosID]]),1,"a"),Lose[LosID],Lose[Zufallszahl],"",0),RAND())</f>
        <v>0.96272004868134664</v>
      </c>
      <c r="V135" t="b" cm="1">
        <f t="array" aca="1" ref="V135" ca="1">Lose[[#This Row],[Zufallszahl]]&gt;=IFERROR(LARGE((LEFT(Lose[LosID],FIND("-",Lose[LosID])-1)=LEFT(Lose[[#This Row],[LosID]],FIND("-",Lose[[#This Row],[LosID]])-1))*Lose[Zufallszahl],_xlfn.XLOOKUP(LEFT(Lose[[#This Row],[LosID]],FIND("-",Lose[[#This Row],[LosID]])-1),Ziehungsanzahl[Kürzel],Ziehungsanzahl[Kontingent],FALSE,0)),9999)</f>
        <v>0</v>
      </c>
    </row>
    <row r="136" spans="1:23" ht="30" hidden="1">
      <c r="A1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6" t="s">
        <v>23408</v>
      </c>
      <c r="C136" s="93" t="s">
        <v>23753</v>
      </c>
      <c r="D136" s="1" t="s">
        <v>23754</v>
      </c>
      <c r="E136" t="s">
        <v>23755</v>
      </c>
      <c r="F136" t="s">
        <v>23756</v>
      </c>
      <c r="G136">
        <v>3</v>
      </c>
      <c r="H136">
        <v>5</v>
      </c>
      <c r="J136">
        <v>20</v>
      </c>
      <c r="K136" t="str" cm="1">
        <f t="array" ref="K1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Schwerte(Ruhr)</v>
      </c>
      <c r="L136" t="str">
        <f>IFERROR(LEFT(TRIM(Lose[[#This Row],[Google Koordinaten]]),9),"")</f>
        <v>51.442164</v>
      </c>
      <c r="M136" t="str">
        <f>IFERROR(MID(TRIM(Lose[[#This Row],[Google Koordinaten]]),
FIND(",",TRIM(Lose[[#This Row],[Google Koordinaten]])) + 2,9),"")</f>
        <v>7.5594617</v>
      </c>
      <c r="N136">
        <f>IF(Lose[[#This Row],[Bahn-hofs-zeit]]=0,0,MROUND(30*25^((Lose[[#This Row],[Bahn-hofs-zeit]]-_xlfn.MINIFS(Lose[Bahn-hofs-zeit],Lose[Bahn-hofs-zeit],"&gt;0"))/(MAX(Lose[Bahn-hofs-zeit])-_xlfn.MINIFS(Lose[Bahn-hofs-zeit],Lose[Bahn-hofs-zeit],"&gt;0"))),5))</f>
        <v>35</v>
      </c>
      <c r="O136">
        <f>IF(Lose[[#This Row],[Gehzeit (min)]]="",0,CEILING(3*(Lose[[#This Row],[Gehzeit (min)]]+Lose[[#This Row],[Aufgaben-zeit (min)]]),5))</f>
        <v>25</v>
      </c>
      <c r="P136">
        <v>3.75</v>
      </c>
      <c r="Q136">
        <f>IFERROR(ROUND(Lose[[#This Row],[Distanz (km)]]*60/Lose[[#This Row],[Gehzeit (min)]],1),"")</f>
        <v>0</v>
      </c>
      <c r="R1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36">
        <f>IFERROR(Lose[[#This Row],[Distanz (km)]]-Lose[[#This Row],[Check Distanz]],"")</f>
        <v>-0.04</v>
      </c>
      <c r="T136" s="60">
        <f>IFERROR(Lose[[#This Row],[Check Umweg]]/Lose[[#This Row],[Check Distanz]],"")</f>
        <v>-1</v>
      </c>
      <c r="U136">
        <f ca="1">IF(RIGHT(Lose[[#This Row],[LosID]],1)="b",_xlfn.XLOOKUP(REPLACE(Lose[[#This Row],[LosID]],LEN(Lose[[#This Row],[LosID]]),1,"a"),Lose[LosID],Lose[Zufallszahl],"",0),RAND())</f>
        <v>0.73458686887258229</v>
      </c>
      <c r="V136" t="b" cm="1">
        <f t="array" aca="1" ref="V136" ca="1">Lose[[#This Row],[Zufallszahl]]&gt;=IFERROR(LARGE((LEFT(Lose[LosID],FIND("-",Lose[LosID])-1)=LEFT(Lose[[#This Row],[LosID]],FIND("-",Lose[[#This Row],[LosID]])-1))*Lose[Zufallszahl],_xlfn.XLOOKUP(LEFT(Lose[[#This Row],[LosID]],FIND("-",Lose[[#This Row],[LosID]])-1),Ziehungsanzahl[Kürzel],Ziehungsanzahl[Kontingent],FALSE,0)),9999)</f>
        <v>0</v>
      </c>
    </row>
    <row r="137" spans="1:23" ht="135" hidden="1">
      <c r="A1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7" t="s">
        <v>23412</v>
      </c>
      <c r="C137" s="92" t="s">
        <v>23757</v>
      </c>
      <c r="D137" s="1" t="s">
        <v>23758</v>
      </c>
      <c r="E137" t="s">
        <v>23759</v>
      </c>
      <c r="F137" t="s">
        <v>23760</v>
      </c>
      <c r="G137">
        <v>2</v>
      </c>
      <c r="H137">
        <v>18</v>
      </c>
      <c r="I137">
        <v>0.1</v>
      </c>
      <c r="J137">
        <v>20</v>
      </c>
      <c r="K137" t="str" cm="1">
        <f t="array" ref="K1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Trier Hbf</v>
      </c>
      <c r="L137" t="str">
        <f>IFERROR(LEFT(TRIM(Lose[[#This Row],[Google Koordinaten]]),9),"")</f>
        <v>49.757186</v>
      </c>
      <c r="M137" t="str">
        <f>IFERROR(MID(TRIM(Lose[[#This Row],[Google Koordinaten]]),
FIND(",",TRIM(Lose[[#This Row],[Google Koordinaten]])) + 2,9),"")</f>
        <v>6.6515170</v>
      </c>
      <c r="N137">
        <f>IF(Lose[[#This Row],[Bahn-hofs-zeit]]=0,0,MROUND(30*25^((Lose[[#This Row],[Bahn-hofs-zeit]]-_xlfn.MINIFS(Lose[Bahn-hofs-zeit],Lose[Bahn-hofs-zeit],"&gt;0"))/(MAX(Lose[Bahn-hofs-zeit])-_xlfn.MINIFS(Lose[Bahn-hofs-zeit],Lose[Bahn-hofs-zeit],"&gt;0"))),5))</f>
        <v>135</v>
      </c>
      <c r="O137">
        <f>IF(Lose[[#This Row],[Gehzeit (min)]]="",0,CEILING(3*(Lose[[#This Row],[Gehzeit (min)]]+Lose[[#This Row],[Aufgaben-zeit (min)]]),5))</f>
        <v>60</v>
      </c>
      <c r="P137">
        <v>8.5</v>
      </c>
      <c r="Q137">
        <f>IFERROR(ROUND(Lose[[#This Row],[Distanz (km)]]*60/Lose[[#This Row],[Gehzeit (min)]],1),"")</f>
        <v>3</v>
      </c>
      <c r="R1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37">
        <f>IFERROR(Lose[[#This Row],[Distanz (km)]]-Lose[[#This Row],[Check Distanz]],"")</f>
        <v>2.0000000000000004E-2</v>
      </c>
      <c r="T137" s="60">
        <f>IFERROR(Lose[[#This Row],[Check Umweg]]/Lose[[#This Row],[Check Distanz]],"")</f>
        <v>0.25000000000000006</v>
      </c>
      <c r="U137">
        <f ca="1">IF(RIGHT(Lose[[#This Row],[LosID]],1)="b",_xlfn.XLOOKUP(REPLACE(Lose[[#This Row],[LosID]],LEN(Lose[[#This Row],[LosID]]),1,"a"),Lose[LosID],Lose[Zufallszahl],"",0),RAND())</f>
        <v>0.24784655132675848</v>
      </c>
      <c r="V137" t="b" cm="1">
        <f t="array" aca="1" ref="V137" ca="1">Lose[[#This Row],[Zufallszahl]]&gt;=IFERROR(LARGE((LEFT(Lose[LosID],FIND("-",Lose[LosID])-1)=LEFT(Lose[[#This Row],[LosID]],FIND("-",Lose[[#This Row],[LosID]])-1))*Lose[Zufallszahl],_xlfn.XLOOKUP(LEFT(Lose[[#This Row],[LosID]],FIND("-",Lose[[#This Row],[LosID]])-1),Ziehungsanzahl[Kürzel],Ziehungsanzahl[Kontingent],FALSE,0)),9999)</f>
        <v>0</v>
      </c>
    </row>
    <row r="138" spans="1:23" ht="180" hidden="1">
      <c r="A1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8" t="s">
        <v>23416</v>
      </c>
      <c r="C138" s="92" t="s">
        <v>1266</v>
      </c>
      <c r="D138" s="1" t="s">
        <v>23761</v>
      </c>
      <c r="E138" t="s">
        <v>23762</v>
      </c>
      <c r="F138" t="s">
        <v>23763</v>
      </c>
      <c r="G138">
        <v>12</v>
      </c>
      <c r="H138">
        <v>5</v>
      </c>
      <c r="I138">
        <v>0.9</v>
      </c>
      <c r="J138">
        <v>30</v>
      </c>
      <c r="K138" t="str" cm="1">
        <f t="array" ref="K1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Goslar</v>
      </c>
      <c r="L138" t="str">
        <f>IFERROR(LEFT(TRIM(Lose[[#This Row],[Google Koordinaten]]),9),"")</f>
        <v>51.906117</v>
      </c>
      <c r="M138" t="str">
        <f>IFERROR(MID(TRIM(Lose[[#This Row],[Google Koordinaten]]),
FIND(",",TRIM(Lose[[#This Row],[Google Koordinaten]])) + 2,9),"")</f>
        <v>10.429386</v>
      </c>
      <c r="N138">
        <f>IF(Lose[[#This Row],[Bahn-hofs-zeit]]=0,0,MROUND(30*25^((Lose[[#This Row],[Bahn-hofs-zeit]]-_xlfn.MINIFS(Lose[Bahn-hofs-zeit],Lose[Bahn-hofs-zeit],"&gt;0"))/(MAX(Lose[Bahn-hofs-zeit])-_xlfn.MINIFS(Lose[Bahn-hofs-zeit],Lose[Bahn-hofs-zeit],"&gt;0"))),5))</f>
        <v>80</v>
      </c>
      <c r="O138">
        <f>IF(Lose[[#This Row],[Gehzeit (min)]]="",0,CEILING(3*(Lose[[#This Row],[Gehzeit (min)]]+Lose[[#This Row],[Aufgaben-zeit (min)]]),5))</f>
        <v>55</v>
      </c>
      <c r="P138">
        <v>6.75</v>
      </c>
      <c r="Q138">
        <f>IFERROR(ROUND(Lose[[#This Row],[Distanz (km)]]*60/Lose[[#This Row],[Gehzeit (min)]],1),"")</f>
        <v>4.5</v>
      </c>
      <c r="R1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138">
        <f>IFERROR(Lose[[#This Row],[Distanz (km)]]-Lose[[#This Row],[Check Distanz]],"")</f>
        <v>8.0000000000000071E-2</v>
      </c>
      <c r="T138" s="60">
        <f>IFERROR(Lose[[#This Row],[Check Umweg]]/Lose[[#This Row],[Check Distanz]],"")</f>
        <v>9.7560975609756184E-2</v>
      </c>
      <c r="U138">
        <f ca="1">IF(RIGHT(Lose[[#This Row],[LosID]],1)="b",_xlfn.XLOOKUP(REPLACE(Lose[[#This Row],[LosID]],LEN(Lose[[#This Row],[LosID]]),1,"a"),Lose[LosID],Lose[Zufallszahl],"",0),RAND())</f>
        <v>3.1686995977916355E-2</v>
      </c>
      <c r="V138" t="b" cm="1">
        <f t="array" aca="1" ref="V138" ca="1">Lose[[#This Row],[Zufallszahl]]&gt;=IFERROR(LARGE((LEFT(Lose[LosID],FIND("-",Lose[LosID])-1)=LEFT(Lose[[#This Row],[LosID]],FIND("-",Lose[[#This Row],[LosID]])-1))*Lose[Zufallszahl],_xlfn.XLOOKUP(LEFT(Lose[[#This Row],[LosID]],FIND("-",Lose[[#This Row],[LosID]])-1),Ziehungsanzahl[Kürzel],Ziehungsanzahl[Kontingent],FALSE,0)),9999)</f>
        <v>0</v>
      </c>
    </row>
    <row r="139" spans="1:23" ht="90" hidden="1">
      <c r="A1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9" t="s">
        <v>23357</v>
      </c>
      <c r="C139" s="92" t="s">
        <v>1267</v>
      </c>
      <c r="D139" s="1" t="s">
        <v>23764</v>
      </c>
      <c r="E139" t="s">
        <v>23765</v>
      </c>
      <c r="F139" t="s">
        <v>23766</v>
      </c>
      <c r="G139">
        <v>5</v>
      </c>
      <c r="H139">
        <v>2</v>
      </c>
      <c r="I139">
        <v>0.35</v>
      </c>
      <c r="K139" t="str" cm="1">
        <f t="array" ref="K1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Lennestadt-Altenhundem</v>
      </c>
      <c r="L139" t="str">
        <f>IFERROR(LEFT(TRIM(Lose[[#This Row],[Google Koordinaten]]),9),"")</f>
        <v>51.101130</v>
      </c>
      <c r="M139" t="str">
        <f>IFERROR(MID(TRIM(Lose[[#This Row],[Google Koordinaten]]),
FIND(",",TRIM(Lose[[#This Row],[Google Koordinaten]])) + 2,9),"")</f>
        <v>8.0706520</v>
      </c>
      <c r="N139">
        <f>IF(Lose[[#This Row],[Bahn-hofs-zeit]]=0,0,MROUND(30*25^((Lose[[#This Row],[Bahn-hofs-zeit]]-_xlfn.MINIFS(Lose[Bahn-hofs-zeit],Lose[Bahn-hofs-zeit],"&gt;0"))/(MAX(Lose[Bahn-hofs-zeit])-_xlfn.MINIFS(Lose[Bahn-hofs-zeit],Lose[Bahn-hofs-zeit],"&gt;0"))),5))</f>
        <v>75</v>
      </c>
      <c r="O139">
        <f>IF(Lose[[#This Row],[Gehzeit (min)]]="",0,CEILING(3*(Lose[[#This Row],[Gehzeit (min)]]+Lose[[#This Row],[Aufgaben-zeit (min)]]),5))</f>
        <v>25</v>
      </c>
      <c r="P139">
        <v>6.5</v>
      </c>
      <c r="Q139">
        <f>IFERROR(ROUND(Lose[[#This Row],[Distanz (km)]]*60/Lose[[#This Row],[Gehzeit (min)]],1),"")</f>
        <v>4.2</v>
      </c>
      <c r="R1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39">
        <f>IFERROR(Lose[[#This Row],[Distanz (km)]]-Lose[[#This Row],[Check Distanz]],"")</f>
        <v>9.9999999999999534E-3</v>
      </c>
      <c r="T139" s="60">
        <f>IFERROR(Lose[[#This Row],[Check Umweg]]/Lose[[#This Row],[Check Distanz]],"")</f>
        <v>2.9411764705882214E-2</v>
      </c>
      <c r="U139">
        <f ca="1">IF(RIGHT(Lose[[#This Row],[LosID]],1)="b",_xlfn.XLOOKUP(REPLACE(Lose[[#This Row],[LosID]],LEN(Lose[[#This Row],[LosID]]),1,"a"),Lose[LosID],Lose[Zufallszahl],"",0),RAND())</f>
        <v>0.36367843805107314</v>
      </c>
      <c r="V139" t="b" cm="1">
        <f t="array" aca="1" ref="V139" ca="1">Lose[[#This Row],[Zufallszahl]]&gt;=IFERROR(LARGE((LEFT(Lose[LosID],FIND("-",Lose[LosID])-1)=LEFT(Lose[[#This Row],[LosID]],FIND("-",Lose[[#This Row],[LosID]])-1))*Lose[Zufallszahl],_xlfn.XLOOKUP(LEFT(Lose[[#This Row],[LosID]],FIND("-",Lose[[#This Row],[LosID]])-1),Ziehungsanzahl[Kürzel],Ziehungsanzahl[Kontingent],FALSE,0)),9999)</f>
        <v>0</v>
      </c>
    </row>
    <row r="140" spans="1:23" ht="90" hidden="1">
      <c r="A1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0" t="s">
        <v>23363</v>
      </c>
      <c r="C140" s="92" t="s">
        <v>1268</v>
      </c>
      <c r="D140" s="1" t="s">
        <v>23767</v>
      </c>
      <c r="E140" t="s">
        <v>23768</v>
      </c>
      <c r="F140" t="s">
        <v>23769</v>
      </c>
      <c r="G140">
        <v>29</v>
      </c>
      <c r="H140">
        <v>2</v>
      </c>
      <c r="I140">
        <v>2.1</v>
      </c>
      <c r="J140">
        <v>10</v>
      </c>
      <c r="K140" t="str" cm="1">
        <f t="array" ref="K1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Forst(Lausitz)</v>
      </c>
      <c r="L140" t="str">
        <f>IFERROR(LEFT(TRIM(Lose[[#This Row],[Google Koordinaten]]),9),"")</f>
        <v>51.732534</v>
      </c>
      <c r="M140" t="str">
        <f>IFERROR(MID(TRIM(Lose[[#This Row],[Google Koordinaten]]),
FIND(",",TRIM(Lose[[#This Row],[Google Koordinaten]])) + 2,9),"")</f>
        <v>14.660665</v>
      </c>
      <c r="N140" s="91">
        <f>IF(Lose[[#This Row],[Bahn-hofs-zeit]]=0,0,MROUND(30*25^((Lose[[#This Row],[Bahn-hofs-zeit]]-_xlfn.MINIFS(Lose[Bahn-hofs-zeit],Lose[Bahn-hofs-zeit],"&gt;0"))/(MAX(Lose[Bahn-hofs-zeit])-_xlfn.MINIFS(Lose[Bahn-hofs-zeit],Lose[Bahn-hofs-zeit],"&gt;0"))),5))</f>
        <v>0</v>
      </c>
      <c r="O140">
        <f>IF(Lose[[#This Row],[Gehzeit (min)]]="",0,CEILING(3*(Lose[[#This Row],[Gehzeit (min)]]+Lose[[#This Row],[Aufgaben-zeit (min)]]),5))</f>
        <v>95</v>
      </c>
      <c r="Q140">
        <f>IFERROR(ROUND(Lose[[#This Row],[Distanz (km)]]*60/Lose[[#This Row],[Gehzeit (min)]],1),"")</f>
        <v>4.3</v>
      </c>
      <c r="R1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1.74</v>
      </c>
      <c r="S140">
        <f>IFERROR(Lose[[#This Row],[Distanz (km)]]-Lose[[#This Row],[Check Distanz]],"")</f>
        <v>0.3600000000000001</v>
      </c>
      <c r="T140" s="60">
        <f>IFERROR(Lose[[#This Row],[Check Umweg]]/Lose[[#This Row],[Check Distanz]],"")</f>
        <v>0.20689655172413798</v>
      </c>
      <c r="U140">
        <f ca="1">IF(RIGHT(Lose[[#This Row],[LosID]],1)="b",_xlfn.XLOOKUP(REPLACE(Lose[[#This Row],[LosID]],LEN(Lose[[#This Row],[LosID]]),1,"a"),Lose[LosID],Lose[Zufallszahl],"",0),RAND())</f>
        <v>0.32160353631190841</v>
      </c>
      <c r="V140" t="b" cm="1">
        <f t="array" aca="1" ref="V140" ca="1">Lose[[#This Row],[Zufallszahl]]&gt;=IFERROR(LARGE((LEFT(Lose[LosID],FIND("-",Lose[LosID])-1)=LEFT(Lose[[#This Row],[LosID]],FIND("-",Lose[[#This Row],[LosID]])-1))*Lose[Zufallszahl],_xlfn.XLOOKUP(LEFT(Lose[[#This Row],[LosID]],FIND("-",Lose[[#This Row],[LosID]])-1),Ziehungsanzahl[Kürzel],Ziehungsanzahl[Kontingent],FALSE,0)),9999)</f>
        <v>0</v>
      </c>
      <c r="W140" t="s">
        <v>23398</v>
      </c>
    </row>
    <row r="141" spans="1:23" ht="129.6" hidden="1" customHeight="1">
      <c r="A1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1" t="s">
        <v>23367</v>
      </c>
      <c r="C141" s="92" t="s">
        <v>23770</v>
      </c>
      <c r="D141" s="1" t="s">
        <v>23771</v>
      </c>
      <c r="E141" t="s">
        <v>23772</v>
      </c>
      <c r="F141" t="s">
        <v>23773</v>
      </c>
      <c r="G141">
        <v>14</v>
      </c>
      <c r="H141">
        <v>2</v>
      </c>
      <c r="I141">
        <v>1</v>
      </c>
      <c r="K141" t="str" cm="1">
        <f t="array" ref="K1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Osterholz-Scharmbeck</v>
      </c>
      <c r="L141" t="str">
        <f>IFERROR(LEFT(TRIM(Lose[[#This Row],[Google Koordinaten]]),9),"")</f>
        <v>53.217213</v>
      </c>
      <c r="M141" t="str">
        <f>IFERROR(MID(TRIM(Lose[[#This Row],[Google Koordinaten]]),
FIND(",",TRIM(Lose[[#This Row],[Google Koordinaten]])) + 2,9),"")</f>
        <v>8.8087012</v>
      </c>
      <c r="N141">
        <f>IF(Lose[[#This Row],[Bahn-hofs-zeit]]=0,0,MROUND(30*25^((Lose[[#This Row],[Bahn-hofs-zeit]]-_xlfn.MINIFS(Lose[Bahn-hofs-zeit],Lose[Bahn-hofs-zeit],"&gt;0"))/(MAX(Lose[Bahn-hofs-zeit])-_xlfn.MINIFS(Lose[Bahn-hofs-zeit],Lose[Bahn-hofs-zeit],"&gt;0"))),5))</f>
        <v>80</v>
      </c>
      <c r="O141">
        <f>IF(Lose[[#This Row],[Gehzeit (min)]]="",0,CEILING(3*(Lose[[#This Row],[Gehzeit (min)]]+Lose[[#This Row],[Aufgaben-zeit (min)]]),5))</f>
        <v>50</v>
      </c>
      <c r="P141">
        <v>6.75</v>
      </c>
      <c r="Q141">
        <f>IFERROR(ROUND(Lose[[#This Row],[Distanz (km)]]*60/Lose[[#This Row],[Gehzeit (min)]],1),"")</f>
        <v>4.3</v>
      </c>
      <c r="R1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141">
        <f>IFERROR(Lose[[#This Row],[Distanz (km)]]-Lose[[#This Row],[Check Distanz]],"")</f>
        <v>3.0000000000000027E-2</v>
      </c>
      <c r="T141" s="60">
        <f>IFERROR(Lose[[#This Row],[Check Umweg]]/Lose[[#This Row],[Check Distanz]],"")</f>
        <v>3.0927835051546421E-2</v>
      </c>
      <c r="U141">
        <f ca="1">IF(RIGHT(Lose[[#This Row],[LosID]],1)="b",_xlfn.XLOOKUP(REPLACE(Lose[[#This Row],[LosID]],LEN(Lose[[#This Row],[LosID]]),1,"a"),Lose[LosID],Lose[Zufallszahl],"",0),RAND())</f>
        <v>0.29370016382807251</v>
      </c>
      <c r="V141" t="b" cm="1">
        <f t="array" aca="1" ref="V141" ca="1">Lose[[#This Row],[Zufallszahl]]&gt;=IFERROR(LARGE((LEFT(Lose[LosID],FIND("-",Lose[LosID])-1)=LEFT(Lose[[#This Row],[LosID]],FIND("-",Lose[[#This Row],[LosID]])-1))*Lose[Zufallszahl],_xlfn.XLOOKUP(LEFT(Lose[[#This Row],[LosID]],FIND("-",Lose[[#This Row],[LosID]])-1),Ziehungsanzahl[Kürzel],Ziehungsanzahl[Kontingent],FALSE,0)),9999)</f>
        <v>0</v>
      </c>
    </row>
    <row r="142" spans="1:23" ht="165" hidden="1">
      <c r="A1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2" t="s">
        <v>23416</v>
      </c>
      <c r="C142" s="92" t="s">
        <v>23774</v>
      </c>
      <c r="D142" s="1" t="s">
        <v>23775</v>
      </c>
      <c r="E142" t="s">
        <v>23776</v>
      </c>
      <c r="F142" t="s">
        <v>23777</v>
      </c>
      <c r="G142">
        <v>2</v>
      </c>
      <c r="H142">
        <v>10</v>
      </c>
      <c r="I142">
        <v>0.1</v>
      </c>
      <c r="J142">
        <v>10</v>
      </c>
      <c r="K142" t="str" cm="1">
        <f t="array" ref="K1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Probstzella</v>
      </c>
      <c r="L142" t="str">
        <f>IFERROR(LEFT(TRIM(Lose[[#This Row],[Google Koordinaten]]),9),"")</f>
        <v>50.528208</v>
      </c>
      <c r="M142" t="str">
        <f>IFERROR(MID(TRIM(Lose[[#This Row],[Google Koordinaten]]),
FIND(",",TRIM(Lose[[#This Row],[Google Koordinaten]])) + 2,9),"")</f>
        <v>11.384679</v>
      </c>
      <c r="N142">
        <f>IF(Lose[[#This Row],[Bahn-hofs-zeit]]=0,0,MROUND(30*25^((Lose[[#This Row],[Bahn-hofs-zeit]]-_xlfn.MINIFS(Lose[Bahn-hofs-zeit],Lose[Bahn-hofs-zeit],"&gt;0"))/(MAX(Lose[Bahn-hofs-zeit])-_xlfn.MINIFS(Lose[Bahn-hofs-zeit],Lose[Bahn-hofs-zeit],"&gt;0"))),5))</f>
        <v>220</v>
      </c>
      <c r="O142">
        <f>IF(Lose[[#This Row],[Gehzeit (min)]]="",0,CEILING(3*(Lose[[#This Row],[Gehzeit (min)]]+Lose[[#This Row],[Aufgaben-zeit (min)]]),5))</f>
        <v>40</v>
      </c>
      <c r="P142">
        <v>10.25</v>
      </c>
      <c r="Q142">
        <f>IFERROR(ROUND(Lose[[#This Row],[Distanz (km)]]*60/Lose[[#This Row],[Gehzeit (min)]],1),"")</f>
        <v>3</v>
      </c>
      <c r="R1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42">
        <f>IFERROR(Lose[[#This Row],[Distanz (km)]]-Lose[[#This Row],[Check Distanz]],"")</f>
        <v>2.0000000000000004E-2</v>
      </c>
      <c r="T142" s="60">
        <f>IFERROR(Lose[[#This Row],[Check Umweg]]/Lose[[#This Row],[Check Distanz]],"")</f>
        <v>0.25000000000000006</v>
      </c>
      <c r="U142">
        <f ca="1">IF(RIGHT(Lose[[#This Row],[LosID]],1)="b",_xlfn.XLOOKUP(REPLACE(Lose[[#This Row],[LosID]],LEN(Lose[[#This Row],[LosID]]),1,"a"),Lose[LosID],Lose[Zufallszahl],"",0),RAND())</f>
        <v>0.82729501741256739</v>
      </c>
      <c r="V142" t="b" cm="1">
        <f t="array" aca="1" ref="V142" ca="1">Lose[[#This Row],[Zufallszahl]]&gt;=IFERROR(LARGE((LEFT(Lose[LosID],FIND("-",Lose[LosID])-1)=LEFT(Lose[[#This Row],[LosID]],FIND("-",Lose[[#This Row],[LosID]])-1))*Lose[Zufallszahl],_xlfn.XLOOKUP(LEFT(Lose[[#This Row],[LosID]],FIND("-",Lose[[#This Row],[LosID]])-1),Ziehungsanzahl[Kürzel],Ziehungsanzahl[Kontingent],FALSE,0)),9999)</f>
        <v>0</v>
      </c>
    </row>
    <row r="143" spans="1:23" ht="182.1" hidden="1" customHeight="1">
      <c r="A1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3" t="s">
        <v>23372</v>
      </c>
      <c r="C143" s="92" t="s">
        <v>23778</v>
      </c>
      <c r="D143" s="78" t="s">
        <v>23779</v>
      </c>
      <c r="E143" t="s">
        <v>23780</v>
      </c>
      <c r="F143" t="s">
        <v>23781</v>
      </c>
      <c r="G143">
        <v>12</v>
      </c>
      <c r="H143">
        <v>2</v>
      </c>
      <c r="I143">
        <v>0.85</v>
      </c>
      <c r="J143">
        <v>10</v>
      </c>
      <c r="K143" t="str" cm="1">
        <f t="array" ref="K1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Leverkusen Mitte</v>
      </c>
      <c r="L143" t="str">
        <f>IFERROR(LEFT(TRIM(Lose[[#This Row],[Google Koordinaten]]),9),"")</f>
        <v>51.032599</v>
      </c>
      <c r="M143" t="str">
        <f>IFERROR(MID(TRIM(Lose[[#This Row],[Google Koordinaten]]),
FIND(",",TRIM(Lose[[#This Row],[Google Koordinaten]])) + 2,9),"")</f>
        <v>6.9818382</v>
      </c>
      <c r="N143">
        <f>IF(Lose[[#This Row],[Bahn-hofs-zeit]]=0,0,MROUND(30*25^((Lose[[#This Row],[Bahn-hofs-zeit]]-_xlfn.MINIFS(Lose[Bahn-hofs-zeit],Lose[Bahn-hofs-zeit],"&gt;0"))/(MAX(Lose[Bahn-hofs-zeit])-_xlfn.MINIFS(Lose[Bahn-hofs-zeit],Lose[Bahn-hofs-zeit],"&gt;0"))),5))</f>
        <v>40</v>
      </c>
      <c r="O143">
        <f>IF(Lose[[#This Row],[Gehzeit (min)]]="",0,CEILING(3*(Lose[[#This Row],[Gehzeit (min)]]+Lose[[#This Row],[Aufgaben-zeit (min)]]),5))</f>
        <v>45</v>
      </c>
      <c r="P143">
        <v>4.25</v>
      </c>
      <c r="Q143">
        <f>IFERROR(ROUND(Lose[[#This Row],[Distanz (km)]]*60/Lose[[#This Row],[Gehzeit (min)]],1),"")</f>
        <v>4.3</v>
      </c>
      <c r="R1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143">
        <f>IFERROR(Lose[[#This Row],[Distanz (km)]]-Lose[[#This Row],[Check Distanz]],"")</f>
        <v>0.15000000000000002</v>
      </c>
      <c r="T143" s="60">
        <f>IFERROR(Lose[[#This Row],[Check Umweg]]/Lose[[#This Row],[Check Distanz]],"")</f>
        <v>0.21428571428571433</v>
      </c>
      <c r="U143">
        <f ca="1">IF(RIGHT(Lose[[#This Row],[LosID]],1)="b",_xlfn.XLOOKUP(REPLACE(Lose[[#This Row],[LosID]],LEN(Lose[[#This Row],[LosID]]),1,"a"),Lose[LosID],Lose[Zufallszahl],"",0),RAND())</f>
        <v>0.76614685815443417</v>
      </c>
      <c r="V143" t="b" cm="1">
        <f t="array" aca="1" ref="V143" ca="1">Lose[[#This Row],[Zufallszahl]]&gt;=IFERROR(LARGE((LEFT(Lose[LosID],FIND("-",Lose[LosID])-1)=LEFT(Lose[[#This Row],[LosID]],FIND("-",Lose[[#This Row],[LosID]])-1))*Lose[Zufallszahl],_xlfn.XLOOKUP(LEFT(Lose[[#This Row],[LosID]],FIND("-",Lose[[#This Row],[LosID]])-1),Ziehungsanzahl[Kürzel],Ziehungsanzahl[Kontingent],FALSE,0)),9999)</f>
        <v>0</v>
      </c>
    </row>
    <row r="144" spans="1:23" ht="105" hidden="1">
      <c r="A1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4" t="s">
        <v>4</v>
      </c>
      <c r="C144" s="92" t="s">
        <v>23782</v>
      </c>
      <c r="D144" s="89" t="s">
        <v>23783</v>
      </c>
      <c r="E144" t="s">
        <v>23784</v>
      </c>
      <c r="F144" t="s">
        <v>23785</v>
      </c>
      <c r="G144">
        <v>13</v>
      </c>
      <c r="H144">
        <v>10</v>
      </c>
      <c r="I144">
        <v>1</v>
      </c>
      <c r="K144" t="str" cm="1">
        <f t="array" ref="K1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Gemünden(Main)</v>
      </c>
      <c r="L144" t="str">
        <f>IFERROR(LEFT(TRIM(Lose[[#This Row],[Google Koordinaten]]),9),"")</f>
        <v>50.054862</v>
      </c>
      <c r="M144" t="str">
        <f>IFERROR(MID(TRIM(Lose[[#This Row],[Google Koordinaten]]),
FIND(",",TRIM(Lose[[#This Row],[Google Koordinaten]])) + 2,9),"")</f>
        <v>9.6900888</v>
      </c>
      <c r="N144">
        <f>IF(Lose[[#This Row],[Bahn-hofs-zeit]]=0,0,MROUND(30*25^((Lose[[#This Row],[Bahn-hofs-zeit]]-_xlfn.MINIFS(Lose[Bahn-hofs-zeit],Lose[Bahn-hofs-zeit],"&gt;0"))/(MAX(Lose[Bahn-hofs-zeit])-_xlfn.MINIFS(Lose[Bahn-hofs-zeit],Lose[Bahn-hofs-zeit],"&gt;0"))),5))</f>
        <v>75</v>
      </c>
      <c r="O144">
        <f>IF(Lose[[#This Row],[Gehzeit (min)]]="",0,CEILING(3*(Lose[[#This Row],[Gehzeit (min)]]+Lose[[#This Row],[Aufgaben-zeit (min)]]),5))</f>
        <v>70</v>
      </c>
      <c r="P144">
        <v>6.5</v>
      </c>
      <c r="Q144">
        <f>IFERROR(ROUND(Lose[[#This Row],[Distanz (km)]]*60/Lose[[#This Row],[Gehzeit (min)]],1),"")</f>
        <v>4.5999999999999996</v>
      </c>
      <c r="R1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144">
        <f>IFERROR(Lose[[#This Row],[Distanz (km)]]-Lose[[#This Row],[Check Distanz]],"")</f>
        <v>0.12</v>
      </c>
      <c r="T144" s="60">
        <f>IFERROR(Lose[[#This Row],[Check Umweg]]/Lose[[#This Row],[Check Distanz]],"")</f>
        <v>0.13636363636363635</v>
      </c>
      <c r="U144">
        <f ca="1">IF(RIGHT(Lose[[#This Row],[LosID]],1)="b",_xlfn.XLOOKUP(REPLACE(Lose[[#This Row],[LosID]],LEN(Lose[[#This Row],[LosID]]),1,"a"),Lose[LosID],Lose[Zufallszahl],"",0),RAND())</f>
        <v>0.68928782208943606</v>
      </c>
      <c r="V144" t="b" cm="1">
        <f t="array" aca="1" ref="V144" ca="1">Lose[[#This Row],[Zufallszahl]]&gt;=IFERROR(LARGE((LEFT(Lose[LosID],FIND("-",Lose[LosID])-1)=LEFT(Lose[[#This Row],[LosID]],FIND("-",Lose[[#This Row],[LosID]])-1))*Lose[Zufallszahl],_xlfn.XLOOKUP(LEFT(Lose[[#This Row],[LosID]],FIND("-",Lose[[#This Row],[LosID]])-1),Ziehungsanzahl[Kürzel],Ziehungsanzahl[Kontingent],FALSE,0)),9999)</f>
        <v>0</v>
      </c>
    </row>
    <row r="145" spans="1:23" ht="110.1" hidden="1" customHeight="1">
      <c r="A1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5" t="s">
        <v>23352</v>
      </c>
      <c r="C145" s="92" t="s">
        <v>23786</v>
      </c>
      <c r="D145" s="1" t="s">
        <v>23787</v>
      </c>
      <c r="E145" t="s">
        <v>23788</v>
      </c>
      <c r="F145" t="s">
        <v>23789</v>
      </c>
      <c r="G145">
        <v>5</v>
      </c>
      <c r="H145">
        <v>3</v>
      </c>
      <c r="I145">
        <v>0.2</v>
      </c>
      <c r="K145" t="str" cm="1">
        <f t="array" ref="K1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Werdohl</v>
      </c>
      <c r="L145" t="str">
        <f>IFERROR(LEFT(TRIM(Lose[[#This Row],[Google Koordinaten]]),9),"")</f>
        <v>51.259893</v>
      </c>
      <c r="M145" t="str">
        <f>IFERROR(MID(TRIM(Lose[[#This Row],[Google Koordinaten]]),
FIND(",",TRIM(Lose[[#This Row],[Google Koordinaten]])) + 2,9),"")</f>
        <v>7.7599610</v>
      </c>
      <c r="N145">
        <f>IF(Lose[[#This Row],[Bahn-hofs-zeit]]=0,0,MROUND(30*25^((Lose[[#This Row],[Bahn-hofs-zeit]]-_xlfn.MINIFS(Lose[Bahn-hofs-zeit],Lose[Bahn-hofs-zeit],"&gt;0"))/(MAX(Lose[Bahn-hofs-zeit])-_xlfn.MINIFS(Lose[Bahn-hofs-zeit],Lose[Bahn-hofs-zeit],"&gt;0"))),5))</f>
        <v>55</v>
      </c>
      <c r="O145">
        <f>IF(Lose[[#This Row],[Gehzeit (min)]]="",0,CEILING(3*(Lose[[#This Row],[Gehzeit (min)]]+Lose[[#This Row],[Aufgaben-zeit (min)]]),5))</f>
        <v>25</v>
      </c>
      <c r="P145">
        <v>5.25</v>
      </c>
      <c r="Q145">
        <f>IFERROR(ROUND(Lose[[#This Row],[Distanz (km)]]*60/Lose[[#This Row],[Gehzeit (min)]],1),"")</f>
        <v>2.4</v>
      </c>
      <c r="R1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145">
        <f>IFERROR(Lose[[#This Row],[Distanz (km)]]-Lose[[#This Row],[Check Distanz]],"")</f>
        <v>0.03</v>
      </c>
      <c r="T145" s="60">
        <f>IFERROR(Lose[[#This Row],[Check Umweg]]/Lose[[#This Row],[Check Distanz]],"")</f>
        <v>0.1764705882352941</v>
      </c>
      <c r="U145">
        <f ca="1">IF(RIGHT(Lose[[#This Row],[LosID]],1)="b",_xlfn.XLOOKUP(REPLACE(Lose[[#This Row],[LosID]],LEN(Lose[[#This Row],[LosID]]),1,"a"),Lose[LosID],Lose[Zufallszahl],"",0),RAND())</f>
        <v>0.76243369304906017</v>
      </c>
      <c r="V145" t="b" cm="1">
        <f t="array" aca="1" ref="V145" ca="1">Lose[[#This Row],[Zufallszahl]]&gt;=IFERROR(LARGE((LEFT(Lose[LosID],FIND("-",Lose[LosID])-1)=LEFT(Lose[[#This Row],[LosID]],FIND("-",Lose[[#This Row],[LosID]])-1))*Lose[Zufallszahl],_xlfn.XLOOKUP(LEFT(Lose[[#This Row],[LosID]],FIND("-",Lose[[#This Row],[LosID]])-1),Ziehungsanzahl[Kürzel],Ziehungsanzahl[Kontingent],FALSE,0)),9999)</f>
        <v>0</v>
      </c>
    </row>
    <row r="146" spans="1:23" ht="75" hidden="1">
      <c r="A1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6" t="s">
        <v>23380</v>
      </c>
      <c r="C146" s="92" t="s">
        <v>1269</v>
      </c>
      <c r="D146" s="1" t="s">
        <v>23790</v>
      </c>
      <c r="E146" t="s">
        <v>23791</v>
      </c>
      <c r="F146" t="s">
        <v>23792</v>
      </c>
      <c r="G146">
        <v>5</v>
      </c>
      <c r="H146">
        <v>5</v>
      </c>
      <c r="I146">
        <v>0.4</v>
      </c>
      <c r="K146" t="str" cm="1">
        <f t="array" ref="K1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146" t="str">
        <f>IFERROR(LEFT(TRIM(Lose[[#This Row],[Google Koordinaten]]),9),"")</f>
        <v>50.874102</v>
      </c>
      <c r="M146" t="str">
        <f>IFERROR(MID(TRIM(Lose[[#This Row],[Google Koordinaten]]),
FIND(",",TRIM(Lose[[#This Row],[Google Koordinaten]])) + 2,9),"")</f>
        <v>8.0176604</v>
      </c>
      <c r="N146">
        <f>IF(Lose[[#This Row],[Bahn-hofs-zeit]]=0,0,MROUND(30*25^((Lose[[#This Row],[Bahn-hofs-zeit]]-_xlfn.MINIFS(Lose[Bahn-hofs-zeit],Lose[Bahn-hofs-zeit],"&gt;0"))/(MAX(Lose[Bahn-hofs-zeit])-_xlfn.MINIFS(Lose[Bahn-hofs-zeit],Lose[Bahn-hofs-zeit],"&gt;0"))),5))</f>
        <v>55</v>
      </c>
      <c r="O146">
        <f>IF(Lose[[#This Row],[Gehzeit (min)]]="",0,CEILING(3*(Lose[[#This Row],[Gehzeit (min)]]+Lose[[#This Row],[Aufgaben-zeit (min)]]),5))</f>
        <v>30</v>
      </c>
      <c r="P146">
        <v>5.5</v>
      </c>
      <c r="Q146">
        <f>IFERROR(ROUND(Lose[[#This Row],[Distanz (km)]]*60/Lose[[#This Row],[Gehzeit (min)]],1),"")</f>
        <v>4.8</v>
      </c>
      <c r="R1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146">
        <f>IFERROR(Lose[[#This Row],[Distanz (km)]]-Lose[[#This Row],[Check Distanz]],"")</f>
        <v>0.18000000000000002</v>
      </c>
      <c r="T146" s="60">
        <f>IFERROR(Lose[[#This Row],[Check Umweg]]/Lose[[#This Row],[Check Distanz]],"")</f>
        <v>0.81818181818181823</v>
      </c>
      <c r="U146">
        <f ca="1">IF(RIGHT(Lose[[#This Row],[LosID]],1)="b",_xlfn.XLOOKUP(REPLACE(Lose[[#This Row],[LosID]],LEN(Lose[[#This Row],[LosID]]),1,"a"),Lose[LosID],Lose[Zufallszahl],"",0),RAND())</f>
        <v>0.37716089361683192</v>
      </c>
      <c r="V146" t="b" cm="1">
        <f t="array" aca="1" ref="V146" ca="1">Lose[[#This Row],[Zufallszahl]]&gt;=IFERROR(LARGE((LEFT(Lose[LosID],FIND("-",Lose[LosID])-1)=LEFT(Lose[[#This Row],[LosID]],FIND("-",Lose[[#This Row],[LosID]])-1))*Lose[Zufallszahl],_xlfn.XLOOKUP(LEFT(Lose[[#This Row],[LosID]],FIND("-",Lose[[#This Row],[LosID]])-1),Ziehungsanzahl[Kürzel],Ziehungsanzahl[Kontingent],FALSE,0)),9999)</f>
        <v>0</v>
      </c>
    </row>
    <row r="147" spans="1:23" ht="84" customHeight="1">
      <c r="A1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7" t="s">
        <v>23385</v>
      </c>
      <c r="C147" s="92" t="s">
        <v>23793</v>
      </c>
      <c r="D147" s="84" t="s">
        <v>23794</v>
      </c>
      <c r="E147" t="s">
        <v>23795</v>
      </c>
      <c r="F147" t="s">
        <v>23796</v>
      </c>
      <c r="G147">
        <v>19</v>
      </c>
      <c r="H147">
        <v>2</v>
      </c>
      <c r="I147">
        <v>1.3</v>
      </c>
      <c r="J147">
        <v>20</v>
      </c>
      <c r="K147" t="str" cm="1">
        <f t="array" ref="K1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 Hbf</v>
      </c>
      <c r="L147" t="str">
        <f>IFERROR(LEFT(TRIM(Lose[[#This Row],[Google Koordinaten]]),9),"")</f>
        <v>53.867037</v>
      </c>
      <c r="M147" t="str">
        <f>IFERROR(MID(TRIM(Lose[[#This Row],[Google Koordinaten]]),
FIND(",",TRIM(Lose[[#This Row],[Google Koordinaten]])) + 2,9),"")</f>
        <v>10.686108</v>
      </c>
      <c r="N147">
        <f>IF(Lose[[#This Row],[Bahn-hofs-zeit]]=0,0,MROUND(30*25^((Lose[[#This Row],[Bahn-hofs-zeit]]-_xlfn.MINIFS(Lose[Bahn-hofs-zeit],Lose[Bahn-hofs-zeit],"&gt;0"))/(MAX(Lose[Bahn-hofs-zeit])-_xlfn.MINIFS(Lose[Bahn-hofs-zeit],Lose[Bahn-hofs-zeit],"&gt;0"))),5))</f>
        <v>145</v>
      </c>
      <c r="O147">
        <f>IF(Lose[[#This Row],[Gehzeit (min)]]="",0,CEILING(3*(Lose[[#This Row],[Gehzeit (min)]]+Lose[[#This Row],[Aufgaben-zeit (min)]]),5))</f>
        <v>65</v>
      </c>
      <c r="P147">
        <v>8.75</v>
      </c>
      <c r="Q147">
        <f>IFERROR(ROUND(Lose[[#This Row],[Distanz (km)]]*60/Lose[[#This Row],[Gehzeit (min)]],1),"")</f>
        <v>4.0999999999999996</v>
      </c>
      <c r="R1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1.07</v>
      </c>
      <c r="S147">
        <f>IFERROR(Lose[[#This Row],[Distanz (km)]]-Lose[[#This Row],[Check Distanz]],"")</f>
        <v>0.22999999999999998</v>
      </c>
      <c r="T147" s="60">
        <f>IFERROR(Lose[[#This Row],[Check Umweg]]/Lose[[#This Row],[Check Distanz]],"")</f>
        <v>0.21495327102803735</v>
      </c>
      <c r="U147">
        <f ca="1">IF(RIGHT(Lose[[#This Row],[LosID]],1)="b",_xlfn.XLOOKUP(REPLACE(Lose[[#This Row],[LosID]],LEN(Lose[[#This Row],[LosID]]),1,"a"),Lose[LosID],Lose[Zufallszahl],"",0),RAND())</f>
        <v>0.31043414255286905</v>
      </c>
      <c r="V147" t="b" cm="1">
        <f t="array" aca="1" ref="V147" ca="1">Lose[[#This Row],[Zufallszahl]]&gt;=IFERROR(LARGE((LEFT(Lose[LosID],FIND("-",Lose[LosID])-1)=LEFT(Lose[[#This Row],[LosID]],FIND("-",Lose[[#This Row],[LosID]])-1))*Lose[Zufallszahl],_xlfn.XLOOKUP(LEFT(Lose[[#This Row],[LosID]],FIND("-",Lose[[#This Row],[LosID]])-1),Ziehungsanzahl[Kürzel],Ziehungsanzahl[Kontingent],FALSE,0)),9999)</f>
        <v>0</v>
      </c>
    </row>
    <row r="148" spans="1:23" ht="60" hidden="1">
      <c r="A1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8" t="s">
        <v>23390</v>
      </c>
      <c r="C148" s="92" t="s">
        <v>1270</v>
      </c>
      <c r="D148" s="1" t="s">
        <v>23797</v>
      </c>
      <c r="E148" t="s">
        <v>23798</v>
      </c>
      <c r="F148" t="s">
        <v>23799</v>
      </c>
      <c r="G148">
        <v>8</v>
      </c>
      <c r="H148">
        <v>5</v>
      </c>
      <c r="I148">
        <v>0.6</v>
      </c>
      <c r="J148">
        <v>20</v>
      </c>
      <c r="K148" t="str" cm="1">
        <f t="array" ref="K1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Oldesloe</v>
      </c>
      <c r="L148" t="str">
        <f>IFERROR(LEFT(TRIM(Lose[[#This Row],[Google Koordinaten]]),9),"")</f>
        <v>53.809475</v>
      </c>
      <c r="M148" t="str">
        <f>IFERROR(MID(TRIM(Lose[[#This Row],[Google Koordinaten]]),
FIND(",",TRIM(Lose[[#This Row],[Google Koordinaten]])) + 2,9),"")</f>
        <v>10.377370</v>
      </c>
      <c r="N148">
        <f>IF(Lose[[#This Row],[Bahn-hofs-zeit]]=0,0,MROUND(30*25^((Lose[[#This Row],[Bahn-hofs-zeit]]-_xlfn.MINIFS(Lose[Bahn-hofs-zeit],Lose[Bahn-hofs-zeit],"&gt;0"))/(MAX(Lose[Bahn-hofs-zeit])-_xlfn.MINIFS(Lose[Bahn-hofs-zeit],Lose[Bahn-hofs-zeit],"&gt;0"))),5))</f>
        <v>115</v>
      </c>
      <c r="O148">
        <f>IF(Lose[[#This Row],[Gehzeit (min)]]="",0,CEILING(3*(Lose[[#This Row],[Gehzeit (min)]]+Lose[[#This Row],[Aufgaben-zeit (min)]]),5))</f>
        <v>40</v>
      </c>
      <c r="P148">
        <v>8</v>
      </c>
      <c r="Q148">
        <f>IFERROR(ROUND(Lose[[#This Row],[Distanz (km)]]*60/Lose[[#This Row],[Gehzeit (min)]],1),"")</f>
        <v>4.5</v>
      </c>
      <c r="R1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148">
        <f>IFERROR(Lose[[#This Row],[Distanz (km)]]-Lose[[#This Row],[Check Distanz]],"")</f>
        <v>3.0000000000000027E-2</v>
      </c>
      <c r="T148" s="60">
        <f>IFERROR(Lose[[#This Row],[Check Umweg]]/Lose[[#This Row],[Check Distanz]],"")</f>
        <v>5.2631578947368474E-2</v>
      </c>
      <c r="U148">
        <f ca="1">IF(RIGHT(Lose[[#This Row],[LosID]],1)="b",_xlfn.XLOOKUP(REPLACE(Lose[[#This Row],[LosID]],LEN(Lose[[#This Row],[LosID]]),1,"a"),Lose[LosID],Lose[Zufallszahl],"",0),RAND())</f>
        <v>0.25591950634383087</v>
      </c>
      <c r="V148" t="b" cm="1">
        <f t="array" aca="1" ref="V148" ca="1">Lose[[#This Row],[Zufallszahl]]&gt;=IFERROR(LARGE((LEFT(Lose[LosID],FIND("-",Lose[LosID])-1)=LEFT(Lose[[#This Row],[LosID]],FIND("-",Lose[[#This Row],[LosID]])-1))*Lose[Zufallszahl],_xlfn.XLOOKUP(LEFT(Lose[[#This Row],[LosID]],FIND("-",Lose[[#This Row],[LosID]])-1),Ziehungsanzahl[Kürzel],Ziehungsanzahl[Kontingent],FALSE,0)),9999)</f>
        <v>0</v>
      </c>
    </row>
    <row r="149" spans="1:23" ht="76.349999999999994" hidden="1" customHeight="1">
      <c r="A1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49" t="s">
        <v>23394</v>
      </c>
      <c r="C149" s="91" t="s">
        <v>23800</v>
      </c>
      <c r="D149" s="1" t="s">
        <v>23801</v>
      </c>
      <c r="E149" t="s">
        <v>23802</v>
      </c>
      <c r="F149" t="s">
        <v>23803</v>
      </c>
      <c r="G149">
        <v>7</v>
      </c>
      <c r="H149">
        <v>2</v>
      </c>
      <c r="I149">
        <v>0.5</v>
      </c>
      <c r="J149">
        <v>10</v>
      </c>
      <c r="K149" t="str" cm="1">
        <f t="array" ref="K1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Bestwig</v>
      </c>
      <c r="L149" t="str">
        <f>IFERROR(LEFT(TRIM(Lose[[#This Row],[Google Koordinaten]]),9),"")</f>
        <v>51.361725</v>
      </c>
      <c r="M149" t="str">
        <f>IFERROR(MID(TRIM(Lose[[#This Row],[Google Koordinaten]]),
FIND(",",TRIM(Lose[[#This Row],[Google Koordinaten]])) + 2,9),"")</f>
        <v>8.3980861</v>
      </c>
      <c r="N149">
        <f>IF(Lose[[#This Row],[Bahn-hofs-zeit]]=0,0,MROUND(30*25^((Lose[[#This Row],[Bahn-hofs-zeit]]-_xlfn.MINIFS(Lose[Bahn-hofs-zeit],Lose[Bahn-hofs-zeit],"&gt;0"))/(MAX(Lose[Bahn-hofs-zeit])-_xlfn.MINIFS(Lose[Bahn-hofs-zeit],Lose[Bahn-hofs-zeit],"&gt;0"))),5))</f>
        <v>55</v>
      </c>
      <c r="O149">
        <f>IF(Lose[[#This Row],[Gehzeit (min)]]="",0,CEILING(3*(Lose[[#This Row],[Gehzeit (min)]]+Lose[[#This Row],[Aufgaben-zeit (min)]]),5))</f>
        <v>30</v>
      </c>
      <c r="P149">
        <v>5.5</v>
      </c>
      <c r="Q149">
        <f>IFERROR(ROUND(Lose[[#This Row],[Distanz (km)]]*60/Lose[[#This Row],[Gehzeit (min)]],1),"")</f>
        <v>4.3</v>
      </c>
      <c r="R1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149">
        <f>IFERROR(Lose[[#This Row],[Distanz (km)]]-Lose[[#This Row],[Check Distanz]],"")</f>
        <v>0.47</v>
      </c>
      <c r="T149" s="60">
        <f>IFERROR(Lose[[#This Row],[Check Umweg]]/Lose[[#This Row],[Check Distanz]],"")</f>
        <v>15.666666666666666</v>
      </c>
      <c r="U149">
        <f ca="1">IF(RIGHT(Lose[[#This Row],[LosID]],1)="b",_xlfn.XLOOKUP(REPLACE(Lose[[#This Row],[LosID]],LEN(Lose[[#This Row],[LosID]]),1,"a"),Lose[LosID],Lose[Zufallszahl],"",0),RAND())</f>
        <v>0.11216467921873896</v>
      </c>
      <c r="V149" t="b" cm="1">
        <f t="array" aca="1" ref="V149" ca="1">Lose[[#This Row],[Zufallszahl]]&gt;=IFERROR(LARGE((LEFT(Lose[LosID],FIND("-",Lose[LosID])-1)=LEFT(Lose[[#This Row],[LosID]],FIND("-",Lose[[#This Row],[LosID]])-1))*Lose[Zufallszahl],_xlfn.XLOOKUP(LEFT(Lose[[#This Row],[LosID]],FIND("-",Lose[[#This Row],[LosID]])-1),Ziehungsanzahl[Kürzel],Ziehungsanzahl[Kontingent],FALSE,0)),9999)</f>
        <v>0</v>
      </c>
      <c r="W149" t="s">
        <v>23362</v>
      </c>
    </row>
    <row r="150" spans="1:23" ht="180" hidden="1">
      <c r="A1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0" t="s">
        <v>23403</v>
      </c>
      <c r="C150" s="92" t="s">
        <v>23804</v>
      </c>
      <c r="D150" s="1" t="s">
        <v>23805</v>
      </c>
      <c r="E150" t="s">
        <v>23806</v>
      </c>
      <c r="F150" t="s">
        <v>23807</v>
      </c>
      <c r="G150">
        <v>15</v>
      </c>
      <c r="H150">
        <v>1</v>
      </c>
      <c r="I150">
        <v>1.1000000000000001</v>
      </c>
      <c r="J150">
        <v>20</v>
      </c>
      <c r="K150" t="str" cm="1">
        <f t="array" ref="K1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Dagebüll Mole</v>
      </c>
      <c r="L150" t="str">
        <f>IFERROR(LEFT(TRIM(Lose[[#This Row],[Google Koordinaten]]),9),"")</f>
        <v>54.725290</v>
      </c>
      <c r="M150" t="str">
        <f>IFERROR(MID(TRIM(Lose[[#This Row],[Google Koordinaten]]),
FIND(",",TRIM(Lose[[#This Row],[Google Koordinaten]])) + 2,9),"")</f>
        <v>8.6999042</v>
      </c>
      <c r="N150">
        <f>IF(Lose[[#This Row],[Bahn-hofs-zeit]]=0,0,MROUND(30*25^((Lose[[#This Row],[Bahn-hofs-zeit]]-_xlfn.MINIFS(Lose[Bahn-hofs-zeit],Lose[Bahn-hofs-zeit],"&gt;0"))/(MAX(Lose[Bahn-hofs-zeit])-_xlfn.MINIFS(Lose[Bahn-hofs-zeit],Lose[Bahn-hofs-zeit],"&gt;0"))),5))</f>
        <v>490</v>
      </c>
      <c r="O150">
        <f>IF(Lose[[#This Row],[Gehzeit (min)]]="",0,CEILING(3*(Lose[[#This Row],[Gehzeit (min)]]+Lose[[#This Row],[Aufgaben-zeit (min)]]),5))</f>
        <v>50</v>
      </c>
      <c r="P150">
        <v>13</v>
      </c>
      <c r="Q150">
        <f>IFERROR(ROUND(Lose[[#This Row],[Distanz (km)]]*60/Lose[[#This Row],[Gehzeit (min)]],1),"")</f>
        <v>4.4000000000000004</v>
      </c>
      <c r="R1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150">
        <f>IFERROR(Lose[[#This Row],[Distanz (km)]]-Lose[[#This Row],[Check Distanz]],"")</f>
        <v>0.33000000000000007</v>
      </c>
      <c r="T150" s="60">
        <f>IFERROR(Lose[[#This Row],[Check Umweg]]/Lose[[#This Row],[Check Distanz]],"")</f>
        <v>0.42857142857142866</v>
      </c>
      <c r="U150">
        <f ca="1">IF(RIGHT(Lose[[#This Row],[LosID]],1)="b",_xlfn.XLOOKUP(REPLACE(Lose[[#This Row],[LosID]],LEN(Lose[[#This Row],[LosID]]),1,"a"),Lose[LosID],Lose[Zufallszahl],"",0),RAND())</f>
        <v>0.59733139815702441</v>
      </c>
      <c r="V150" t="b" cm="1">
        <f t="array" aca="1" ref="V150" ca="1">Lose[[#This Row],[Zufallszahl]]&gt;=IFERROR(LARGE((LEFT(Lose[LosID],FIND("-",Lose[LosID])-1)=LEFT(Lose[[#This Row],[LosID]],FIND("-",Lose[[#This Row],[LosID]])-1))*Lose[Zufallszahl],_xlfn.XLOOKUP(LEFT(Lose[[#This Row],[LosID]],FIND("-",Lose[[#This Row],[LosID]])-1),Ziehungsanzahl[Kürzel],Ziehungsanzahl[Kontingent],FALSE,0)),9999)</f>
        <v>0</v>
      </c>
    </row>
    <row r="151" spans="1:23" ht="120" hidden="1">
      <c r="A1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1" t="s">
        <v>23357</v>
      </c>
      <c r="C151" s="91" t="s">
        <v>1261</v>
      </c>
      <c r="D151" s="1" t="s">
        <v>23808</v>
      </c>
      <c r="E151" t="s">
        <v>23809</v>
      </c>
      <c r="F151" t="s">
        <v>23810</v>
      </c>
      <c r="G151">
        <v>7</v>
      </c>
      <c r="H151">
        <v>1</v>
      </c>
      <c r="I151">
        <v>0.55000000000000004</v>
      </c>
      <c r="K151" t="str" cm="1">
        <f t="array" ref="K1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Nordbahnhof</v>
      </c>
      <c r="L151" t="str">
        <f>IFERROR(LEFT(TRIM(Lose[[#This Row],[Google Koordinaten]]),9),"")</f>
        <v>52.535092</v>
      </c>
      <c r="M151" t="str">
        <f>IFERROR(MID(TRIM(Lose[[#This Row],[Google Koordinaten]]),
FIND(",",TRIM(Lose[[#This Row],[Google Koordinaten]])) + 2,9),"")</f>
        <v>13.390183</v>
      </c>
      <c r="N151">
        <f>IF(Lose[[#This Row],[Bahn-hofs-zeit]]=0,0,MROUND(30*25^((Lose[[#This Row],[Bahn-hofs-zeit]]-_xlfn.MINIFS(Lose[Bahn-hofs-zeit],Lose[Bahn-hofs-zeit],"&gt;0"))/(MAX(Lose[Bahn-hofs-zeit])-_xlfn.MINIFS(Lose[Bahn-hofs-zeit],Lose[Bahn-hofs-zeit],"&gt;0"))),5))</f>
        <v>135</v>
      </c>
      <c r="O151">
        <f>IF(Lose[[#This Row],[Gehzeit (min)]]="",0,CEILING(3*(Lose[[#This Row],[Gehzeit (min)]]+Lose[[#This Row],[Aufgaben-zeit (min)]]),5))</f>
        <v>25</v>
      </c>
      <c r="P151">
        <v>8.5</v>
      </c>
      <c r="Q151">
        <f>IFERROR(ROUND(Lose[[#This Row],[Distanz (km)]]*60/Lose[[#This Row],[Gehzeit (min)]],1),"")</f>
        <v>4.7</v>
      </c>
      <c r="R1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51">
        <f>IFERROR(Lose[[#This Row],[Distanz (km)]]-Lose[[#This Row],[Check Distanz]],"")</f>
        <v>0.19000000000000006</v>
      </c>
      <c r="T151" s="60">
        <f>IFERROR(Lose[[#This Row],[Check Umweg]]/Lose[[#This Row],[Check Distanz]],"")</f>
        <v>0.52777777777777801</v>
      </c>
      <c r="U151">
        <f ca="1">IF(RIGHT(Lose[[#This Row],[LosID]],1)="b",_xlfn.XLOOKUP(REPLACE(Lose[[#This Row],[LosID]],LEN(Lose[[#This Row],[LosID]]),1,"a"),Lose[LosID],Lose[Zufallszahl],"",0),RAND())</f>
        <v>0.88556474642678384</v>
      </c>
      <c r="V151" t="b" cm="1">
        <f t="array" aca="1" ref="V151" ca="1">Lose[[#This Row],[Zufallszahl]]&gt;=IFERROR(LARGE((LEFT(Lose[LosID],FIND("-",Lose[LosID])-1)=LEFT(Lose[[#This Row],[LosID]],FIND("-",Lose[[#This Row],[LosID]])-1))*Lose[Zufallszahl],_xlfn.XLOOKUP(LEFT(Lose[[#This Row],[LosID]],FIND("-",Lose[[#This Row],[LosID]])-1),Ziehungsanzahl[Kürzel],Ziehungsanzahl[Kontingent],FALSE,0)),9999)</f>
        <v>0</v>
      </c>
    </row>
    <row r="152" spans="1:23" ht="75" hidden="1">
      <c r="A1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2" t="s">
        <v>23363</v>
      </c>
      <c r="C152" s="92" t="s">
        <v>23811</v>
      </c>
      <c r="D152" s="1" t="s">
        <v>23812</v>
      </c>
      <c r="E152" t="s">
        <v>23813</v>
      </c>
      <c r="F152" t="s">
        <v>23814</v>
      </c>
      <c r="G152">
        <v>15</v>
      </c>
      <c r="H152">
        <v>5</v>
      </c>
      <c r="I152">
        <v>0.95</v>
      </c>
      <c r="K152" t="str" cm="1">
        <f t="array" ref="K1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Altena(Westf)</v>
      </c>
      <c r="L152" t="str">
        <f>IFERROR(LEFT(TRIM(Lose[[#This Row],[Google Koordinaten]]),9),"")</f>
        <v>51.299060</v>
      </c>
      <c r="M152" t="str">
        <f>IFERROR(MID(TRIM(Lose[[#This Row],[Google Koordinaten]]),
FIND(",",TRIM(Lose[[#This Row],[Google Koordinaten]])) + 2,9),"")</f>
        <v>7.6756656</v>
      </c>
      <c r="N152">
        <f>IF(Lose[[#This Row],[Bahn-hofs-zeit]]=0,0,MROUND(30*25^((Lose[[#This Row],[Bahn-hofs-zeit]]-_xlfn.MINIFS(Lose[Bahn-hofs-zeit],Lose[Bahn-hofs-zeit],"&gt;0"))/(MAX(Lose[Bahn-hofs-zeit])-_xlfn.MINIFS(Lose[Bahn-hofs-zeit],Lose[Bahn-hofs-zeit],"&gt;0"))),5))</f>
        <v>50</v>
      </c>
      <c r="O152">
        <f>IF(Lose[[#This Row],[Gehzeit (min)]]="",0,CEILING(3*(Lose[[#This Row],[Gehzeit (min)]]+Lose[[#This Row],[Aufgaben-zeit (min)]]),5))</f>
        <v>60</v>
      </c>
      <c r="P152">
        <v>5</v>
      </c>
      <c r="Q152">
        <f>IFERROR(ROUND(Lose[[#This Row],[Distanz (km)]]*60/Lose[[#This Row],[Gehzeit (min)]],1),"")</f>
        <v>3.8</v>
      </c>
      <c r="R1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152">
        <f>IFERROR(Lose[[#This Row],[Distanz (km)]]-Lose[[#This Row],[Check Distanz]],"")</f>
        <v>0.37</v>
      </c>
      <c r="T152" s="60">
        <f>IFERROR(Lose[[#This Row],[Check Umweg]]/Lose[[#This Row],[Check Distanz]],"")</f>
        <v>0.63793103448275867</v>
      </c>
      <c r="U152">
        <f ca="1">IF(RIGHT(Lose[[#This Row],[LosID]],1)="b",_xlfn.XLOOKUP(REPLACE(Lose[[#This Row],[LosID]],LEN(Lose[[#This Row],[LosID]]),1,"a"),Lose[LosID],Lose[Zufallszahl],"",0),RAND())</f>
        <v>0.7201358074760501</v>
      </c>
      <c r="V152" t="b" cm="1">
        <f t="array" aca="1" ref="V152" ca="1">Lose[[#This Row],[Zufallszahl]]&gt;=IFERROR(LARGE((LEFT(Lose[LosID],FIND("-",Lose[LosID])-1)=LEFT(Lose[[#This Row],[LosID]],FIND("-",Lose[[#This Row],[LosID]])-1))*Lose[Zufallszahl],_xlfn.XLOOKUP(LEFT(Lose[[#This Row],[LosID]],FIND("-",Lose[[#This Row],[LosID]])-1),Ziehungsanzahl[Kürzel],Ziehungsanzahl[Kontingent],FALSE,0)),9999)</f>
        <v>0</v>
      </c>
    </row>
    <row r="153" spans="1:23" ht="90" hidden="1">
      <c r="A1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3" t="s">
        <v>23367</v>
      </c>
      <c r="C153" s="92" t="s">
        <v>23815</v>
      </c>
      <c r="D153" s="1" t="s">
        <v>23816</v>
      </c>
      <c r="E153" t="s">
        <v>23817</v>
      </c>
      <c r="F153" t="s">
        <v>23818</v>
      </c>
      <c r="G153">
        <v>15</v>
      </c>
      <c r="H153">
        <v>3</v>
      </c>
      <c r="I153">
        <v>1.2</v>
      </c>
      <c r="K153" t="str" cm="1">
        <f t="array" ref="K1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Bevensen</v>
      </c>
      <c r="L153" t="str">
        <f>IFERROR(LEFT(TRIM(Lose[[#This Row],[Google Koordinaten]]),9),"")</f>
        <v>53.080046</v>
      </c>
      <c r="M153" t="str">
        <f>IFERROR(MID(TRIM(Lose[[#This Row],[Google Koordinaten]]),
FIND(",",TRIM(Lose[[#This Row],[Google Koordinaten]])) + 2,9),"")</f>
        <v>10.587806</v>
      </c>
      <c r="N153">
        <f>IF(Lose[[#This Row],[Bahn-hofs-zeit]]=0,0,MROUND(30*25^((Lose[[#This Row],[Bahn-hofs-zeit]]-_xlfn.MINIFS(Lose[Bahn-hofs-zeit],Lose[Bahn-hofs-zeit],"&gt;0"))/(MAX(Lose[Bahn-hofs-zeit])-_xlfn.MINIFS(Lose[Bahn-hofs-zeit],Lose[Bahn-hofs-zeit],"&gt;0"))),5))</f>
        <v>90</v>
      </c>
      <c r="O153">
        <f>IF(Lose[[#This Row],[Gehzeit (min)]]="",0,CEILING(3*(Lose[[#This Row],[Gehzeit (min)]]+Lose[[#This Row],[Aufgaben-zeit (min)]]),5))</f>
        <v>55</v>
      </c>
      <c r="P153">
        <v>7</v>
      </c>
      <c r="Q153">
        <f>IFERROR(ROUND(Lose[[#This Row],[Distanz (km)]]*60/Lose[[#This Row],[Gehzeit (min)]],1),"")</f>
        <v>4.8</v>
      </c>
      <c r="R1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153">
        <f>IFERROR(Lose[[#This Row],[Distanz (km)]]-Lose[[#This Row],[Check Distanz]],"")</f>
        <v>0.26999999999999991</v>
      </c>
      <c r="T153" s="60">
        <f>IFERROR(Lose[[#This Row],[Check Umweg]]/Lose[[#This Row],[Check Distanz]],"")</f>
        <v>0.2903225806451612</v>
      </c>
      <c r="U153">
        <f ca="1">IF(RIGHT(Lose[[#This Row],[LosID]],1)="b",_xlfn.XLOOKUP(REPLACE(Lose[[#This Row],[LosID]],LEN(Lose[[#This Row],[LosID]]),1,"a"),Lose[LosID],Lose[Zufallszahl],"",0),RAND())</f>
        <v>0.38797822806502846</v>
      </c>
      <c r="V153" t="b" cm="1">
        <f t="array" aca="1" ref="V153" ca="1">Lose[[#This Row],[Zufallszahl]]&gt;=IFERROR(LARGE((LEFT(Lose[LosID],FIND("-",Lose[LosID])-1)=LEFT(Lose[[#This Row],[LosID]],FIND("-",Lose[[#This Row],[LosID]])-1))*Lose[Zufallszahl],_xlfn.XLOOKUP(LEFT(Lose[[#This Row],[LosID]],FIND("-",Lose[[#This Row],[LosID]])-1),Ziehungsanzahl[Kürzel],Ziehungsanzahl[Kontingent],FALSE,0)),9999)</f>
        <v>0</v>
      </c>
    </row>
    <row r="154" spans="1:23" ht="150" hidden="1">
      <c r="A1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4" t="s">
        <v>23372</v>
      </c>
      <c r="C154" s="92" t="s">
        <v>23819</v>
      </c>
      <c r="D154" s="78" t="s">
        <v>23820</v>
      </c>
      <c r="E154" s="1" t="s">
        <v>23821</v>
      </c>
      <c r="F154" t="s">
        <v>23822</v>
      </c>
      <c r="G154">
        <v>11</v>
      </c>
      <c r="H154">
        <v>2</v>
      </c>
      <c r="I154">
        <v>0.8</v>
      </c>
      <c r="J154">
        <v>20</v>
      </c>
      <c r="K154" t="str" cm="1">
        <f t="array" ref="K1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Langen-Flugsicherung</v>
      </c>
      <c r="L154" t="str">
        <f>IFERROR(LEFT(TRIM(Lose[[#This Row],[Google Koordinaten]]),9),"")</f>
        <v>50.005611</v>
      </c>
      <c r="M154" t="str">
        <f>IFERROR(MID(TRIM(Lose[[#This Row],[Google Koordinaten]]),
FIND(",",TRIM(Lose[[#This Row],[Google Koordinaten]])) + 2,9),"")</f>
        <v>8.6497783</v>
      </c>
      <c r="N154">
        <f>IF(Lose[[#This Row],[Bahn-hofs-zeit]]=0,0,MROUND(30*25^((Lose[[#This Row],[Bahn-hofs-zeit]]-_xlfn.MINIFS(Lose[Bahn-hofs-zeit],Lose[Bahn-hofs-zeit],"&gt;0"))/(MAX(Lose[Bahn-hofs-zeit])-_xlfn.MINIFS(Lose[Bahn-hofs-zeit],Lose[Bahn-hofs-zeit],"&gt;0"))),5))</f>
        <v>40</v>
      </c>
      <c r="O154">
        <f>IF(Lose[[#This Row],[Gehzeit (min)]]="",0,CEILING(3*(Lose[[#This Row],[Gehzeit (min)]]+Lose[[#This Row],[Aufgaben-zeit (min)]]),5))</f>
        <v>40</v>
      </c>
      <c r="P154">
        <v>4.25</v>
      </c>
      <c r="Q154">
        <f>IFERROR(ROUND(Lose[[#This Row],[Distanz (km)]]*60/Lose[[#This Row],[Gehzeit (min)]],1),"")</f>
        <v>4.4000000000000004</v>
      </c>
      <c r="R1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154">
        <f>IFERROR(Lose[[#This Row],[Distanz (km)]]-Lose[[#This Row],[Check Distanz]],"")</f>
        <v>0.17000000000000004</v>
      </c>
      <c r="T154" s="60">
        <f>IFERROR(Lose[[#This Row],[Check Umweg]]/Lose[[#This Row],[Check Distanz]],"")</f>
        <v>0.26984126984126988</v>
      </c>
      <c r="U154">
        <f ca="1">IF(RIGHT(Lose[[#This Row],[LosID]],1)="b",_xlfn.XLOOKUP(REPLACE(Lose[[#This Row],[LosID]],LEN(Lose[[#This Row],[LosID]]),1,"a"),Lose[LosID],Lose[Zufallszahl],"",0),RAND())</f>
        <v>0.50527373091374617</v>
      </c>
      <c r="V154" t="b" cm="1">
        <f t="array" aca="1" ref="V154" ca="1">Lose[[#This Row],[Zufallszahl]]&gt;=IFERROR(LARGE((LEFT(Lose[LosID],FIND("-",Lose[LosID])-1)=LEFT(Lose[[#This Row],[LosID]],FIND("-",Lose[[#This Row],[LosID]])-1))*Lose[Zufallszahl],_xlfn.XLOOKUP(LEFT(Lose[[#This Row],[LosID]],FIND("-",Lose[[#This Row],[LosID]])-1),Ziehungsanzahl[Kürzel],Ziehungsanzahl[Kontingent],FALSE,0)),9999)</f>
        <v>0</v>
      </c>
    </row>
    <row r="155" spans="1:23" ht="75" hidden="1">
      <c r="A1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5" t="s">
        <v>4</v>
      </c>
      <c r="C155" s="92" t="s">
        <v>1262</v>
      </c>
      <c r="D155" s="1" t="s">
        <v>23823</v>
      </c>
      <c r="E155" t="s">
        <v>23824</v>
      </c>
      <c r="F155" t="s">
        <v>23825</v>
      </c>
      <c r="G155">
        <v>7</v>
      </c>
      <c r="H155">
        <v>1</v>
      </c>
      <c r="I155">
        <v>0.5</v>
      </c>
      <c r="K155" t="str" cm="1">
        <f t="array" ref="K1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Klais</v>
      </c>
      <c r="L155" t="str">
        <f>IFERROR(LEFT(TRIM(Lose[[#This Row],[Google Koordinaten]]),9),"")</f>
        <v>47.479412</v>
      </c>
      <c r="M155" t="str">
        <f>IFERROR(MID(TRIM(Lose[[#This Row],[Google Koordinaten]]),
FIND(",",TRIM(Lose[[#This Row],[Google Koordinaten]])) + 2,9),"")</f>
        <v>11.239749</v>
      </c>
      <c r="N155" s="91">
        <f>IF(Lose[[#This Row],[Bahn-hofs-zeit]]=0,0,MROUND(30*25^((Lose[[#This Row],[Bahn-hofs-zeit]]-_xlfn.MINIFS(Lose[Bahn-hofs-zeit],Lose[Bahn-hofs-zeit],"&gt;0"))/(MAX(Lose[Bahn-hofs-zeit])-_xlfn.MINIFS(Lose[Bahn-hofs-zeit],Lose[Bahn-hofs-zeit],"&gt;0"))),5))</f>
        <v>0</v>
      </c>
      <c r="O155">
        <f>IF(Lose[[#This Row],[Gehzeit (min)]]="",0,CEILING(3*(Lose[[#This Row],[Gehzeit (min)]]+Lose[[#This Row],[Aufgaben-zeit (min)]]),5))</f>
        <v>25</v>
      </c>
      <c r="Q155">
        <f>IFERROR(ROUND(Lose[[#This Row],[Distanz (km)]]*60/Lose[[#This Row],[Gehzeit (min)]],1),"")</f>
        <v>4.3</v>
      </c>
      <c r="R1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55">
        <f>IFERROR(Lose[[#This Row],[Distanz (km)]]-Lose[[#This Row],[Check Distanz]],"")</f>
        <v>9.0000000000000024E-2</v>
      </c>
      <c r="T155" s="60">
        <f>IFERROR(Lose[[#This Row],[Check Umweg]]/Lose[[#This Row],[Check Distanz]],"")</f>
        <v>0.2195121951219513</v>
      </c>
      <c r="U155">
        <f ca="1">IF(RIGHT(Lose[[#This Row],[LosID]],1)="b",_xlfn.XLOOKUP(REPLACE(Lose[[#This Row],[LosID]],LEN(Lose[[#This Row],[LosID]]),1,"a"),Lose[LosID],Lose[Zufallszahl],"",0),RAND())</f>
        <v>2.3061829905080433E-2</v>
      </c>
      <c r="V155" t="b" cm="1">
        <f t="array" aca="1" ref="V155" ca="1">Lose[[#This Row],[Zufallszahl]]&gt;=IFERROR(LARGE((LEFT(Lose[LosID],FIND("-",Lose[LosID])-1)=LEFT(Lose[[#This Row],[LosID]],FIND("-",Lose[[#This Row],[LosID]])-1))*Lose[Zufallszahl],_xlfn.XLOOKUP(LEFT(Lose[[#This Row],[LosID]],FIND("-",Lose[[#This Row],[LosID]])-1),Ziehungsanzahl[Kürzel],Ziehungsanzahl[Kontingent],FALSE,0)),9999)</f>
        <v>0</v>
      </c>
      <c r="W155" t="s">
        <v>23398</v>
      </c>
    </row>
    <row r="156" spans="1:23" ht="60" hidden="1">
      <c r="A1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6" t="s">
        <v>23352</v>
      </c>
      <c r="C156" s="92" t="s">
        <v>23826</v>
      </c>
      <c r="D156" s="1" t="s">
        <v>23827</v>
      </c>
      <c r="F156" t="s">
        <v>23828</v>
      </c>
      <c r="G156">
        <v>11</v>
      </c>
      <c r="H156">
        <v>5</v>
      </c>
      <c r="I156">
        <v>0.8</v>
      </c>
      <c r="K156" t="str" cm="1">
        <f t="array" ref="K1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Ludwigsburg</v>
      </c>
      <c r="L156" t="str">
        <f>IFERROR(LEFT(TRIM(Lose[[#This Row],[Google Koordinaten]]),9),"")</f>
        <v>48.897548</v>
      </c>
      <c r="M156" t="str">
        <f>IFERROR(MID(TRIM(Lose[[#This Row],[Google Koordinaten]]),
FIND(",",TRIM(Lose[[#This Row],[Google Koordinaten]])) + 2,9),"")</f>
        <v>9.191563</v>
      </c>
      <c r="N156">
        <f>IF(Lose[[#This Row],[Bahn-hofs-zeit]]=0,0,MROUND(30*25^((Lose[[#This Row],[Bahn-hofs-zeit]]-_xlfn.MINIFS(Lose[Bahn-hofs-zeit],Lose[Bahn-hofs-zeit],"&gt;0"))/(MAX(Lose[Bahn-hofs-zeit])-_xlfn.MINIFS(Lose[Bahn-hofs-zeit],Lose[Bahn-hofs-zeit],"&gt;0"))),5))</f>
        <v>70</v>
      </c>
      <c r="O156">
        <f>IF(Lose[[#This Row],[Gehzeit (min)]]="",0,CEILING(3*(Lose[[#This Row],[Gehzeit (min)]]+Lose[[#This Row],[Aufgaben-zeit (min)]]),5))</f>
        <v>50</v>
      </c>
      <c r="P156">
        <v>6.25</v>
      </c>
      <c r="Q156">
        <f>IFERROR(ROUND(Lose[[#This Row],[Distanz (km)]]*60/Lose[[#This Row],[Gehzeit (min)]],1),"")</f>
        <v>4.4000000000000004</v>
      </c>
      <c r="R1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56">
        <f>IFERROR(Lose[[#This Row],[Distanz (km)]]-Lose[[#This Row],[Check Distanz]],"")</f>
        <v>2.0000000000000018E-2</v>
      </c>
      <c r="T156" s="60">
        <f>IFERROR(Lose[[#This Row],[Check Umweg]]/Lose[[#This Row],[Check Distanz]],"")</f>
        <v>2.5641025641025664E-2</v>
      </c>
      <c r="U156">
        <f ca="1">IF(RIGHT(Lose[[#This Row],[LosID]],1)="b",_xlfn.XLOOKUP(REPLACE(Lose[[#This Row],[LosID]],LEN(Lose[[#This Row],[LosID]]),1,"a"),Lose[LosID],Lose[Zufallszahl],"",0),RAND())</f>
        <v>0.33107868219915304</v>
      </c>
      <c r="V156" t="b" cm="1">
        <f t="array" aca="1" ref="V156" ca="1">Lose[[#This Row],[Zufallszahl]]&gt;=IFERROR(LARGE((LEFT(Lose[LosID],FIND("-",Lose[LosID])-1)=LEFT(Lose[[#This Row],[LosID]],FIND("-",Lose[[#This Row],[LosID]])-1))*Lose[Zufallszahl],_xlfn.XLOOKUP(LEFT(Lose[[#This Row],[LosID]],FIND("-",Lose[[#This Row],[LosID]])-1),Ziehungsanzahl[Kürzel],Ziehungsanzahl[Kontingent],FALSE,0)),9999)</f>
        <v>0</v>
      </c>
    </row>
    <row r="157" spans="1:23" ht="75" hidden="1">
      <c r="A1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7" t="s">
        <v>23380</v>
      </c>
      <c r="C157" s="92" t="s">
        <v>23829</v>
      </c>
      <c r="D157" s="1" t="s">
        <v>23830</v>
      </c>
      <c r="E157" t="s">
        <v>23831</v>
      </c>
      <c r="F157" t="s">
        <v>23832</v>
      </c>
      <c r="G157">
        <v>18</v>
      </c>
      <c r="H157">
        <v>2</v>
      </c>
      <c r="I157">
        <v>1.3</v>
      </c>
      <c r="K157" t="str" cm="1">
        <f t="array" ref="K1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Castrop-Rauxel Hbf</v>
      </c>
      <c r="L157" t="str">
        <f>IFERROR(LEFT(TRIM(Lose[[#This Row],[Google Koordinaten]]),9),"")</f>
        <v>51.564828</v>
      </c>
      <c r="M157" t="str">
        <f>IFERROR(MID(TRIM(Lose[[#This Row],[Google Koordinaten]]),
FIND(",",TRIM(Lose[[#This Row],[Google Koordinaten]])) + 2,9),"")</f>
        <v>7.3116708</v>
      </c>
      <c r="N157">
        <f>IF(Lose[[#This Row],[Bahn-hofs-zeit]]=0,0,MROUND(30*25^((Lose[[#This Row],[Bahn-hofs-zeit]]-_xlfn.MINIFS(Lose[Bahn-hofs-zeit],Lose[Bahn-hofs-zeit],"&gt;0"))/(MAX(Lose[Bahn-hofs-zeit])-_xlfn.MINIFS(Lose[Bahn-hofs-zeit],Lose[Bahn-hofs-zeit],"&gt;0"))),5))</f>
        <v>40</v>
      </c>
      <c r="O157">
        <f>IF(Lose[[#This Row],[Gehzeit (min)]]="",0,CEILING(3*(Lose[[#This Row],[Gehzeit (min)]]+Lose[[#This Row],[Aufgaben-zeit (min)]]),5))</f>
        <v>60</v>
      </c>
      <c r="P157">
        <v>4.25</v>
      </c>
      <c r="Q157">
        <f>IFERROR(ROUND(Lose[[#This Row],[Distanz (km)]]*60/Lose[[#This Row],[Gehzeit (min)]],1),"")</f>
        <v>4.3</v>
      </c>
      <c r="R1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1.1000000000000001</v>
      </c>
      <c r="S157">
        <f>IFERROR(Lose[[#This Row],[Distanz (km)]]-Lose[[#This Row],[Check Distanz]],"")</f>
        <v>0.19999999999999996</v>
      </c>
      <c r="T157" s="60">
        <f>IFERROR(Lose[[#This Row],[Check Umweg]]/Lose[[#This Row],[Check Distanz]],"")</f>
        <v>0.18181818181818177</v>
      </c>
      <c r="U157">
        <f ca="1">IF(RIGHT(Lose[[#This Row],[LosID]],1)="b",_xlfn.XLOOKUP(REPLACE(Lose[[#This Row],[LosID]],LEN(Lose[[#This Row],[LosID]]),1,"a"),Lose[LosID],Lose[Zufallszahl],"",0),RAND())</f>
        <v>0.92688871298810283</v>
      </c>
      <c r="V157" t="b" cm="1">
        <f t="array" aca="1" ref="V157" ca="1">Lose[[#This Row],[Zufallszahl]]&gt;=IFERROR(LARGE((LEFT(Lose[LosID],FIND("-",Lose[LosID])-1)=LEFT(Lose[[#This Row],[LosID]],FIND("-",Lose[[#This Row],[LosID]])-1))*Lose[Zufallszahl],_xlfn.XLOOKUP(LEFT(Lose[[#This Row],[LosID]],FIND("-",Lose[[#This Row],[LosID]])-1),Ziehungsanzahl[Kürzel],Ziehungsanzahl[Kontingent],FALSE,0)),9999)</f>
        <v>0</v>
      </c>
    </row>
    <row r="158" spans="1:23" ht="86.45" hidden="1" customHeight="1">
      <c r="A1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8" t="s">
        <v>23372</v>
      </c>
      <c r="C158" s="93" t="s">
        <v>23833</v>
      </c>
      <c r="D158" s="1" t="s">
        <v>23834</v>
      </c>
      <c r="E158" t="s">
        <v>23835</v>
      </c>
      <c r="F158" t="s">
        <v>23836</v>
      </c>
      <c r="G158">
        <v>6</v>
      </c>
      <c r="H158">
        <v>5</v>
      </c>
      <c r="I158">
        <v>0.45</v>
      </c>
      <c r="K158" t="str" cm="1">
        <f t="array" ref="K1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Lette(Kr Coesfeld)</v>
      </c>
      <c r="L158" t="str">
        <f>IFERROR(LEFT(TRIM(Lose[[#This Row],[Google Koordinaten]]),9),"")</f>
        <v>51.895696</v>
      </c>
      <c r="M158" t="str">
        <f>IFERROR(MID(TRIM(Lose[[#This Row],[Google Koordinaten]]),
FIND(",",TRIM(Lose[[#This Row],[Google Koordinaten]])) + 2,9),"")</f>
        <v>7.1900532</v>
      </c>
      <c r="N158">
        <f>IF(Lose[[#This Row],[Bahn-hofs-zeit]]=0,0,MROUND(30*25^((Lose[[#This Row],[Bahn-hofs-zeit]]-_xlfn.MINIFS(Lose[Bahn-hofs-zeit],Lose[Bahn-hofs-zeit],"&gt;0"))/(MAX(Lose[Bahn-hofs-zeit])-_xlfn.MINIFS(Lose[Bahn-hofs-zeit],Lose[Bahn-hofs-zeit],"&gt;0"))),5))</f>
        <v>60</v>
      </c>
      <c r="O158">
        <f>IF(Lose[[#This Row],[Gehzeit (min)]]="",0,CEILING(3*(Lose[[#This Row],[Gehzeit (min)]]+Lose[[#This Row],[Aufgaben-zeit (min)]]),5))</f>
        <v>35</v>
      </c>
      <c r="P158">
        <v>5.75</v>
      </c>
      <c r="Q158">
        <f>IFERROR(ROUND(Lose[[#This Row],[Distanz (km)]]*60/Lose[[#This Row],[Gehzeit (min)]],1),"")</f>
        <v>4.5</v>
      </c>
      <c r="R1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58">
        <f>IFERROR(Lose[[#This Row],[Distanz (km)]]-Lose[[#This Row],[Check Distanz]],"")</f>
        <v>4.0000000000000036E-2</v>
      </c>
      <c r="T158" s="60">
        <f>IFERROR(Lose[[#This Row],[Check Umweg]]/Lose[[#This Row],[Check Distanz]],"")</f>
        <v>9.7560975609756184E-2</v>
      </c>
      <c r="U158">
        <f ca="1">IF(RIGHT(Lose[[#This Row],[LosID]],1)="b",_xlfn.XLOOKUP(REPLACE(Lose[[#This Row],[LosID]],LEN(Lose[[#This Row],[LosID]]),1,"a"),Lose[LosID],Lose[Zufallszahl],"",0),RAND())</f>
        <v>0.1192970664157772</v>
      </c>
      <c r="V158" t="b" cm="1">
        <f t="array" aca="1" ref="V158" ca="1">Lose[[#This Row],[Zufallszahl]]&gt;=IFERROR(LARGE((LEFT(Lose[LosID],FIND("-",Lose[LosID])-1)=LEFT(Lose[[#This Row],[LosID]],FIND("-",Lose[[#This Row],[LosID]])-1))*Lose[Zufallszahl],_xlfn.XLOOKUP(LEFT(Lose[[#This Row],[LosID]],FIND("-",Lose[[#This Row],[LosID]])-1),Ziehungsanzahl[Kürzel],Ziehungsanzahl[Kontingent],FALSE,0)),9999)</f>
        <v>0</v>
      </c>
      <c r="W158" s="1"/>
    </row>
    <row r="159" spans="1:23" ht="60" hidden="1">
      <c r="A1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9" t="s">
        <v>23412</v>
      </c>
      <c r="C159" s="93" t="s">
        <v>23837</v>
      </c>
      <c r="D159" s="1" t="s">
        <v>23838</v>
      </c>
      <c r="E159" t="s">
        <v>23839</v>
      </c>
      <c r="F159" t="s">
        <v>23840</v>
      </c>
      <c r="G159">
        <v>22</v>
      </c>
      <c r="H159">
        <v>1</v>
      </c>
      <c r="I159">
        <v>1.6</v>
      </c>
      <c r="J159">
        <v>20</v>
      </c>
      <c r="K159" t="str" cm="1">
        <f t="array" ref="K1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Koblenz-Lützel</v>
      </c>
      <c r="L159" t="str">
        <f>IFERROR(LEFT(TRIM(Lose[[#This Row],[Google Koordinaten]]),9),"")</f>
        <v>50.377449</v>
      </c>
      <c r="M159" t="str">
        <f>IFERROR(MID(TRIM(Lose[[#This Row],[Google Koordinaten]]),
FIND(",",TRIM(Lose[[#This Row],[Google Koordinaten]])) + 2,9),"")</f>
        <v>7.5928573</v>
      </c>
      <c r="N159">
        <f>IF(Lose[[#This Row],[Bahn-hofs-zeit]]=0,0,MROUND(30*25^((Lose[[#This Row],[Bahn-hofs-zeit]]-_xlfn.MINIFS(Lose[Bahn-hofs-zeit],Lose[Bahn-hofs-zeit],"&gt;0"))/(MAX(Lose[Bahn-hofs-zeit])-_xlfn.MINIFS(Lose[Bahn-hofs-zeit],Lose[Bahn-hofs-zeit],"&gt;0"))),5))</f>
        <v>70</v>
      </c>
      <c r="O159">
        <f>IF(Lose[[#This Row],[Gehzeit (min)]]="",0,CEILING(3*(Lose[[#This Row],[Gehzeit (min)]]+Lose[[#This Row],[Aufgaben-zeit (min)]]),5))</f>
        <v>70</v>
      </c>
      <c r="P159">
        <v>6.25</v>
      </c>
      <c r="Q159">
        <f>IFERROR(ROUND(Lose[[#This Row],[Distanz (km)]]*60/Lose[[#This Row],[Gehzeit (min)]],1),"")</f>
        <v>4.4000000000000004</v>
      </c>
      <c r="R1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159">
        <f>IFERROR(Lose[[#This Row],[Distanz (km)]]-Lose[[#This Row],[Check Distanz]],"")</f>
        <v>0.49</v>
      </c>
      <c r="T159" s="60">
        <f>IFERROR(Lose[[#This Row],[Check Umweg]]/Lose[[#This Row],[Check Distanz]],"")</f>
        <v>0.44144144144144137</v>
      </c>
      <c r="U159">
        <f ca="1">IF(RIGHT(Lose[[#This Row],[LosID]],1)="b",_xlfn.XLOOKUP(REPLACE(Lose[[#This Row],[LosID]],LEN(Lose[[#This Row],[LosID]]),1,"a"),Lose[LosID],Lose[Zufallszahl],"",0),RAND())</f>
        <v>0.29239913806579476</v>
      </c>
      <c r="V159" t="b" cm="1">
        <f t="array" aca="1" ref="V159" ca="1">Lose[[#This Row],[Zufallszahl]]&gt;=IFERROR(LARGE((LEFT(Lose[LosID],FIND("-",Lose[LosID])-1)=LEFT(Lose[[#This Row],[LosID]],FIND("-",Lose[[#This Row],[LosID]])-1))*Lose[Zufallszahl],_xlfn.XLOOKUP(LEFT(Lose[[#This Row],[LosID]],FIND("-",Lose[[#This Row],[LosID]])-1),Ziehungsanzahl[Kürzel],Ziehungsanzahl[Kontingent],FALSE,0)),9999)</f>
        <v>0</v>
      </c>
    </row>
    <row r="160" spans="1:23" ht="105" hidden="1">
      <c r="A1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0" t="s">
        <v>23416</v>
      </c>
      <c r="C160" s="92" t="s">
        <v>23841</v>
      </c>
      <c r="D160" s="1" t="s">
        <v>23842</v>
      </c>
      <c r="E160" t="s">
        <v>23843</v>
      </c>
      <c r="F160" t="s">
        <v>23844</v>
      </c>
      <c r="G160">
        <v>2</v>
      </c>
      <c r="H160">
        <v>5</v>
      </c>
      <c r="I160">
        <v>0.15</v>
      </c>
      <c r="J160">
        <v>20</v>
      </c>
      <c r="K160" t="str" cm="1">
        <f t="array" ref="K1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Nördlingen</v>
      </c>
      <c r="L160" t="str">
        <f>IFERROR(LEFT(TRIM(Lose[[#This Row],[Google Koordinaten]]),9),"")</f>
        <v>48.850441</v>
      </c>
      <c r="M160" t="str">
        <f>IFERROR(MID(TRIM(Lose[[#This Row],[Google Koordinaten]]),
FIND(",",TRIM(Lose[[#This Row],[Google Koordinaten]])) + 2,9),"")</f>
        <v>10.499475</v>
      </c>
      <c r="N160">
        <f>IF(Lose[[#This Row],[Bahn-hofs-zeit]]=0,0,MROUND(30*25^((Lose[[#This Row],[Bahn-hofs-zeit]]-_xlfn.MINIFS(Lose[Bahn-hofs-zeit],Lose[Bahn-hofs-zeit],"&gt;0"))/(MAX(Lose[Bahn-hofs-zeit])-_xlfn.MINIFS(Lose[Bahn-hofs-zeit],Lose[Bahn-hofs-zeit],"&gt;0"))),5))</f>
        <v>220</v>
      </c>
      <c r="O160">
        <f>IF(Lose[[#This Row],[Gehzeit (min)]]="",0,CEILING(3*(Lose[[#This Row],[Gehzeit (min)]]+Lose[[#This Row],[Aufgaben-zeit (min)]]),5))</f>
        <v>25</v>
      </c>
      <c r="P160">
        <v>10.25</v>
      </c>
      <c r="Q160">
        <f>IFERROR(ROUND(Lose[[#This Row],[Distanz (km)]]*60/Lose[[#This Row],[Gehzeit (min)]],1),"")</f>
        <v>4.5</v>
      </c>
      <c r="R1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160">
        <f>IFERROR(Lose[[#This Row],[Distanz (km)]]-Lose[[#This Row],[Check Distanz]],"")</f>
        <v>1.999999999999999E-2</v>
      </c>
      <c r="T160" s="60">
        <f>IFERROR(Lose[[#This Row],[Check Umweg]]/Lose[[#This Row],[Check Distanz]],"")</f>
        <v>0.15384615384615377</v>
      </c>
      <c r="U160">
        <f ca="1">IF(RIGHT(Lose[[#This Row],[LosID]],1)="b",_xlfn.XLOOKUP(REPLACE(Lose[[#This Row],[LosID]],LEN(Lose[[#This Row],[LosID]]),1,"a"),Lose[LosID],Lose[Zufallszahl],"",0),RAND())</f>
        <v>0.94320539472871756</v>
      </c>
      <c r="V160" t="b" cm="1">
        <f t="array" aca="1" ref="V160" ca="1">Lose[[#This Row],[Zufallszahl]]&gt;=IFERROR(LARGE((LEFT(Lose[LosID],FIND("-",Lose[LosID])-1)=LEFT(Lose[[#This Row],[LosID]],FIND("-",Lose[[#This Row],[LosID]])-1))*Lose[Zufallszahl],_xlfn.XLOOKUP(LEFT(Lose[[#This Row],[LosID]],FIND("-",Lose[[#This Row],[LosID]])-1),Ziehungsanzahl[Kürzel],Ziehungsanzahl[Kontingent],FALSE,0)),9999)</f>
        <v>0</v>
      </c>
    </row>
    <row r="161" spans="1:23" ht="105" hidden="1">
      <c r="A1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61" t="s">
        <v>23357</v>
      </c>
      <c r="C161" s="92" t="s">
        <v>23845</v>
      </c>
      <c r="D161" s="1" t="s">
        <v>23846</v>
      </c>
      <c r="E161" t="s">
        <v>23847</v>
      </c>
      <c r="F161" t="s">
        <v>23848</v>
      </c>
      <c r="G161">
        <v>5</v>
      </c>
      <c r="H161">
        <v>2</v>
      </c>
      <c r="I161">
        <v>0.35</v>
      </c>
      <c r="J161">
        <v>30</v>
      </c>
      <c r="K161" t="str" cm="1">
        <f t="array" ref="K1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Emden Hbf</v>
      </c>
      <c r="L161" t="str">
        <f>IFERROR(LEFT(TRIM(Lose[[#This Row],[Google Koordinaten]]),9),"")</f>
        <v>53.368415</v>
      </c>
      <c r="M161" t="str">
        <f>IFERROR(MID(TRIM(Lose[[#This Row],[Google Koordinaten]]),
FIND(",",TRIM(Lose[[#This Row],[Google Koordinaten]])) + 2,9),"")</f>
        <v>7.1961948</v>
      </c>
      <c r="N161">
        <f>IF(Lose[[#This Row],[Bahn-hofs-zeit]]=0,0,MROUND(30*25^((Lose[[#This Row],[Bahn-hofs-zeit]]-_xlfn.MINIFS(Lose[Bahn-hofs-zeit],Lose[Bahn-hofs-zeit],"&gt;0"))/(MAX(Lose[Bahn-hofs-zeit])-_xlfn.MINIFS(Lose[Bahn-hofs-zeit],Lose[Bahn-hofs-zeit],"&gt;0"))),5))</f>
        <v>110</v>
      </c>
      <c r="O161">
        <f>IF(Lose[[#This Row],[Gehzeit (min)]]="",0,CEILING(3*(Lose[[#This Row],[Gehzeit (min)]]+Lose[[#This Row],[Aufgaben-zeit (min)]]),5))</f>
        <v>25</v>
      </c>
      <c r="P161">
        <v>7.75</v>
      </c>
      <c r="Q161">
        <f>IFERROR(ROUND(Lose[[#This Row],[Distanz (km)]]*60/Lose[[#This Row],[Gehzeit (min)]],1),"")</f>
        <v>4.2</v>
      </c>
      <c r="R1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v>
      </c>
      <c r="S161">
        <f>IFERROR(Lose[[#This Row],[Distanz (km)]]-Lose[[#This Row],[Check Distanz]],"")</f>
        <v>0.24999999999999997</v>
      </c>
      <c r="T161" s="60">
        <f>IFERROR(Lose[[#This Row],[Check Umweg]]/Lose[[#This Row],[Check Distanz]],"")</f>
        <v>2.4999999999999996</v>
      </c>
      <c r="U161">
        <f ca="1">IF(RIGHT(Lose[[#This Row],[LosID]],1)="b",_xlfn.XLOOKUP(REPLACE(Lose[[#This Row],[LosID]],LEN(Lose[[#This Row],[LosID]]),1,"a"),Lose[LosID],Lose[Zufallszahl],"",0),RAND())</f>
        <v>0.97595313998610445</v>
      </c>
      <c r="V161" t="b" cm="1">
        <f t="array" aca="1" ref="V161" ca="1">Lose[[#This Row],[Zufallszahl]]&gt;=IFERROR(LARGE((LEFT(Lose[LosID],FIND("-",Lose[LosID])-1)=LEFT(Lose[[#This Row],[LosID]],FIND("-",Lose[[#This Row],[LosID]])-1))*Lose[Zufallszahl],_xlfn.XLOOKUP(LEFT(Lose[[#This Row],[LosID]],FIND("-",Lose[[#This Row],[LosID]])-1),Ziehungsanzahl[Kürzel],Ziehungsanzahl[Kontingent],FALSE,0)),9999)</f>
        <v>0</v>
      </c>
      <c r="W161" t="s">
        <v>23362</v>
      </c>
    </row>
    <row r="162" spans="1:23" ht="120" hidden="1">
      <c r="A1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2" t="s">
        <v>23363</v>
      </c>
      <c r="C162" s="93" t="s">
        <v>23849</v>
      </c>
      <c r="D162" s="1" t="s">
        <v>23850</v>
      </c>
      <c r="E162" t="s">
        <v>23851</v>
      </c>
      <c r="F162" t="s">
        <v>23852</v>
      </c>
      <c r="G162">
        <v>2</v>
      </c>
      <c r="H162">
        <v>10</v>
      </c>
      <c r="I162">
        <v>0.1</v>
      </c>
      <c r="J162">
        <v>10</v>
      </c>
      <c r="K162" t="str" cm="1">
        <f t="array" ref="K1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Neustadt(Weinstr)Hbf</v>
      </c>
      <c r="L162" t="str">
        <f>IFERROR(LEFT(TRIM(Lose[[#This Row],[Google Koordinaten]]),9),"")</f>
        <v>49.349475</v>
      </c>
      <c r="M162" t="str">
        <f>IFERROR(MID(TRIM(Lose[[#This Row],[Google Koordinaten]]),
FIND(",",TRIM(Lose[[#This Row],[Google Koordinaten]])) + 2,9),"")</f>
        <v>8.1399207</v>
      </c>
      <c r="N162">
        <f>IF(Lose[[#This Row],[Bahn-hofs-zeit]]=0,0,MROUND(30*25^((Lose[[#This Row],[Bahn-hofs-zeit]]-_xlfn.MINIFS(Lose[Bahn-hofs-zeit],Lose[Bahn-hofs-zeit],"&gt;0"))/(MAX(Lose[Bahn-hofs-zeit])-_xlfn.MINIFS(Lose[Bahn-hofs-zeit],Lose[Bahn-hofs-zeit],"&gt;0"))),5))</f>
        <v>60</v>
      </c>
      <c r="O162">
        <f>IF(Lose[[#This Row],[Gehzeit (min)]]="",0,CEILING(3*(Lose[[#This Row],[Gehzeit (min)]]+Lose[[#This Row],[Aufgaben-zeit (min)]]),5))</f>
        <v>40</v>
      </c>
      <c r="P162">
        <v>5.75</v>
      </c>
      <c r="Q162">
        <f>IFERROR(ROUND(Lose[[#This Row],[Distanz (km)]]*60/Lose[[#This Row],[Gehzeit (min)]],1),"")</f>
        <v>3</v>
      </c>
      <c r="R1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62">
        <f>IFERROR(Lose[[#This Row],[Distanz (km)]]-Lose[[#This Row],[Check Distanz]],"")</f>
        <v>4.0000000000000008E-2</v>
      </c>
      <c r="T162" s="60">
        <f>IFERROR(Lose[[#This Row],[Check Umweg]]/Lose[[#This Row],[Check Distanz]],"")</f>
        <v>0.66666666666666685</v>
      </c>
      <c r="U162">
        <f ca="1">IF(RIGHT(Lose[[#This Row],[LosID]],1)="b",_xlfn.XLOOKUP(REPLACE(Lose[[#This Row],[LosID]],LEN(Lose[[#This Row],[LosID]]),1,"a"),Lose[LosID],Lose[Zufallszahl],"",0),RAND())</f>
        <v>1.4151515027859718E-2</v>
      </c>
      <c r="V162" t="b" cm="1">
        <f t="array" aca="1" ref="V162" ca="1">Lose[[#This Row],[Zufallszahl]]&gt;=IFERROR(LARGE((LEFT(Lose[LosID],FIND("-",Lose[LosID])-1)=LEFT(Lose[[#This Row],[LosID]],FIND("-",Lose[[#This Row],[LosID]])-1))*Lose[Zufallszahl],_xlfn.XLOOKUP(LEFT(Lose[[#This Row],[LosID]],FIND("-",Lose[[#This Row],[LosID]])-1),Ziehungsanzahl[Kürzel],Ziehungsanzahl[Kontingent],FALSE,0)),9999)</f>
        <v>0</v>
      </c>
    </row>
    <row r="163" spans="1:23" ht="60" hidden="1">
      <c r="A1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3" t="s">
        <v>23367</v>
      </c>
      <c r="C163" s="92" t="s">
        <v>23853</v>
      </c>
      <c r="D163" s="1" t="s">
        <v>23854</v>
      </c>
      <c r="E163" t="s">
        <v>23855</v>
      </c>
      <c r="F163" t="s">
        <v>23856</v>
      </c>
      <c r="G163">
        <v>9</v>
      </c>
      <c r="H163">
        <v>3</v>
      </c>
      <c r="I163">
        <v>0.65</v>
      </c>
      <c r="K163" t="str" cm="1">
        <f t="array" ref="K1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Letschin</v>
      </c>
      <c r="L163" t="str">
        <f>IFERROR(LEFT(TRIM(Lose[[#This Row],[Google Koordinaten]]),9),"")</f>
        <v>52.630176</v>
      </c>
      <c r="M163" t="str">
        <f>IFERROR(MID(TRIM(Lose[[#This Row],[Google Koordinaten]]),
FIND(",",TRIM(Lose[[#This Row],[Google Koordinaten]])) + 2,9),"")</f>
        <v>14.355144</v>
      </c>
      <c r="N163">
        <f>IF(Lose[[#This Row],[Bahn-hofs-zeit]]=0,0,MROUND(30*25^((Lose[[#This Row],[Bahn-hofs-zeit]]-_xlfn.MINIFS(Lose[Bahn-hofs-zeit],Lose[Bahn-hofs-zeit],"&gt;0"))/(MAX(Lose[Bahn-hofs-zeit])-_xlfn.MINIFS(Lose[Bahn-hofs-zeit],Lose[Bahn-hofs-zeit],"&gt;0"))),5))</f>
        <v>425</v>
      </c>
      <c r="O163">
        <f>IF(Lose[[#This Row],[Gehzeit (min)]]="",0,CEILING(3*(Lose[[#This Row],[Gehzeit (min)]]+Lose[[#This Row],[Aufgaben-zeit (min)]]),5))</f>
        <v>40</v>
      </c>
      <c r="P163">
        <v>12.5</v>
      </c>
      <c r="Q163">
        <f>IFERROR(ROUND(Lose[[#This Row],[Distanz (km)]]*60/Lose[[#This Row],[Gehzeit (min)]],1),"")</f>
        <v>4.3</v>
      </c>
      <c r="R1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163">
        <f>IFERROR(Lose[[#This Row],[Distanz (km)]]-Lose[[#This Row],[Check Distanz]],"")</f>
        <v>6.0000000000000053E-2</v>
      </c>
      <c r="T163" s="60">
        <f>IFERROR(Lose[[#This Row],[Check Umweg]]/Lose[[#This Row],[Check Distanz]],"")</f>
        <v>0.10169491525423738</v>
      </c>
      <c r="U163">
        <f ca="1">IF(RIGHT(Lose[[#This Row],[LosID]],1)="b",_xlfn.XLOOKUP(REPLACE(Lose[[#This Row],[LosID]],LEN(Lose[[#This Row],[LosID]]),1,"a"),Lose[LosID],Lose[Zufallszahl],"",0),RAND())</f>
        <v>0.28160728842862781</v>
      </c>
      <c r="V163" t="b" cm="1">
        <f t="array" aca="1" ref="V163" ca="1">Lose[[#This Row],[Zufallszahl]]&gt;=IFERROR(LARGE((LEFT(Lose[LosID],FIND("-",Lose[LosID])-1)=LEFT(Lose[[#This Row],[LosID]],FIND("-",Lose[[#This Row],[LosID]])-1))*Lose[Zufallszahl],_xlfn.XLOOKUP(LEFT(Lose[[#This Row],[LosID]],FIND("-",Lose[[#This Row],[LosID]])-1),Ziehungsanzahl[Kürzel],Ziehungsanzahl[Kontingent],FALSE,0)),9999)</f>
        <v>0</v>
      </c>
    </row>
    <row r="164" spans="1:23" ht="120" hidden="1">
      <c r="A1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4" t="s">
        <v>23372</v>
      </c>
      <c r="C164" s="92" t="s">
        <v>23857</v>
      </c>
      <c r="D164" s="89" t="s">
        <v>23858</v>
      </c>
      <c r="E164" t="s">
        <v>23859</v>
      </c>
      <c r="F164" t="s">
        <v>23860</v>
      </c>
      <c r="G164">
        <v>27</v>
      </c>
      <c r="H164">
        <v>5</v>
      </c>
      <c r="I164">
        <v>2.1</v>
      </c>
      <c r="J164">
        <v>10</v>
      </c>
      <c r="K164" t="str" cm="1">
        <f t="array" ref="K1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164" t="str">
        <f>IFERROR(LEFT(TRIM(Lose[[#This Row],[Google Koordinaten]]),9),"")</f>
        <v>52.036761</v>
      </c>
      <c r="M164" t="str">
        <f>IFERROR(MID(TRIM(Lose[[#This Row],[Google Koordinaten]]),
FIND(",",TRIM(Lose[[#This Row],[Google Koordinaten]])) + 2,9),"")</f>
        <v>8.5508759</v>
      </c>
      <c r="N164">
        <f>IF(Lose[[#This Row],[Bahn-hofs-zeit]]=0,0,MROUND(30*25^((Lose[[#This Row],[Bahn-hofs-zeit]]-_xlfn.MINIFS(Lose[Bahn-hofs-zeit],Lose[Bahn-hofs-zeit],"&gt;0"))/(MAX(Lose[Bahn-hofs-zeit])-_xlfn.MINIFS(Lose[Bahn-hofs-zeit],Lose[Bahn-hofs-zeit],"&gt;0"))),5))</f>
        <v>50</v>
      </c>
      <c r="O164">
        <f>IF(Lose[[#This Row],[Gehzeit (min)]]="",0,CEILING(3*(Lose[[#This Row],[Gehzeit (min)]]+Lose[[#This Row],[Aufgaben-zeit (min)]]),5))</f>
        <v>100</v>
      </c>
      <c r="P164">
        <v>5</v>
      </c>
      <c r="Q164">
        <f>IFERROR(ROUND(Lose[[#This Row],[Distanz (km)]]*60/Lose[[#This Row],[Gehzeit (min)]],1),"")</f>
        <v>4.7</v>
      </c>
      <c r="R1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v>
      </c>
      <c r="S164">
        <f>IFERROR(Lose[[#This Row],[Distanz (km)]]-Lose[[#This Row],[Check Distanz]],"")</f>
        <v>0.60000000000000009</v>
      </c>
      <c r="T164" s="60">
        <f>IFERROR(Lose[[#This Row],[Check Umweg]]/Lose[[#This Row],[Check Distanz]],"")</f>
        <v>0.40000000000000008</v>
      </c>
      <c r="U164">
        <f ca="1">IF(RIGHT(Lose[[#This Row],[LosID]],1)="b",_xlfn.XLOOKUP(REPLACE(Lose[[#This Row],[LosID]],LEN(Lose[[#This Row],[LosID]]),1,"a"),Lose[LosID],Lose[Zufallszahl],"",0),RAND())</f>
        <v>0.30534605050008679</v>
      </c>
      <c r="V164" t="b" cm="1">
        <f t="array" aca="1" ref="V164" ca="1">Lose[[#This Row],[Zufallszahl]]&gt;=IFERROR(LARGE((LEFT(Lose[LosID],FIND("-",Lose[LosID])-1)=LEFT(Lose[[#This Row],[LosID]],FIND("-",Lose[[#This Row],[LosID]])-1))*Lose[Zufallszahl],_xlfn.XLOOKUP(LEFT(Lose[[#This Row],[LosID]],FIND("-",Lose[[#This Row],[LosID]])-1),Ziehungsanzahl[Kürzel],Ziehungsanzahl[Kontingent],FALSE,0)),9999)</f>
        <v>0</v>
      </c>
    </row>
    <row r="165" spans="1:23" ht="150" hidden="1">
      <c r="A1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5" t="s">
        <v>4</v>
      </c>
      <c r="C165" s="92" t="s">
        <v>23861</v>
      </c>
      <c r="D165" s="1" t="s">
        <v>23862</v>
      </c>
      <c r="E165" t="s">
        <v>23863</v>
      </c>
      <c r="F165" t="s">
        <v>23864</v>
      </c>
      <c r="G165">
        <v>11</v>
      </c>
      <c r="H165">
        <v>5</v>
      </c>
      <c r="I165">
        <v>0.8</v>
      </c>
      <c r="J165">
        <v>20</v>
      </c>
      <c r="K165" t="str" cm="1">
        <f t="array" ref="K1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Falkenberg(Elster)</v>
      </c>
      <c r="L165" t="str">
        <f>IFERROR(LEFT(TRIM(Lose[[#This Row],[Google Koordinaten]]),9),"")</f>
        <v>51.588578</v>
      </c>
      <c r="M165" t="str">
        <f>IFERROR(MID(TRIM(Lose[[#This Row],[Google Koordinaten]]),
FIND(",",TRIM(Lose[[#This Row],[Google Koordinaten]])) + 2,9),"")</f>
        <v>13.245968</v>
      </c>
      <c r="N165">
        <f>IF(Lose[[#This Row],[Bahn-hofs-zeit]]=0,0,MROUND(30*25^((Lose[[#This Row],[Bahn-hofs-zeit]]-_xlfn.MINIFS(Lose[Bahn-hofs-zeit],Lose[Bahn-hofs-zeit],"&gt;0"))/(MAX(Lose[Bahn-hofs-zeit])-_xlfn.MINIFS(Lose[Bahn-hofs-zeit],Lose[Bahn-hofs-zeit],"&gt;0"))),5))</f>
        <v>295</v>
      </c>
      <c r="O165">
        <f>IF(Lose[[#This Row],[Gehzeit (min)]]="",0,CEILING(3*(Lose[[#This Row],[Gehzeit (min)]]+Lose[[#This Row],[Aufgaben-zeit (min)]]),5))</f>
        <v>50</v>
      </c>
      <c r="P165">
        <v>11.25</v>
      </c>
      <c r="Q165">
        <f>IFERROR(ROUND(Lose[[#This Row],[Distanz (km)]]*60/Lose[[#This Row],[Gehzeit (min)]],1),"")</f>
        <v>4.4000000000000004</v>
      </c>
      <c r="R1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165">
        <f>IFERROR(Lose[[#This Row],[Distanz (km)]]-Lose[[#This Row],[Check Distanz]],"")</f>
        <v>0.24</v>
      </c>
      <c r="T165" s="60">
        <f>IFERROR(Lose[[#This Row],[Check Umweg]]/Lose[[#This Row],[Check Distanz]],"")</f>
        <v>0.42857142857142849</v>
      </c>
      <c r="U165">
        <f ca="1">IF(RIGHT(Lose[[#This Row],[LosID]],1)="b",_xlfn.XLOOKUP(REPLACE(Lose[[#This Row],[LosID]],LEN(Lose[[#This Row],[LosID]]),1,"a"),Lose[LosID],Lose[Zufallszahl],"",0),RAND())</f>
        <v>0.38549309449841318</v>
      </c>
      <c r="V165" t="b" cm="1">
        <f t="array" aca="1" ref="V165" ca="1">Lose[[#This Row],[Zufallszahl]]&gt;=IFERROR(LARGE((LEFT(Lose[LosID],FIND("-",Lose[LosID])-1)=LEFT(Lose[[#This Row],[LosID]],FIND("-",Lose[[#This Row],[LosID]])-1))*Lose[Zufallszahl],_xlfn.XLOOKUP(LEFT(Lose[[#This Row],[LosID]],FIND("-",Lose[[#This Row],[LosID]])-1),Ziehungsanzahl[Kürzel],Ziehungsanzahl[Kontingent],FALSE,0)),9999)</f>
        <v>0</v>
      </c>
    </row>
    <row r="166" spans="1:23" ht="90" hidden="1">
      <c r="A1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6" t="s">
        <v>23352</v>
      </c>
      <c r="C166" s="93" t="s">
        <v>23865</v>
      </c>
      <c r="D166" s="1" t="s">
        <v>23866</v>
      </c>
      <c r="E166" t="s">
        <v>23867</v>
      </c>
      <c r="F166" t="s">
        <v>23868</v>
      </c>
      <c r="G166">
        <v>5</v>
      </c>
      <c r="H166">
        <v>15</v>
      </c>
      <c r="I166">
        <v>0.2</v>
      </c>
      <c r="K166" t="str" cm="1">
        <f t="array" ref="K1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Darmstadt-Kranichstein</v>
      </c>
      <c r="L166" t="str">
        <f>IFERROR(LEFT(TRIM(Lose[[#This Row],[Google Koordinaten]]),9),"")</f>
        <v>49.907909</v>
      </c>
      <c r="M166" t="str">
        <f>IFERROR(MID(TRIM(Lose[[#This Row],[Google Koordinaten]]),
FIND(",",TRIM(Lose[[#This Row],[Google Koordinaten]])) + 2,9),"")</f>
        <v>8.679794</v>
      </c>
      <c r="N166">
        <f>IF(Lose[[#This Row],[Bahn-hofs-zeit]]=0,0,MROUND(30*25^((Lose[[#This Row],[Bahn-hofs-zeit]]-_xlfn.MINIFS(Lose[Bahn-hofs-zeit],Lose[Bahn-hofs-zeit],"&gt;0"))/(MAX(Lose[Bahn-hofs-zeit])-_xlfn.MINIFS(Lose[Bahn-hofs-zeit],Lose[Bahn-hofs-zeit],"&gt;0"))),5))</f>
        <v>60</v>
      </c>
      <c r="O166">
        <f>IF(Lose[[#This Row],[Gehzeit (min)]]="",0,CEILING(3*(Lose[[#This Row],[Gehzeit (min)]]+Lose[[#This Row],[Aufgaben-zeit (min)]]),5))</f>
        <v>60</v>
      </c>
      <c r="P166">
        <v>5.75</v>
      </c>
      <c r="Q166">
        <f>IFERROR(ROUND(Lose[[#This Row],[Distanz (km)]]*60/Lose[[#This Row],[Gehzeit (min)]],1),"")</f>
        <v>2.4</v>
      </c>
      <c r="R1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66">
        <f>IFERROR(Lose[[#This Row],[Distanz (km)]]-Lose[[#This Row],[Check Distanz]],"")</f>
        <v>8.0000000000000016E-2</v>
      </c>
      <c r="T166" s="60">
        <f>IFERROR(Lose[[#This Row],[Check Umweg]]/Lose[[#This Row],[Check Distanz]],"")</f>
        <v>0.66666666666666685</v>
      </c>
      <c r="U166">
        <f ca="1">IF(RIGHT(Lose[[#This Row],[LosID]],1)="b",_xlfn.XLOOKUP(REPLACE(Lose[[#This Row],[LosID]],LEN(Lose[[#This Row],[LosID]]),1,"a"),Lose[LosID],Lose[Zufallszahl],"",0),RAND())</f>
        <v>0.63802907895709771</v>
      </c>
      <c r="V166" t="b" cm="1">
        <f t="array" aca="1" ref="V166" ca="1">Lose[[#This Row],[Zufallszahl]]&gt;=IFERROR(LARGE((LEFT(Lose[LosID],FIND("-",Lose[LosID])-1)=LEFT(Lose[[#This Row],[LosID]],FIND("-",Lose[[#This Row],[LosID]])-1))*Lose[Zufallszahl],_xlfn.XLOOKUP(LEFT(Lose[[#This Row],[LosID]],FIND("-",Lose[[#This Row],[LosID]])-1),Ziehungsanzahl[Kürzel],Ziehungsanzahl[Kontingent],FALSE,0)),9999)</f>
        <v>0</v>
      </c>
    </row>
    <row r="167" spans="1:23" ht="75" hidden="1">
      <c r="A1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67" t="s">
        <v>23380</v>
      </c>
      <c r="C167" s="92" t="s">
        <v>23869</v>
      </c>
      <c r="D167" s="64" t="s">
        <v>23870</v>
      </c>
      <c r="E167" t="s">
        <v>23871</v>
      </c>
      <c r="F167" t="s">
        <v>23872</v>
      </c>
      <c r="G167">
        <v>8</v>
      </c>
      <c r="H167">
        <v>5</v>
      </c>
      <c r="I167">
        <v>0.3</v>
      </c>
      <c r="K167" t="str" cm="1">
        <f t="array" ref="K1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Neuenmarkt-Wirsberg</v>
      </c>
      <c r="L167" t="str">
        <f>IFERROR(LEFT(TRIM(Lose[[#This Row],[Google Koordinaten]]),9),"")</f>
        <v>50.094219</v>
      </c>
      <c r="M167" t="str">
        <f>IFERROR(MID(TRIM(Lose[[#This Row],[Google Koordinaten]]),
FIND(",",TRIM(Lose[[#This Row],[Google Koordinaten]])) + 2,9),"")</f>
        <v>11.581813</v>
      </c>
      <c r="N167">
        <f>IF(Lose[[#This Row],[Bahn-hofs-zeit]]=0,0,MROUND(30*25^((Lose[[#This Row],[Bahn-hofs-zeit]]-_xlfn.MINIFS(Lose[Bahn-hofs-zeit],Lose[Bahn-hofs-zeit],"&gt;0"))/(MAX(Lose[Bahn-hofs-zeit])-_xlfn.MINIFS(Lose[Bahn-hofs-zeit],Lose[Bahn-hofs-zeit],"&gt;0"))),5))</f>
        <v>220</v>
      </c>
      <c r="O167">
        <f>IF(Lose[[#This Row],[Gehzeit (min)]]="",0,CEILING(3*(Lose[[#This Row],[Gehzeit (min)]]+Lose[[#This Row],[Aufgaben-zeit (min)]]),5))</f>
        <v>40</v>
      </c>
      <c r="P167">
        <v>10.25</v>
      </c>
      <c r="Q167">
        <f>IFERROR(ROUND(Lose[[#This Row],[Distanz (km)]]*60/Lose[[#This Row],[Gehzeit (min)]],1),"")</f>
        <v>2.2999999999999998</v>
      </c>
      <c r="R1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67">
        <f>IFERROR(Lose[[#This Row],[Distanz (km)]]-Lose[[#This Row],[Check Distanz]],"")</f>
        <v>0.21999999999999997</v>
      </c>
      <c r="T167" s="60">
        <f>IFERROR(Lose[[#This Row],[Check Umweg]]/Lose[[#This Row],[Check Distanz]],"")</f>
        <v>2.7499999999999996</v>
      </c>
      <c r="U167">
        <f ca="1">IF(RIGHT(Lose[[#This Row],[LosID]],1)="b",_xlfn.XLOOKUP(REPLACE(Lose[[#This Row],[LosID]],LEN(Lose[[#This Row],[LosID]]),1,"a"),Lose[LosID],Lose[Zufallszahl],"",0),RAND())</f>
        <v>0.20743898620304269</v>
      </c>
      <c r="V167" t="b" cm="1">
        <f t="array" aca="1" ref="V167" ca="1">Lose[[#This Row],[Zufallszahl]]&gt;=IFERROR(LARGE((LEFT(Lose[LosID],FIND("-",Lose[LosID])-1)=LEFT(Lose[[#This Row],[LosID]],FIND("-",Lose[[#This Row],[LosID]])-1))*Lose[Zufallszahl],_xlfn.XLOOKUP(LEFT(Lose[[#This Row],[LosID]],FIND("-",Lose[[#This Row],[LosID]])-1),Ziehungsanzahl[Kürzel],Ziehungsanzahl[Kontingent],FALSE,0)),9999)</f>
        <v>0</v>
      </c>
      <c r="W167" t="s">
        <v>23362</v>
      </c>
    </row>
    <row r="168" spans="1:23" ht="150">
      <c r="A1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8" t="s">
        <v>23385</v>
      </c>
      <c r="C168" s="92" t="s">
        <v>23873</v>
      </c>
      <c r="D168" s="1" t="s">
        <v>23874</v>
      </c>
      <c r="E168" t="s">
        <v>23875</v>
      </c>
      <c r="F168" t="s">
        <v>23876</v>
      </c>
      <c r="G168">
        <v>20</v>
      </c>
      <c r="H168">
        <v>20</v>
      </c>
      <c r="I168">
        <v>1.1000000000000001</v>
      </c>
      <c r="J168">
        <v>30</v>
      </c>
      <c r="K168" t="str" cm="1">
        <f t="array" ref="K1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Jünkerath</v>
      </c>
      <c r="L168" t="str">
        <f>IFERROR(LEFT(TRIM(Lose[[#This Row],[Google Koordinaten]]),9),"")</f>
        <v>50.350010</v>
      </c>
      <c r="M168" t="str">
        <f>IFERROR(MID(TRIM(Lose[[#This Row],[Google Koordinaten]]),
FIND(",",TRIM(Lose[[#This Row],[Google Koordinaten]])) + 2,9),"")</f>
        <v>6.5707629</v>
      </c>
      <c r="N168">
        <f>IF(Lose[[#This Row],[Bahn-hofs-zeit]]=0,0,MROUND(30*25^((Lose[[#This Row],[Bahn-hofs-zeit]]-_xlfn.MINIFS(Lose[Bahn-hofs-zeit],Lose[Bahn-hofs-zeit],"&gt;0"))/(MAX(Lose[Bahn-hofs-zeit])-_xlfn.MINIFS(Lose[Bahn-hofs-zeit],Lose[Bahn-hofs-zeit],"&gt;0"))),5))</f>
        <v>135</v>
      </c>
      <c r="O168">
        <f>IF(Lose[[#This Row],[Gehzeit (min)]]="",0,CEILING(3*(Lose[[#This Row],[Gehzeit (min)]]+Lose[[#This Row],[Aufgaben-zeit (min)]]),5))</f>
        <v>120</v>
      </c>
      <c r="P168">
        <v>8.5</v>
      </c>
      <c r="Q168">
        <f>IFERROR(ROUND(Lose[[#This Row],[Distanz (km)]]*60/Lose[[#This Row],[Gehzeit (min)]],1),"")</f>
        <v>3.3</v>
      </c>
      <c r="R1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168">
        <f>IFERROR(Lose[[#This Row],[Distanz (km)]]-Lose[[#This Row],[Check Distanz]],"")</f>
        <v>0.17000000000000004</v>
      </c>
      <c r="T168" s="60">
        <f>IFERROR(Lose[[#This Row],[Check Umweg]]/Lose[[#This Row],[Check Distanz]],"")</f>
        <v>0.18279569892473121</v>
      </c>
      <c r="U168">
        <f ca="1">IF(RIGHT(Lose[[#This Row],[LosID]],1)="b",_xlfn.XLOOKUP(REPLACE(Lose[[#This Row],[LosID]],LEN(Lose[[#This Row],[LosID]]),1,"a"),Lose[LosID],Lose[Zufallszahl],"",0),RAND())</f>
        <v>0.95657310225069325</v>
      </c>
      <c r="V168" t="b" cm="1">
        <f t="array" aca="1" ref="V168" ca="1">Lose[[#This Row],[Zufallszahl]]&gt;=IFERROR(LARGE((LEFT(Lose[LosID],FIND("-",Lose[LosID])-1)=LEFT(Lose[[#This Row],[LosID]],FIND("-",Lose[[#This Row],[LosID]])-1))*Lose[Zufallszahl],_xlfn.XLOOKUP(LEFT(Lose[[#This Row],[LosID]],FIND("-",Lose[[#This Row],[LosID]])-1),Ziehungsanzahl[Kürzel],Ziehungsanzahl[Kontingent],FALSE,0)),9999)</f>
        <v>0</v>
      </c>
    </row>
    <row r="169" spans="1:23" ht="195" hidden="1">
      <c r="A1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9" t="s">
        <v>4</v>
      </c>
      <c r="C169" s="92" t="s">
        <v>23877</v>
      </c>
      <c r="D169" s="1" t="s">
        <v>23878</v>
      </c>
      <c r="E169" t="s">
        <v>606</v>
      </c>
      <c r="F169" t="s">
        <v>23879</v>
      </c>
      <c r="G169">
        <v>10</v>
      </c>
      <c r="H169">
        <v>10</v>
      </c>
      <c r="I169">
        <v>0.7</v>
      </c>
      <c r="J169">
        <v>20</v>
      </c>
      <c r="K169" t="s">
        <v>94</v>
      </c>
      <c r="L169" t="str">
        <f>IFERROR(LEFT(TRIM(Lose[[#This Row],[Google Koordinaten]]),9),"")</f>
        <v>49.445447</v>
      </c>
      <c r="M169" t="str">
        <f>IFERROR(MID(TRIM(Lose[[#This Row],[Google Koordinaten]]),
FIND(",",TRIM(Lose[[#This Row],[Google Koordinaten]])) + 2,9),"")</f>
        <v>11.074542</v>
      </c>
      <c r="N169">
        <f>IF(Lose[[#This Row],[Bahn-hofs-zeit]]=0,0,MROUND(30*25^((Lose[[#This Row],[Bahn-hofs-zeit]]-_xlfn.MINIFS(Lose[Bahn-hofs-zeit],Lose[Bahn-hofs-zeit],"&gt;0"))/(MAX(Lose[Bahn-hofs-zeit])-_xlfn.MINIFS(Lose[Bahn-hofs-zeit],Lose[Bahn-hofs-zeit],"&gt;0"))),5))</f>
        <v>95</v>
      </c>
      <c r="O169">
        <f>IF(Lose[[#This Row],[Gehzeit (min)]]="",0,CEILING(3*(Lose[[#This Row],[Gehzeit (min)]]+Lose[[#This Row],[Aufgaben-zeit (min)]]),5))</f>
        <v>60</v>
      </c>
      <c r="P169">
        <v>7.25</v>
      </c>
      <c r="Q169">
        <f>IFERROR(ROUND(Lose[[#This Row],[Distanz (km)]]*60/Lose[[#This Row],[Gehzeit (min)]],1),"")</f>
        <v>4.2</v>
      </c>
      <c r="R1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169">
        <f>IFERROR(Lose[[#This Row],[Distanz (km)]]-Lose[[#This Row],[Check Distanz]],"")</f>
        <v>8.9999999999999969E-2</v>
      </c>
      <c r="T169" s="60">
        <f>IFERROR(Lose[[#This Row],[Check Umweg]]/Lose[[#This Row],[Check Distanz]],"")</f>
        <v>0.14754098360655732</v>
      </c>
      <c r="U169">
        <f ca="1">IF(RIGHT(Lose[[#This Row],[LosID]],1)="b",_xlfn.XLOOKUP(REPLACE(Lose[[#This Row],[LosID]],LEN(Lose[[#This Row],[LosID]]),1,"a"),Lose[LosID],Lose[Zufallszahl],"",0),RAND())</f>
        <v>0.18587107337565545</v>
      </c>
      <c r="V169" t="b" cm="1">
        <f t="array" aca="1" ref="V169" ca="1">Lose[[#This Row],[Zufallszahl]]&gt;=IFERROR(LARGE((LEFT(Lose[LosID],FIND("-",Lose[LosID])-1)=LEFT(Lose[[#This Row],[LosID]],FIND("-",Lose[[#This Row],[LosID]])-1))*Lose[Zufallszahl],_xlfn.XLOOKUP(LEFT(Lose[[#This Row],[LosID]],FIND("-",Lose[[#This Row],[LosID]])-1),Ziehungsanzahl[Kürzel],Ziehungsanzahl[Kontingent],FALSE,0)),9999)</f>
        <v>0</v>
      </c>
    </row>
    <row r="170" spans="1:23" ht="30" hidden="1">
      <c r="A1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0" t="s">
        <v>23390</v>
      </c>
      <c r="C170" s="92" t="s">
        <v>23880</v>
      </c>
      <c r="D170" s="1" t="s">
        <v>23881</v>
      </c>
      <c r="E170" t="s">
        <v>23882</v>
      </c>
      <c r="F170" t="s">
        <v>23883</v>
      </c>
      <c r="G170">
        <v>1</v>
      </c>
      <c r="H170">
        <v>1</v>
      </c>
      <c r="I170">
        <v>0.05</v>
      </c>
      <c r="K170" t="str" cm="1">
        <f t="array" ref="K1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Schönberger Strand</v>
      </c>
      <c r="L170" t="str">
        <f>IFERROR(LEFT(TRIM(Lose[[#This Row],[Google Koordinaten]]),9),"")</f>
        <v>54.411103</v>
      </c>
      <c r="M170" t="str">
        <f>IFERROR(MID(TRIM(Lose[[#This Row],[Google Koordinaten]]),
FIND(",",TRIM(Lose[[#This Row],[Google Koordinaten]])) + 2,9),"")</f>
        <v>10.412848</v>
      </c>
      <c r="N170">
        <f>IF(Lose[[#This Row],[Bahn-hofs-zeit]]=0,0,MROUND(30*25^((Lose[[#This Row],[Bahn-hofs-zeit]]-_xlfn.MINIFS(Lose[Bahn-hofs-zeit],Lose[Bahn-hofs-zeit],"&gt;0"))/(MAX(Lose[Bahn-hofs-zeit])-_xlfn.MINIFS(Lose[Bahn-hofs-zeit],Lose[Bahn-hofs-zeit],"&gt;0"))),5))</f>
        <v>490</v>
      </c>
      <c r="O170">
        <f>IF(Lose[[#This Row],[Gehzeit (min)]]="",0,CEILING(3*(Lose[[#This Row],[Gehzeit (min)]]+Lose[[#This Row],[Aufgaben-zeit (min)]]),5))</f>
        <v>10</v>
      </c>
      <c r="P170">
        <v>13</v>
      </c>
      <c r="Q170">
        <f>IFERROR(ROUND(Lose[[#This Row],[Distanz (km)]]*60/Lose[[#This Row],[Gehzeit (min)]],1),"")</f>
        <v>3</v>
      </c>
      <c r="R1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70">
        <f>IFERROR(Lose[[#This Row],[Distanz (km)]]-Lose[[#This Row],[Check Distanz]],"")</f>
        <v>1.0000000000000002E-2</v>
      </c>
      <c r="T170" s="60">
        <f>IFERROR(Lose[[#This Row],[Check Umweg]]/Lose[[#This Row],[Check Distanz]],"")</f>
        <v>0.25000000000000006</v>
      </c>
      <c r="U170">
        <f ca="1">IF(RIGHT(Lose[[#This Row],[LosID]],1)="b",_xlfn.XLOOKUP(REPLACE(Lose[[#This Row],[LosID]],LEN(Lose[[#This Row],[LosID]]),1,"a"),Lose[LosID],Lose[Zufallszahl],"",0),RAND())</f>
        <v>0.81974277170898691</v>
      </c>
      <c r="V170" t="b" cm="1">
        <f t="array" aca="1" ref="V170" ca="1">Lose[[#This Row],[Zufallszahl]]&gt;=IFERROR(LARGE((LEFT(Lose[LosID],FIND("-",Lose[LosID])-1)=LEFT(Lose[[#This Row],[LosID]],FIND("-",Lose[[#This Row],[LosID]])-1))*Lose[Zufallszahl],_xlfn.XLOOKUP(LEFT(Lose[[#This Row],[LosID]],FIND("-",Lose[[#This Row],[LosID]])-1),Ziehungsanzahl[Kürzel],Ziehungsanzahl[Kontingent],FALSE,0)),9999)</f>
        <v>0</v>
      </c>
      <c r="W170" t="s">
        <v>23884</v>
      </c>
    </row>
    <row r="171" spans="1:23" ht="60" hidden="1">
      <c r="A1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1" t="s">
        <v>23394</v>
      </c>
      <c r="C171" s="93" t="s">
        <v>23885</v>
      </c>
      <c r="D171" s="1" t="s">
        <v>23886</v>
      </c>
      <c r="E171" t="s">
        <v>23887</v>
      </c>
      <c r="F171" t="s">
        <v>23888</v>
      </c>
      <c r="G171">
        <v>2</v>
      </c>
      <c r="H171">
        <v>5</v>
      </c>
      <c r="I171">
        <v>0.1</v>
      </c>
      <c r="K171" t="str" cm="1">
        <f t="array" ref="K1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 Steintorbrücke</v>
      </c>
      <c r="L171" t="str">
        <f>IFERROR(LEFT(TRIM(Lose[[#This Row],[Google Koordinaten]]),9),"")</f>
        <v>51.490466</v>
      </c>
      <c r="M171" t="str">
        <f>IFERROR(MID(TRIM(Lose[[#This Row],[Google Koordinaten]]),
FIND(",",TRIM(Lose[[#This Row],[Google Koordinaten]])) + 2,9),"")</f>
        <v>11.987569</v>
      </c>
      <c r="N171">
        <f>IF(Lose[[#This Row],[Bahn-hofs-zeit]]=0,0,MROUND(30*25^((Lose[[#This Row],[Bahn-hofs-zeit]]-_xlfn.MINIFS(Lose[Bahn-hofs-zeit],Lose[Bahn-hofs-zeit],"&gt;0"))/(MAX(Lose[Bahn-hofs-zeit])-_xlfn.MINIFS(Lose[Bahn-hofs-zeit],Lose[Bahn-hofs-zeit],"&gt;0"))),5))</f>
        <v>155</v>
      </c>
      <c r="O171">
        <f>IF(Lose[[#This Row],[Gehzeit (min)]]="",0,CEILING(3*(Lose[[#This Row],[Gehzeit (min)]]+Lose[[#This Row],[Aufgaben-zeit (min)]]),5))</f>
        <v>25</v>
      </c>
      <c r="P171">
        <v>9</v>
      </c>
      <c r="Q171">
        <f>IFERROR(ROUND(Lose[[#This Row],[Distanz (km)]]*60/Lose[[#This Row],[Gehzeit (min)]],1),"")</f>
        <v>3</v>
      </c>
      <c r="R1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71">
        <f>IFERROR(Lose[[#This Row],[Distanz (km)]]-Lose[[#This Row],[Check Distanz]],"")</f>
        <v>4.0000000000000008E-2</v>
      </c>
      <c r="T171" s="60">
        <f>IFERROR(Lose[[#This Row],[Check Umweg]]/Lose[[#This Row],[Check Distanz]],"")</f>
        <v>0.66666666666666685</v>
      </c>
      <c r="U171">
        <f ca="1">IF(RIGHT(Lose[[#This Row],[LosID]],1)="b",_xlfn.XLOOKUP(REPLACE(Lose[[#This Row],[LosID]],LEN(Lose[[#This Row],[LosID]]),1,"a"),Lose[LosID],Lose[Zufallszahl],"",0),RAND())</f>
        <v>0.98720587945369365</v>
      </c>
      <c r="V171" t="b" cm="1">
        <f t="array" aca="1" ref="V171" ca="1">Lose[[#This Row],[Zufallszahl]]&gt;=IFERROR(LARGE((LEFT(Lose[LosID],FIND("-",Lose[LosID])-1)=LEFT(Lose[[#This Row],[LosID]],FIND("-",Lose[[#This Row],[LosID]])-1))*Lose[Zufallszahl],_xlfn.XLOOKUP(LEFT(Lose[[#This Row],[LosID]],FIND("-",Lose[[#This Row],[LosID]])-1),Ziehungsanzahl[Kürzel],Ziehungsanzahl[Kontingent],FALSE,0)),9999)</f>
        <v>0</v>
      </c>
    </row>
    <row r="172" spans="1:23" ht="270" hidden="1">
      <c r="A1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2" t="s">
        <v>23403</v>
      </c>
      <c r="C172" s="92" t="s">
        <v>23889</v>
      </c>
      <c r="D172" s="1" t="s">
        <v>23890</v>
      </c>
      <c r="E172" t="s">
        <v>23891</v>
      </c>
      <c r="F172" t="s">
        <v>23892</v>
      </c>
      <c r="G172">
        <v>19</v>
      </c>
      <c r="H172">
        <v>5</v>
      </c>
      <c r="I172">
        <v>1.4</v>
      </c>
      <c r="J172">
        <v>5</v>
      </c>
      <c r="K172" t="str" cm="1">
        <f t="array" ref="K1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Großauheim(Kr Hanau)</v>
      </c>
      <c r="L172" t="str">
        <f>IFERROR(LEFT(TRIM(Lose[[#This Row],[Google Koordinaten]]),9),"")</f>
        <v>50.114992</v>
      </c>
      <c r="M172" t="str">
        <f>IFERROR(MID(TRIM(Lose[[#This Row],[Google Koordinaten]]),
FIND(",",TRIM(Lose[[#This Row],[Google Koordinaten]])) + 2,9),"")</f>
        <v>8.9419664</v>
      </c>
      <c r="N172">
        <f>IF(Lose[[#This Row],[Bahn-hofs-zeit]]=0,0,MROUND(30*25^((Lose[[#This Row],[Bahn-hofs-zeit]]-_xlfn.MINIFS(Lose[Bahn-hofs-zeit],Lose[Bahn-hofs-zeit],"&gt;0"))/(MAX(Lose[Bahn-hofs-zeit])-_xlfn.MINIFS(Lose[Bahn-hofs-zeit],Lose[Bahn-hofs-zeit],"&gt;0"))),5))</f>
        <v>50</v>
      </c>
      <c r="O172">
        <f>IF(Lose[[#This Row],[Gehzeit (min)]]="",0,CEILING(3*(Lose[[#This Row],[Gehzeit (min)]]+Lose[[#This Row],[Aufgaben-zeit (min)]]),5))</f>
        <v>75</v>
      </c>
      <c r="P172">
        <v>5</v>
      </c>
      <c r="Q172">
        <f>IFERROR(ROUND(Lose[[#This Row],[Distanz (km)]]*60/Lose[[#This Row],[Gehzeit (min)]],1),"")</f>
        <v>4.4000000000000004</v>
      </c>
      <c r="R1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172">
        <f>IFERROR(Lose[[#This Row],[Distanz (km)]]-Lose[[#This Row],[Check Distanz]],"")</f>
        <v>0.5099999999999999</v>
      </c>
      <c r="T172" s="60">
        <f>IFERROR(Lose[[#This Row],[Check Umweg]]/Lose[[#This Row],[Check Distanz]],"")</f>
        <v>0.57303370786516838</v>
      </c>
      <c r="U172">
        <f ca="1">IF(RIGHT(Lose[[#This Row],[LosID]],1)="b",_xlfn.XLOOKUP(REPLACE(Lose[[#This Row],[LosID]],LEN(Lose[[#This Row],[LosID]]),1,"a"),Lose[LosID],Lose[Zufallszahl],"",0),RAND())</f>
        <v>0.21823823353325555</v>
      </c>
      <c r="V172" t="b" cm="1">
        <f t="array" aca="1" ref="V172" ca="1">Lose[[#This Row],[Zufallszahl]]&gt;=IFERROR(LARGE((LEFT(Lose[LosID],FIND("-",Lose[LosID])-1)=LEFT(Lose[[#This Row],[LosID]],FIND("-",Lose[[#This Row],[LosID]])-1))*Lose[Zufallszahl],_xlfn.XLOOKUP(LEFT(Lose[[#This Row],[LosID]],FIND("-",Lose[[#This Row],[LosID]])-1),Ziehungsanzahl[Kürzel],Ziehungsanzahl[Kontingent],FALSE,0)),9999)</f>
        <v>0</v>
      </c>
    </row>
    <row r="173" spans="1:23" ht="30" hidden="1">
      <c r="A1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3" t="s">
        <v>23408</v>
      </c>
      <c r="C173" s="92" t="s">
        <v>23893</v>
      </c>
      <c r="D173" s="1" t="s">
        <v>23894</v>
      </c>
      <c r="E173" t="s">
        <v>23895</v>
      </c>
      <c r="F173" t="s">
        <v>23896</v>
      </c>
      <c r="G173">
        <v>20</v>
      </c>
      <c r="H173">
        <v>10</v>
      </c>
      <c r="I173">
        <v>1.5</v>
      </c>
      <c r="K173" t="str" cm="1">
        <f t="array" ref="K1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Bochum-Dahlhausen</v>
      </c>
      <c r="L173" t="str">
        <f>IFERROR(LEFT(TRIM(Lose[[#This Row],[Google Koordinaten]]),9),"")</f>
        <v>51.432873</v>
      </c>
      <c r="M173" t="str">
        <f>IFERROR(MID(TRIM(Lose[[#This Row],[Google Koordinaten]]),
FIND(",",TRIM(Lose[[#This Row],[Google Koordinaten]])) + 2,9),"")</f>
        <v>7.1264095</v>
      </c>
      <c r="N173">
        <f>IF(Lose[[#This Row],[Bahn-hofs-zeit]]=0,0,MROUND(30*25^((Lose[[#This Row],[Bahn-hofs-zeit]]-_xlfn.MINIFS(Lose[Bahn-hofs-zeit],Lose[Bahn-hofs-zeit],"&gt;0"))/(MAX(Lose[Bahn-hofs-zeit])-_xlfn.MINIFS(Lose[Bahn-hofs-zeit],Lose[Bahn-hofs-zeit],"&gt;0"))),5))</f>
        <v>45</v>
      </c>
      <c r="O173">
        <f>IF(Lose[[#This Row],[Gehzeit (min)]]="",0,CEILING(3*(Lose[[#This Row],[Gehzeit (min)]]+Lose[[#This Row],[Aufgaben-zeit (min)]]),5))</f>
        <v>90</v>
      </c>
      <c r="P173">
        <v>4.75</v>
      </c>
      <c r="Q173">
        <f>IFERROR(ROUND(Lose[[#This Row],[Distanz (km)]]*60/Lose[[#This Row],[Gehzeit (min)]],1),"")</f>
        <v>4.5</v>
      </c>
      <c r="R1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v>
      </c>
      <c r="S173">
        <f>IFERROR(Lose[[#This Row],[Distanz (km)]]-Lose[[#This Row],[Check Distanz]],"")</f>
        <v>0.26</v>
      </c>
      <c r="T173" s="60">
        <f>IFERROR(Lose[[#This Row],[Check Umweg]]/Lose[[#This Row],[Check Distanz]],"")</f>
        <v>0.20967741935483872</v>
      </c>
      <c r="U173">
        <f ca="1">IF(RIGHT(Lose[[#This Row],[LosID]],1)="b",_xlfn.XLOOKUP(REPLACE(Lose[[#This Row],[LosID]],LEN(Lose[[#This Row],[LosID]]),1,"a"),Lose[LosID],Lose[Zufallszahl],"",0),RAND())</f>
        <v>5.6736994919812433E-2</v>
      </c>
      <c r="V173" t="b" cm="1">
        <f t="array" aca="1" ref="V173" ca="1">Lose[[#This Row],[Zufallszahl]]&gt;=IFERROR(LARGE((LEFT(Lose[LosID],FIND("-",Lose[LosID])-1)=LEFT(Lose[[#This Row],[LosID]],FIND("-",Lose[[#This Row],[LosID]])-1))*Lose[Zufallszahl],_xlfn.XLOOKUP(LEFT(Lose[[#This Row],[LosID]],FIND("-",Lose[[#This Row],[LosID]])-1),Ziehungsanzahl[Kürzel],Ziehungsanzahl[Kontingent],FALSE,0)),9999)</f>
        <v>0</v>
      </c>
    </row>
    <row r="174" spans="1:23" ht="180" hidden="1">
      <c r="A1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4" t="s">
        <v>23412</v>
      </c>
      <c r="C174" s="93" t="s">
        <v>23897</v>
      </c>
      <c r="D174" s="1" t="s">
        <v>23898</v>
      </c>
      <c r="E174" t="s">
        <v>23899</v>
      </c>
      <c r="F174" s="1" t="s">
        <v>23900</v>
      </c>
      <c r="G174">
        <v>10</v>
      </c>
      <c r="H174">
        <v>5</v>
      </c>
      <c r="I174">
        <v>0.8</v>
      </c>
      <c r="J174">
        <v>30</v>
      </c>
      <c r="K174" t="str" cm="1">
        <f t="array" ref="K1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Rosenheim</v>
      </c>
      <c r="L174" t="str">
        <f>IFERROR(LEFT(TRIM(Lose[[#This Row],[Google Koordinaten]]),9),"")</f>
        <v>47.852735</v>
      </c>
      <c r="M174" t="str">
        <f>IFERROR(MID(TRIM(Lose[[#This Row],[Google Koordinaten]]),
FIND(",",TRIM(Lose[[#This Row],[Google Koordinaten]])) + 2,9),"")</f>
        <v>12.128282</v>
      </c>
      <c r="N174">
        <f>IF(Lose[[#This Row],[Bahn-hofs-zeit]]=0,0,MROUND(30*25^((Lose[[#This Row],[Bahn-hofs-zeit]]-_xlfn.MINIFS(Lose[Bahn-hofs-zeit],Lose[Bahn-hofs-zeit],"&gt;0"))/(MAX(Lose[Bahn-hofs-zeit])-_xlfn.MINIFS(Lose[Bahn-hofs-zeit],Lose[Bahn-hofs-zeit],"&gt;0"))),5))</f>
        <v>365</v>
      </c>
      <c r="O174">
        <f>IF(Lose[[#This Row],[Gehzeit (min)]]="",0,CEILING(3*(Lose[[#This Row],[Gehzeit (min)]]+Lose[[#This Row],[Aufgaben-zeit (min)]]),5))</f>
        <v>45</v>
      </c>
      <c r="P174">
        <v>12</v>
      </c>
      <c r="Q174">
        <f>IFERROR(ROUND(Lose[[#This Row],[Distanz (km)]]*60/Lose[[#This Row],[Gehzeit (min)]],1),"")</f>
        <v>4.8</v>
      </c>
      <c r="R1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174">
        <f>IFERROR(Lose[[#This Row],[Distanz (km)]]-Lose[[#This Row],[Check Distanz]],"")</f>
        <v>6.0000000000000053E-2</v>
      </c>
      <c r="T174" s="60">
        <f>IFERROR(Lose[[#This Row],[Check Umweg]]/Lose[[#This Row],[Check Distanz]],"")</f>
        <v>8.1081081081081155E-2</v>
      </c>
      <c r="U174">
        <f ca="1">IF(RIGHT(Lose[[#This Row],[LosID]],1)="b",_xlfn.XLOOKUP(REPLACE(Lose[[#This Row],[LosID]],LEN(Lose[[#This Row],[LosID]]),1,"a"),Lose[LosID],Lose[Zufallszahl],"",0),RAND())</f>
        <v>0.89197940454248237</v>
      </c>
      <c r="V174" t="b" cm="1">
        <f t="array" aca="1" ref="V174" ca="1">Lose[[#This Row],[Zufallszahl]]&gt;=IFERROR(LARGE((LEFT(Lose[LosID],FIND("-",Lose[LosID])-1)=LEFT(Lose[[#This Row],[LosID]],FIND("-",Lose[[#This Row],[LosID]])-1))*Lose[Zufallszahl],_xlfn.XLOOKUP(LEFT(Lose[[#This Row],[LosID]],FIND("-",Lose[[#This Row],[LosID]])-1),Ziehungsanzahl[Kürzel],Ziehungsanzahl[Kontingent],FALSE,0)),9999)</f>
        <v>0</v>
      </c>
    </row>
    <row r="175" spans="1:23" ht="180" hidden="1">
      <c r="A1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5" t="s">
        <v>23416</v>
      </c>
      <c r="C175" s="92" t="s">
        <v>23901</v>
      </c>
      <c r="D175" s="1" t="s">
        <v>23902</v>
      </c>
      <c r="E175" t="s">
        <v>23903</v>
      </c>
      <c r="F175" t="s">
        <v>23904</v>
      </c>
      <c r="G175">
        <v>11</v>
      </c>
      <c r="H175">
        <v>10</v>
      </c>
      <c r="I175">
        <v>0.85</v>
      </c>
      <c r="J175">
        <v>10</v>
      </c>
      <c r="K175" t="str" cm="1">
        <f t="array" ref="K1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Gummersbach-Dieringhausen</v>
      </c>
      <c r="L175" t="str">
        <f>IFERROR(LEFT(TRIM(Lose[[#This Row],[Google Koordinaten]]),9),"")</f>
        <v>50.983683</v>
      </c>
      <c r="M175" t="str">
        <f>IFERROR(MID(TRIM(Lose[[#This Row],[Google Koordinaten]]),
FIND(",",TRIM(Lose[[#This Row],[Google Koordinaten]])) + 2,9),"")</f>
        <v>7.5327597</v>
      </c>
      <c r="N175">
        <f>IF(Lose[[#This Row],[Bahn-hofs-zeit]]=0,0,MROUND(30*25^((Lose[[#This Row],[Bahn-hofs-zeit]]-_xlfn.MINIFS(Lose[Bahn-hofs-zeit],Lose[Bahn-hofs-zeit],"&gt;0"))/(MAX(Lose[Bahn-hofs-zeit])-_xlfn.MINIFS(Lose[Bahn-hofs-zeit],Lose[Bahn-hofs-zeit],"&gt;0"))),5))</f>
        <v>75</v>
      </c>
      <c r="O175">
        <f>IF(Lose[[#This Row],[Gehzeit (min)]]="",0,CEILING(3*(Lose[[#This Row],[Gehzeit (min)]]+Lose[[#This Row],[Aufgaben-zeit (min)]]),5))</f>
        <v>65</v>
      </c>
      <c r="P175">
        <v>6.5</v>
      </c>
      <c r="Q175">
        <f>IFERROR(ROUND(Lose[[#This Row],[Distanz (km)]]*60/Lose[[#This Row],[Gehzeit (min)]],1),"")</f>
        <v>4.5999999999999996</v>
      </c>
      <c r="R1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175">
        <f>IFERROR(Lose[[#This Row],[Distanz (km)]]-Lose[[#This Row],[Check Distanz]],"")</f>
        <v>0.14000000000000001</v>
      </c>
      <c r="T175" s="60">
        <f>IFERROR(Lose[[#This Row],[Check Umweg]]/Lose[[#This Row],[Check Distanz]],"")</f>
        <v>0.19718309859154931</v>
      </c>
      <c r="U175">
        <f ca="1">IF(RIGHT(Lose[[#This Row],[LosID]],1)="b",_xlfn.XLOOKUP(REPLACE(Lose[[#This Row],[LosID]],LEN(Lose[[#This Row],[LosID]]),1,"a"),Lose[LosID],Lose[Zufallszahl],"",0),RAND())</f>
        <v>0.36965411372340795</v>
      </c>
      <c r="V175" t="b" cm="1">
        <f t="array" aca="1" ref="V175" ca="1">Lose[[#This Row],[Zufallszahl]]&gt;=IFERROR(LARGE((LEFT(Lose[LosID],FIND("-",Lose[LosID])-1)=LEFT(Lose[[#This Row],[LosID]],FIND("-",Lose[[#This Row],[LosID]])-1))*Lose[Zufallszahl],_xlfn.XLOOKUP(LEFT(Lose[[#This Row],[LosID]],FIND("-",Lose[[#This Row],[LosID]])-1),Ziehungsanzahl[Kürzel],Ziehungsanzahl[Kontingent],FALSE,0)),9999)</f>
        <v>0</v>
      </c>
    </row>
    <row r="176" spans="1:23" ht="105" hidden="1">
      <c r="A1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6" t="s">
        <v>23352</v>
      </c>
      <c r="C176" s="93" t="s">
        <v>23905</v>
      </c>
      <c r="D176" s="1" t="s">
        <v>23906</v>
      </c>
      <c r="E176" t="s">
        <v>23907</v>
      </c>
      <c r="F176" t="s">
        <v>23908</v>
      </c>
      <c r="G176">
        <v>19</v>
      </c>
      <c r="H176">
        <v>5</v>
      </c>
      <c r="I176">
        <v>1.3</v>
      </c>
      <c r="K176" t="str" cm="1">
        <f t="array" ref="K1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Horb</v>
      </c>
      <c r="L176" t="str">
        <f>IFERROR(LEFT(TRIM(Lose[[#This Row],[Google Koordinaten]]),9),"")</f>
        <v>48.435514</v>
      </c>
      <c r="M176" t="str">
        <f>IFERROR(MID(TRIM(Lose[[#This Row],[Google Koordinaten]]),
FIND(",",TRIM(Lose[[#This Row],[Google Koordinaten]])) + 2,9),"")</f>
        <v>8.6766330</v>
      </c>
      <c r="N176">
        <f>IF(Lose[[#This Row],[Bahn-hofs-zeit]]=0,0,MROUND(30*25^((Lose[[#This Row],[Bahn-hofs-zeit]]-_xlfn.MINIFS(Lose[Bahn-hofs-zeit],Lose[Bahn-hofs-zeit],"&gt;0"))/(MAX(Lose[Bahn-hofs-zeit])-_xlfn.MINIFS(Lose[Bahn-hofs-zeit],Lose[Bahn-hofs-zeit],"&gt;0"))),5))</f>
        <v>145</v>
      </c>
      <c r="O176">
        <f>IF(Lose[[#This Row],[Gehzeit (min)]]="",0,CEILING(3*(Lose[[#This Row],[Gehzeit (min)]]+Lose[[#This Row],[Aufgaben-zeit (min)]]),5))</f>
        <v>75</v>
      </c>
      <c r="P176">
        <v>8.75</v>
      </c>
      <c r="Q176">
        <f>IFERROR(ROUND(Lose[[#This Row],[Distanz (km)]]*60/Lose[[#This Row],[Gehzeit (min)]],1),"")</f>
        <v>4.0999999999999996</v>
      </c>
      <c r="R1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176">
        <f>IFERROR(Lose[[#This Row],[Distanz (km)]]-Lose[[#This Row],[Check Distanz]],"")</f>
        <v>0.17000000000000015</v>
      </c>
      <c r="T176" s="60">
        <f>IFERROR(Lose[[#This Row],[Check Umweg]]/Lose[[#This Row],[Check Distanz]],"")</f>
        <v>0.15044247787610635</v>
      </c>
      <c r="U176">
        <f ca="1">IF(RIGHT(Lose[[#This Row],[LosID]],1)="b",_xlfn.XLOOKUP(REPLACE(Lose[[#This Row],[LosID]],LEN(Lose[[#This Row],[LosID]]),1,"a"),Lose[LosID],Lose[Zufallszahl],"",0),RAND())</f>
        <v>0.42067435015478527</v>
      </c>
      <c r="V176" t="b" cm="1">
        <f t="array" aca="1" ref="V176" ca="1">Lose[[#This Row],[Zufallszahl]]&gt;=IFERROR(LARGE((LEFT(Lose[LosID],FIND("-",Lose[LosID])-1)=LEFT(Lose[[#This Row],[LosID]],FIND("-",Lose[[#This Row],[LosID]])-1))*Lose[Zufallszahl],_xlfn.XLOOKUP(LEFT(Lose[[#This Row],[LosID]],FIND("-",Lose[[#This Row],[LosID]])-1),Ziehungsanzahl[Kürzel],Ziehungsanzahl[Kontingent],FALSE,0)),9999)</f>
        <v>0</v>
      </c>
    </row>
    <row r="177" spans="1:22" ht="90" hidden="1">
      <c r="A1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7" t="s">
        <v>23380</v>
      </c>
      <c r="C177" s="93" t="s">
        <v>23909</v>
      </c>
      <c r="D177" s="64" t="s">
        <v>23910</v>
      </c>
      <c r="E177" t="s">
        <v>23911</v>
      </c>
      <c r="F177" s="1" t="s">
        <v>23912</v>
      </c>
      <c r="G177">
        <v>26</v>
      </c>
      <c r="H177">
        <v>2</v>
      </c>
      <c r="I177">
        <v>1.9</v>
      </c>
      <c r="J177">
        <v>0</v>
      </c>
      <c r="K177" t="str" cm="1">
        <f t="array" ref="K1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 Freiberger Straße</v>
      </c>
      <c r="L177" t="str">
        <f>IFERROR(LEFT(TRIM(Lose[[#This Row],[Google Koordinaten]]),9),"")</f>
        <v>51.039595</v>
      </c>
      <c r="M177" t="str">
        <f>IFERROR(MID(TRIM(Lose[[#This Row],[Google Koordinaten]]),
FIND(",",TRIM(Lose[[#This Row],[Google Koordinaten]])) + 2,9),"")</f>
        <v>13.711675</v>
      </c>
      <c r="N177">
        <f>IF(Lose[[#This Row],[Bahn-hofs-zeit]]=0,0,MROUND(30*25^((Lose[[#This Row],[Bahn-hofs-zeit]]-_xlfn.MINIFS(Lose[Bahn-hofs-zeit],Lose[Bahn-hofs-zeit],"&gt;0"))/(MAX(Lose[Bahn-hofs-zeit])-_xlfn.MINIFS(Lose[Bahn-hofs-zeit],Lose[Bahn-hofs-zeit],"&gt;0"))),5))</f>
        <v>295</v>
      </c>
      <c r="O177">
        <f>IF(Lose[[#This Row],[Gehzeit (min)]]="",0,CEILING(3*(Lose[[#This Row],[Gehzeit (min)]]+Lose[[#This Row],[Aufgaben-zeit (min)]]),5))</f>
        <v>85</v>
      </c>
      <c r="P177">
        <v>11.25</v>
      </c>
      <c r="Q177">
        <f>IFERROR(ROUND(Lose[[#This Row],[Distanz (km)]]*60/Lose[[#This Row],[Gehzeit (min)]],1),"")</f>
        <v>4.4000000000000004</v>
      </c>
      <c r="R1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1.1000000000000001</v>
      </c>
      <c r="S177">
        <f>IFERROR(Lose[[#This Row],[Distanz (km)]]-Lose[[#This Row],[Check Distanz]],"")</f>
        <v>0.79999999999999982</v>
      </c>
      <c r="T177" s="60">
        <f>IFERROR(Lose[[#This Row],[Check Umweg]]/Lose[[#This Row],[Check Distanz]],"")</f>
        <v>0.72727272727272707</v>
      </c>
      <c r="U177">
        <f ca="1">IF(RIGHT(Lose[[#This Row],[LosID]],1)="b",_xlfn.XLOOKUP(REPLACE(Lose[[#This Row],[LosID]],LEN(Lose[[#This Row],[LosID]]),1,"a"),Lose[LosID],Lose[Zufallszahl],"",0),RAND())</f>
        <v>0.67224455798169502</v>
      </c>
      <c r="V177" t="b" cm="1">
        <f t="array" aca="1" ref="V177" ca="1">Lose[[#This Row],[Zufallszahl]]&gt;=IFERROR(LARGE((LEFT(Lose[LosID],FIND("-",Lose[LosID])-1)=LEFT(Lose[[#This Row],[LosID]],FIND("-",Lose[[#This Row],[LosID]])-1))*Lose[Zufallszahl],_xlfn.XLOOKUP(LEFT(Lose[[#This Row],[LosID]],FIND("-",Lose[[#This Row],[LosID]])-1),Ziehungsanzahl[Kürzel],Ziehungsanzahl[Kontingent],FALSE,0)),9999)</f>
        <v>0</v>
      </c>
    </row>
    <row r="178" spans="1:22" ht="120">
      <c r="A1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8" t="s">
        <v>23385</v>
      </c>
      <c r="C178" s="92" t="s">
        <v>23913</v>
      </c>
      <c r="D178" s="1" t="s">
        <v>23914</v>
      </c>
      <c r="E178" t="s">
        <v>23915</v>
      </c>
      <c r="F178" t="s">
        <v>23916</v>
      </c>
      <c r="G178">
        <v>20</v>
      </c>
      <c r="H178">
        <v>10</v>
      </c>
      <c r="I178">
        <v>1.4</v>
      </c>
      <c r="J178">
        <v>30</v>
      </c>
      <c r="K178" t="str" cm="1">
        <f t="array" ref="K1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Hamm(Westf)Hbf</v>
      </c>
      <c r="L178" t="str">
        <f>IFERROR(LEFT(TRIM(Lose[[#This Row],[Google Koordinaten]]),9),"")</f>
        <v>51.670345</v>
      </c>
      <c r="M178" t="str">
        <f>IFERROR(MID(TRIM(Lose[[#This Row],[Google Koordinaten]]),
FIND(",",TRIM(Lose[[#This Row],[Google Koordinaten]])) + 2,9),"")</f>
        <v>7.8166902</v>
      </c>
      <c r="N178">
        <f>IF(Lose[[#This Row],[Bahn-hofs-zeit]]=0,0,MROUND(30*25^((Lose[[#This Row],[Bahn-hofs-zeit]]-_xlfn.MINIFS(Lose[Bahn-hofs-zeit],Lose[Bahn-hofs-zeit],"&gt;0"))/(MAX(Lose[Bahn-hofs-zeit])-_xlfn.MINIFS(Lose[Bahn-hofs-zeit],Lose[Bahn-hofs-zeit],"&gt;0"))),5))</f>
        <v>35</v>
      </c>
      <c r="O178">
        <f>IF(Lose[[#This Row],[Gehzeit (min)]]="",0,CEILING(3*(Lose[[#This Row],[Gehzeit (min)]]+Lose[[#This Row],[Aufgaben-zeit (min)]]),5))</f>
        <v>90</v>
      </c>
      <c r="P178">
        <v>3.75</v>
      </c>
      <c r="Q178">
        <f>IFERROR(ROUND(Lose[[#This Row],[Distanz (km)]]*60/Lose[[#This Row],[Gehzeit (min)]],1),"")</f>
        <v>4.2</v>
      </c>
      <c r="R1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178">
        <f>IFERROR(Lose[[#This Row],[Distanz (km)]]-Lose[[#This Row],[Check Distanz]],"")</f>
        <v>0.33999999999999986</v>
      </c>
      <c r="T178" s="60">
        <f>IFERROR(Lose[[#This Row],[Check Umweg]]/Lose[[#This Row],[Check Distanz]],"")</f>
        <v>0.32075471698113195</v>
      </c>
      <c r="U178">
        <f ca="1">IF(RIGHT(Lose[[#This Row],[LosID]],1)="b",_xlfn.XLOOKUP(REPLACE(Lose[[#This Row],[LosID]],LEN(Lose[[#This Row],[LosID]]),1,"a"),Lose[LosID],Lose[Zufallszahl],"",0),RAND())</f>
        <v>0.35240654212114575</v>
      </c>
      <c r="V178" t="b" cm="1">
        <f t="array" aca="1" ref="V178" ca="1">Lose[[#This Row],[Zufallszahl]]&gt;=IFERROR(LARGE((LEFT(Lose[LosID],FIND("-",Lose[LosID])-1)=LEFT(Lose[[#This Row],[LosID]],FIND("-",Lose[[#This Row],[LosID]])-1))*Lose[Zufallszahl],_xlfn.XLOOKUP(LEFT(Lose[[#This Row],[LosID]],FIND("-",Lose[[#This Row],[LosID]])-1),Ziehungsanzahl[Kürzel],Ziehungsanzahl[Kontingent],FALSE,0)),9999)</f>
        <v>0</v>
      </c>
    </row>
    <row r="179" spans="1:22" ht="60" hidden="1">
      <c r="A1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9" t="s">
        <v>23390</v>
      </c>
      <c r="C179" s="92" t="s">
        <v>23917</v>
      </c>
      <c r="D179" s="1" t="s">
        <v>23918</v>
      </c>
      <c r="E179" t="s">
        <v>23919</v>
      </c>
      <c r="F179" t="s">
        <v>23920</v>
      </c>
      <c r="G179">
        <v>3</v>
      </c>
      <c r="H179">
        <v>5</v>
      </c>
      <c r="I179">
        <v>0.2</v>
      </c>
      <c r="K179" t="str" cm="1">
        <f t="array" ref="K1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179" t="str">
        <f>IFERROR(LEFT(TRIM(Lose[[#This Row],[Google Koordinaten]]),9),"")</f>
        <v>53.897772</v>
      </c>
      <c r="M179" t="str">
        <f>IFERROR(MID(TRIM(Lose[[#This Row],[Google Koordinaten]]),
FIND(",",TRIM(Lose[[#This Row],[Google Koordinaten]])) + 2,9),"")</f>
        <v>11.467907</v>
      </c>
      <c r="N179">
        <f>IF(Lose[[#This Row],[Bahn-hofs-zeit]]=0,0,MROUND(30*25^((Lose[[#This Row],[Bahn-hofs-zeit]]-_xlfn.MINIFS(Lose[Bahn-hofs-zeit],Lose[Bahn-hofs-zeit],"&gt;0"))/(MAX(Lose[Bahn-hofs-zeit])-_xlfn.MINIFS(Lose[Bahn-hofs-zeit],Lose[Bahn-hofs-zeit],"&gt;0"))),5))</f>
        <v>365</v>
      </c>
      <c r="O179">
        <f>IF(Lose[[#This Row],[Gehzeit (min)]]="",0,CEILING(3*(Lose[[#This Row],[Gehzeit (min)]]+Lose[[#This Row],[Aufgaben-zeit (min)]]),5))</f>
        <v>25</v>
      </c>
      <c r="P179">
        <v>12</v>
      </c>
      <c r="Q179">
        <f>IFERROR(ROUND(Lose[[#This Row],[Distanz (km)]]*60/Lose[[#This Row],[Gehzeit (min)]],1),"")</f>
        <v>4</v>
      </c>
      <c r="R1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0.14000000000000001</v>
      </c>
      <c r="S179">
        <f>IFERROR(Lose[[#This Row],[Distanz (km)]]-Lose[[#This Row],[Check Distanz]],"")</f>
        <v>0.06</v>
      </c>
      <c r="T179" s="60">
        <f>IFERROR(Lose[[#This Row],[Check Umweg]]/Lose[[#This Row],[Check Distanz]],"")</f>
        <v>0.42857142857142849</v>
      </c>
      <c r="U179">
        <f ca="1">IF(RIGHT(Lose[[#This Row],[LosID]],1)="b",_xlfn.XLOOKUP(REPLACE(Lose[[#This Row],[LosID]],LEN(Lose[[#This Row],[LosID]]),1,"a"),Lose[LosID],Lose[Zufallszahl],"",0),RAND())</f>
        <v>0.24941684779330042</v>
      </c>
      <c r="V179" t="b" cm="1">
        <f t="array" aca="1" ref="V179" ca="1">Lose[[#This Row],[Zufallszahl]]&gt;=IFERROR(LARGE((LEFT(Lose[LosID],FIND("-",Lose[LosID])-1)=LEFT(Lose[[#This Row],[LosID]],FIND("-",Lose[[#This Row],[LosID]])-1))*Lose[Zufallszahl],_xlfn.XLOOKUP(LEFT(Lose[[#This Row],[LosID]],FIND("-",Lose[[#This Row],[LosID]])-1),Ziehungsanzahl[Kürzel],Ziehungsanzahl[Kontingent],FALSE,0)),9999)</f>
        <v>0</v>
      </c>
    </row>
    <row r="180" spans="1:22" ht="105" hidden="1">
      <c r="A1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0" t="s">
        <v>23394</v>
      </c>
      <c r="C180" s="92" t="s">
        <v>23921</v>
      </c>
      <c r="D180" s="1" t="s">
        <v>23922</v>
      </c>
      <c r="E180" t="s">
        <v>23923</v>
      </c>
      <c r="F180" t="s">
        <v>23924</v>
      </c>
      <c r="G180">
        <v>10</v>
      </c>
      <c r="H180">
        <v>5</v>
      </c>
      <c r="I180">
        <v>0.35</v>
      </c>
      <c r="J180">
        <v>20</v>
      </c>
      <c r="K180" t="str" cm="1">
        <f t="array" ref="K1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Hochdahl</v>
      </c>
      <c r="L180" t="str">
        <f>IFERROR(LEFT(TRIM(Lose[[#This Row],[Google Koordinaten]]),9),"")</f>
        <v>51.218077</v>
      </c>
      <c r="M180" t="str">
        <f>IFERROR(MID(TRIM(Lose[[#This Row],[Google Koordinaten]]),
FIND(",",TRIM(Lose[[#This Row],[Google Koordinaten]])) + 2,9),"")</f>
        <v>6.9478417</v>
      </c>
      <c r="N180">
        <f>IF(Lose[[#This Row],[Bahn-hofs-zeit]]=0,0,MROUND(30*25^((Lose[[#This Row],[Bahn-hofs-zeit]]-_xlfn.MINIFS(Lose[Bahn-hofs-zeit],Lose[Bahn-hofs-zeit],"&gt;0"))/(MAX(Lose[Bahn-hofs-zeit])-_xlfn.MINIFS(Lose[Bahn-hofs-zeit],Lose[Bahn-hofs-zeit],"&gt;0"))),5))</f>
        <v>45</v>
      </c>
      <c r="O180">
        <f>IF(Lose[[#This Row],[Gehzeit (min)]]="",0,CEILING(3*(Lose[[#This Row],[Gehzeit (min)]]+Lose[[#This Row],[Aufgaben-zeit (min)]]),5))</f>
        <v>45</v>
      </c>
      <c r="P180">
        <v>4.75</v>
      </c>
      <c r="Q180">
        <f>IFERROR(ROUND(Lose[[#This Row],[Distanz (km)]]*60/Lose[[#This Row],[Gehzeit (min)]],1),"")</f>
        <v>2.1</v>
      </c>
      <c r="R1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0.25</v>
      </c>
      <c r="S180">
        <f>IFERROR(Lose[[#This Row],[Distanz (km)]]-Lose[[#This Row],[Check Distanz]],"")</f>
        <v>9.9999999999999978E-2</v>
      </c>
      <c r="T180" s="60">
        <f>IFERROR(Lose[[#This Row],[Check Umweg]]/Lose[[#This Row],[Check Distanz]],"")</f>
        <v>0.39999999999999991</v>
      </c>
      <c r="U180">
        <f ca="1">IF(RIGHT(Lose[[#This Row],[LosID]],1)="b",_xlfn.XLOOKUP(REPLACE(Lose[[#This Row],[LosID]],LEN(Lose[[#This Row],[LosID]]),1,"a"),Lose[LosID],Lose[Zufallszahl],"",0),RAND())</f>
        <v>0.16923533307866878</v>
      </c>
      <c r="V180" t="b" cm="1">
        <f t="array" aca="1" ref="V180" ca="1">Lose[[#This Row],[Zufallszahl]]&gt;=IFERROR(LARGE((LEFT(Lose[LosID],FIND("-",Lose[LosID])-1)=LEFT(Lose[[#This Row],[LosID]],FIND("-",Lose[[#This Row],[LosID]])-1))*Lose[Zufallszahl],_xlfn.XLOOKUP(LEFT(Lose[[#This Row],[LosID]],FIND("-",Lose[[#This Row],[LosID]])-1),Ziehungsanzahl[Kürzel],Ziehungsanzahl[Kontingent],FALSE,0)),9999)</f>
        <v>0</v>
      </c>
    </row>
    <row r="181" spans="1:22" ht="90" hidden="1">
      <c r="A1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1" t="s">
        <v>23403</v>
      </c>
      <c r="C181" s="92" t="s">
        <v>23925</v>
      </c>
      <c r="D181" s="1" t="s">
        <v>23926</v>
      </c>
      <c r="E181" t="s">
        <v>23927</v>
      </c>
      <c r="F181" t="s">
        <v>23928</v>
      </c>
      <c r="G181">
        <v>14</v>
      </c>
      <c r="H181">
        <v>1</v>
      </c>
      <c r="I181">
        <v>1.1000000000000001</v>
      </c>
      <c r="J181">
        <v>10</v>
      </c>
      <c r="K181" t="str" cm="1">
        <f t="array" ref="K1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Olympiastadion</v>
      </c>
      <c r="L181" t="str">
        <f>IFERROR(LEFT(TRIM(Lose[[#This Row],[Google Koordinaten]]),9),"")</f>
        <v>52.517375</v>
      </c>
      <c r="M181" t="str">
        <f>IFERROR(MID(TRIM(Lose[[#This Row],[Google Koordinaten]]),
FIND(",",TRIM(Lose[[#This Row],[Google Koordinaten]])) + 2,9),"")</f>
        <v>13.249982</v>
      </c>
      <c r="N181">
        <f>IF(Lose[[#This Row],[Bahn-hofs-zeit]]=0,0,MROUND(30*25^((Lose[[#This Row],[Bahn-hofs-zeit]]-_xlfn.MINIFS(Lose[Bahn-hofs-zeit],Lose[Bahn-hofs-zeit],"&gt;0"))/(MAX(Lose[Bahn-hofs-zeit])-_xlfn.MINIFS(Lose[Bahn-hofs-zeit],Lose[Bahn-hofs-zeit],"&gt;0"))),5))</f>
        <v>115</v>
      </c>
      <c r="O181">
        <f>IF(Lose[[#This Row],[Gehzeit (min)]]="",0,CEILING(3*(Lose[[#This Row],[Gehzeit (min)]]+Lose[[#This Row],[Aufgaben-zeit (min)]]),5))</f>
        <v>45</v>
      </c>
      <c r="P181">
        <v>8</v>
      </c>
      <c r="Q181">
        <f>IFERROR(ROUND(Lose[[#This Row],[Distanz (km)]]*60/Lose[[#This Row],[Gehzeit (min)]],1),"")</f>
        <v>4.7</v>
      </c>
      <c r="R1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0.86</v>
      </c>
      <c r="S181">
        <f>IFERROR(Lose[[#This Row],[Distanz (km)]]-Lose[[#This Row],[Check Distanz]],"")</f>
        <v>0.2400000000000001</v>
      </c>
      <c r="T181" s="60">
        <f>IFERROR(Lose[[#This Row],[Check Umweg]]/Lose[[#This Row],[Check Distanz]],"")</f>
        <v>0.27906976744186057</v>
      </c>
      <c r="U181">
        <f ca="1">IF(RIGHT(Lose[[#This Row],[LosID]],1)="b",_xlfn.XLOOKUP(REPLACE(Lose[[#This Row],[LosID]],LEN(Lose[[#This Row],[LosID]]),1,"a"),Lose[LosID],Lose[Zufallszahl],"",0),RAND())</f>
        <v>0.15000981830752169</v>
      </c>
      <c r="V181" t="b" cm="1">
        <f t="array" aca="1" ref="V181" ca="1">Lose[[#This Row],[Zufallszahl]]&gt;=IFERROR(LARGE((LEFT(Lose[LosID],FIND("-",Lose[LosID])-1)=LEFT(Lose[[#This Row],[LosID]],FIND("-",Lose[[#This Row],[LosID]])-1))*Lose[Zufallszahl],_xlfn.XLOOKUP(LEFT(Lose[[#This Row],[LosID]],FIND("-",Lose[[#This Row],[LosID]])-1),Ziehungsanzahl[Kürzel],Ziehungsanzahl[Kontingent],FALSE,0)),9999)</f>
        <v>0</v>
      </c>
    </row>
    <row r="182" spans="1:22" ht="105" hidden="1">
      <c r="A1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2" t="s">
        <v>23408</v>
      </c>
      <c r="C182" s="93" t="s">
        <v>23929</v>
      </c>
      <c r="D182" s="1" t="s">
        <v>23930</v>
      </c>
      <c r="E182" t="s">
        <v>23931</v>
      </c>
      <c r="F182" t="s">
        <v>23932</v>
      </c>
      <c r="G182">
        <v>3</v>
      </c>
      <c r="H182">
        <v>5</v>
      </c>
      <c r="I182">
        <v>0.2</v>
      </c>
      <c r="K182" t="str" cm="1">
        <f t="array" ref="K1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Schwerin Hbf</v>
      </c>
      <c r="L182" t="str">
        <f>IFERROR(LEFT(TRIM(Lose[[#This Row],[Google Koordinaten]]),9),"")</f>
        <v>53.636112</v>
      </c>
      <c r="M182" t="str">
        <f>IFERROR(MID(TRIM(Lose[[#This Row],[Google Koordinaten]]),
FIND(",",TRIM(Lose[[#This Row],[Google Koordinaten]])) + 2,9),"")</f>
        <v>11.406135</v>
      </c>
      <c r="N182">
        <f>IF(Lose[[#This Row],[Bahn-hofs-zeit]]=0,0,MROUND(30*25^((Lose[[#This Row],[Bahn-hofs-zeit]]-_xlfn.MINIFS(Lose[Bahn-hofs-zeit],Lose[Bahn-hofs-zeit],"&gt;0"))/(MAX(Lose[Bahn-hofs-zeit])-_xlfn.MINIFS(Lose[Bahn-hofs-zeit],Lose[Bahn-hofs-zeit],"&gt;0"))),5))</f>
        <v>165</v>
      </c>
      <c r="O182">
        <f>IF(Lose[[#This Row],[Gehzeit (min)]]="",0,CEILING(3*(Lose[[#This Row],[Gehzeit (min)]]+Lose[[#This Row],[Aufgaben-zeit (min)]]),5))</f>
        <v>25</v>
      </c>
      <c r="P182">
        <v>9.25</v>
      </c>
      <c r="Q182">
        <f>IFERROR(ROUND(Lose[[#This Row],[Distanz (km)]]*60/Lose[[#This Row],[Gehzeit (min)]],1),"")</f>
        <v>4</v>
      </c>
      <c r="R1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182">
        <f>IFERROR(Lose[[#This Row],[Distanz (km)]]-Lose[[#This Row],[Check Distanz]],"")</f>
        <v>2.0000000000000018E-2</v>
      </c>
      <c r="T182" s="60">
        <f>IFERROR(Lose[[#This Row],[Check Umweg]]/Lose[[#This Row],[Check Distanz]],"")</f>
        <v>0.11111111111111122</v>
      </c>
      <c r="U182">
        <f ca="1">IF(RIGHT(Lose[[#This Row],[LosID]],1)="b",_xlfn.XLOOKUP(REPLACE(Lose[[#This Row],[LosID]],LEN(Lose[[#This Row],[LosID]]),1,"a"),Lose[LosID],Lose[Zufallszahl],"",0),RAND())</f>
        <v>0.19590900523219457</v>
      </c>
      <c r="V182" t="b" cm="1">
        <f t="array" aca="1" ref="V182" ca="1">Lose[[#This Row],[Zufallszahl]]&gt;=IFERROR(LARGE((LEFT(Lose[LosID],FIND("-",Lose[LosID])-1)=LEFT(Lose[[#This Row],[LosID]],FIND("-",Lose[[#This Row],[LosID]])-1))*Lose[Zufallszahl],_xlfn.XLOOKUP(LEFT(Lose[[#This Row],[LosID]],FIND("-",Lose[[#This Row],[LosID]])-1),Ziehungsanzahl[Kürzel],Ziehungsanzahl[Kontingent],FALSE,0)),9999)</f>
        <v>0</v>
      </c>
    </row>
    <row r="183" spans="1:22" ht="30" hidden="1">
      <c r="A1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3"/>
      <c r="C183" s="93" t="s">
        <v>1281</v>
      </c>
      <c r="D183" s="1" t="s">
        <v>23933</v>
      </c>
      <c r="E183" t="s">
        <v>1282</v>
      </c>
      <c r="F183" t="s">
        <v>23934</v>
      </c>
      <c r="G183">
        <v>10</v>
      </c>
      <c r="H183">
        <v>5</v>
      </c>
      <c r="I183">
        <v>0.8</v>
      </c>
      <c r="J183" t="s">
        <v>23</v>
      </c>
      <c r="K183" t="str" cm="1">
        <f t="array" ref="K1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Homburg</v>
      </c>
      <c r="L183" t="str">
        <f>IFERROR(LEFT(TRIM(Lose[[#This Row],[Google Koordinaten]]),9),"")</f>
        <v>50.223555</v>
      </c>
      <c r="M183" t="str">
        <f>IFERROR(MID(TRIM(Lose[[#This Row],[Google Koordinaten]]),
FIND(",",TRIM(Lose[[#This Row],[Google Koordinaten]])) + 2,9),"")</f>
        <v>8.6217555</v>
      </c>
      <c r="N183">
        <f>IF(Lose[[#This Row],[Bahn-hofs-zeit]]=0,0,MROUND(30*25^((Lose[[#This Row],[Bahn-hofs-zeit]]-_xlfn.MINIFS(Lose[Bahn-hofs-zeit],Lose[Bahn-hofs-zeit],"&gt;0"))/(MAX(Lose[Bahn-hofs-zeit])-_xlfn.MINIFS(Lose[Bahn-hofs-zeit],Lose[Bahn-hofs-zeit],"&gt;0"))),5))</f>
        <v>60</v>
      </c>
      <c r="O183">
        <f>IF(Lose[[#This Row],[Gehzeit (min)]]="",0,CEILING(3*(Lose[[#This Row],[Gehzeit (min)]]+Lose[[#This Row],[Aufgaben-zeit (min)]]),5))</f>
        <v>45</v>
      </c>
      <c r="P183">
        <v>5.75</v>
      </c>
      <c r="Q183">
        <f>IFERROR(ROUND(Lose[[#This Row],[Distanz (km)]]*60/Lose[[#This Row],[Gehzeit (min)]],1),"")</f>
        <v>4.8</v>
      </c>
      <c r="R1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83">
        <f>IFERROR(Lose[[#This Row],[Distanz (km)]]-Lose[[#This Row],[Check Distanz]],"")</f>
        <v>0.39000000000000007</v>
      </c>
      <c r="T183" s="60">
        <f>IFERROR(Lose[[#This Row],[Check Umweg]]/Lose[[#This Row],[Check Distanz]],"")</f>
        <v>0.95121951219512213</v>
      </c>
      <c r="U183">
        <f ca="1">IF(RIGHT(Lose[[#This Row],[LosID]],1)="b",_xlfn.XLOOKUP(REPLACE(Lose[[#This Row],[LosID]],LEN(Lose[[#This Row],[LosID]]),1,"a"),Lose[LosID],Lose[Zufallszahl],"",0),RAND())</f>
        <v>0.3821427538240435</v>
      </c>
      <c r="V183" t="b" cm="1">
        <f t="array" aca="1" ref="V183" ca="1">Lose[[#This Row],[Zufallszahl]]&gt;=IFERROR(LARGE((LEFT(Lose[LosID],FIND("-",Lose[LosID])-1)=LEFT(Lose[[#This Row],[LosID]],FIND("-",Lose[[#This Row],[LosID]])-1))*Lose[Zufallszahl],_xlfn.XLOOKUP(LEFT(Lose[[#This Row],[LosID]],FIND("-",Lose[[#This Row],[LosID]])-1),Ziehungsanzahl[Kürzel],Ziehungsanzahl[Kontingent],FALSE,0)),9999)</f>
        <v>0</v>
      </c>
    </row>
    <row r="184" spans="1:22" ht="45" hidden="1">
      <c r="A1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4" t="s">
        <v>23416</v>
      </c>
      <c r="C184" s="92" t="s">
        <v>23935</v>
      </c>
      <c r="D184" s="1" t="s">
        <v>23936</v>
      </c>
      <c r="E184" t="s">
        <v>23937</v>
      </c>
      <c r="F184" t="s">
        <v>23938</v>
      </c>
      <c r="G184">
        <v>15</v>
      </c>
      <c r="H184">
        <v>1</v>
      </c>
      <c r="I184">
        <v>1.1000000000000001</v>
      </c>
      <c r="J184" t="s">
        <v>23</v>
      </c>
      <c r="K184" t="str" cm="1">
        <f t="array" ref="K1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 Nord</v>
      </c>
      <c r="L184" t="str">
        <f>IFERROR(LEFT(TRIM(Lose[[#This Row],[Google Koordinaten]]),9),"")</f>
        <v>49.885155</v>
      </c>
      <c r="M184" t="str">
        <f>IFERROR(MID(TRIM(Lose[[#This Row],[Google Koordinaten]]),
FIND(",",TRIM(Lose[[#This Row],[Google Koordinaten]])) + 2,9),"")</f>
        <v>8.6557518</v>
      </c>
      <c r="N184">
        <f>IF(Lose[[#This Row],[Bahn-hofs-zeit]]=0,0,MROUND(30*25^((Lose[[#This Row],[Bahn-hofs-zeit]]-_xlfn.MINIFS(Lose[Bahn-hofs-zeit],Lose[Bahn-hofs-zeit],"&gt;0"))/(MAX(Lose[Bahn-hofs-zeit])-_xlfn.MINIFS(Lose[Bahn-hofs-zeit],Lose[Bahn-hofs-zeit],"&gt;0"))),5))</f>
        <v>45</v>
      </c>
      <c r="O184">
        <f>IF(Lose[[#This Row],[Gehzeit (min)]]="",0,CEILING(3*(Lose[[#This Row],[Gehzeit (min)]]+Lose[[#This Row],[Aufgaben-zeit (min)]]),5))</f>
        <v>50</v>
      </c>
      <c r="P184">
        <v>4.5</v>
      </c>
      <c r="Q184">
        <f>IFERROR(ROUND(Lose[[#This Row],[Distanz (km)]]*60/Lose[[#This Row],[Gehzeit (min)]],1),"")</f>
        <v>4.4000000000000004</v>
      </c>
      <c r="R1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84">
        <f>IFERROR(Lose[[#This Row],[Distanz (km)]]-Lose[[#This Row],[Check Distanz]],"")</f>
        <v>0.32000000000000006</v>
      </c>
      <c r="T184" s="60">
        <f>IFERROR(Lose[[#This Row],[Check Umweg]]/Lose[[#This Row],[Check Distanz]],"")</f>
        <v>0.4102564102564103</v>
      </c>
      <c r="U184">
        <f ca="1">IF(RIGHT(Lose[[#This Row],[LosID]],1)="b",_xlfn.XLOOKUP(REPLACE(Lose[[#This Row],[LosID]],LEN(Lose[[#This Row],[LosID]]),1,"a"),Lose[LosID],Lose[Zufallszahl],"",0),RAND())</f>
        <v>0.69333052984329913</v>
      </c>
      <c r="V184" t="b" cm="1">
        <f t="array" aca="1" ref="V184" ca="1">Lose[[#This Row],[Zufallszahl]]&gt;=IFERROR(LARGE((LEFT(Lose[LosID],FIND("-",Lose[LosID])-1)=LEFT(Lose[[#This Row],[LosID]],FIND("-",Lose[[#This Row],[LosID]])-1))*Lose[Zufallszahl],_xlfn.XLOOKUP(LEFT(Lose[[#This Row],[LosID]],FIND("-",Lose[[#This Row],[LosID]])-1),Ziehungsanzahl[Kürzel],Ziehungsanzahl[Kontingent],FALSE,0)),9999)</f>
        <v>0</v>
      </c>
    </row>
    <row r="185" spans="1:22" ht="30" hidden="1">
      <c r="A1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5" t="s">
        <v>23357</v>
      </c>
      <c r="C185" s="92" t="s">
        <v>23939</v>
      </c>
      <c r="D185" s="1" t="s">
        <v>23940</v>
      </c>
      <c r="E185" t="s">
        <v>23941</v>
      </c>
      <c r="F185" t="s">
        <v>23942</v>
      </c>
      <c r="G185">
        <v>11</v>
      </c>
      <c r="H185">
        <v>1</v>
      </c>
      <c r="I185">
        <v>0.8</v>
      </c>
      <c r="J185" t="s">
        <v>23</v>
      </c>
      <c r="K185" t="str" cm="1">
        <f t="array" ref="K1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Hbf</v>
      </c>
      <c r="L185" t="str">
        <f>IFERROR(LEFT(TRIM(Lose[[#This Row],[Google Koordinaten]]),9),"")</f>
        <v>49.975607</v>
      </c>
      <c r="M185" t="str">
        <f>IFERROR(MID(TRIM(Lose[[#This Row],[Google Koordinaten]]),
FIND(",",TRIM(Lose[[#This Row],[Google Koordinaten]])) + 2,9),"")</f>
        <v>9.1421288</v>
      </c>
      <c r="N185">
        <f>IF(Lose[[#This Row],[Bahn-hofs-zeit]]=0,0,MROUND(30*25^((Lose[[#This Row],[Bahn-hofs-zeit]]-_xlfn.MINIFS(Lose[Bahn-hofs-zeit],Lose[Bahn-hofs-zeit],"&gt;0"))/(MAX(Lose[Bahn-hofs-zeit])-_xlfn.MINIFS(Lose[Bahn-hofs-zeit],Lose[Bahn-hofs-zeit],"&gt;0"))),5))</f>
        <v>45</v>
      </c>
      <c r="O185">
        <f>IF(Lose[[#This Row],[Gehzeit (min)]]="",0,CEILING(3*(Lose[[#This Row],[Gehzeit (min)]]+Lose[[#This Row],[Aufgaben-zeit (min)]]),5))</f>
        <v>40</v>
      </c>
      <c r="P185">
        <v>4.5</v>
      </c>
      <c r="Q185">
        <f>IFERROR(ROUND(Lose[[#This Row],[Distanz (km)]]*60/Lose[[#This Row],[Gehzeit (min)]],1),"")</f>
        <v>4.4000000000000004</v>
      </c>
      <c r="R1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185">
        <f>IFERROR(Lose[[#This Row],[Distanz (km)]]-Lose[[#This Row],[Check Distanz]],"")</f>
        <v>0.24</v>
      </c>
      <c r="T185" s="60">
        <f>IFERROR(Lose[[#This Row],[Check Umweg]]/Lose[[#This Row],[Check Distanz]],"")</f>
        <v>0.42857142857142849</v>
      </c>
      <c r="U185">
        <f ca="1">IF(RIGHT(Lose[[#This Row],[LosID]],1)="b",_xlfn.XLOOKUP(REPLACE(Lose[[#This Row],[LosID]],LEN(Lose[[#This Row],[LosID]]),1,"a"),Lose[LosID],Lose[Zufallszahl],"",0),RAND())</f>
        <v>0.88697656864941321</v>
      </c>
      <c r="V185" t="b" cm="1">
        <f t="array" aca="1" ref="V185" ca="1">Lose[[#This Row],[Zufallszahl]]&gt;=IFERROR(LARGE((LEFT(Lose[LosID],FIND("-",Lose[LosID])-1)=LEFT(Lose[[#This Row],[LosID]],FIND("-",Lose[[#This Row],[LosID]])-1))*Lose[Zufallszahl],_xlfn.XLOOKUP(LEFT(Lose[[#This Row],[LosID]],FIND("-",Lose[[#This Row],[LosID]])-1),Ziehungsanzahl[Kürzel],Ziehungsanzahl[Kontingent],FALSE,0)),9999)</f>
        <v>0</v>
      </c>
    </row>
    <row r="186" spans="1:22" ht="60" hidden="1">
      <c r="A1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6" t="s">
        <v>23363</v>
      </c>
      <c r="C186" s="92" t="s">
        <v>23943</v>
      </c>
      <c r="D186" s="1" t="s">
        <v>23944</v>
      </c>
      <c r="E186" t="s">
        <v>23945</v>
      </c>
      <c r="F186" t="s">
        <v>23946</v>
      </c>
      <c r="G186">
        <v>21</v>
      </c>
      <c r="H186">
        <v>1</v>
      </c>
      <c r="I186">
        <v>1.5</v>
      </c>
      <c r="J186">
        <v>20</v>
      </c>
      <c r="K186" t="str" cm="1">
        <f t="array" ref="K1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Seligenstadt(Hess)</v>
      </c>
      <c r="L186" t="str">
        <f>IFERROR(LEFT(TRIM(Lose[[#This Row],[Google Koordinaten]]),9),"")</f>
        <v>50.052843</v>
      </c>
      <c r="M186" t="str">
        <f>IFERROR(MID(TRIM(Lose[[#This Row],[Google Koordinaten]]),
FIND(",",TRIM(Lose[[#This Row],[Google Koordinaten]])) + 2,9),"")</f>
        <v>8.9689006</v>
      </c>
      <c r="N186">
        <f>IF(Lose[[#This Row],[Bahn-hofs-zeit]]=0,0,MROUND(30*25^((Lose[[#This Row],[Bahn-hofs-zeit]]-_xlfn.MINIFS(Lose[Bahn-hofs-zeit],Lose[Bahn-hofs-zeit],"&gt;0"))/(MAX(Lose[Bahn-hofs-zeit])-_xlfn.MINIFS(Lose[Bahn-hofs-zeit],Lose[Bahn-hofs-zeit],"&gt;0"))),5))</f>
        <v>55</v>
      </c>
      <c r="O186">
        <f>IF(Lose[[#This Row],[Gehzeit (min)]]="",0,CEILING(3*(Lose[[#This Row],[Gehzeit (min)]]+Lose[[#This Row],[Aufgaben-zeit (min)]]),5))</f>
        <v>70</v>
      </c>
      <c r="P186">
        <v>5.25</v>
      </c>
      <c r="Q186">
        <f>IFERROR(ROUND(Lose[[#This Row],[Distanz (km)]]*60/Lose[[#This Row],[Gehzeit (min)]],1),"")</f>
        <v>4.3</v>
      </c>
      <c r="R1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1.27</v>
      </c>
      <c r="S186">
        <f>IFERROR(Lose[[#This Row],[Distanz (km)]]-Lose[[#This Row],[Check Distanz]],"")</f>
        <v>0.22999999999999998</v>
      </c>
      <c r="T186" s="60">
        <f>IFERROR(Lose[[#This Row],[Check Umweg]]/Lose[[#This Row],[Check Distanz]],"")</f>
        <v>0.18110236220472439</v>
      </c>
      <c r="U186">
        <f ca="1">IF(RIGHT(Lose[[#This Row],[LosID]],1)="b",_xlfn.XLOOKUP(REPLACE(Lose[[#This Row],[LosID]],LEN(Lose[[#This Row],[LosID]]),1,"a"),Lose[LosID],Lose[Zufallszahl],"",0),RAND())</f>
        <v>0.79166131661081796</v>
      </c>
      <c r="V186" t="b" cm="1">
        <f t="array" aca="1" ref="V186" ca="1">Lose[[#This Row],[Zufallszahl]]&gt;=IFERROR(LARGE((LEFT(Lose[LosID],FIND("-",Lose[LosID])-1)=LEFT(Lose[[#This Row],[LosID]],FIND("-",Lose[[#This Row],[LosID]])-1))*Lose[Zufallszahl],_xlfn.XLOOKUP(LEFT(Lose[[#This Row],[LosID]],FIND("-",Lose[[#This Row],[LosID]])-1),Ziehungsanzahl[Kürzel],Ziehungsanzahl[Kontingent],FALSE,0)),9999)</f>
        <v>0</v>
      </c>
    </row>
    <row r="187" spans="1:22" ht="75" hidden="1">
      <c r="A1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7" t="s">
        <v>23367</v>
      </c>
      <c r="C187" s="92" t="s">
        <v>1305</v>
      </c>
      <c r="D187" s="1" t="s">
        <v>1308</v>
      </c>
      <c r="E187" t="s">
        <v>1306</v>
      </c>
      <c r="F187" t="s">
        <v>23947</v>
      </c>
      <c r="G187">
        <v>11</v>
      </c>
      <c r="H187">
        <v>1</v>
      </c>
      <c r="I187">
        <v>0.7</v>
      </c>
      <c r="J187">
        <v>10</v>
      </c>
      <c r="K187" t="str" cm="1">
        <f t="array" ref="K1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Limburg(Lahn)</v>
      </c>
      <c r="L187" t="str">
        <f>IFERROR(LEFT(TRIM(Lose[[#This Row],[Google Koordinaten]]),9),"")</f>
        <v>50.389155</v>
      </c>
      <c r="M187" t="str">
        <f>IFERROR(MID(TRIM(Lose[[#This Row],[Google Koordinaten]]),
FIND(",",TRIM(Lose[[#This Row],[Google Koordinaten]])) + 2,9),"")</f>
        <v>8.067555</v>
      </c>
      <c r="N187">
        <f>IF(Lose[[#This Row],[Bahn-hofs-zeit]]=0,0,MROUND(30*25^((Lose[[#This Row],[Bahn-hofs-zeit]]-_xlfn.MINIFS(Lose[Bahn-hofs-zeit],Lose[Bahn-hofs-zeit],"&gt;0"))/(MAX(Lose[Bahn-hofs-zeit])-_xlfn.MINIFS(Lose[Bahn-hofs-zeit],Lose[Bahn-hofs-zeit],"&gt;0"))),5))</f>
        <v>50</v>
      </c>
      <c r="O187">
        <f>IF(Lose[[#This Row],[Gehzeit (min)]]="",0,CEILING(3*(Lose[[#This Row],[Gehzeit (min)]]+Lose[[#This Row],[Aufgaben-zeit (min)]]),5))</f>
        <v>40</v>
      </c>
      <c r="P187">
        <v>5</v>
      </c>
      <c r="Q187">
        <f>IFERROR(ROUND(Lose[[#This Row],[Distanz (km)]]*60/Lose[[#This Row],[Gehzeit (min)]],1),"")</f>
        <v>3.8</v>
      </c>
      <c r="R1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187">
        <f>IFERROR(Lose[[#This Row],[Distanz (km)]]-Lose[[#This Row],[Check Distanz]],"")</f>
        <v>2.9999999999999916E-2</v>
      </c>
      <c r="T187" s="60">
        <f>IFERROR(Lose[[#This Row],[Check Umweg]]/Lose[[#This Row],[Check Distanz]],"")</f>
        <v>4.4776119402984947E-2</v>
      </c>
      <c r="U187">
        <f ca="1">IF(RIGHT(Lose[[#This Row],[LosID]],1)="b",_xlfn.XLOOKUP(REPLACE(Lose[[#This Row],[LosID]],LEN(Lose[[#This Row],[LosID]]),1,"a"),Lose[LosID],Lose[Zufallszahl],"",0),RAND())</f>
        <v>0.91835659557296445</v>
      </c>
      <c r="V187" t="b" cm="1">
        <f t="array" aca="1" ref="V187" ca="1">Lose[[#This Row],[Zufallszahl]]&gt;=IFERROR(LARGE((LEFT(Lose[LosID],FIND("-",Lose[LosID])-1)=LEFT(Lose[[#This Row],[LosID]],FIND("-",Lose[[#This Row],[LosID]])-1))*Lose[Zufallszahl],_xlfn.XLOOKUP(LEFT(Lose[[#This Row],[LosID]],FIND("-",Lose[[#This Row],[LosID]])-1),Ziehungsanzahl[Kürzel],Ziehungsanzahl[Kontingent],FALSE,0)),9999)</f>
        <v>0</v>
      </c>
    </row>
    <row r="188" spans="1:22" ht="30" hidden="1">
      <c r="A1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8" t="s">
        <v>23372</v>
      </c>
      <c r="C188" s="92" t="s">
        <v>23948</v>
      </c>
      <c r="D188" s="1" t="s">
        <v>23949</v>
      </c>
      <c r="E188" t="s">
        <v>23950</v>
      </c>
      <c r="F188" t="s">
        <v>23951</v>
      </c>
      <c r="G188">
        <v>23</v>
      </c>
      <c r="H188">
        <v>1</v>
      </c>
      <c r="I188">
        <v>1.4</v>
      </c>
      <c r="J188" t="s">
        <v>23</v>
      </c>
      <c r="K188" t="str" cm="1">
        <f t="array" ref="K1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Osthofen</v>
      </c>
      <c r="L188" t="str">
        <f>IFERROR(LEFT(TRIM(Lose[[#This Row],[Google Koordinaten]]),9),"")</f>
        <v>49.699655</v>
      </c>
      <c r="M188" t="str">
        <f>IFERROR(MID(TRIM(Lose[[#This Row],[Google Koordinaten]]),
FIND(",",TRIM(Lose[[#This Row],[Google Koordinaten]])) + 2,9),"")</f>
        <v>8.3133555</v>
      </c>
      <c r="N188">
        <f>IF(Lose[[#This Row],[Bahn-hofs-zeit]]=0,0,MROUND(30*25^((Lose[[#This Row],[Bahn-hofs-zeit]]-_xlfn.MINIFS(Lose[Bahn-hofs-zeit],Lose[Bahn-hofs-zeit],"&gt;0"))/(MAX(Lose[Bahn-hofs-zeit])-_xlfn.MINIFS(Lose[Bahn-hofs-zeit],Lose[Bahn-hofs-zeit],"&gt;0"))),5))</f>
        <v>75</v>
      </c>
      <c r="O188">
        <f>IF(Lose[[#This Row],[Gehzeit (min)]]="",0,CEILING(3*(Lose[[#This Row],[Gehzeit (min)]]+Lose[[#This Row],[Aufgaben-zeit (min)]]),5))</f>
        <v>75</v>
      </c>
      <c r="P188">
        <v>6.5</v>
      </c>
      <c r="Q188">
        <f>IFERROR(ROUND(Lose[[#This Row],[Distanz (km)]]*60/Lose[[#This Row],[Gehzeit (min)]],1),"")</f>
        <v>3.7</v>
      </c>
      <c r="R1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188">
        <f>IFERROR(Lose[[#This Row],[Distanz (km)]]-Lose[[#This Row],[Check Distanz]],"")</f>
        <v>0.28999999999999981</v>
      </c>
      <c r="T188" s="60">
        <f>IFERROR(Lose[[#This Row],[Check Umweg]]/Lose[[#This Row],[Check Distanz]],"")</f>
        <v>0.26126126126126109</v>
      </c>
      <c r="U188">
        <f ca="1">IF(RIGHT(Lose[[#This Row],[LosID]],1)="b",_xlfn.XLOOKUP(REPLACE(Lose[[#This Row],[LosID]],LEN(Lose[[#This Row],[LosID]]),1,"a"),Lose[LosID],Lose[Zufallszahl],"",0),RAND())</f>
        <v>0.38222615524881476</v>
      </c>
      <c r="V188" t="b" cm="1">
        <f t="array" aca="1" ref="V188" ca="1">Lose[[#This Row],[Zufallszahl]]&gt;=IFERROR(LARGE((LEFT(Lose[LosID],FIND("-",Lose[LosID])-1)=LEFT(Lose[[#This Row],[LosID]],FIND("-",Lose[[#This Row],[LosID]])-1))*Lose[Zufallszahl],_xlfn.XLOOKUP(LEFT(Lose[[#This Row],[LosID]],FIND("-",Lose[[#This Row],[LosID]])-1),Ziehungsanzahl[Kürzel],Ziehungsanzahl[Kontingent],FALSE,0)),9999)</f>
        <v>0</v>
      </c>
    </row>
    <row r="189" spans="1:22" ht="60" hidden="1">
      <c r="A1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9" t="s">
        <v>4</v>
      </c>
      <c r="C189" s="92" t="s">
        <v>23952</v>
      </c>
      <c r="D189" s="1" t="s">
        <v>23953</v>
      </c>
      <c r="E189" t="s">
        <v>23954</v>
      </c>
      <c r="F189" t="s">
        <v>23955</v>
      </c>
      <c r="G189">
        <v>19</v>
      </c>
      <c r="H189">
        <v>2</v>
      </c>
      <c r="I189">
        <v>1.4</v>
      </c>
      <c r="J189" t="s">
        <v>23</v>
      </c>
      <c r="K189" t="str" cm="1">
        <f t="array" ref="K1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Hanau West</v>
      </c>
      <c r="L189" t="str">
        <f>IFERROR(LEFT(TRIM(Lose[[#This Row],[Google Koordinaten]]),9),"")</f>
        <v>50.127865</v>
      </c>
      <c r="M189" t="str">
        <f>IFERROR(MID(TRIM(Lose[[#This Row],[Google Koordinaten]]),
FIND(",",TRIM(Lose[[#This Row],[Google Koordinaten]])) + 2,9),"")</f>
        <v>8.8938889</v>
      </c>
      <c r="N189">
        <f>IF(Lose[[#This Row],[Bahn-hofs-zeit]]=0,0,MROUND(30*25^((Lose[[#This Row],[Bahn-hofs-zeit]]-_xlfn.MINIFS(Lose[Bahn-hofs-zeit],Lose[Bahn-hofs-zeit],"&gt;0"))/(MAX(Lose[Bahn-hofs-zeit])-_xlfn.MINIFS(Lose[Bahn-hofs-zeit],Lose[Bahn-hofs-zeit],"&gt;0"))),5))</f>
        <v>45</v>
      </c>
      <c r="O189">
        <f>IF(Lose[[#This Row],[Gehzeit (min)]]="",0,CEILING(3*(Lose[[#This Row],[Gehzeit (min)]]+Lose[[#This Row],[Aufgaben-zeit (min)]]),5))</f>
        <v>65</v>
      </c>
      <c r="P189">
        <v>4.5</v>
      </c>
      <c r="Q189">
        <f>IFERROR(ROUND(Lose[[#This Row],[Distanz (km)]]*60/Lose[[#This Row],[Gehzeit (min)]],1),"")</f>
        <v>4.4000000000000004</v>
      </c>
      <c r="R1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189">
        <f>IFERROR(Lose[[#This Row],[Distanz (km)]]-Lose[[#This Row],[Check Distanz]],"")</f>
        <v>0.24</v>
      </c>
      <c r="T189" s="60">
        <f>IFERROR(Lose[[#This Row],[Check Umweg]]/Lose[[#This Row],[Check Distanz]],"")</f>
        <v>0.20689655172413793</v>
      </c>
      <c r="U189">
        <f ca="1">IF(RIGHT(Lose[[#This Row],[LosID]],1)="b",_xlfn.XLOOKUP(REPLACE(Lose[[#This Row],[LosID]],LEN(Lose[[#This Row],[LosID]]),1,"a"),Lose[LosID],Lose[Zufallszahl],"",0),RAND())</f>
        <v>0.95367310899051616</v>
      </c>
      <c r="V189" t="b" cm="1">
        <f t="array" aca="1" ref="V189" ca="1">Lose[[#This Row],[Zufallszahl]]&gt;=IFERROR(LARGE((LEFT(Lose[LosID],FIND("-",Lose[LosID])-1)=LEFT(Lose[[#This Row],[LosID]],FIND("-",Lose[[#This Row],[LosID]])-1))*Lose[Zufallszahl],_xlfn.XLOOKUP(LEFT(Lose[[#This Row],[LosID]],FIND("-",Lose[[#This Row],[LosID]])-1),Ziehungsanzahl[Kürzel],Ziehungsanzahl[Kontingent],FALSE,0)),9999)</f>
        <v>0</v>
      </c>
    </row>
    <row r="190" spans="1:22" ht="90" hidden="1">
      <c r="A1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0" t="s">
        <v>23352</v>
      </c>
      <c r="C190" s="92" t="s">
        <v>23956</v>
      </c>
      <c r="D190" s="1" t="s">
        <v>23957</v>
      </c>
      <c r="E190" t="s">
        <v>23958</v>
      </c>
      <c r="F190" t="s">
        <v>23959</v>
      </c>
      <c r="G190">
        <v>11</v>
      </c>
      <c r="H190">
        <v>10</v>
      </c>
      <c r="I190">
        <v>0.75</v>
      </c>
      <c r="J190">
        <v>10</v>
      </c>
      <c r="K190" t="str" cm="1">
        <f t="array" ref="K1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Zeppelinheim</v>
      </c>
      <c r="L190" t="str">
        <f>IFERROR(LEFT(TRIM(Lose[[#This Row],[Google Koordinaten]]),9),"")</f>
        <v>50.039564</v>
      </c>
      <c r="M190" t="str">
        <f>IFERROR(MID(TRIM(Lose[[#This Row],[Google Koordinaten]]),
FIND(",",TRIM(Lose[[#This Row],[Google Koordinaten]])) + 2,9),"")</f>
        <v>8.5969133</v>
      </c>
      <c r="N190">
        <f>IF(Lose[[#This Row],[Bahn-hofs-zeit]]=0,0,MROUND(30*25^((Lose[[#This Row],[Bahn-hofs-zeit]]-_xlfn.MINIFS(Lose[Bahn-hofs-zeit],Lose[Bahn-hofs-zeit],"&gt;0"))/(MAX(Lose[Bahn-hofs-zeit])-_xlfn.MINIFS(Lose[Bahn-hofs-zeit],Lose[Bahn-hofs-zeit],"&gt;0"))),5))</f>
        <v>35</v>
      </c>
      <c r="O190">
        <f>IF(Lose[[#This Row],[Gehzeit (min)]]="",0,CEILING(3*(Lose[[#This Row],[Gehzeit (min)]]+Lose[[#This Row],[Aufgaben-zeit (min)]]),5))</f>
        <v>65</v>
      </c>
      <c r="P190">
        <v>4</v>
      </c>
      <c r="Q190">
        <f>IFERROR(ROUND(Lose[[#This Row],[Distanz (km)]]*60/Lose[[#This Row],[Gehzeit (min)]],1),"")</f>
        <v>4.0999999999999996</v>
      </c>
      <c r="R1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0.68</v>
      </c>
      <c r="S190">
        <f>IFERROR(Lose[[#This Row],[Distanz (km)]]-Lose[[#This Row],[Check Distanz]],"")</f>
        <v>6.9999999999999951E-2</v>
      </c>
      <c r="T190" s="60">
        <f>IFERROR(Lose[[#This Row],[Check Umweg]]/Lose[[#This Row],[Check Distanz]],"")</f>
        <v>0.10294117647058816</v>
      </c>
      <c r="U190">
        <f ca="1">IF(RIGHT(Lose[[#This Row],[LosID]],1)="b",_xlfn.XLOOKUP(REPLACE(Lose[[#This Row],[LosID]],LEN(Lose[[#This Row],[LosID]]),1,"a"),Lose[LosID],Lose[Zufallszahl],"",0),RAND())</f>
        <v>0.1761232994850539</v>
      </c>
      <c r="V190" t="b" cm="1">
        <f t="array" aca="1" ref="V190" ca="1">Lose[[#This Row],[Zufallszahl]]&gt;=IFERROR(LARGE((LEFT(Lose[LosID],FIND("-",Lose[LosID])-1)=LEFT(Lose[[#This Row],[LosID]],FIND("-",Lose[[#This Row],[LosID]])-1))*Lose[Zufallszahl],_xlfn.XLOOKUP(LEFT(Lose[[#This Row],[LosID]],FIND("-",Lose[[#This Row],[LosID]])-1),Ziehungsanzahl[Kürzel],Ziehungsanzahl[Kontingent],FALSE,0)),9999)</f>
        <v>0</v>
      </c>
    </row>
    <row r="191" spans="1:22" hidden="1">
      <c r="A1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191"/>
      <c r="C191" s="93" t="s">
        <v>23960</v>
      </c>
      <c r="K191" t="str" cm="1">
        <f t="array" ref="K1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191" t="str">
        <f>IFERROR(LEFT(TRIM(Lose[[#This Row],[Google Koordinaten]]),9),"")</f>
        <v/>
      </c>
      <c r="M191" t="str">
        <f>IFERROR(MID(TRIM(Lose[[#This Row],[Google Koordinaten]]),
FIND(",",TRIM(Lose[[#This Row],[Google Koordinaten]])) + 2,9),"")</f>
        <v/>
      </c>
      <c r="N191">
        <f>IF(Lose[[#This Row],[Bahn-hofs-zeit]]=0,0,MROUND(30*25^((Lose[[#This Row],[Bahn-hofs-zeit]]-_xlfn.MINIFS(Lose[Bahn-hofs-zeit],Lose[Bahn-hofs-zeit],"&gt;0"))/(MAX(Lose[Bahn-hofs-zeit])-_xlfn.MINIFS(Lose[Bahn-hofs-zeit],Lose[Bahn-hofs-zeit],"&gt;0"))),5))</f>
        <v>0</v>
      </c>
      <c r="O191">
        <f>IF(Lose[[#This Row],[Gehzeit (min)]]="",0,CEILING(3*(Lose[[#This Row],[Gehzeit (min)]]+Lose[[#This Row],[Aufgaben-zeit (min)]]),5))</f>
        <v>0</v>
      </c>
      <c r="Q191" t="str">
        <f>IFERROR(ROUND(Lose[[#This Row],[Distanz (km)]]*60/Lose[[#This Row],[Gehzeit (min)]],1),"")</f>
        <v/>
      </c>
      <c r="R19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91" t="str">
        <f>IFERROR(Lose[[#This Row],[Distanz (km)]]-Lose[[#This Row],[Check Distanz]],"")</f>
        <v/>
      </c>
      <c r="T191" s="60" t="str">
        <f>IFERROR(Lose[[#This Row],[Check Umweg]]/Lose[[#This Row],[Check Distanz]],"")</f>
        <v/>
      </c>
      <c r="U191">
        <f ca="1">IF(RIGHT(Lose[[#This Row],[LosID]],1)="b",_xlfn.XLOOKUP(REPLACE(Lose[[#This Row],[LosID]],LEN(Lose[[#This Row],[LosID]]),1,"a"),Lose[LosID],Lose[Zufallszahl],"",0),RAND())</f>
        <v>0.87051836073353983</v>
      </c>
      <c r="V191" t="b" cm="1">
        <f t="array" aca="1" ref="V191" ca="1">Lose[[#This Row],[Zufallszahl]]&gt;=IFERROR(LARGE((LEFT(Lose[LosID],FIND("-",Lose[LosID])-1)=LEFT(Lose[[#This Row],[LosID]],FIND("-",Lose[[#This Row],[LosID]])-1))*Lose[Zufallszahl],_xlfn.XLOOKUP(LEFT(Lose[[#This Row],[LosID]],FIND("-",Lose[[#This Row],[LosID]])-1),Ziehungsanzahl[Kürzel],Ziehungsanzahl[Kontingent],FALSE,0)),9999)</f>
        <v>0</v>
      </c>
    </row>
    <row r="192" spans="1:22" ht="165">
      <c r="A1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2" t="s">
        <v>23385</v>
      </c>
      <c r="C192" s="92" t="s">
        <v>23961</v>
      </c>
      <c r="D192" s="1" t="s">
        <v>23962</v>
      </c>
      <c r="E192" t="s">
        <v>23963</v>
      </c>
      <c r="F192" t="s">
        <v>23964</v>
      </c>
      <c r="G192">
        <v>8</v>
      </c>
      <c r="H192">
        <v>15</v>
      </c>
      <c r="I192">
        <v>0.6</v>
      </c>
      <c r="J192">
        <v>10</v>
      </c>
      <c r="K192" t="str" cm="1">
        <f t="array" ref="K1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Frankfurt(M)Ostendstraße</v>
      </c>
      <c r="L192" t="str">
        <f>IFERROR(LEFT(TRIM(Lose[[#This Row],[Google Koordinaten]]),9),"")</f>
        <v>50.109311</v>
      </c>
      <c r="M192" t="str">
        <f>IFERROR(MID(TRIM(Lose[[#This Row],[Google Koordinaten]]),
FIND(",",TRIM(Lose[[#This Row],[Google Koordinaten]])) + 2,9),"")</f>
        <v>8.6963827</v>
      </c>
      <c r="N192">
        <f>IF(Lose[[#This Row],[Bahn-hofs-zeit]]=0,0,MROUND(30*25^((Lose[[#This Row],[Bahn-hofs-zeit]]-_xlfn.MINIFS(Lose[Bahn-hofs-zeit],Lose[Bahn-hofs-zeit],"&gt;0"))/(MAX(Lose[Bahn-hofs-zeit])-_xlfn.MINIFS(Lose[Bahn-hofs-zeit],Lose[Bahn-hofs-zeit],"&gt;0"))),5))</f>
        <v>35</v>
      </c>
      <c r="O192">
        <f>IF(Lose[[#This Row],[Gehzeit (min)]]="",0,CEILING(3*(Lose[[#This Row],[Gehzeit (min)]]+Lose[[#This Row],[Aufgaben-zeit (min)]]),5))</f>
        <v>70</v>
      </c>
      <c r="P192">
        <v>3.75</v>
      </c>
      <c r="Q192">
        <f>IFERROR(ROUND(Lose[[#This Row],[Distanz (km)]]*60/Lose[[#This Row],[Gehzeit (min)]],1),"")</f>
        <v>4.5</v>
      </c>
      <c r="R1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92">
        <f>IFERROR(Lose[[#This Row],[Distanz (km)]]-Lose[[#This Row],[Check Distanz]],"")</f>
        <v>0.24</v>
      </c>
      <c r="T192" s="60">
        <f>IFERROR(Lose[[#This Row],[Check Umweg]]/Lose[[#This Row],[Check Distanz]],"")</f>
        <v>0.66666666666666663</v>
      </c>
      <c r="U192">
        <f ca="1">IF(RIGHT(Lose[[#This Row],[LosID]],1)="b",_xlfn.XLOOKUP(REPLACE(Lose[[#This Row],[LosID]],LEN(Lose[[#This Row],[LosID]]),1,"a"),Lose[LosID],Lose[Zufallszahl],"",0),RAND())</f>
        <v>0.57622546920050166</v>
      </c>
      <c r="V192" t="b" cm="1">
        <f t="array" aca="1" ref="V192" ca="1">Lose[[#This Row],[Zufallszahl]]&gt;=IFERROR(LARGE((LEFT(Lose[LosID],FIND("-",Lose[LosID])-1)=LEFT(Lose[[#This Row],[LosID]],FIND("-",Lose[[#This Row],[LosID]])-1))*Lose[Zufallszahl],_xlfn.XLOOKUP(LEFT(Lose[[#This Row],[LosID]],FIND("-",Lose[[#This Row],[LosID]])-1),Ziehungsanzahl[Kürzel],Ziehungsanzahl[Kontingent],FALSE,0)),9999)</f>
        <v>0</v>
      </c>
    </row>
    <row r="193" spans="1:23" ht="45" hidden="1">
      <c r="A1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3" t="s">
        <v>23390</v>
      </c>
      <c r="C193" s="92" t="s">
        <v>23965</v>
      </c>
      <c r="D193" s="1" t="s">
        <v>23966</v>
      </c>
      <c r="E193" t="s">
        <v>23967</v>
      </c>
      <c r="F193" t="s">
        <v>23968</v>
      </c>
      <c r="G193">
        <v>11</v>
      </c>
      <c r="H193">
        <v>2</v>
      </c>
      <c r="I193">
        <v>0.8</v>
      </c>
      <c r="K193" t="str" cm="1">
        <f t="array" ref="K1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v>
      </c>
      <c r="L193" t="str">
        <f>IFERROR(LEFT(TRIM(Lose[[#This Row],[Google Koordinaten]]),9),"")</f>
        <v>50.185103</v>
      </c>
      <c r="M193" t="str">
        <f>IFERROR(MID(TRIM(Lose[[#This Row],[Google Koordinaten]]),
FIND(",",TRIM(Lose[[#This Row],[Google Koordinaten]])) + 2,9),"")</f>
        <v>8.7445438</v>
      </c>
      <c r="N193">
        <f>IF(Lose[[#This Row],[Bahn-hofs-zeit]]=0,0,MROUND(30*25^((Lose[[#This Row],[Bahn-hofs-zeit]]-_xlfn.MINIFS(Lose[Bahn-hofs-zeit],Lose[Bahn-hofs-zeit],"&gt;0"))/(MAX(Lose[Bahn-hofs-zeit])-_xlfn.MINIFS(Lose[Bahn-hofs-zeit],Lose[Bahn-hofs-zeit],"&gt;0"))),5))</f>
        <v>40</v>
      </c>
      <c r="O193">
        <f>IF(Lose[[#This Row],[Gehzeit (min)]]="",0,CEILING(3*(Lose[[#This Row],[Gehzeit (min)]]+Lose[[#This Row],[Aufgaben-zeit (min)]]),5))</f>
        <v>40</v>
      </c>
      <c r="P193">
        <v>4.25</v>
      </c>
      <c r="Q193">
        <f>IFERROR(ROUND(Lose[[#This Row],[Distanz (km)]]*60/Lose[[#This Row],[Gehzeit (min)]],1),"")</f>
        <v>4.4000000000000004</v>
      </c>
      <c r="R1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193">
        <f>IFERROR(Lose[[#This Row],[Distanz (km)]]-Lose[[#This Row],[Check Distanz]],"")</f>
        <v>0.27</v>
      </c>
      <c r="T193" s="60">
        <f>IFERROR(Lose[[#This Row],[Check Umweg]]/Lose[[#This Row],[Check Distanz]],"")</f>
        <v>0.50943396226415094</v>
      </c>
      <c r="U193">
        <f ca="1">IF(RIGHT(Lose[[#This Row],[LosID]],1)="b",_xlfn.XLOOKUP(REPLACE(Lose[[#This Row],[LosID]],LEN(Lose[[#This Row],[LosID]]),1,"a"),Lose[LosID],Lose[Zufallszahl],"",0),RAND())</f>
        <v>0.28555268958410984</v>
      </c>
      <c r="V193" t="b" cm="1">
        <f t="array" aca="1" ref="V193" ca="1">Lose[[#This Row],[Zufallszahl]]&gt;=IFERROR(LARGE((LEFT(Lose[LosID],FIND("-",Lose[LosID])-1)=LEFT(Lose[[#This Row],[LosID]],FIND("-",Lose[[#This Row],[LosID]])-1))*Lose[Zufallszahl],_xlfn.XLOOKUP(LEFT(Lose[[#This Row],[LosID]],FIND("-",Lose[[#This Row],[LosID]])-1),Ziehungsanzahl[Kürzel],Ziehungsanzahl[Kontingent],FALSE,0)),9999)</f>
        <v>0</v>
      </c>
    </row>
    <row r="194" spans="1:23" ht="75" hidden="1">
      <c r="A1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4"/>
      <c r="C194" s="92" t="s">
        <v>23969</v>
      </c>
      <c r="D194" s="1" t="s">
        <v>23970</v>
      </c>
      <c r="E194" t="s">
        <v>23971</v>
      </c>
      <c r="F194" t="s">
        <v>23972</v>
      </c>
      <c r="G194">
        <v>12</v>
      </c>
      <c r="H194">
        <v>10</v>
      </c>
      <c r="I194">
        <v>0.8</v>
      </c>
      <c r="J194">
        <v>10</v>
      </c>
      <c r="K194" t="str" cm="1">
        <f t="array" ref="K1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Michelstadt</v>
      </c>
      <c r="L194" t="str">
        <f>IFERROR(LEFT(TRIM(Lose[[#This Row],[Google Koordinaten]]),9),"")</f>
        <v>49.678656</v>
      </c>
      <c r="M194" t="str">
        <f>IFERROR(MID(TRIM(Lose[[#This Row],[Google Koordinaten]]),
FIND(",",TRIM(Lose[[#This Row],[Google Koordinaten]])) + 2,9),"")</f>
        <v>9.0041491</v>
      </c>
      <c r="N194">
        <f>IF(Lose[[#This Row],[Bahn-hofs-zeit]]=0,0,MROUND(30*25^((Lose[[#This Row],[Bahn-hofs-zeit]]-_xlfn.MINIFS(Lose[Bahn-hofs-zeit],Lose[Bahn-hofs-zeit],"&gt;0"))/(MAX(Lose[Bahn-hofs-zeit])-_xlfn.MINIFS(Lose[Bahn-hofs-zeit],Lose[Bahn-hofs-zeit],"&gt;0"))),5))</f>
        <v>75</v>
      </c>
      <c r="O194">
        <f>IF(Lose[[#This Row],[Gehzeit (min)]]="",0,CEILING(3*(Lose[[#This Row],[Gehzeit (min)]]+Lose[[#This Row],[Aufgaben-zeit (min)]]),5))</f>
        <v>70</v>
      </c>
      <c r="P194">
        <v>6.5</v>
      </c>
      <c r="Q194">
        <f>IFERROR(ROUND(Lose[[#This Row],[Distanz (km)]]*60/Lose[[#This Row],[Gehzeit (min)]],1),"")</f>
        <v>4</v>
      </c>
      <c r="R1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0.72</v>
      </c>
      <c r="S194">
        <f>IFERROR(Lose[[#This Row],[Distanz (km)]]-Lose[[#This Row],[Check Distanz]],"")</f>
        <v>8.0000000000000071E-2</v>
      </c>
      <c r="T194" s="60">
        <f>IFERROR(Lose[[#This Row],[Check Umweg]]/Lose[[#This Row],[Check Distanz]],"")</f>
        <v>0.11111111111111122</v>
      </c>
      <c r="U194">
        <f ca="1">IF(RIGHT(Lose[[#This Row],[LosID]],1)="b",_xlfn.XLOOKUP(REPLACE(Lose[[#This Row],[LosID]],LEN(Lose[[#This Row],[LosID]]),1,"a"),Lose[LosID],Lose[Zufallszahl],"",0),RAND())</f>
        <v>7.3372814095360561E-2</v>
      </c>
      <c r="V194" t="b" cm="1">
        <f t="array" aca="1" ref="V194" ca="1">Lose[[#This Row],[Zufallszahl]]&gt;=IFERROR(LARGE((LEFT(Lose[LosID],FIND("-",Lose[LosID])-1)=LEFT(Lose[[#This Row],[LosID]],FIND("-",Lose[[#This Row],[LosID]])-1))*Lose[Zufallszahl],_xlfn.XLOOKUP(LEFT(Lose[[#This Row],[LosID]],FIND("-",Lose[[#This Row],[LosID]])-1),Ziehungsanzahl[Kürzel],Ziehungsanzahl[Kontingent],FALSE,0)),9999)</f>
        <v>0</v>
      </c>
    </row>
    <row r="195" spans="1:23" ht="60" hidden="1">
      <c r="A1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5" t="s">
        <v>23394</v>
      </c>
      <c r="C195" s="92" t="s">
        <v>1310</v>
      </c>
      <c r="D195" s="1" t="s">
        <v>23973</v>
      </c>
      <c r="E195" t="s">
        <v>23974</v>
      </c>
      <c r="F195" t="s">
        <v>23975</v>
      </c>
      <c r="G195">
        <v>6</v>
      </c>
      <c r="H195">
        <v>5</v>
      </c>
      <c r="I195">
        <v>0.45</v>
      </c>
      <c r="J195">
        <v>20</v>
      </c>
      <c r="K195" t="str" cm="1">
        <f t="array" ref="K1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Frankfurt(Main)Süd</v>
      </c>
      <c r="L195" t="str">
        <f>IFERROR(LEFT(TRIM(Lose[[#This Row],[Google Koordinaten]]),9),"")</f>
        <v>50.103060</v>
      </c>
      <c r="M195" t="str">
        <f>IFERROR(MID(TRIM(Lose[[#This Row],[Google Koordinaten]]),
FIND(",",TRIM(Lose[[#This Row],[Google Koordinaten]])) + 2,9),"")</f>
        <v>8.6851612</v>
      </c>
      <c r="N195">
        <f>IF(Lose[[#This Row],[Bahn-hofs-zeit]]=0,0,MROUND(30*25^((Lose[[#This Row],[Bahn-hofs-zeit]]-_xlfn.MINIFS(Lose[Bahn-hofs-zeit],Lose[Bahn-hofs-zeit],"&gt;0"))/(MAX(Lose[Bahn-hofs-zeit])-_xlfn.MINIFS(Lose[Bahn-hofs-zeit],Lose[Bahn-hofs-zeit],"&gt;0"))),5))</f>
        <v>30</v>
      </c>
      <c r="O195">
        <f>IF(Lose[[#This Row],[Gehzeit (min)]]="",0,CEILING(3*(Lose[[#This Row],[Gehzeit (min)]]+Lose[[#This Row],[Aufgaben-zeit (min)]]),5))</f>
        <v>35</v>
      </c>
      <c r="P195">
        <v>3.5</v>
      </c>
      <c r="Q195">
        <f>IFERROR(ROUND(Lose[[#This Row],[Distanz (km)]]*60/Lose[[#This Row],[Gehzeit (min)]],1),"")</f>
        <v>4.5</v>
      </c>
      <c r="R1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195">
        <f>IFERROR(Lose[[#This Row],[Distanz (km)]]-Lose[[#This Row],[Check Distanz]],"")</f>
        <v>3.0000000000000027E-2</v>
      </c>
      <c r="T195" s="60">
        <f>IFERROR(Lose[[#This Row],[Check Umweg]]/Lose[[#This Row],[Check Distanz]],"")</f>
        <v>7.1428571428571494E-2</v>
      </c>
      <c r="U195">
        <f ca="1">IF(RIGHT(Lose[[#This Row],[LosID]],1)="b",_xlfn.XLOOKUP(REPLACE(Lose[[#This Row],[LosID]],LEN(Lose[[#This Row],[LosID]]),1,"a"),Lose[LosID],Lose[Zufallszahl],"",0),RAND())</f>
        <v>0.89352518346978183</v>
      </c>
      <c r="V195" t="b" cm="1">
        <f t="array" aca="1" ref="V195" ca="1">Lose[[#This Row],[Zufallszahl]]&gt;=IFERROR(LARGE((LEFT(Lose[LosID],FIND("-",Lose[LosID])-1)=LEFT(Lose[[#This Row],[LosID]],FIND("-",Lose[[#This Row],[LosID]])-1))*Lose[Zufallszahl],_xlfn.XLOOKUP(LEFT(Lose[[#This Row],[LosID]],FIND("-",Lose[[#This Row],[LosID]])-1),Ziehungsanzahl[Kürzel],Ziehungsanzahl[Kontingent],FALSE,0)),9999)</f>
        <v>0</v>
      </c>
    </row>
    <row r="196" spans="1:23" ht="105" hidden="1">
      <c r="A1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6" t="s">
        <v>23403</v>
      </c>
      <c r="C196" s="92" t="s">
        <v>23976</v>
      </c>
      <c r="D196" s="1" t="s">
        <v>23977</v>
      </c>
      <c r="E196" t="s">
        <v>23978</v>
      </c>
      <c r="F196" t="s">
        <v>23979</v>
      </c>
      <c r="G196">
        <v>14</v>
      </c>
      <c r="H196">
        <v>5</v>
      </c>
      <c r="I196">
        <v>1</v>
      </c>
      <c r="J196">
        <v>15</v>
      </c>
      <c r="K196" t="str" cm="1">
        <f t="array" ref="K1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Frankfurt(Main)Hbf</v>
      </c>
      <c r="L196" t="str">
        <f>IFERROR(LEFT(TRIM(Lose[[#This Row],[Google Koordinaten]]),9),"")</f>
        <v>50.106955</v>
      </c>
      <c r="M196" t="str">
        <f>IFERROR(MID(TRIM(Lose[[#This Row],[Google Koordinaten]]),
FIND(",",TRIM(Lose[[#This Row],[Google Koordinaten]])) + 2,9),"")</f>
        <v>8.6749526</v>
      </c>
      <c r="N196">
        <f>IF(Lose[[#This Row],[Bahn-hofs-zeit]]=0,0,MROUND(30*25^((Lose[[#This Row],[Bahn-hofs-zeit]]-_xlfn.MINIFS(Lose[Bahn-hofs-zeit],Lose[Bahn-hofs-zeit],"&gt;0"))/(MAX(Lose[Bahn-hofs-zeit])-_xlfn.MINIFS(Lose[Bahn-hofs-zeit],Lose[Bahn-hofs-zeit],"&gt;0"))),5))</f>
        <v>0</v>
      </c>
      <c r="O196">
        <f>IF(Lose[[#This Row],[Gehzeit (min)]]="",0,CEILING(3*(Lose[[#This Row],[Gehzeit (min)]]+Lose[[#This Row],[Aufgaben-zeit (min)]]),5))</f>
        <v>60</v>
      </c>
      <c r="Q196">
        <f>IFERROR(ROUND(Lose[[#This Row],[Distanz (km)]]*60/Lose[[#This Row],[Gehzeit (min)]],1),"")</f>
        <v>4.3</v>
      </c>
      <c r="R1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196">
        <f>IFERROR(Lose[[#This Row],[Distanz (km)]]-Lose[[#This Row],[Check Distanz]],"")</f>
        <v>0.19999999999999996</v>
      </c>
      <c r="T196" s="60">
        <f>IFERROR(Lose[[#This Row],[Check Umweg]]/Lose[[#This Row],[Check Distanz]],"")</f>
        <v>0.24999999999999994</v>
      </c>
      <c r="U196">
        <f ca="1">IF(RIGHT(Lose[[#This Row],[LosID]],1)="b",_xlfn.XLOOKUP(REPLACE(Lose[[#This Row],[LosID]],LEN(Lose[[#This Row],[LosID]]),1,"a"),Lose[LosID],Lose[Zufallszahl],"",0),RAND())</f>
        <v>0.87427080955768799</v>
      </c>
      <c r="V196" t="b" cm="1">
        <f t="array" aca="1" ref="V196" ca="1">Lose[[#This Row],[Zufallszahl]]&gt;=IFERROR(LARGE((LEFT(Lose[LosID],FIND("-",Lose[LosID])-1)=LEFT(Lose[[#This Row],[LosID]],FIND("-",Lose[[#This Row],[LosID]])-1))*Lose[Zufallszahl],_xlfn.XLOOKUP(LEFT(Lose[[#This Row],[LosID]],FIND("-",Lose[[#This Row],[LosID]])-1),Ziehungsanzahl[Kürzel],Ziehungsanzahl[Kontingent],FALSE,0)),9999)</f>
        <v>0</v>
      </c>
      <c r="W196" t="s">
        <v>23498</v>
      </c>
    </row>
    <row r="197" spans="1:23" ht="30" hidden="1">
      <c r="A1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7" t="s">
        <v>23408</v>
      </c>
      <c r="C197" s="92" t="s">
        <v>23980</v>
      </c>
      <c r="D197" s="1" t="s">
        <v>23981</v>
      </c>
      <c r="E197" t="s">
        <v>23982</v>
      </c>
      <c r="F197" t="s">
        <v>23983</v>
      </c>
      <c r="G197">
        <v>23</v>
      </c>
      <c r="H197">
        <v>10</v>
      </c>
      <c r="I197">
        <v>1.6</v>
      </c>
      <c r="K197" t="str" cm="1">
        <f t="array" ref="K1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Frankfurt(Main)-Gateway Gardens</v>
      </c>
      <c r="L197" t="str">
        <f>IFERROR(LEFT(TRIM(Lose[[#This Row],[Google Koordinaten]]),9),"")</f>
        <v>50.051603</v>
      </c>
      <c r="M197" t="str">
        <f>IFERROR(MID(TRIM(Lose[[#This Row],[Google Koordinaten]]),
FIND(",",TRIM(Lose[[#This Row],[Google Koordinaten]])) + 2,9),"")</f>
        <v>8.5858537</v>
      </c>
      <c r="N197">
        <f>IF(Lose[[#This Row],[Bahn-hofs-zeit]]=0,0,MROUND(30*25^((Lose[[#This Row],[Bahn-hofs-zeit]]-_xlfn.MINIFS(Lose[Bahn-hofs-zeit],Lose[Bahn-hofs-zeit],"&gt;0"))/(MAX(Lose[Bahn-hofs-zeit])-_xlfn.MINIFS(Lose[Bahn-hofs-zeit],Lose[Bahn-hofs-zeit],"&gt;0"))),5))</f>
        <v>35</v>
      </c>
      <c r="O197">
        <f>IF(Lose[[#This Row],[Gehzeit (min)]]="",0,CEILING(3*(Lose[[#This Row],[Gehzeit (min)]]+Lose[[#This Row],[Aufgaben-zeit (min)]]),5))</f>
        <v>100</v>
      </c>
      <c r="P197">
        <v>4</v>
      </c>
      <c r="Q197">
        <f>IFERROR(ROUND(Lose[[#This Row],[Distanz (km)]]*60/Lose[[#This Row],[Gehzeit (min)]],1),"")</f>
        <v>4.2</v>
      </c>
      <c r="R1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197">
        <f>IFERROR(Lose[[#This Row],[Distanz (km)]]-Lose[[#This Row],[Check Distanz]],"")</f>
        <v>0.77000000000000013</v>
      </c>
      <c r="T197" s="60">
        <f>IFERROR(Lose[[#This Row],[Check Umweg]]/Lose[[#This Row],[Check Distanz]],"")</f>
        <v>0.92771084337349419</v>
      </c>
      <c r="U197">
        <f ca="1">IF(RIGHT(Lose[[#This Row],[LosID]],1)="b",_xlfn.XLOOKUP(REPLACE(Lose[[#This Row],[LosID]],LEN(Lose[[#This Row],[LosID]]),1,"a"),Lose[LosID],Lose[Zufallszahl],"",0),RAND())</f>
        <v>0.11051994421776756</v>
      </c>
      <c r="V197" t="b" cm="1">
        <f t="array" aca="1" ref="V197" ca="1">Lose[[#This Row],[Zufallszahl]]&gt;=IFERROR(LARGE((LEFT(Lose[LosID],FIND("-",Lose[LosID])-1)=LEFT(Lose[[#This Row],[LosID]],FIND("-",Lose[[#This Row],[LosID]])-1))*Lose[Zufallszahl],_xlfn.XLOOKUP(LEFT(Lose[[#This Row],[LosID]],FIND("-",Lose[[#This Row],[LosID]])-1),Ziehungsanzahl[Kürzel],Ziehungsanzahl[Kontingent],FALSE,0)),9999)</f>
        <v>0</v>
      </c>
    </row>
    <row r="198" spans="1:23" ht="90" hidden="1">
      <c r="A1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8" t="s">
        <v>23412</v>
      </c>
      <c r="C198" s="92" t="s">
        <v>1311</v>
      </c>
      <c r="D198" s="1" t="s">
        <v>23984</v>
      </c>
      <c r="E198" t="s">
        <v>23985</v>
      </c>
      <c r="F198" t="s">
        <v>23986</v>
      </c>
      <c r="G198">
        <v>20</v>
      </c>
      <c r="H198">
        <v>5</v>
      </c>
      <c r="I198">
        <v>1.6</v>
      </c>
      <c r="J198">
        <v>30</v>
      </c>
      <c r="K198" t="str" cm="1">
        <f t="array" ref="K1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Frankfurt-Mainkur</v>
      </c>
      <c r="L198" t="str">
        <f>IFERROR(LEFT(TRIM(Lose[[#This Row],[Google Koordinaten]]),9),"")</f>
        <v>50.130842</v>
      </c>
      <c r="M198" t="str">
        <f>IFERROR(MID(TRIM(Lose[[#This Row],[Google Koordinaten]]),
FIND(",",TRIM(Lose[[#This Row],[Google Koordinaten]])) + 2,9),"")</f>
        <v>8.756596</v>
      </c>
      <c r="N198">
        <f>IF(Lose[[#This Row],[Bahn-hofs-zeit]]=0,0,MROUND(30*25^((Lose[[#This Row],[Bahn-hofs-zeit]]-_xlfn.MINIFS(Lose[Bahn-hofs-zeit],Lose[Bahn-hofs-zeit],"&gt;0"))/(MAX(Lose[Bahn-hofs-zeit])-_xlfn.MINIFS(Lose[Bahn-hofs-zeit],Lose[Bahn-hofs-zeit],"&gt;0"))),5))</f>
        <v>35</v>
      </c>
      <c r="O198">
        <f>IF(Lose[[#This Row],[Gehzeit (min)]]="",0,CEILING(3*(Lose[[#This Row],[Gehzeit (min)]]+Lose[[#This Row],[Aufgaben-zeit (min)]]),5))</f>
        <v>75</v>
      </c>
      <c r="P198">
        <v>4</v>
      </c>
      <c r="Q198">
        <f>IFERROR(ROUND(Lose[[#This Row],[Distanz (km)]]*60/Lose[[#This Row],[Gehzeit (min)]],1),"")</f>
        <v>4.8</v>
      </c>
      <c r="R1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198">
        <f>IFERROR(Lose[[#This Row],[Distanz (km)]]-Lose[[#This Row],[Check Distanz]],"")</f>
        <v>0.72000000000000008</v>
      </c>
      <c r="T198" s="60">
        <f>IFERROR(Lose[[#This Row],[Check Umweg]]/Lose[[#This Row],[Check Distanz]],"")</f>
        <v>0.81818181818181823</v>
      </c>
      <c r="U198">
        <f ca="1">IF(RIGHT(Lose[[#This Row],[LosID]],1)="b",_xlfn.XLOOKUP(REPLACE(Lose[[#This Row],[LosID]],LEN(Lose[[#This Row],[LosID]]),1,"a"),Lose[LosID],Lose[Zufallszahl],"",0),RAND())</f>
        <v>0.65062129941235702</v>
      </c>
      <c r="V198" t="b" cm="1">
        <f t="array" aca="1" ref="V198" ca="1">Lose[[#This Row],[Zufallszahl]]&gt;=IFERROR(LARGE((LEFT(Lose[LosID],FIND("-",Lose[LosID])-1)=LEFT(Lose[[#This Row],[LosID]],FIND("-",Lose[[#This Row],[LosID]])-1))*Lose[Zufallszahl],_xlfn.XLOOKUP(LEFT(Lose[[#This Row],[LosID]],FIND("-",Lose[[#This Row],[LosID]])-1),Ziehungsanzahl[Kürzel],Ziehungsanzahl[Kontingent],FALSE,0)),9999)</f>
        <v>0</v>
      </c>
    </row>
    <row r="199" spans="1:23" ht="105" hidden="1">
      <c r="A1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9" t="s">
        <v>23416</v>
      </c>
      <c r="C199" s="92" t="s">
        <v>23987</v>
      </c>
      <c r="D199" s="1" t="s">
        <v>23988</v>
      </c>
      <c r="E199" t="s">
        <v>23989</v>
      </c>
      <c r="F199" t="s">
        <v>23990</v>
      </c>
      <c r="G199">
        <v>7</v>
      </c>
      <c r="H199">
        <v>10</v>
      </c>
      <c r="I199">
        <v>0.45</v>
      </c>
      <c r="J199">
        <v>15</v>
      </c>
      <c r="K199" t="str" cm="1">
        <f t="array" ref="K1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Frankfurt(M)Taunusanlage</v>
      </c>
      <c r="L199" t="str">
        <f>IFERROR(LEFT(TRIM(Lose[[#This Row],[Google Koordinaten]]),9),"")</f>
        <v>50.115830</v>
      </c>
      <c r="M199" t="str">
        <f>IFERROR(MID(TRIM(Lose[[#This Row],[Google Koordinaten]]),
FIND(",",TRIM(Lose[[#This Row],[Google Koordinaten]])) + 2,9),"")</f>
        <v>8.671390</v>
      </c>
      <c r="N199">
        <f>IF(Lose[[#This Row],[Bahn-hofs-zeit]]=0,0,MROUND(30*25^((Lose[[#This Row],[Bahn-hofs-zeit]]-_xlfn.MINIFS(Lose[Bahn-hofs-zeit],Lose[Bahn-hofs-zeit],"&gt;0"))/(MAX(Lose[Bahn-hofs-zeit])-_xlfn.MINIFS(Lose[Bahn-hofs-zeit],Lose[Bahn-hofs-zeit],"&gt;0"))),5))</f>
        <v>35</v>
      </c>
      <c r="O199">
        <f>IF(Lose[[#This Row],[Gehzeit (min)]]="",0,CEILING(3*(Lose[[#This Row],[Gehzeit (min)]]+Lose[[#This Row],[Aufgaben-zeit (min)]]),5))</f>
        <v>55</v>
      </c>
      <c r="P199">
        <v>3.75</v>
      </c>
      <c r="Q199">
        <f>IFERROR(ROUND(Lose[[#This Row],[Distanz (km)]]*60/Lose[[#This Row],[Gehzeit (min)]],1),"")</f>
        <v>3.9</v>
      </c>
      <c r="R1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199">
        <f>IFERROR(Lose[[#This Row],[Distanz (km)]]-Lose[[#This Row],[Check Distanz]],"")</f>
        <v>0.14000000000000001</v>
      </c>
      <c r="T199" s="60">
        <f>IFERROR(Lose[[#This Row],[Check Umweg]]/Lose[[#This Row],[Check Distanz]],"")</f>
        <v>0.45161290322580649</v>
      </c>
      <c r="U199">
        <f ca="1">IF(RIGHT(Lose[[#This Row],[LosID]],1)="b",_xlfn.XLOOKUP(REPLACE(Lose[[#This Row],[LosID]],LEN(Lose[[#This Row],[LosID]]),1,"a"),Lose[LosID],Lose[Zufallszahl],"",0),RAND())</f>
        <v>0.31182973917274215</v>
      </c>
      <c r="V199" t="b" cm="1">
        <f t="array" aca="1" ref="V199" ca="1">Lose[[#This Row],[Zufallszahl]]&gt;=IFERROR(LARGE((LEFT(Lose[LosID],FIND("-",Lose[LosID])-1)=LEFT(Lose[[#This Row],[LosID]],FIND("-",Lose[[#This Row],[LosID]])-1))*Lose[Zufallszahl],_xlfn.XLOOKUP(LEFT(Lose[[#This Row],[LosID]],FIND("-",Lose[[#This Row],[LosID]])-1),Ziehungsanzahl[Kürzel],Ziehungsanzahl[Kontingent],FALSE,0)),9999)</f>
        <v>0</v>
      </c>
    </row>
    <row r="200" spans="1:23" ht="60" hidden="1">
      <c r="A2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0" t="s">
        <v>23357</v>
      </c>
      <c r="C200" s="93" t="s">
        <v>1312</v>
      </c>
      <c r="D200" s="1" t="s">
        <v>23991</v>
      </c>
      <c r="E200" t="s">
        <v>23992</v>
      </c>
      <c r="F200" t="s">
        <v>23993</v>
      </c>
      <c r="G200">
        <v>5</v>
      </c>
      <c r="H200">
        <v>2</v>
      </c>
      <c r="I200">
        <v>0.3</v>
      </c>
      <c r="K200" t="str" cm="1">
        <f t="array" ref="K2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Friedberg Süd</v>
      </c>
      <c r="L200" t="str">
        <f>IFERROR(LEFT(TRIM(Lose[[#This Row],[Google Koordinaten]]),9),"")</f>
        <v>50.322080</v>
      </c>
      <c r="M200" t="str">
        <f>IFERROR(MID(TRIM(Lose[[#This Row],[Google Koordinaten]]),
FIND(",",TRIM(Lose[[#This Row],[Google Koordinaten]])) + 2,9),"")</f>
        <v>8.7473134</v>
      </c>
      <c r="N200">
        <f>IF(Lose[[#This Row],[Bahn-hofs-zeit]]=0,0,MROUND(30*25^((Lose[[#This Row],[Bahn-hofs-zeit]]-_xlfn.MINIFS(Lose[Bahn-hofs-zeit],Lose[Bahn-hofs-zeit],"&gt;0"))/(MAX(Lose[Bahn-hofs-zeit])-_xlfn.MINIFS(Lose[Bahn-hofs-zeit],Lose[Bahn-hofs-zeit],"&gt;0"))),5))</f>
        <v>55</v>
      </c>
      <c r="O200">
        <f>IF(Lose[[#This Row],[Gehzeit (min)]]="",0,CEILING(3*(Lose[[#This Row],[Gehzeit (min)]]+Lose[[#This Row],[Aufgaben-zeit (min)]]),5))</f>
        <v>25</v>
      </c>
      <c r="P200">
        <v>5.5</v>
      </c>
      <c r="Q200">
        <f>IFERROR(ROUND(Lose[[#This Row],[Distanz (km)]]*60/Lose[[#This Row],[Gehzeit (min)]],1),"")</f>
        <v>3.6</v>
      </c>
      <c r="R2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200">
        <f>IFERROR(Lose[[#This Row],[Distanz (km)]]-Lose[[#This Row],[Check Distanz]],"")</f>
        <v>9.9999999999999978E-2</v>
      </c>
      <c r="T200" s="60">
        <f>IFERROR(Lose[[#This Row],[Check Umweg]]/Lose[[#This Row],[Check Distanz]],"")</f>
        <v>0.49999999999999989</v>
      </c>
      <c r="U200">
        <f ca="1">IF(RIGHT(Lose[[#This Row],[LosID]],1)="b",_xlfn.XLOOKUP(REPLACE(Lose[[#This Row],[LosID]],LEN(Lose[[#This Row],[LosID]]),1,"a"),Lose[LosID],Lose[Zufallszahl],"",0),RAND())</f>
        <v>0.46642048976892803</v>
      </c>
      <c r="V200" t="b" cm="1">
        <f t="array" aca="1" ref="V200" ca="1">Lose[[#This Row],[Zufallszahl]]&gt;=IFERROR(LARGE((LEFT(Lose[LosID],FIND("-",Lose[LosID])-1)=LEFT(Lose[[#This Row],[LosID]],FIND("-",Lose[[#This Row],[LosID]])-1))*Lose[Zufallszahl],_xlfn.XLOOKUP(LEFT(Lose[[#This Row],[LosID]],FIND("-",Lose[[#This Row],[LosID]])-1),Ziehungsanzahl[Kürzel],Ziehungsanzahl[Kontingent],FALSE,0)),9999)</f>
        <v>0</v>
      </c>
    </row>
    <row r="201" spans="1:23" ht="75" hidden="1">
      <c r="A2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1"/>
      <c r="C201" s="92" t="s">
        <v>23994</v>
      </c>
      <c r="D201" s="1" t="s">
        <v>23995</v>
      </c>
      <c r="E201" t="s">
        <v>23996</v>
      </c>
      <c r="F201" t="s">
        <v>23997</v>
      </c>
      <c r="G201">
        <v>13</v>
      </c>
      <c r="H201">
        <v>10</v>
      </c>
      <c r="I201">
        <v>0.8</v>
      </c>
      <c r="J201">
        <v>10</v>
      </c>
      <c r="K201" t="str" cm="1">
        <f t="array" ref="K2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201" t="str">
        <f>IFERROR(LEFT(TRIM(Lose[[#This Row],[Google Koordinaten]]),9),"")</f>
        <v>49.998030</v>
      </c>
      <c r="M201" t="str">
        <f>IFERROR(MID(TRIM(Lose[[#This Row],[Google Koordinaten]]),
FIND(",",TRIM(Lose[[#This Row],[Google Koordinaten]])) + 2,9),"")</f>
        <v>8.2681166</v>
      </c>
      <c r="N201">
        <f>IF(Lose[[#This Row],[Bahn-hofs-zeit]]=0,0,MROUND(30*25^((Lose[[#This Row],[Bahn-hofs-zeit]]-_xlfn.MINIFS(Lose[Bahn-hofs-zeit],Lose[Bahn-hofs-zeit],"&gt;0"))/(MAX(Lose[Bahn-hofs-zeit])-_xlfn.MINIFS(Lose[Bahn-hofs-zeit],Lose[Bahn-hofs-zeit],"&gt;0"))),5))</f>
        <v>45</v>
      </c>
      <c r="O201">
        <f>IF(Lose[[#This Row],[Gehzeit (min)]]="",0,CEILING(3*(Lose[[#This Row],[Gehzeit (min)]]+Lose[[#This Row],[Aufgaben-zeit (min)]]),5))</f>
        <v>70</v>
      </c>
      <c r="P201">
        <v>4.5</v>
      </c>
      <c r="Q201">
        <f>IFERROR(ROUND(Lose[[#This Row],[Distanz (km)]]*60/Lose[[#This Row],[Gehzeit (min)]],1),"")</f>
        <v>3.7</v>
      </c>
      <c r="R2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0.75</v>
      </c>
      <c r="S201">
        <f>IFERROR(Lose[[#This Row],[Distanz (km)]]-Lose[[#This Row],[Check Distanz]],"")</f>
        <v>5.0000000000000044E-2</v>
      </c>
      <c r="T201" s="60">
        <f>IFERROR(Lose[[#This Row],[Check Umweg]]/Lose[[#This Row],[Check Distanz]],"")</f>
        <v>6.6666666666666721E-2</v>
      </c>
      <c r="U201">
        <f ca="1">IF(RIGHT(Lose[[#This Row],[LosID]],1)="b",_xlfn.XLOOKUP(REPLACE(Lose[[#This Row],[LosID]],LEN(Lose[[#This Row],[LosID]]),1,"a"),Lose[LosID],Lose[Zufallszahl],"",0),RAND())</f>
        <v>7.2806429965382558E-2</v>
      </c>
      <c r="V201" t="b" cm="1">
        <f t="array" aca="1" ref="V201" ca="1">Lose[[#This Row],[Zufallszahl]]&gt;=IFERROR(LARGE((LEFT(Lose[LosID],FIND("-",Lose[LosID])-1)=LEFT(Lose[[#This Row],[LosID]],FIND("-",Lose[[#This Row],[LosID]])-1))*Lose[Zufallszahl],_xlfn.XLOOKUP(LEFT(Lose[[#This Row],[LosID]],FIND("-",Lose[[#This Row],[LosID]])-1),Ziehungsanzahl[Kürzel],Ziehungsanzahl[Kontingent],FALSE,0)),9999)</f>
        <v>0</v>
      </c>
    </row>
    <row r="202" spans="1:23" ht="90" hidden="1">
      <c r="A2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2"/>
      <c r="C202" s="93" t="s">
        <v>1286</v>
      </c>
      <c r="D202" s="1" t="s">
        <v>23998</v>
      </c>
      <c r="E202" t="s">
        <v>1287</v>
      </c>
      <c r="F202" t="s">
        <v>23999</v>
      </c>
      <c r="G202">
        <v>8</v>
      </c>
      <c r="H202">
        <v>2</v>
      </c>
      <c r="I202">
        <v>0.5</v>
      </c>
      <c r="J202" t="s">
        <v>23</v>
      </c>
      <c r="K202" t="str" cm="1">
        <f t="array" ref="K2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Nauheim</v>
      </c>
      <c r="L202" t="str">
        <f>IFERROR(LEFT(TRIM(Lose[[#This Row],[Google Koordinaten]]),9),"")</f>
        <v>50.367455</v>
      </c>
      <c r="M202" t="str">
        <f>IFERROR(MID(TRIM(Lose[[#This Row],[Google Koordinaten]]),
FIND(",",TRIM(Lose[[#This Row],[Google Koordinaten]])) + 2,9),"")</f>
        <v>8.7435555</v>
      </c>
      <c r="N202">
        <f>IF(Lose[[#This Row],[Bahn-hofs-zeit]]=0,0,MROUND(30*25^((Lose[[#This Row],[Bahn-hofs-zeit]]-_xlfn.MINIFS(Lose[Bahn-hofs-zeit],Lose[Bahn-hofs-zeit],"&gt;0"))/(MAX(Lose[Bahn-hofs-zeit])-_xlfn.MINIFS(Lose[Bahn-hofs-zeit],Lose[Bahn-hofs-zeit],"&gt;0"))),5))</f>
        <v>55</v>
      </c>
      <c r="O202">
        <f>IF(Lose[[#This Row],[Gehzeit (min)]]="",0,CEILING(3*(Lose[[#This Row],[Gehzeit (min)]]+Lose[[#This Row],[Aufgaben-zeit (min)]]),5))</f>
        <v>30</v>
      </c>
      <c r="P202">
        <v>5.25</v>
      </c>
      <c r="Q202">
        <f>IFERROR(ROUND(Lose[[#This Row],[Distanz (km)]]*60/Lose[[#This Row],[Gehzeit (min)]],1),"")</f>
        <v>3.8</v>
      </c>
      <c r="R2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202">
        <f>IFERROR(Lose[[#This Row],[Distanz (km)]]-Lose[[#This Row],[Check Distanz]],"")</f>
        <v>9.0000000000000024E-2</v>
      </c>
      <c r="T202" s="60">
        <f>IFERROR(Lose[[#This Row],[Check Umweg]]/Lose[[#This Row],[Check Distanz]],"")</f>
        <v>0.2195121951219513</v>
      </c>
      <c r="U202">
        <f ca="1">IF(RIGHT(Lose[[#This Row],[LosID]],1)="b",_xlfn.XLOOKUP(REPLACE(Lose[[#This Row],[LosID]],LEN(Lose[[#This Row],[LosID]]),1,"a"),Lose[LosID],Lose[Zufallszahl],"",0),RAND())</f>
        <v>2.582730119545984E-2</v>
      </c>
      <c r="V202" t="b" cm="1">
        <f t="array" aca="1" ref="V202" ca="1">Lose[[#This Row],[Zufallszahl]]&gt;=IFERROR(LARGE((LEFT(Lose[LosID],FIND("-",Lose[LosID])-1)=LEFT(Lose[[#This Row],[LosID]],FIND("-",Lose[[#This Row],[LosID]])-1))*Lose[Zufallszahl],_xlfn.XLOOKUP(LEFT(Lose[[#This Row],[LosID]],FIND("-",Lose[[#This Row],[LosID]])-1),Ziehungsanzahl[Kürzel],Ziehungsanzahl[Kontingent],FALSE,0)),9999)</f>
        <v>0</v>
      </c>
    </row>
    <row r="203" spans="1:23" ht="30" hidden="1">
      <c r="A2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3" t="s">
        <v>23390</v>
      </c>
      <c r="C203" s="92" t="s">
        <v>1290</v>
      </c>
      <c r="D203" s="1" t="s">
        <v>1293</v>
      </c>
      <c r="E203" t="s">
        <v>1291</v>
      </c>
      <c r="F203" t="s">
        <v>24000</v>
      </c>
      <c r="G203">
        <v>8</v>
      </c>
      <c r="H203">
        <v>1</v>
      </c>
      <c r="I203">
        <v>0.6</v>
      </c>
      <c r="J203" t="s">
        <v>23</v>
      </c>
      <c r="K203" t="str" cm="1">
        <f t="array" ref="K2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Dietzenbach Mitte</v>
      </c>
      <c r="L203" t="str">
        <f>IFERROR(LEFT(TRIM(Lose[[#This Row],[Google Koordinaten]]),9),"")</f>
        <v>50.019755</v>
      </c>
      <c r="M203" t="str">
        <f>IFERROR(MID(TRIM(Lose[[#This Row],[Google Koordinaten]]),
FIND(",",TRIM(Lose[[#This Row],[Google Koordinaten]])) + 2,9),"")</f>
        <v>8.7843555</v>
      </c>
      <c r="N203">
        <f>IF(Lose[[#This Row],[Bahn-hofs-zeit]]=0,0,MROUND(30*25^((Lose[[#This Row],[Bahn-hofs-zeit]]-_xlfn.MINIFS(Lose[Bahn-hofs-zeit],Lose[Bahn-hofs-zeit],"&gt;0"))/(MAX(Lose[Bahn-hofs-zeit])-_xlfn.MINIFS(Lose[Bahn-hofs-zeit],Lose[Bahn-hofs-zeit],"&gt;0"))),5))</f>
        <v>50</v>
      </c>
      <c r="O203">
        <f>IF(Lose[[#This Row],[Gehzeit (min)]]="",0,CEILING(3*(Lose[[#This Row],[Gehzeit (min)]]+Lose[[#This Row],[Aufgaben-zeit (min)]]),5))</f>
        <v>30</v>
      </c>
      <c r="P203">
        <v>5</v>
      </c>
      <c r="Q203">
        <f>IFERROR(ROUND(Lose[[#This Row],[Distanz (km)]]*60/Lose[[#This Row],[Gehzeit (min)]],1),"")</f>
        <v>4.5</v>
      </c>
      <c r="R2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203">
        <f>IFERROR(Lose[[#This Row],[Distanz (km)]]-Lose[[#This Row],[Check Distanz]],"")</f>
        <v>0.18</v>
      </c>
      <c r="T203" s="60">
        <f>IFERROR(Lose[[#This Row],[Check Umweg]]/Lose[[#This Row],[Check Distanz]],"")</f>
        <v>0.42857142857142855</v>
      </c>
      <c r="U203">
        <f ca="1">IF(RIGHT(Lose[[#This Row],[LosID]],1)="b",_xlfn.XLOOKUP(REPLACE(Lose[[#This Row],[LosID]],LEN(Lose[[#This Row],[LosID]]),1,"a"),Lose[LosID],Lose[Zufallszahl],"",0),RAND())</f>
        <v>0.93587670128782996</v>
      </c>
      <c r="V203" t="b" cm="1">
        <f t="array" aca="1" ref="V203" ca="1">Lose[[#This Row],[Zufallszahl]]&gt;=IFERROR(LARGE((LEFT(Lose[LosID],FIND("-",Lose[LosID])-1)=LEFT(Lose[[#This Row],[LosID]],FIND("-",Lose[[#This Row],[LosID]])-1))*Lose[Zufallszahl],_xlfn.XLOOKUP(LEFT(Lose[[#This Row],[LosID]],FIND("-",Lose[[#This Row],[LosID]])-1),Ziehungsanzahl[Kürzel],Ziehungsanzahl[Kontingent],FALSE,0)),9999)</f>
        <v>0</v>
      </c>
    </row>
    <row r="204" spans="1:23" ht="60" hidden="1">
      <c r="A2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04" t="s">
        <v>23394</v>
      </c>
      <c r="C204" s="92" t="s">
        <v>24001</v>
      </c>
      <c r="D204" s="1" t="s">
        <v>24002</v>
      </c>
      <c r="E204" t="s">
        <v>24003</v>
      </c>
      <c r="F204" t="s">
        <v>24004</v>
      </c>
      <c r="G204">
        <v>3</v>
      </c>
      <c r="H204">
        <v>2</v>
      </c>
      <c r="I204">
        <v>0.2</v>
      </c>
      <c r="J204">
        <v>15</v>
      </c>
      <c r="K204" t="str" cm="1">
        <f t="array" ref="K2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Neu-Isenburg</v>
      </c>
      <c r="L204" t="str">
        <f>IFERROR(LEFT(TRIM(Lose[[#This Row],[Google Koordinaten]]),9),"")</f>
        <v>50.053028</v>
      </c>
      <c r="M204" t="str">
        <f>IFERROR(MID(TRIM(Lose[[#This Row],[Google Koordinaten]]),
FIND(",",TRIM(Lose[[#This Row],[Google Koordinaten]])) + 2,9),"")</f>
        <v>8.6661091</v>
      </c>
      <c r="N204">
        <f>IF(Lose[[#This Row],[Bahn-hofs-zeit]]=0,0,MROUND(30*25^((Lose[[#This Row],[Bahn-hofs-zeit]]-_xlfn.MINIFS(Lose[Bahn-hofs-zeit],Lose[Bahn-hofs-zeit],"&gt;0"))/(MAX(Lose[Bahn-hofs-zeit])-_xlfn.MINIFS(Lose[Bahn-hofs-zeit],Lose[Bahn-hofs-zeit],"&gt;0"))),5))</f>
        <v>35</v>
      </c>
      <c r="O204">
        <f>IF(Lose[[#This Row],[Gehzeit (min)]]="",0,CEILING(3*(Lose[[#This Row],[Gehzeit (min)]]+Lose[[#This Row],[Aufgaben-zeit (min)]]),5))</f>
        <v>15</v>
      </c>
      <c r="P204">
        <v>4</v>
      </c>
      <c r="Q204">
        <f>IFERROR(ROUND(Lose[[#This Row],[Distanz (km)]]*60/Lose[[#This Row],[Gehzeit (min)]],1),"")</f>
        <v>4</v>
      </c>
      <c r="R2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204">
        <f>IFERROR(Lose[[#This Row],[Distanz (km)]]-Lose[[#This Row],[Check Distanz]],"")</f>
        <v>0.16</v>
      </c>
      <c r="T204" s="60">
        <f>IFERROR(Lose[[#This Row],[Check Umweg]]/Lose[[#This Row],[Check Distanz]],"")</f>
        <v>4</v>
      </c>
      <c r="U204">
        <f ca="1">IF(RIGHT(Lose[[#This Row],[LosID]],1)="b",_xlfn.XLOOKUP(REPLACE(Lose[[#This Row],[LosID]],LEN(Lose[[#This Row],[LosID]]),1,"a"),Lose[LosID],Lose[Zufallszahl],"",0),RAND())</f>
        <v>0.48380851530973168</v>
      </c>
      <c r="V204" t="b" cm="1">
        <f t="array" aca="1" ref="V204" ca="1">Lose[[#This Row],[Zufallszahl]]&gt;=IFERROR(LARGE((LEFT(Lose[LosID],FIND("-",Lose[LosID])-1)=LEFT(Lose[[#This Row],[LosID]],FIND("-",Lose[[#This Row],[LosID]])-1))*Lose[Zufallszahl],_xlfn.XLOOKUP(LEFT(Lose[[#This Row],[LosID]],FIND("-",Lose[[#This Row],[LosID]])-1),Ziehungsanzahl[Kürzel],Ziehungsanzahl[Kontingent],FALSE,0)),9999)</f>
        <v>0</v>
      </c>
      <c r="W204" t="s">
        <v>23362</v>
      </c>
    </row>
    <row r="205" spans="1:23" ht="30" hidden="1">
      <c r="A2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5" t="s">
        <v>23403</v>
      </c>
      <c r="C205" s="94" t="s">
        <v>1295</v>
      </c>
      <c r="D205" s="1" t="s">
        <v>1298</v>
      </c>
      <c r="E205" t="s">
        <v>1296</v>
      </c>
      <c r="F205" t="s">
        <v>24005</v>
      </c>
      <c r="G205">
        <v>25</v>
      </c>
      <c r="H205">
        <v>1</v>
      </c>
      <c r="I205">
        <v>1.7</v>
      </c>
      <c r="J205" t="s">
        <v>23</v>
      </c>
      <c r="K205" t="str" cm="1">
        <f t="array" ref="K2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205" t="str">
        <f>IFERROR(LEFT(TRIM(Lose[[#This Row],[Google Koordinaten]]),9),"")</f>
        <v>50.084855</v>
      </c>
      <c r="M205" t="str">
        <f>IFERROR(MID(TRIM(Lose[[#This Row],[Google Koordinaten]]),
FIND(",",TRIM(Lose[[#This Row],[Google Koordinaten]])) + 2,9),"")</f>
        <v>8.2469555</v>
      </c>
      <c r="N205">
        <f>IF(Lose[[#This Row],[Bahn-hofs-zeit]]=0,0,MROUND(30*25^((Lose[[#This Row],[Bahn-hofs-zeit]]-_xlfn.MINIFS(Lose[Bahn-hofs-zeit],Lose[Bahn-hofs-zeit],"&gt;0"))/(MAX(Lose[Bahn-hofs-zeit])-_xlfn.MINIFS(Lose[Bahn-hofs-zeit],Lose[Bahn-hofs-zeit],"&gt;0"))),5))</f>
        <v>45</v>
      </c>
      <c r="O205">
        <f>IF(Lose[[#This Row],[Gehzeit (min)]]="",0,CEILING(3*(Lose[[#This Row],[Gehzeit (min)]]+Lose[[#This Row],[Aufgaben-zeit (min)]]),5))</f>
        <v>80</v>
      </c>
      <c r="P205">
        <v>4.5</v>
      </c>
      <c r="Q205">
        <f>IFERROR(ROUND(Lose[[#This Row],[Distanz (km)]]*60/Lose[[#This Row],[Gehzeit (min)]],1),"")</f>
        <v>4.0999999999999996</v>
      </c>
      <c r="R2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1.58</v>
      </c>
      <c r="S205">
        <f>IFERROR(Lose[[#This Row],[Distanz (km)]]-Lose[[#This Row],[Check Distanz]],"")</f>
        <v>0.11999999999999988</v>
      </c>
      <c r="T205" s="60">
        <f>IFERROR(Lose[[#This Row],[Check Umweg]]/Lose[[#This Row],[Check Distanz]],"")</f>
        <v>7.5949367088607514E-2</v>
      </c>
      <c r="U205">
        <f ca="1">IF(RIGHT(Lose[[#This Row],[LosID]],1)="b",_xlfn.XLOOKUP(REPLACE(Lose[[#This Row],[LosID]],LEN(Lose[[#This Row],[LosID]]),1,"a"),Lose[LosID],Lose[Zufallszahl],"",0),RAND())</f>
        <v>1.7136681807500831E-2</v>
      </c>
      <c r="V205" t="b" cm="1">
        <f t="array" aca="1" ref="V205" ca="1">Lose[[#This Row],[Zufallszahl]]&gt;=IFERROR(LARGE((LEFT(Lose[LosID],FIND("-",Lose[LosID])-1)=LEFT(Lose[[#This Row],[LosID]],FIND("-",Lose[[#This Row],[LosID]])-1))*Lose[Zufallszahl],_xlfn.XLOOKUP(LEFT(Lose[[#This Row],[LosID]],FIND("-",Lose[[#This Row],[LosID]])-1),Ziehungsanzahl[Kürzel],Ziehungsanzahl[Kontingent],FALSE,0)),9999)</f>
        <v>0</v>
      </c>
    </row>
    <row r="206" spans="1:23" ht="30" hidden="1">
      <c r="A2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6" t="s">
        <v>23408</v>
      </c>
      <c r="C206" s="93" t="s">
        <v>24006</v>
      </c>
      <c r="D206" s="1" t="s">
        <v>24007</v>
      </c>
      <c r="E206" t="s">
        <v>24008</v>
      </c>
      <c r="F206" t="s">
        <v>24009</v>
      </c>
      <c r="G206" s="91"/>
      <c r="H206" s="91"/>
      <c r="I206" s="91"/>
      <c r="K206" t="str" cm="1">
        <f t="array" ref="K2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Köppern</v>
      </c>
      <c r="L206" t="str">
        <f>IFERROR(LEFT(TRIM(Lose[[#This Row],[Google Koordinaten]]),9),"")</f>
        <v>50.270177</v>
      </c>
      <c r="M206" t="str">
        <f>IFERROR(MID(TRIM(Lose[[#This Row],[Google Koordinaten]]),
FIND(",",TRIM(Lose[[#This Row],[Google Koordinaten]])) + 2,9),"")</f>
        <v>8.6464923</v>
      </c>
      <c r="N206">
        <f>IF(Lose[[#This Row],[Bahn-hofs-zeit]]=0,0,MROUND(30*25^((Lose[[#This Row],[Bahn-hofs-zeit]]-_xlfn.MINIFS(Lose[Bahn-hofs-zeit],Lose[Bahn-hofs-zeit],"&gt;0"))/(MAX(Lose[Bahn-hofs-zeit])-_xlfn.MINIFS(Lose[Bahn-hofs-zeit],Lose[Bahn-hofs-zeit],"&gt;0"))),5))</f>
        <v>100</v>
      </c>
      <c r="O206">
        <f>IF(Lose[[#This Row],[Gehzeit (min)]]="",0,CEILING(3*(Lose[[#This Row],[Gehzeit (min)]]+Lose[[#This Row],[Aufgaben-zeit (min)]]),5))</f>
        <v>0</v>
      </c>
      <c r="P206">
        <v>7.5</v>
      </c>
      <c r="Q206" t="str">
        <f>IFERROR(ROUND(Lose[[#This Row],[Distanz (km)]]*60/Lose[[#This Row],[Gehzeit (min)]],1),"")</f>
        <v/>
      </c>
      <c r="R2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206">
        <f>IFERROR(Lose[[#This Row],[Distanz (km)]]-Lose[[#This Row],[Check Distanz]],"")</f>
        <v>-7.0000000000000007E-2</v>
      </c>
      <c r="T206" s="60">
        <f>IFERROR(Lose[[#This Row],[Check Umweg]]/Lose[[#This Row],[Check Distanz]],"")</f>
        <v>-1</v>
      </c>
      <c r="U206">
        <f ca="1">IF(RIGHT(Lose[[#This Row],[LosID]],1)="b",_xlfn.XLOOKUP(REPLACE(Lose[[#This Row],[LosID]],LEN(Lose[[#This Row],[LosID]]),1,"a"),Lose[LosID],Lose[Zufallszahl],"",0),RAND())</f>
        <v>7.0692367443254467E-2</v>
      </c>
      <c r="V206" t="b" cm="1">
        <f t="array" aca="1" ref="V206" ca="1">Lose[[#This Row],[Zufallszahl]]&gt;=IFERROR(LARGE((LEFT(Lose[LosID],FIND("-",Lose[LosID])-1)=LEFT(Lose[[#This Row],[LosID]],FIND("-",Lose[[#This Row],[LosID]])-1))*Lose[Zufallszahl],_xlfn.XLOOKUP(LEFT(Lose[[#This Row],[LosID]],FIND("-",Lose[[#This Row],[LosID]])-1),Ziehungsanzahl[Kürzel],Ziehungsanzahl[Kontingent],FALSE,0)),9999)</f>
        <v>0</v>
      </c>
    </row>
    <row r="207" spans="1:23" ht="25.35" hidden="1" customHeight="1">
      <c r="A2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7" t="s">
        <v>23412</v>
      </c>
      <c r="C207" s="92" t="s">
        <v>1300</v>
      </c>
      <c r="D207" s="1" t="s">
        <v>1303</v>
      </c>
      <c r="E207" t="s">
        <v>1301</v>
      </c>
      <c r="F207" t="s">
        <v>24010</v>
      </c>
      <c r="G207">
        <v>18</v>
      </c>
      <c r="H207">
        <v>1</v>
      </c>
      <c r="I207">
        <v>1.2</v>
      </c>
      <c r="J207">
        <v>10</v>
      </c>
      <c r="K207" t="str" cm="1">
        <f t="array" ref="K2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Idstein(Taunus)</v>
      </c>
      <c r="L207" t="str">
        <f>IFERROR(LEFT(TRIM(Lose[[#This Row],[Google Koordinaten]]),9),"")</f>
        <v>50.222202</v>
      </c>
      <c r="M207" t="str">
        <f>IFERROR(MID(TRIM(Lose[[#This Row],[Google Koordinaten]]),
FIND(",",TRIM(Lose[[#This Row],[Google Koordinaten]])) + 2,9),"")</f>
        <v>8.2686039</v>
      </c>
      <c r="N207">
        <f>IF(Lose[[#This Row],[Bahn-hofs-zeit]]=0,0,MROUND(30*25^((Lose[[#This Row],[Bahn-hofs-zeit]]-_xlfn.MINIFS(Lose[Bahn-hofs-zeit],Lose[Bahn-hofs-zeit],"&gt;0"))/(MAX(Lose[Bahn-hofs-zeit])-_xlfn.MINIFS(Lose[Bahn-hofs-zeit],Lose[Bahn-hofs-zeit],"&gt;0"))),5))</f>
        <v>55</v>
      </c>
      <c r="O207">
        <f>IF(Lose[[#This Row],[Gehzeit (min)]]="",0,CEILING(3*(Lose[[#This Row],[Gehzeit (min)]]+Lose[[#This Row],[Aufgaben-zeit (min)]]),5))</f>
        <v>60</v>
      </c>
      <c r="P207">
        <v>5.5</v>
      </c>
      <c r="Q207">
        <f>IFERROR(ROUND(Lose[[#This Row],[Distanz (km)]]*60/Lose[[#This Row],[Gehzeit (min)]],1),"")</f>
        <v>4</v>
      </c>
      <c r="R2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207">
        <f>IFERROR(Lose[[#This Row],[Distanz (km)]]-Lose[[#This Row],[Check Distanz]],"")</f>
        <v>0.1399999999999999</v>
      </c>
      <c r="T207" s="60">
        <f>IFERROR(Lose[[#This Row],[Check Umweg]]/Lose[[#This Row],[Check Distanz]],"")</f>
        <v>0.13207547169811309</v>
      </c>
      <c r="U207">
        <f ca="1">IF(RIGHT(Lose[[#This Row],[LosID]],1)="b",_xlfn.XLOOKUP(REPLACE(Lose[[#This Row],[LosID]],LEN(Lose[[#This Row],[LosID]]),1,"a"),Lose[LosID],Lose[Zufallszahl],"",0),RAND())</f>
        <v>0.75679429675821519</v>
      </c>
      <c r="V207" t="b" cm="1">
        <f t="array" aca="1" ref="V207" ca="1">Lose[[#This Row],[Zufallszahl]]&gt;=IFERROR(LARGE((LEFT(Lose[LosID],FIND("-",Lose[LosID])-1)=LEFT(Lose[[#This Row],[LosID]],FIND("-",Lose[[#This Row],[LosID]])-1))*Lose[Zufallszahl],_xlfn.XLOOKUP(LEFT(Lose[[#This Row],[LosID]],FIND("-",Lose[[#This Row],[LosID]])-1),Ziehungsanzahl[Kürzel],Ziehungsanzahl[Kontingent],FALSE,0)),9999)</f>
        <v>0</v>
      </c>
    </row>
    <row r="208" spans="1:23" ht="120" hidden="1">
      <c r="A2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8" t="s">
        <v>23363</v>
      </c>
      <c r="C208" s="93" t="s">
        <v>1313</v>
      </c>
      <c r="D208" s="1" t="s">
        <v>24011</v>
      </c>
      <c r="E208" t="s">
        <v>24012</v>
      </c>
      <c r="F208" t="s">
        <v>24013</v>
      </c>
      <c r="G208">
        <v>3</v>
      </c>
      <c r="H208">
        <v>1</v>
      </c>
      <c r="I208">
        <v>0.2</v>
      </c>
      <c r="J208">
        <v>10</v>
      </c>
      <c r="K208" t="str" cm="1">
        <f t="array" ref="K2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Salzgitter-Bad</v>
      </c>
      <c r="L208" t="str">
        <f>IFERROR(LEFT(TRIM(Lose[[#This Row],[Google Koordinaten]]),9),"")</f>
        <v>52.048221</v>
      </c>
      <c r="M208" t="str">
        <f>IFERROR(MID(TRIM(Lose[[#This Row],[Google Koordinaten]]),
FIND(",",TRIM(Lose[[#This Row],[Google Koordinaten]])) + 2,9),"")</f>
        <v>10.371587</v>
      </c>
      <c r="N208">
        <f>IF(Lose[[#This Row],[Bahn-hofs-zeit]]=0,0,MROUND(30*25^((Lose[[#This Row],[Bahn-hofs-zeit]]-_xlfn.MINIFS(Lose[Bahn-hofs-zeit],Lose[Bahn-hofs-zeit],"&gt;0"))/(MAX(Lose[Bahn-hofs-zeit])-_xlfn.MINIFS(Lose[Bahn-hofs-zeit],Lose[Bahn-hofs-zeit],"&gt;0"))),5))</f>
        <v>95</v>
      </c>
      <c r="O208">
        <f>IF(Lose[[#This Row],[Gehzeit (min)]]="",0,CEILING(3*(Lose[[#This Row],[Gehzeit (min)]]+Lose[[#This Row],[Aufgaben-zeit (min)]]),5))</f>
        <v>15</v>
      </c>
      <c r="P208">
        <v>7.25</v>
      </c>
      <c r="Q208">
        <f>IFERROR(ROUND(Lose[[#This Row],[Distanz (km)]]*60/Lose[[#This Row],[Gehzeit (min)]],1),"")</f>
        <v>4</v>
      </c>
      <c r="R2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208">
        <f>IFERROR(Lose[[#This Row],[Distanz (km)]]-Lose[[#This Row],[Check Distanz]],"")</f>
        <v>1.0000000000000009E-2</v>
      </c>
      <c r="T208" s="60">
        <f>IFERROR(Lose[[#This Row],[Check Umweg]]/Lose[[#This Row],[Check Distanz]],"")</f>
        <v>5.2631578947368467E-2</v>
      </c>
      <c r="U208">
        <f ca="1">IF(RIGHT(Lose[[#This Row],[LosID]],1)="b",_xlfn.XLOOKUP(REPLACE(Lose[[#This Row],[LosID]],LEN(Lose[[#This Row],[LosID]]),1,"a"),Lose[LosID],Lose[Zufallszahl],"",0),RAND())</f>
        <v>0.7290808311711956</v>
      </c>
      <c r="V208" t="b" cm="1">
        <f t="array" aca="1" ref="V208" ca="1">Lose[[#This Row],[Zufallszahl]]&gt;=IFERROR(LARGE((LEFT(Lose[LosID],FIND("-",Lose[LosID])-1)=LEFT(Lose[[#This Row],[LosID]],FIND("-",Lose[[#This Row],[LosID]])-1))*Lose[Zufallszahl],_xlfn.XLOOKUP(LEFT(Lose[[#This Row],[LosID]],FIND("-",Lose[[#This Row],[LosID]])-1),Ziehungsanzahl[Kürzel],Ziehungsanzahl[Kontingent],FALSE,0)),9999)</f>
        <v>0</v>
      </c>
    </row>
    <row r="209" spans="1:23" ht="45" hidden="1">
      <c r="A2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9" t="s">
        <v>23403</v>
      </c>
      <c r="C209" s="91" t="s">
        <v>24014</v>
      </c>
      <c r="D209" s="1" t="s">
        <v>24015</v>
      </c>
      <c r="E209" t="s">
        <v>24016</v>
      </c>
      <c r="F209" t="s">
        <v>24017</v>
      </c>
      <c r="G209">
        <v>20</v>
      </c>
      <c r="H209">
        <v>1</v>
      </c>
      <c r="I209">
        <v>1.4</v>
      </c>
      <c r="K209" t="str" cm="1">
        <f t="array" ref="K2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Suderburg</v>
      </c>
      <c r="L209" t="str">
        <f>IFERROR(LEFT(TRIM(Lose[[#This Row],[Google Koordinaten]]),9),"")</f>
        <v>52.898570</v>
      </c>
      <c r="M209" t="str">
        <f>IFERROR(MID(TRIM(Lose[[#This Row],[Google Koordinaten]]),
FIND(",",TRIM(Lose[[#This Row],[Google Koordinaten]])) + 2,9),"")</f>
        <v>10.446428</v>
      </c>
      <c r="N209">
        <f>IF(Lose[[#This Row],[Bahn-hofs-zeit]]=0,0,MROUND(30*25^((Lose[[#This Row],[Bahn-hofs-zeit]]-_xlfn.MINIFS(Lose[Bahn-hofs-zeit],Lose[Bahn-hofs-zeit],"&gt;0"))/(MAX(Lose[Bahn-hofs-zeit])-_xlfn.MINIFS(Lose[Bahn-hofs-zeit],Lose[Bahn-hofs-zeit],"&gt;0"))),5))</f>
        <v>80</v>
      </c>
      <c r="O209">
        <f>IF(Lose[[#This Row],[Gehzeit (min)]]="",0,CEILING(3*(Lose[[#This Row],[Gehzeit (min)]]+Lose[[#This Row],[Aufgaben-zeit (min)]]),5))</f>
        <v>65</v>
      </c>
      <c r="P209">
        <v>6.75</v>
      </c>
      <c r="Q209">
        <f>IFERROR(ROUND(Lose[[#This Row],[Distanz (km)]]*60/Lose[[#This Row],[Gehzeit (min)]],1),"")</f>
        <v>4.2</v>
      </c>
      <c r="R2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1.1499999999999999</v>
      </c>
      <c r="S209">
        <f>IFERROR(Lose[[#This Row],[Distanz (km)]]-Lose[[#This Row],[Check Distanz]],"")</f>
        <v>0.25</v>
      </c>
      <c r="T209" s="60">
        <f>IFERROR(Lose[[#This Row],[Check Umweg]]/Lose[[#This Row],[Check Distanz]],"")</f>
        <v>0.21739130434782611</v>
      </c>
      <c r="U209">
        <f ca="1">IF(RIGHT(Lose[[#This Row],[LosID]],1)="b",_xlfn.XLOOKUP(REPLACE(Lose[[#This Row],[LosID]],LEN(Lose[[#This Row],[LosID]]),1,"a"),Lose[LosID],Lose[Zufallszahl],"",0),RAND())</f>
        <v>5.2503996712174872E-2</v>
      </c>
      <c r="V209" t="b" cm="1">
        <f t="array" aca="1" ref="V209" ca="1">Lose[[#This Row],[Zufallszahl]]&gt;=IFERROR(LARGE((LEFT(Lose[LosID],FIND("-",Lose[LosID])-1)=LEFT(Lose[[#This Row],[LosID]],FIND("-",Lose[[#This Row],[LosID]])-1))*Lose[Zufallszahl],_xlfn.XLOOKUP(LEFT(Lose[[#This Row],[LosID]],FIND("-",Lose[[#This Row],[LosID]])-1),Ziehungsanzahl[Kürzel],Ziehungsanzahl[Kontingent],FALSE,0)),9999)</f>
        <v>0</v>
      </c>
    </row>
    <row r="210" spans="1:23" ht="90" hidden="1">
      <c r="A2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hohe Gehgeschwindigkeit</v>
      </c>
      <c r="B210" t="s">
        <v>23408</v>
      </c>
      <c r="C210" s="92" t="s">
        <v>24018</v>
      </c>
      <c r="D210" s="1" t="s">
        <v>24019</v>
      </c>
      <c r="E210" t="s">
        <v>24020</v>
      </c>
      <c r="F210" t="s">
        <v>24021</v>
      </c>
      <c r="G210">
        <v>3</v>
      </c>
      <c r="H210">
        <v>5</v>
      </c>
      <c r="I210">
        <v>0.3</v>
      </c>
      <c r="J210">
        <v>10</v>
      </c>
      <c r="K210" t="str" cm="1">
        <f t="array" ref="K2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Kronach</v>
      </c>
      <c r="L210" t="str">
        <f>IFERROR(LEFT(TRIM(Lose[[#This Row],[Google Koordinaten]]),9),"")</f>
        <v>50.241033</v>
      </c>
      <c r="M210" t="str">
        <f>IFERROR(MID(TRIM(Lose[[#This Row],[Google Koordinaten]]),
FIND(",",TRIM(Lose[[#This Row],[Google Koordinaten]])) + 2,9),"")</f>
        <v>11.320905</v>
      </c>
      <c r="N210">
        <f>IF(Lose[[#This Row],[Bahn-hofs-zeit]]=0,0,MROUND(30*25^((Lose[[#This Row],[Bahn-hofs-zeit]]-_xlfn.MINIFS(Lose[Bahn-hofs-zeit],Lose[Bahn-hofs-zeit],"&gt;0"))/(MAX(Lose[Bahn-hofs-zeit])-_xlfn.MINIFS(Lose[Bahn-hofs-zeit],Lose[Bahn-hofs-zeit],"&gt;0"))),5))</f>
        <v>220</v>
      </c>
      <c r="O210">
        <f>IF(Lose[[#This Row],[Gehzeit (min)]]="",0,CEILING(3*(Lose[[#This Row],[Gehzeit (min)]]+Lose[[#This Row],[Aufgaben-zeit (min)]]),5))</f>
        <v>25</v>
      </c>
      <c r="P210">
        <v>10.25</v>
      </c>
      <c r="Q210">
        <f>IFERROR(ROUND(Lose[[#This Row],[Distanz (km)]]*60/Lose[[#This Row],[Gehzeit (min)]],1),"")</f>
        <v>6</v>
      </c>
      <c r="R2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210">
        <f>IFERROR(Lose[[#This Row],[Distanz (km)]]-Lose[[#This Row],[Check Distanz]],"")</f>
        <v>0.12999999999999998</v>
      </c>
      <c r="T210" s="60">
        <f>IFERROR(Lose[[#This Row],[Check Umweg]]/Lose[[#This Row],[Check Distanz]],"")</f>
        <v>0.76470588235294101</v>
      </c>
      <c r="U210">
        <f ca="1">IF(RIGHT(Lose[[#This Row],[LosID]],1)="b",_xlfn.XLOOKUP(REPLACE(Lose[[#This Row],[LosID]],LEN(Lose[[#This Row],[LosID]]),1,"a"),Lose[LosID],Lose[Zufallszahl],"",0),RAND())</f>
        <v>0.61243521073371021</v>
      </c>
      <c r="V210" t="b" cm="1">
        <f t="array" aca="1" ref="V210" ca="1">Lose[[#This Row],[Zufallszahl]]&gt;=IFERROR(LARGE((LEFT(Lose[LosID],FIND("-",Lose[LosID])-1)=LEFT(Lose[[#This Row],[LosID]],FIND("-",Lose[[#This Row],[LosID]])-1))*Lose[Zufallszahl],_xlfn.XLOOKUP(LEFT(Lose[[#This Row],[LosID]],FIND("-",Lose[[#This Row],[LosID]])-1),Ziehungsanzahl[Kürzel],Ziehungsanzahl[Kontingent],FALSE,0)),9999)</f>
        <v>0</v>
      </c>
    </row>
    <row r="211" spans="1:23" ht="75" hidden="1">
      <c r="A2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1" t="s">
        <v>23412</v>
      </c>
      <c r="C211" s="92" t="s">
        <v>24022</v>
      </c>
      <c r="D211" s="1" t="s">
        <v>24023</v>
      </c>
      <c r="E211" t="s">
        <v>24024</v>
      </c>
      <c r="F211" t="s">
        <v>24025</v>
      </c>
      <c r="G211">
        <v>4</v>
      </c>
      <c r="H211">
        <v>5</v>
      </c>
      <c r="I211">
        <v>0.3</v>
      </c>
      <c r="K211" t="str" cm="1">
        <f t="array" ref="K2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Schmalkalden-Fachhochschule</v>
      </c>
      <c r="L211" t="str">
        <f>IFERROR(LEFT(TRIM(Lose[[#This Row],[Google Koordinaten]]),9),"")</f>
        <v>50.718517</v>
      </c>
      <c r="M211" t="str">
        <f>IFERROR(MID(TRIM(Lose[[#This Row],[Google Koordinaten]]),
FIND(",",TRIM(Lose[[#This Row],[Google Koordinaten]])) + 2,9),"")</f>
        <v>10.463216</v>
      </c>
      <c r="N211">
        <f>IF(Lose[[#This Row],[Bahn-hofs-zeit]]=0,0,MROUND(30*25^((Lose[[#This Row],[Bahn-hofs-zeit]]-_xlfn.MINIFS(Lose[Bahn-hofs-zeit],Lose[Bahn-hofs-zeit],"&gt;0"))/(MAX(Lose[Bahn-hofs-zeit])-_xlfn.MINIFS(Lose[Bahn-hofs-zeit],Lose[Bahn-hofs-zeit],"&gt;0"))),5))</f>
        <v>220</v>
      </c>
      <c r="O211">
        <f>IF(Lose[[#This Row],[Gehzeit (min)]]="",0,CEILING(3*(Lose[[#This Row],[Gehzeit (min)]]+Lose[[#This Row],[Aufgaben-zeit (min)]]),5))</f>
        <v>30</v>
      </c>
      <c r="P211">
        <v>10.25</v>
      </c>
      <c r="Q211">
        <f>IFERROR(ROUND(Lose[[#This Row],[Distanz (km)]]*60/Lose[[#This Row],[Gehzeit (min)]],1),"")</f>
        <v>4.5</v>
      </c>
      <c r="R2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211">
        <f>IFERROR(Lose[[#This Row],[Distanz (km)]]-Lose[[#This Row],[Check Distanz]],"")</f>
        <v>6.9999999999999979E-2</v>
      </c>
      <c r="T211" s="60">
        <f>IFERROR(Lose[[#This Row],[Check Umweg]]/Lose[[#This Row],[Check Distanz]],"")</f>
        <v>0.30434782608695643</v>
      </c>
      <c r="U211">
        <f ca="1">IF(RIGHT(Lose[[#This Row],[LosID]],1)="b",_xlfn.XLOOKUP(REPLACE(Lose[[#This Row],[LosID]],LEN(Lose[[#This Row],[LosID]]),1,"a"),Lose[LosID],Lose[Zufallszahl],"",0),RAND())</f>
        <v>0.49164230480337989</v>
      </c>
      <c r="V211" t="b" cm="1">
        <f t="array" aca="1" ref="V211" ca="1">Lose[[#This Row],[Zufallszahl]]&gt;=IFERROR(LARGE((LEFT(Lose[LosID],FIND("-",Lose[LosID])-1)=LEFT(Lose[[#This Row],[LosID]],FIND("-",Lose[[#This Row],[LosID]])-1))*Lose[Zufallszahl],_xlfn.XLOOKUP(LEFT(Lose[[#This Row],[LosID]],FIND("-",Lose[[#This Row],[LosID]])-1),Ziehungsanzahl[Kürzel],Ziehungsanzahl[Kontingent],FALSE,0)),9999)</f>
        <v>0</v>
      </c>
    </row>
    <row r="212" spans="1:23" ht="105" hidden="1">
      <c r="A2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2" t="s">
        <v>23416</v>
      </c>
      <c r="C212" s="92" t="s">
        <v>24026</v>
      </c>
      <c r="D212" s="1" t="s">
        <v>24027</v>
      </c>
      <c r="E212" t="s">
        <v>24028</v>
      </c>
      <c r="F212" t="s">
        <v>24029</v>
      </c>
      <c r="G212">
        <v>12</v>
      </c>
      <c r="H212">
        <v>1</v>
      </c>
      <c r="I212">
        <v>0.75</v>
      </c>
      <c r="J212">
        <v>20</v>
      </c>
      <c r="K212" t="str" cm="1">
        <f t="array" ref="K2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Liebenzell</v>
      </c>
      <c r="L212" t="str">
        <f>IFERROR(LEFT(TRIM(Lose[[#This Row],[Google Koordinaten]]),9),"")</f>
        <v>48.773259</v>
      </c>
      <c r="M212" t="str">
        <f>IFERROR(MID(TRIM(Lose[[#This Row],[Google Koordinaten]]),
FIND(",",TRIM(Lose[[#This Row],[Google Koordinaten]])) + 2,9),"")</f>
        <v>8.7274528</v>
      </c>
      <c r="N212">
        <f>IF(Lose[[#This Row],[Bahn-hofs-zeit]]=0,0,MROUND(30*25^((Lose[[#This Row],[Bahn-hofs-zeit]]-_xlfn.MINIFS(Lose[Bahn-hofs-zeit],Lose[Bahn-hofs-zeit],"&gt;0"))/(MAX(Lose[Bahn-hofs-zeit])-_xlfn.MINIFS(Lose[Bahn-hofs-zeit],Lose[Bahn-hofs-zeit],"&gt;0"))),5))</f>
        <v>125</v>
      </c>
      <c r="O212">
        <f>IF(Lose[[#This Row],[Gehzeit (min)]]="",0,CEILING(3*(Lose[[#This Row],[Gehzeit (min)]]+Lose[[#This Row],[Aufgaben-zeit (min)]]),5))</f>
        <v>40</v>
      </c>
      <c r="P212">
        <v>8.25</v>
      </c>
      <c r="Q212">
        <f>IFERROR(ROUND(Lose[[#This Row],[Distanz (km)]]*60/Lose[[#This Row],[Gehzeit (min)]],1),"")</f>
        <v>3.8</v>
      </c>
      <c r="R2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12">
        <f>IFERROR(Lose[[#This Row],[Distanz (km)]]-Lose[[#This Row],[Check Distanz]],"")</f>
        <v>0.26</v>
      </c>
      <c r="T212" s="60">
        <f>IFERROR(Lose[[#This Row],[Check Umweg]]/Lose[[#This Row],[Check Distanz]],"")</f>
        <v>0.53061224489795922</v>
      </c>
      <c r="U212">
        <f ca="1">IF(RIGHT(Lose[[#This Row],[LosID]],1)="b",_xlfn.XLOOKUP(REPLACE(Lose[[#This Row],[LosID]],LEN(Lose[[#This Row],[LosID]]),1,"a"),Lose[LosID],Lose[Zufallszahl],"",0),RAND())</f>
        <v>0.38378346671807884</v>
      </c>
      <c r="V212" t="b" cm="1">
        <f t="array" aca="1" ref="V212" ca="1">Lose[[#This Row],[Zufallszahl]]&gt;=IFERROR(LARGE((LEFT(Lose[LosID],FIND("-",Lose[LosID])-1)=LEFT(Lose[[#This Row],[LosID]],FIND("-",Lose[[#This Row],[LosID]])-1))*Lose[Zufallszahl],_xlfn.XLOOKUP(LEFT(Lose[[#This Row],[LosID]],FIND("-",Lose[[#This Row],[LosID]])-1),Ziehungsanzahl[Kürzel],Ziehungsanzahl[Kontingent],FALSE,0)),9999)</f>
        <v>0</v>
      </c>
    </row>
    <row r="213" spans="1:23" ht="26.25" hidden="1">
      <c r="A2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3" t="s">
        <v>23357</v>
      </c>
      <c r="C213" s="92" t="s">
        <v>24030</v>
      </c>
      <c r="D213" s="79" t="s">
        <v>24031</v>
      </c>
      <c r="E213" s="80" t="s">
        <v>24032</v>
      </c>
      <c r="F213" s="80" t="s">
        <v>24033</v>
      </c>
      <c r="G213" s="80">
        <v>24</v>
      </c>
      <c r="H213" s="80">
        <v>1</v>
      </c>
      <c r="I213" s="80">
        <v>1.6</v>
      </c>
      <c r="J213" s="80">
        <v>10</v>
      </c>
      <c r="K213" t="str" cm="1">
        <f t="array" ref="K2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Rotenburg a.d. Fulda</v>
      </c>
      <c r="L213" t="str">
        <f>IFERROR(LEFT(TRIM(Lose[[#This Row],[Google Koordinaten]]),9),"")</f>
        <v>51.005947</v>
      </c>
      <c r="M213" t="str">
        <f>IFERROR(MID(TRIM(Lose[[#This Row],[Google Koordinaten]]),
FIND(",",TRIM(Lose[[#This Row],[Google Koordinaten]])) + 2,9),"")</f>
        <v>9.7446365</v>
      </c>
      <c r="N213">
        <f>IF(Lose[[#This Row],[Bahn-hofs-zeit]]=0,0,MROUND(30*25^((Lose[[#This Row],[Bahn-hofs-zeit]]-_xlfn.MINIFS(Lose[Bahn-hofs-zeit],Lose[Bahn-hofs-zeit],"&gt;0"))/(MAX(Lose[Bahn-hofs-zeit])-_xlfn.MINIFS(Lose[Bahn-hofs-zeit],Lose[Bahn-hofs-zeit],"&gt;0"))),5))</f>
        <v>55</v>
      </c>
      <c r="O213">
        <f>IF(Lose[[#This Row],[Gehzeit (min)]]="",0,CEILING(3*(Lose[[#This Row],[Gehzeit (min)]]+Lose[[#This Row],[Aufgaben-zeit (min)]]),5))</f>
        <v>75</v>
      </c>
      <c r="P213">
        <v>5.25</v>
      </c>
      <c r="Q213">
        <f>IFERROR(ROUND(Lose[[#This Row],[Distanz (km)]]*60/Lose[[#This Row],[Gehzeit (min)]],1),"")</f>
        <v>4</v>
      </c>
      <c r="R2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213">
        <f>IFERROR(Lose[[#This Row],[Distanz (km)]]-Lose[[#This Row],[Check Distanz]],"")</f>
        <v>0.40000000000000013</v>
      </c>
      <c r="T213" s="60">
        <f>IFERROR(Lose[[#This Row],[Check Umweg]]/Lose[[#This Row],[Check Distanz]],"")</f>
        <v>0.33333333333333348</v>
      </c>
      <c r="U213">
        <f ca="1">IF(RIGHT(Lose[[#This Row],[LosID]],1)="b",_xlfn.XLOOKUP(REPLACE(Lose[[#This Row],[LosID]],LEN(Lose[[#This Row],[LosID]]),1,"a"),Lose[LosID],Lose[Zufallszahl],"",0),RAND())</f>
        <v>0.24740731190870735</v>
      </c>
      <c r="V213" t="b" cm="1">
        <f t="array" aca="1" ref="V213" ca="1">Lose[[#This Row],[Zufallszahl]]&gt;=IFERROR(LARGE((LEFT(Lose[LosID],FIND("-",Lose[LosID])-1)=LEFT(Lose[[#This Row],[LosID]],FIND("-",Lose[[#This Row],[LosID]])-1))*Lose[Zufallszahl],_xlfn.XLOOKUP(LEFT(Lose[[#This Row],[LosID]],FIND("-",Lose[[#This Row],[LosID]])-1),Ziehungsanzahl[Kürzel],Ziehungsanzahl[Kontingent],FALSE,0)),9999)</f>
        <v>0</v>
      </c>
    </row>
    <row r="214" spans="1:23" ht="105" hidden="1">
      <c r="A2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4" t="s">
        <v>23363</v>
      </c>
      <c r="C214" s="93" t="s">
        <v>1320</v>
      </c>
      <c r="D214" s="1" t="s">
        <v>24034</v>
      </c>
      <c r="E214" t="s">
        <v>24035</v>
      </c>
      <c r="F214" t="s">
        <v>24036</v>
      </c>
      <c r="G214">
        <v>25</v>
      </c>
      <c r="H214">
        <v>2</v>
      </c>
      <c r="I214" s="5">
        <v>0.95</v>
      </c>
      <c r="J214">
        <v>10</v>
      </c>
      <c r="K214" t="str" cm="1">
        <f t="array" ref="K2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Geisenheim</v>
      </c>
      <c r="L214" t="str">
        <f>IFERROR(LEFT(TRIM(Lose[[#This Row],[Google Koordinaten]]),9),"")</f>
        <v>49.988460</v>
      </c>
      <c r="M214" t="str">
        <f>IFERROR(MID(TRIM(Lose[[#This Row],[Google Koordinaten]]),
FIND(",",TRIM(Lose[[#This Row],[Google Koordinaten]])) + 2,9),"")</f>
        <v>7.9624861</v>
      </c>
      <c r="N214">
        <f>IF(Lose[[#This Row],[Bahn-hofs-zeit]]=0,0,MROUND(30*25^((Lose[[#This Row],[Bahn-hofs-zeit]]-_xlfn.MINIFS(Lose[Bahn-hofs-zeit],Lose[Bahn-hofs-zeit],"&gt;0"))/(MAX(Lose[Bahn-hofs-zeit])-_xlfn.MINIFS(Lose[Bahn-hofs-zeit],Lose[Bahn-hofs-zeit],"&gt;0"))),5))</f>
        <v>80</v>
      </c>
      <c r="O214">
        <f>IF(Lose[[#This Row],[Gehzeit (min)]]="",0,CEILING(3*(Lose[[#This Row],[Gehzeit (min)]]+Lose[[#This Row],[Aufgaben-zeit (min)]]),5))</f>
        <v>85</v>
      </c>
      <c r="P214">
        <v>6.75</v>
      </c>
      <c r="Q214">
        <f>IFERROR(ROUND(Lose[[#This Row],[Distanz (km)]]*60/Lose[[#This Row],[Gehzeit (min)]],1),"")</f>
        <v>2.2999999999999998</v>
      </c>
      <c r="R2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214">
        <f>IFERROR(Lose[[#This Row],[Distanz (km)]]-Lose[[#This Row],[Check Distanz]],"")</f>
        <v>0.41999999999999993</v>
      </c>
      <c r="T214" s="60">
        <f>IFERROR(Lose[[#This Row],[Check Umweg]]/Lose[[#This Row],[Check Distanz]],"")</f>
        <v>0.79245283018867907</v>
      </c>
      <c r="U214">
        <f ca="1">IF(RIGHT(Lose[[#This Row],[LosID]],1)="b",_xlfn.XLOOKUP(REPLACE(Lose[[#This Row],[LosID]],LEN(Lose[[#This Row],[LosID]]),1,"a"),Lose[LosID],Lose[Zufallszahl],"",0),RAND())</f>
        <v>0.55710415294789495</v>
      </c>
      <c r="V214" t="b" cm="1">
        <f t="array" aca="1" ref="V214" ca="1">Lose[[#This Row],[Zufallszahl]]&gt;=IFERROR(LARGE((LEFT(Lose[LosID],FIND("-",Lose[LosID])-1)=LEFT(Lose[[#This Row],[LosID]],FIND("-",Lose[[#This Row],[LosID]])-1))*Lose[Zufallszahl],_xlfn.XLOOKUP(LEFT(Lose[[#This Row],[LosID]],FIND("-",Lose[[#This Row],[LosID]])-1),Ziehungsanzahl[Kürzel],Ziehungsanzahl[Kontingent],FALSE,0)),9999)</f>
        <v>0</v>
      </c>
    </row>
    <row r="215" spans="1:23" ht="75" hidden="1">
      <c r="A2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5" t="s">
        <v>23367</v>
      </c>
      <c r="C215" s="92" t="s">
        <v>24037</v>
      </c>
      <c r="D215" s="1" t="s">
        <v>24038</v>
      </c>
      <c r="E215" t="s">
        <v>24039</v>
      </c>
      <c r="F215" t="s">
        <v>24040</v>
      </c>
      <c r="G215">
        <v>14</v>
      </c>
      <c r="H215">
        <v>2</v>
      </c>
      <c r="I215">
        <v>1</v>
      </c>
      <c r="K215" t="str" cm="1">
        <f t="array" ref="K2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Elsfleth</v>
      </c>
      <c r="L215" t="str">
        <f>IFERROR(LEFT(TRIM(Lose[[#This Row],[Google Koordinaten]]),9),"")</f>
        <v>53.242864</v>
      </c>
      <c r="M215" t="str">
        <f>IFERROR(MID(TRIM(Lose[[#This Row],[Google Koordinaten]]),
FIND(",",TRIM(Lose[[#This Row],[Google Koordinaten]])) + 2,9),"")</f>
        <v>8.4665088</v>
      </c>
      <c r="N215">
        <f>IF(Lose[[#This Row],[Bahn-hofs-zeit]]=0,0,MROUND(30*25^((Lose[[#This Row],[Bahn-hofs-zeit]]-_xlfn.MINIFS(Lose[Bahn-hofs-zeit],Lose[Bahn-hofs-zeit],"&gt;0"))/(MAX(Lose[Bahn-hofs-zeit])-_xlfn.MINIFS(Lose[Bahn-hofs-zeit],Lose[Bahn-hofs-zeit],"&gt;0"))),5))</f>
        <v>100</v>
      </c>
      <c r="O215">
        <f>IF(Lose[[#This Row],[Gehzeit (min)]]="",0,CEILING(3*(Lose[[#This Row],[Gehzeit (min)]]+Lose[[#This Row],[Aufgaben-zeit (min)]]),5))</f>
        <v>50</v>
      </c>
      <c r="P215">
        <v>7.5</v>
      </c>
      <c r="Q215">
        <f>IFERROR(ROUND(Lose[[#This Row],[Distanz (km)]]*60/Lose[[#This Row],[Gehzeit (min)]],1),"")</f>
        <v>4.3</v>
      </c>
      <c r="R2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0.99</v>
      </c>
      <c r="S215">
        <f>IFERROR(Lose[[#This Row],[Distanz (km)]]-Lose[[#This Row],[Check Distanz]],"")</f>
        <v>1.0000000000000009E-2</v>
      </c>
      <c r="T215" s="60">
        <f>IFERROR(Lose[[#This Row],[Check Umweg]]/Lose[[#This Row],[Check Distanz]],"")</f>
        <v>1.0101010101010111E-2</v>
      </c>
      <c r="U215">
        <f ca="1">IF(RIGHT(Lose[[#This Row],[LosID]],1)="b",_xlfn.XLOOKUP(REPLACE(Lose[[#This Row],[LosID]],LEN(Lose[[#This Row],[LosID]]),1,"a"),Lose[LosID],Lose[Zufallszahl],"",0),RAND())</f>
        <v>0.16361834808960862</v>
      </c>
      <c r="V215" t="b" cm="1">
        <f t="array" aca="1" ref="V215" ca="1">Lose[[#This Row],[Zufallszahl]]&gt;=IFERROR(LARGE((LEFT(Lose[LosID],FIND("-",Lose[LosID])-1)=LEFT(Lose[[#This Row],[LosID]],FIND("-",Lose[[#This Row],[LosID]])-1))*Lose[Zufallszahl],_xlfn.XLOOKUP(LEFT(Lose[[#This Row],[LosID]],FIND("-",Lose[[#This Row],[LosID]])-1),Ziehungsanzahl[Kürzel],Ziehungsanzahl[Kontingent],FALSE,0)),9999)</f>
        <v>0</v>
      </c>
    </row>
    <row r="216" spans="1:23" ht="135" hidden="1">
      <c r="A2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16" t="s">
        <v>23372</v>
      </c>
      <c r="C216" s="100" t="s">
        <v>24041</v>
      </c>
      <c r="D216" s="78" t="s">
        <v>24042</v>
      </c>
      <c r="E216" t="s">
        <v>24043</v>
      </c>
      <c r="F216" t="s">
        <v>24044</v>
      </c>
      <c r="G216">
        <v>25</v>
      </c>
      <c r="H216">
        <v>3</v>
      </c>
      <c r="I216">
        <v>1.9</v>
      </c>
      <c r="K216" t="str" cm="1">
        <f t="array" ref="K2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Witzenhausen Nord</v>
      </c>
      <c r="L216" t="str">
        <f>IFERROR(LEFT(TRIM(Lose[[#This Row],[Google Koordinaten]]),9),"")</f>
        <v>51.344200</v>
      </c>
      <c r="M216" t="str">
        <f>IFERROR(MID(TRIM(Lose[[#This Row],[Google Koordinaten]]),
FIND(",",TRIM(Lose[[#This Row],[Google Koordinaten]])) + 2,9),"")</f>
        <v>9.8613753</v>
      </c>
      <c r="N216">
        <f>IF(Lose[[#This Row],[Bahn-hofs-zeit]]=0,0,MROUND(30*25^((Lose[[#This Row],[Bahn-hofs-zeit]]-_xlfn.MINIFS(Lose[Bahn-hofs-zeit],Lose[Bahn-hofs-zeit],"&gt;0"))/(MAX(Lose[Bahn-hofs-zeit])-_xlfn.MINIFS(Lose[Bahn-hofs-zeit],Lose[Bahn-hofs-zeit],"&gt;0"))),5))</f>
        <v>70</v>
      </c>
      <c r="O216">
        <f>IF(Lose[[#This Row],[Gehzeit (min)]]="",0,CEILING(3*(Lose[[#This Row],[Gehzeit (min)]]+Lose[[#This Row],[Aufgaben-zeit (min)]]),5))</f>
        <v>85</v>
      </c>
      <c r="P216">
        <v>6.25</v>
      </c>
      <c r="Q216">
        <f>IFERROR(ROUND(Lose[[#This Row],[Distanz (km)]]*60/Lose[[#This Row],[Gehzeit (min)]],1),"")</f>
        <v>4.5999999999999996</v>
      </c>
      <c r="R2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216">
        <f>IFERROR(Lose[[#This Row],[Distanz (km)]]-Lose[[#This Row],[Check Distanz]],"")</f>
        <v>1.0699999999999998</v>
      </c>
      <c r="T216" s="60">
        <f>IFERROR(Lose[[#This Row],[Check Umweg]]/Lose[[#This Row],[Check Distanz]],"")</f>
        <v>1.2891566265060239</v>
      </c>
      <c r="U216">
        <f ca="1">IF(RIGHT(Lose[[#This Row],[LosID]],1)="b",_xlfn.XLOOKUP(REPLACE(Lose[[#This Row],[LosID]],LEN(Lose[[#This Row],[LosID]]),1,"a"),Lose[LosID],Lose[Zufallszahl],"",0),RAND())</f>
        <v>0.19910884294262088</v>
      </c>
      <c r="V216" t="b" cm="1">
        <f t="array" aca="1" ref="V216" ca="1">Lose[[#This Row],[Zufallszahl]]&gt;=IFERROR(LARGE((LEFT(Lose[LosID],FIND("-",Lose[LosID])-1)=LEFT(Lose[[#This Row],[LosID]],FIND("-",Lose[[#This Row],[LosID]])-1))*Lose[Zufallszahl],_xlfn.XLOOKUP(LEFT(Lose[[#This Row],[LosID]],FIND("-",Lose[[#This Row],[LosID]])-1),Ziehungsanzahl[Kürzel],Ziehungsanzahl[Kontingent],FALSE,0)),9999)</f>
        <v>0</v>
      </c>
      <c r="W216" s="100" t="s">
        <v>23362</v>
      </c>
    </row>
    <row r="217" spans="1:23" ht="120" hidden="1">
      <c r="A2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7" t="s">
        <v>4</v>
      </c>
      <c r="C217" s="93" t="s">
        <v>24045</v>
      </c>
      <c r="D217" s="1" t="s">
        <v>24046</v>
      </c>
      <c r="E217" t="s">
        <v>24047</v>
      </c>
      <c r="F217" t="s">
        <v>24048</v>
      </c>
      <c r="G217">
        <v>16</v>
      </c>
      <c r="H217">
        <v>10</v>
      </c>
      <c r="I217">
        <v>1.2</v>
      </c>
      <c r="K217" t="str" cm="1">
        <f t="array" ref="K2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Mittweida</v>
      </c>
      <c r="L217" t="str">
        <f>IFERROR(LEFT(TRIM(Lose[[#This Row],[Google Koordinaten]]),9),"")</f>
        <v>50.987156</v>
      </c>
      <c r="M217" t="str">
        <f>IFERROR(MID(TRIM(Lose[[#This Row],[Google Koordinaten]]),
FIND(",",TRIM(Lose[[#This Row],[Google Koordinaten]])) + 2,9),"")</f>
        <v>12.973060</v>
      </c>
      <c r="N217">
        <f>IF(Lose[[#This Row],[Bahn-hofs-zeit]]=0,0,MROUND(30*25^((Lose[[#This Row],[Bahn-hofs-zeit]]-_xlfn.MINIFS(Lose[Bahn-hofs-zeit],Lose[Bahn-hofs-zeit],"&gt;0"))/(MAX(Lose[Bahn-hofs-zeit])-_xlfn.MINIFS(Lose[Bahn-hofs-zeit],Lose[Bahn-hofs-zeit],"&gt;0"))),5))</f>
        <v>320</v>
      </c>
      <c r="O217">
        <f>IF(Lose[[#This Row],[Gehzeit (min)]]="",0,CEILING(3*(Lose[[#This Row],[Gehzeit (min)]]+Lose[[#This Row],[Aufgaben-zeit (min)]]),5))</f>
        <v>80</v>
      </c>
      <c r="P217">
        <v>11.5</v>
      </c>
      <c r="Q217">
        <f>IFERROR(ROUND(Lose[[#This Row],[Distanz (km)]]*60/Lose[[#This Row],[Gehzeit (min)]],1),"")</f>
        <v>4.5</v>
      </c>
      <c r="R2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0.92</v>
      </c>
      <c r="S217">
        <f>IFERROR(Lose[[#This Row],[Distanz (km)]]-Lose[[#This Row],[Check Distanz]],"")</f>
        <v>0.27999999999999992</v>
      </c>
      <c r="T217" s="60">
        <f>IFERROR(Lose[[#This Row],[Check Umweg]]/Lose[[#This Row],[Check Distanz]],"")</f>
        <v>0.30434782608695643</v>
      </c>
      <c r="U217">
        <f ca="1">IF(RIGHT(Lose[[#This Row],[LosID]],1)="b",_xlfn.XLOOKUP(REPLACE(Lose[[#This Row],[LosID]],LEN(Lose[[#This Row],[LosID]]),1,"a"),Lose[LosID],Lose[Zufallszahl],"",0),RAND())</f>
        <v>0.11592806730215865</v>
      </c>
      <c r="V217" t="b" cm="1">
        <f t="array" aca="1" ref="V217" ca="1">Lose[[#This Row],[Zufallszahl]]&gt;=IFERROR(LARGE((LEFT(Lose[LosID],FIND("-",Lose[LosID])-1)=LEFT(Lose[[#This Row],[LosID]],FIND("-",Lose[[#This Row],[LosID]])-1))*Lose[Zufallszahl],_xlfn.XLOOKUP(LEFT(Lose[[#This Row],[LosID]],FIND("-",Lose[[#This Row],[LosID]])-1),Ziehungsanzahl[Kürzel],Ziehungsanzahl[Kontingent],FALSE,0)),9999)</f>
        <v>0</v>
      </c>
    </row>
    <row r="218" spans="1:23" ht="135" hidden="1">
      <c r="A2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8" t="s">
        <v>23352</v>
      </c>
      <c r="C218" s="91" t="s">
        <v>24049</v>
      </c>
      <c r="D218" s="1" t="s">
        <v>24050</v>
      </c>
      <c r="E218" t="s">
        <v>24051</v>
      </c>
      <c r="F218" t="s">
        <v>24052</v>
      </c>
      <c r="G218">
        <v>14</v>
      </c>
      <c r="H218">
        <v>5</v>
      </c>
      <c r="I218">
        <v>1</v>
      </c>
      <c r="K218" t="str" cm="1">
        <f t="array" ref="K2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Eichstätt Stadt</v>
      </c>
      <c r="L218" t="str">
        <f>IFERROR(LEFT(TRIM(Lose[[#This Row],[Google Koordinaten]]),9),"")</f>
        <v>48.887677</v>
      </c>
      <c r="M218" t="str">
        <f>IFERROR(MID(TRIM(Lose[[#This Row],[Google Koordinaten]]),
FIND(",",TRIM(Lose[[#This Row],[Google Koordinaten]])) + 2,9),"")</f>
        <v>11.188215</v>
      </c>
      <c r="N218">
        <f>IF(Lose[[#This Row],[Bahn-hofs-zeit]]=0,0,MROUND(30*25^((Lose[[#This Row],[Bahn-hofs-zeit]]-_xlfn.MINIFS(Lose[Bahn-hofs-zeit],Lose[Bahn-hofs-zeit],"&gt;0"))/(MAX(Lose[Bahn-hofs-zeit])-_xlfn.MINIFS(Lose[Bahn-hofs-zeit],Lose[Bahn-hofs-zeit],"&gt;0"))),5))</f>
        <v>295</v>
      </c>
      <c r="O218">
        <f>IF(Lose[[#This Row],[Gehzeit (min)]]="",0,CEILING(3*(Lose[[#This Row],[Gehzeit (min)]]+Lose[[#This Row],[Aufgaben-zeit (min)]]),5))</f>
        <v>60</v>
      </c>
      <c r="P218">
        <v>11.25</v>
      </c>
      <c r="Q218">
        <f>IFERROR(ROUND(Lose[[#This Row],[Distanz (km)]]*60/Lose[[#This Row],[Gehzeit (min)]],1),"")</f>
        <v>4.3</v>
      </c>
      <c r="R2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18">
        <f>IFERROR(Lose[[#This Row],[Distanz (km)]]-Lose[[#This Row],[Check Distanz]],"")</f>
        <v>0.10999999999999999</v>
      </c>
      <c r="T218" s="60">
        <f>IFERROR(Lose[[#This Row],[Check Umweg]]/Lose[[#This Row],[Check Distanz]],"")</f>
        <v>0.12359550561797751</v>
      </c>
      <c r="U218">
        <f ca="1">IF(RIGHT(Lose[[#This Row],[LosID]],1)="b",_xlfn.XLOOKUP(REPLACE(Lose[[#This Row],[LosID]],LEN(Lose[[#This Row],[LosID]]),1,"a"),Lose[LosID],Lose[Zufallszahl],"",0),RAND())</f>
        <v>4.7321056937516204E-2</v>
      </c>
      <c r="V218" t="b" cm="1">
        <f t="array" aca="1" ref="V218" ca="1">Lose[[#This Row],[Zufallszahl]]&gt;=IFERROR(LARGE((LEFT(Lose[LosID],FIND("-",Lose[LosID])-1)=LEFT(Lose[[#This Row],[LosID]],FIND("-",Lose[[#This Row],[LosID]])-1))*Lose[Zufallszahl],_xlfn.XLOOKUP(LEFT(Lose[[#This Row],[LosID]],FIND("-",Lose[[#This Row],[LosID]])-1),Ziehungsanzahl[Kürzel],Ziehungsanzahl[Kontingent],FALSE,0)),9999)</f>
        <v>0</v>
      </c>
    </row>
    <row r="219" spans="1:23" ht="60" hidden="1">
      <c r="A2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9" t="s">
        <v>23367</v>
      </c>
      <c r="C219" s="92" t="s">
        <v>1314</v>
      </c>
      <c r="D219" s="1" t="s">
        <v>24053</v>
      </c>
      <c r="E219" t="s">
        <v>24054</v>
      </c>
      <c r="F219" t="s">
        <v>24055</v>
      </c>
      <c r="G219">
        <v>12</v>
      </c>
      <c r="H219">
        <v>2</v>
      </c>
      <c r="I219">
        <v>0.85</v>
      </c>
      <c r="K219" t="str" cm="1">
        <f t="array" ref="K2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Holzminden</v>
      </c>
      <c r="L219" t="str">
        <f>IFERROR(LEFT(TRIM(Lose[[#This Row],[Google Koordinaten]]),9),"")</f>
        <v>51.827210</v>
      </c>
      <c r="M219" t="str">
        <f>IFERROR(MID(TRIM(Lose[[#This Row],[Google Koordinaten]]),
FIND(",",TRIM(Lose[[#This Row],[Google Koordinaten]])) + 2,9),"")</f>
        <v>9.4509198</v>
      </c>
      <c r="N219">
        <f>IF(Lose[[#This Row],[Bahn-hofs-zeit]]=0,0,MROUND(30*25^((Lose[[#This Row],[Bahn-hofs-zeit]]-_xlfn.MINIFS(Lose[Bahn-hofs-zeit],Lose[Bahn-hofs-zeit],"&gt;0"))/(MAX(Lose[Bahn-hofs-zeit])-_xlfn.MINIFS(Lose[Bahn-hofs-zeit],Lose[Bahn-hofs-zeit],"&gt;0"))),5))</f>
        <v>60</v>
      </c>
      <c r="O219">
        <f>IF(Lose[[#This Row],[Gehzeit (min)]]="",0,CEILING(3*(Lose[[#This Row],[Gehzeit (min)]]+Lose[[#This Row],[Aufgaben-zeit (min)]]),5))</f>
        <v>45</v>
      </c>
      <c r="P219">
        <v>5.75</v>
      </c>
      <c r="Q219">
        <f>IFERROR(ROUND(Lose[[#This Row],[Distanz (km)]]*60/Lose[[#This Row],[Gehzeit (min)]],1),"")</f>
        <v>4.3</v>
      </c>
      <c r="R2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219">
        <f>IFERROR(Lose[[#This Row],[Distanz (km)]]-Lose[[#This Row],[Check Distanz]],"")</f>
        <v>4.9999999999999933E-2</v>
      </c>
      <c r="T219" s="60">
        <f>IFERROR(Lose[[#This Row],[Check Umweg]]/Lose[[#This Row],[Check Distanz]],"")</f>
        <v>6.2499999999999917E-2</v>
      </c>
      <c r="U219">
        <f ca="1">IF(RIGHT(Lose[[#This Row],[LosID]],1)="b",_xlfn.XLOOKUP(REPLACE(Lose[[#This Row],[LosID]],LEN(Lose[[#This Row],[LosID]]),1,"a"),Lose[LosID],Lose[Zufallszahl],"",0),RAND())</f>
        <v>0.89095583563019587</v>
      </c>
      <c r="V219" t="b" cm="1">
        <f t="array" aca="1" ref="V219" ca="1">Lose[[#This Row],[Zufallszahl]]&gt;=IFERROR(LARGE((LEFT(Lose[LosID],FIND("-",Lose[LosID])-1)=LEFT(Lose[[#This Row],[LosID]],FIND("-",Lose[[#This Row],[LosID]])-1))*Lose[Zufallszahl],_xlfn.XLOOKUP(LEFT(Lose[[#This Row],[LosID]],FIND("-",Lose[[#This Row],[LosID]])-1),Ziehungsanzahl[Kürzel],Ziehungsanzahl[Kontingent],FALSE,0)),9999)</f>
        <v>0</v>
      </c>
    </row>
    <row r="220" spans="1:23" ht="75" hidden="1">
      <c r="A2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0" t="s">
        <v>23380</v>
      </c>
      <c r="C220" s="92" t="s">
        <v>1321</v>
      </c>
      <c r="D220" s="64" t="s">
        <v>24056</v>
      </c>
      <c r="E220" t="s">
        <v>24057</v>
      </c>
      <c r="F220" t="s">
        <v>24058</v>
      </c>
      <c r="G220">
        <v>6</v>
      </c>
      <c r="H220">
        <v>5</v>
      </c>
      <c r="I220">
        <v>0.35</v>
      </c>
      <c r="K220" t="str" cm="1">
        <f t="array" ref="K2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Neubrücke(Nahe)</v>
      </c>
      <c r="L220" t="str">
        <f>IFERROR(LEFT(TRIM(Lose[[#This Row],[Google Koordinaten]]),9),"")</f>
        <v>49.607640</v>
      </c>
      <c r="M220" t="str">
        <f>IFERROR(MID(TRIM(Lose[[#This Row],[Google Koordinaten]]),
FIND(",",TRIM(Lose[[#This Row],[Google Koordinaten]])) + 2,9),"")</f>
        <v>7.1687894</v>
      </c>
      <c r="N220">
        <f>IF(Lose[[#This Row],[Bahn-hofs-zeit]]=0,0,MROUND(30*25^((Lose[[#This Row],[Bahn-hofs-zeit]]-_xlfn.MINIFS(Lose[Bahn-hofs-zeit],Lose[Bahn-hofs-zeit],"&gt;0"))/(MAX(Lose[Bahn-hofs-zeit])-_xlfn.MINIFS(Lose[Bahn-hofs-zeit],Lose[Bahn-hofs-zeit],"&gt;0"))),5))</f>
        <v>110</v>
      </c>
      <c r="O220">
        <f>IF(Lose[[#This Row],[Gehzeit (min)]]="",0,CEILING(3*(Lose[[#This Row],[Gehzeit (min)]]+Lose[[#This Row],[Aufgaben-zeit (min)]]),5))</f>
        <v>35</v>
      </c>
      <c r="P220">
        <v>7.75</v>
      </c>
      <c r="Q220">
        <f>IFERROR(ROUND(Lose[[#This Row],[Distanz (km)]]*60/Lose[[#This Row],[Gehzeit (min)]],1),"")</f>
        <v>3.5</v>
      </c>
      <c r="R2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0.33</v>
      </c>
      <c r="S220">
        <f>IFERROR(Lose[[#This Row],[Distanz (km)]]-Lose[[#This Row],[Check Distanz]],"")</f>
        <v>1.9999999999999962E-2</v>
      </c>
      <c r="T220" s="60">
        <f>IFERROR(Lose[[#This Row],[Check Umweg]]/Lose[[#This Row],[Check Distanz]],"")</f>
        <v>6.060606060606049E-2</v>
      </c>
      <c r="U220">
        <f ca="1">IF(RIGHT(Lose[[#This Row],[LosID]],1)="b",_xlfn.XLOOKUP(REPLACE(Lose[[#This Row],[LosID]],LEN(Lose[[#This Row],[LosID]]),1,"a"),Lose[LosID],Lose[Zufallszahl],"",0),RAND())</f>
        <v>0.12056252867883832</v>
      </c>
      <c r="V220" t="b" cm="1">
        <f t="array" aca="1" ref="V220" ca="1">Lose[[#This Row],[Zufallszahl]]&gt;=IFERROR(LARGE((LEFT(Lose[LosID],FIND("-",Lose[LosID])-1)=LEFT(Lose[[#This Row],[LosID]],FIND("-",Lose[[#This Row],[LosID]])-1))*Lose[Zufallszahl],_xlfn.XLOOKUP(LEFT(Lose[[#This Row],[LosID]],FIND("-",Lose[[#This Row],[LosID]])-1),Ziehungsanzahl[Kürzel],Ziehungsanzahl[Kontingent],FALSE,0)),9999)</f>
        <v>0</v>
      </c>
    </row>
    <row r="221" spans="1:23" ht="90">
      <c r="A2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1" t="s">
        <v>23385</v>
      </c>
      <c r="C221" s="91" t="s">
        <v>24059</v>
      </c>
      <c r="D221" s="84" t="s">
        <v>24060</v>
      </c>
      <c r="E221" t="s">
        <v>24061</v>
      </c>
      <c r="F221" t="s">
        <v>24062</v>
      </c>
      <c r="G221">
        <v>9</v>
      </c>
      <c r="H221">
        <v>5</v>
      </c>
      <c r="I221">
        <v>0.7</v>
      </c>
      <c r="J221">
        <v>20</v>
      </c>
      <c r="K221" t="str" cm="1">
        <f t="array" ref="K2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Hattenheim</v>
      </c>
      <c r="L221" t="str">
        <f>IFERROR(LEFT(TRIM(Lose[[#This Row],[Google Koordinaten]]),9),"")</f>
        <v>50.012315</v>
      </c>
      <c r="M221" t="str">
        <f>IFERROR(MID(TRIM(Lose[[#This Row],[Google Koordinaten]]),
FIND(",",TRIM(Lose[[#This Row],[Google Koordinaten]])) + 2,9),"")</f>
        <v>8.0482839</v>
      </c>
      <c r="N221">
        <f>IF(Lose[[#This Row],[Bahn-hofs-zeit]]=0,0,MROUND(30*25^((Lose[[#This Row],[Bahn-hofs-zeit]]-_xlfn.MINIFS(Lose[Bahn-hofs-zeit],Lose[Bahn-hofs-zeit],"&gt;0"))/(MAX(Lose[Bahn-hofs-zeit])-_xlfn.MINIFS(Lose[Bahn-hofs-zeit],Lose[Bahn-hofs-zeit],"&gt;0"))),5))</f>
        <v>70</v>
      </c>
      <c r="O221">
        <f>IF(Lose[[#This Row],[Gehzeit (min)]]="",0,CEILING(3*(Lose[[#This Row],[Gehzeit (min)]]+Lose[[#This Row],[Aufgaben-zeit (min)]]),5))</f>
        <v>45</v>
      </c>
      <c r="P221">
        <v>6.25</v>
      </c>
      <c r="Q221">
        <f>IFERROR(ROUND(Lose[[#This Row],[Distanz (km)]]*60/Lose[[#This Row],[Gehzeit (min)]],1),"")</f>
        <v>4.7</v>
      </c>
      <c r="R2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21">
        <f>IFERROR(Lose[[#This Row],[Distanz (km)]]-Lose[[#This Row],[Check Distanz]],"")</f>
        <v>6.9999999999999951E-2</v>
      </c>
      <c r="T221" s="60">
        <f>IFERROR(Lose[[#This Row],[Check Umweg]]/Lose[[#This Row],[Check Distanz]],"")</f>
        <v>0.11111111111111104</v>
      </c>
      <c r="U221">
        <f ca="1">IF(RIGHT(Lose[[#This Row],[LosID]],1)="b",_xlfn.XLOOKUP(REPLACE(Lose[[#This Row],[LosID]],LEN(Lose[[#This Row],[LosID]]),1,"a"),Lose[LosID],Lose[Zufallszahl],"",0),RAND())</f>
        <v>0.14277595313911473</v>
      </c>
      <c r="V221" t="b" cm="1">
        <f t="array" aca="1" ref="V221" ca="1">Lose[[#This Row],[Zufallszahl]]&gt;=IFERROR(LARGE((LEFT(Lose[LosID],FIND("-",Lose[LosID])-1)=LEFT(Lose[[#This Row],[LosID]],FIND("-",Lose[[#This Row],[LosID]])-1))*Lose[Zufallszahl],_xlfn.XLOOKUP(LEFT(Lose[[#This Row],[LosID]],FIND("-",Lose[[#This Row],[LosID]])-1),Ziehungsanzahl[Kürzel],Ziehungsanzahl[Kontingent],FALSE,0)),9999)</f>
        <v>0</v>
      </c>
    </row>
    <row r="222" spans="1:23" ht="45" hidden="1">
      <c r="A2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2" t="s">
        <v>23390</v>
      </c>
      <c r="C222" s="92" t="s">
        <v>1322</v>
      </c>
      <c r="D222" s="1" t="s">
        <v>24063</v>
      </c>
      <c r="E222" t="s">
        <v>24064</v>
      </c>
      <c r="F222" t="s">
        <v>24065</v>
      </c>
      <c r="G222">
        <v>8</v>
      </c>
      <c r="H222">
        <v>2</v>
      </c>
      <c r="I222">
        <v>0.6</v>
      </c>
      <c r="K222" t="str" cm="1">
        <f t="array" ref="K2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Gengenbach</v>
      </c>
      <c r="L222" t="str">
        <f>IFERROR(LEFT(TRIM(Lose[[#This Row],[Google Koordinaten]]),9),"")</f>
        <v>48.404205</v>
      </c>
      <c r="M222" t="str">
        <f>IFERROR(MID(TRIM(Lose[[#This Row],[Google Koordinaten]]),
FIND(",",TRIM(Lose[[#This Row],[Google Koordinaten]])) + 2,9),"")</f>
        <v>8.0168303</v>
      </c>
      <c r="N222">
        <f>IF(Lose[[#This Row],[Bahn-hofs-zeit]]=0,0,MROUND(30*25^((Lose[[#This Row],[Bahn-hofs-zeit]]-_xlfn.MINIFS(Lose[Bahn-hofs-zeit],Lose[Bahn-hofs-zeit],"&gt;0"))/(MAX(Lose[Bahn-hofs-zeit])-_xlfn.MINIFS(Lose[Bahn-hofs-zeit],Lose[Bahn-hofs-zeit],"&gt;0"))),5))</f>
        <v>95</v>
      </c>
      <c r="O222">
        <f>IF(Lose[[#This Row],[Gehzeit (min)]]="",0,CEILING(3*(Lose[[#This Row],[Gehzeit (min)]]+Lose[[#This Row],[Aufgaben-zeit (min)]]),5))</f>
        <v>30</v>
      </c>
      <c r="P222">
        <v>7.25</v>
      </c>
      <c r="Q222">
        <f>IFERROR(ROUND(Lose[[#This Row],[Distanz (km)]]*60/Lose[[#This Row],[Gehzeit (min)]],1),"")</f>
        <v>4.5</v>
      </c>
      <c r="R2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22">
        <f>IFERROR(Lose[[#This Row],[Distanz (km)]]-Lose[[#This Row],[Check Distanz]],"")</f>
        <v>0.10999999999999999</v>
      </c>
      <c r="T222" s="60">
        <f>IFERROR(Lose[[#This Row],[Check Umweg]]/Lose[[#This Row],[Check Distanz]],"")</f>
        <v>0.22448979591836732</v>
      </c>
      <c r="U222">
        <f ca="1">IF(RIGHT(Lose[[#This Row],[LosID]],1)="b",_xlfn.XLOOKUP(REPLACE(Lose[[#This Row],[LosID]],LEN(Lose[[#This Row],[LosID]]),1,"a"),Lose[LosID],Lose[Zufallszahl],"",0),RAND())</f>
        <v>0.33633559416952108</v>
      </c>
      <c r="V222" t="b" cm="1">
        <f t="array" aca="1" ref="V222" ca="1">Lose[[#This Row],[Zufallszahl]]&gt;=IFERROR(LARGE((LEFT(Lose[LosID],FIND("-",Lose[LosID])-1)=LEFT(Lose[[#This Row],[LosID]],FIND("-",Lose[[#This Row],[LosID]])-1))*Lose[Zufallszahl],_xlfn.XLOOKUP(LEFT(Lose[[#This Row],[LosID]],FIND("-",Lose[[#This Row],[LosID]])-1),Ziehungsanzahl[Kürzel],Ziehungsanzahl[Kontingent],FALSE,0)),9999)</f>
        <v>0</v>
      </c>
    </row>
    <row r="223" spans="1:23" ht="30" hidden="1">
      <c r="A2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3" t="s">
        <v>23394</v>
      </c>
      <c r="C223" s="92" t="s">
        <v>24066</v>
      </c>
      <c r="D223" s="1" t="s">
        <v>24067</v>
      </c>
      <c r="E223" t="s">
        <v>24068</v>
      </c>
      <c r="F223" t="s">
        <v>24069</v>
      </c>
      <c r="G223">
        <v>15</v>
      </c>
      <c r="H223">
        <v>1</v>
      </c>
      <c r="I223">
        <v>1</v>
      </c>
      <c r="K223" t="str" cm="1">
        <f t="array" ref="K2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Münchberg</v>
      </c>
      <c r="L223" t="str">
        <f>IFERROR(LEFT(TRIM(Lose[[#This Row],[Google Koordinaten]]),9),"")</f>
        <v>50.192412</v>
      </c>
      <c r="M223" t="str">
        <f>IFERROR(MID(TRIM(Lose[[#This Row],[Google Koordinaten]]),
FIND(",",TRIM(Lose[[#This Row],[Google Koordinaten]])) + 2,9),"")</f>
        <v>11.780712</v>
      </c>
      <c r="N223">
        <f>IF(Lose[[#This Row],[Bahn-hofs-zeit]]=0,0,MROUND(30*25^((Lose[[#This Row],[Bahn-hofs-zeit]]-_xlfn.MINIFS(Lose[Bahn-hofs-zeit],Lose[Bahn-hofs-zeit],"&gt;0"))/(MAX(Lose[Bahn-hofs-zeit])-_xlfn.MINIFS(Lose[Bahn-hofs-zeit],Lose[Bahn-hofs-zeit],"&gt;0"))),5))</f>
        <v>295</v>
      </c>
      <c r="O223">
        <f>IF(Lose[[#This Row],[Gehzeit (min)]]="",0,CEILING(3*(Lose[[#This Row],[Gehzeit (min)]]+Lose[[#This Row],[Aufgaben-zeit (min)]]),5))</f>
        <v>50</v>
      </c>
      <c r="P223">
        <v>11.25</v>
      </c>
      <c r="Q223">
        <f>IFERROR(ROUND(Lose[[#This Row],[Distanz (km)]]*60/Lose[[#This Row],[Gehzeit (min)]],1),"")</f>
        <v>4</v>
      </c>
      <c r="R2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223">
        <f>IFERROR(Lose[[#This Row],[Distanz (km)]]-Lose[[#This Row],[Check Distanz]],"")</f>
        <v>0.19999999999999996</v>
      </c>
      <c r="T223" s="60">
        <f>IFERROR(Lose[[#This Row],[Check Umweg]]/Lose[[#This Row],[Check Distanz]],"")</f>
        <v>0.24999999999999994</v>
      </c>
      <c r="U223">
        <f ca="1">IF(RIGHT(Lose[[#This Row],[LosID]],1)="b",_xlfn.XLOOKUP(REPLACE(Lose[[#This Row],[LosID]],LEN(Lose[[#This Row],[LosID]]),1,"a"),Lose[LosID],Lose[Zufallszahl],"",0),RAND())</f>
        <v>0.69195847779751007</v>
      </c>
      <c r="V223" t="b" cm="1">
        <f t="array" aca="1" ref="V223" ca="1">Lose[[#This Row],[Zufallszahl]]&gt;=IFERROR(LARGE((LEFT(Lose[LosID],FIND("-",Lose[LosID])-1)=LEFT(Lose[[#This Row],[LosID]],FIND("-",Lose[[#This Row],[LosID]])-1))*Lose[Zufallszahl],_xlfn.XLOOKUP(LEFT(Lose[[#This Row],[LosID]],FIND("-",Lose[[#This Row],[LosID]])-1),Ziehungsanzahl[Kürzel],Ziehungsanzahl[Kontingent],FALSE,0)),9999)</f>
        <v>0</v>
      </c>
    </row>
    <row r="224" spans="1:23" ht="240" hidden="1">
      <c r="A2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4" t="s">
        <v>23403</v>
      </c>
      <c r="C224" s="93" t="s">
        <v>24070</v>
      </c>
      <c r="D224" s="64" t="s">
        <v>24071</v>
      </c>
      <c r="E224" t="s">
        <v>24072</v>
      </c>
      <c r="F224" t="s">
        <v>24073</v>
      </c>
      <c r="G224">
        <v>7</v>
      </c>
      <c r="H224">
        <v>5</v>
      </c>
      <c r="I224">
        <v>0.5</v>
      </c>
      <c r="J224">
        <v>10</v>
      </c>
      <c r="K224" t="str" cm="1">
        <f t="array" ref="K2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Benediktbeuern</v>
      </c>
      <c r="L224" t="str">
        <f>IFERROR(LEFT(TRIM(Lose[[#This Row],[Google Koordinaten]]),9),"")</f>
        <v>47.708241</v>
      </c>
      <c r="M224" t="str">
        <f>IFERROR(MID(TRIM(Lose[[#This Row],[Google Koordinaten]]),
FIND(",",TRIM(Lose[[#This Row],[Google Koordinaten]])) + 2,9),"")</f>
        <v>11.398178</v>
      </c>
      <c r="N224" s="91">
        <f>IF(Lose[[#This Row],[Bahn-hofs-zeit]]=0,0,MROUND(30*25^((Lose[[#This Row],[Bahn-hofs-zeit]]-_xlfn.MINIFS(Lose[Bahn-hofs-zeit],Lose[Bahn-hofs-zeit],"&gt;0"))/(MAX(Lose[Bahn-hofs-zeit])-_xlfn.MINIFS(Lose[Bahn-hofs-zeit],Lose[Bahn-hofs-zeit],"&gt;0"))),5))</f>
        <v>0</v>
      </c>
      <c r="O224">
        <f>IF(Lose[[#This Row],[Gehzeit (min)]]="",0,CEILING(3*(Lose[[#This Row],[Gehzeit (min)]]+Lose[[#This Row],[Aufgaben-zeit (min)]]),5))</f>
        <v>40</v>
      </c>
      <c r="Q224">
        <f>IFERROR(ROUND(Lose[[#This Row],[Distanz (km)]]*60/Lose[[#This Row],[Gehzeit (min)]],1),"")</f>
        <v>4.3</v>
      </c>
      <c r="R2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24">
        <f>IFERROR(Lose[[#This Row],[Distanz (km)]]-Lose[[#This Row],[Check Distanz]],"")</f>
        <v>0.12</v>
      </c>
      <c r="T224" s="60">
        <f>IFERROR(Lose[[#This Row],[Check Umweg]]/Lose[[#This Row],[Check Distanz]],"")</f>
        <v>0.31578947368421051</v>
      </c>
      <c r="U224">
        <f ca="1">IF(RIGHT(Lose[[#This Row],[LosID]],1)="b",_xlfn.XLOOKUP(REPLACE(Lose[[#This Row],[LosID]],LEN(Lose[[#This Row],[LosID]]),1,"a"),Lose[LosID],Lose[Zufallszahl],"",0),RAND())</f>
        <v>0.85849227769774228</v>
      </c>
      <c r="V224" t="b" cm="1">
        <f t="array" aca="1" ref="V224" ca="1">Lose[[#This Row],[Zufallszahl]]&gt;=IFERROR(LARGE((LEFT(Lose[LosID],FIND("-",Lose[LosID])-1)=LEFT(Lose[[#This Row],[LosID]],FIND("-",Lose[[#This Row],[LosID]])-1))*Lose[Zufallszahl],_xlfn.XLOOKUP(LEFT(Lose[[#This Row],[LosID]],FIND("-",Lose[[#This Row],[LosID]])-1),Ziehungsanzahl[Kürzel],Ziehungsanzahl[Kontingent],FALSE,0)),9999)</f>
        <v>0</v>
      </c>
      <c r="W224" t="s">
        <v>23398</v>
      </c>
    </row>
    <row r="225" spans="1:23" ht="120" hidden="1">
      <c r="A2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5" t="s">
        <v>23408</v>
      </c>
      <c r="C225" s="93" t="s">
        <v>24074</v>
      </c>
      <c r="D225" s="1" t="s">
        <v>24075</v>
      </c>
      <c r="E225" t="s">
        <v>24076</v>
      </c>
      <c r="F225" t="s">
        <v>24077</v>
      </c>
      <c r="K225" t="str" cm="1">
        <f t="array" ref="K2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Neuendettelsau</v>
      </c>
      <c r="L225" t="str">
        <f>IFERROR(LEFT(TRIM(Lose[[#This Row],[Google Koordinaten]]),9),"")</f>
        <v>49.283301</v>
      </c>
      <c r="M225" t="str">
        <f>IFERROR(MID(TRIM(Lose[[#This Row],[Google Koordinaten]]),
FIND(",",TRIM(Lose[[#This Row],[Google Koordinaten]])) + 2,9),"")</f>
        <v>10.775864</v>
      </c>
      <c r="N225">
        <f>IF(Lose[[#This Row],[Bahn-hofs-zeit]]=0,0,MROUND(30*25^((Lose[[#This Row],[Bahn-hofs-zeit]]-_xlfn.MINIFS(Lose[Bahn-hofs-zeit],Lose[Bahn-hofs-zeit],"&gt;0"))/(MAX(Lose[Bahn-hofs-zeit])-_xlfn.MINIFS(Lose[Bahn-hofs-zeit],Lose[Bahn-hofs-zeit],"&gt;0"))),5))</f>
        <v>165</v>
      </c>
      <c r="O225">
        <f>IF(Lose[[#This Row],[Gehzeit (min)]]="",0,CEILING(3*(Lose[[#This Row],[Gehzeit (min)]]+Lose[[#This Row],[Aufgaben-zeit (min)]]),5))</f>
        <v>0</v>
      </c>
      <c r="P225">
        <v>9.25</v>
      </c>
      <c r="Q225" t="str">
        <f>IFERROR(ROUND(Lose[[#This Row],[Distanz (km)]]*60/Lose[[#This Row],[Gehzeit (min)]],1),"")</f>
        <v/>
      </c>
      <c r="R2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225">
        <f>IFERROR(Lose[[#This Row],[Distanz (km)]]-Lose[[#This Row],[Check Distanz]],"")</f>
        <v>-0.48</v>
      </c>
      <c r="T225" s="60">
        <f>IFERROR(Lose[[#This Row],[Check Umweg]]/Lose[[#This Row],[Check Distanz]],"")</f>
        <v>-1</v>
      </c>
      <c r="U225">
        <f ca="1">IF(RIGHT(Lose[[#This Row],[LosID]],1)="b",_xlfn.XLOOKUP(REPLACE(Lose[[#This Row],[LosID]],LEN(Lose[[#This Row],[LosID]]),1,"a"),Lose[LosID],Lose[Zufallszahl],"",0),RAND())</f>
        <v>0.72179466035278406</v>
      </c>
      <c r="V225" t="b" cm="1">
        <f t="array" aca="1" ref="V225" ca="1">Lose[[#This Row],[Zufallszahl]]&gt;=IFERROR(LARGE((LEFT(Lose[LosID],FIND("-",Lose[LosID])-1)=LEFT(Lose[[#This Row],[LosID]],FIND("-",Lose[[#This Row],[LosID]])-1))*Lose[Zufallszahl],_xlfn.XLOOKUP(LEFT(Lose[[#This Row],[LosID]],FIND("-",Lose[[#This Row],[LosID]])-1),Ziehungsanzahl[Kürzel],Ziehungsanzahl[Kontingent],FALSE,0)),9999)</f>
        <v>0</v>
      </c>
    </row>
    <row r="226" spans="1:23" ht="75" hidden="1">
      <c r="A2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6" t="s">
        <v>23372</v>
      </c>
      <c r="C226" s="92" t="s">
        <v>1315</v>
      </c>
      <c r="D226" s="78" t="s">
        <v>24078</v>
      </c>
      <c r="E226" t="s">
        <v>24079</v>
      </c>
      <c r="F226" t="s">
        <v>24080</v>
      </c>
      <c r="G226">
        <v>25</v>
      </c>
      <c r="H226">
        <v>1</v>
      </c>
      <c r="I226">
        <v>1.6</v>
      </c>
      <c r="K226" t="str" cm="1">
        <f t="array" ref="K2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Vallendar</v>
      </c>
      <c r="L226" t="str">
        <f>IFERROR(LEFT(TRIM(Lose[[#This Row],[Google Koordinaten]]),9),"")</f>
        <v>50.401625</v>
      </c>
      <c r="M226" t="str">
        <f>IFERROR(MID(TRIM(Lose[[#This Row],[Google Koordinaten]]),
FIND(",",TRIM(Lose[[#This Row],[Google Koordinaten]])) + 2,9),"")</f>
        <v>7.6267974</v>
      </c>
      <c r="N226">
        <f>IF(Lose[[#This Row],[Bahn-hofs-zeit]]=0,0,MROUND(30*25^((Lose[[#This Row],[Bahn-hofs-zeit]]-_xlfn.MINIFS(Lose[Bahn-hofs-zeit],Lose[Bahn-hofs-zeit],"&gt;0"))/(MAX(Lose[Bahn-hofs-zeit])-_xlfn.MINIFS(Lose[Bahn-hofs-zeit],Lose[Bahn-hofs-zeit],"&gt;0"))),5))</f>
        <v>75</v>
      </c>
      <c r="O226">
        <f>IF(Lose[[#This Row],[Gehzeit (min)]]="",0,CEILING(3*(Lose[[#This Row],[Gehzeit (min)]]+Lose[[#This Row],[Aufgaben-zeit (min)]]),5))</f>
        <v>80</v>
      </c>
      <c r="P226">
        <v>6.5</v>
      </c>
      <c r="Q226">
        <f>IFERROR(ROUND(Lose[[#This Row],[Distanz (km)]]*60/Lose[[#This Row],[Gehzeit (min)]],1),"")</f>
        <v>3.8</v>
      </c>
      <c r="R2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226">
        <f>IFERROR(Lose[[#This Row],[Distanz (km)]]-Lose[[#This Row],[Check Distanz]],"")</f>
        <v>0.39000000000000012</v>
      </c>
      <c r="T226" s="60">
        <f>IFERROR(Lose[[#This Row],[Check Umweg]]/Lose[[#This Row],[Check Distanz]],"")</f>
        <v>0.32231404958677695</v>
      </c>
      <c r="U226">
        <f ca="1">IF(RIGHT(Lose[[#This Row],[LosID]],1)="b",_xlfn.XLOOKUP(REPLACE(Lose[[#This Row],[LosID]],LEN(Lose[[#This Row],[LosID]]),1,"a"),Lose[LosID],Lose[Zufallszahl],"",0),RAND())</f>
        <v>1.6318677077527877E-2</v>
      </c>
      <c r="V226" t="b" cm="1">
        <f t="array" aca="1" ref="V226" ca="1">Lose[[#This Row],[Zufallszahl]]&gt;=IFERROR(LARGE((LEFT(Lose[LosID],FIND("-",Lose[LosID])-1)=LEFT(Lose[[#This Row],[LosID]],FIND("-",Lose[[#This Row],[LosID]])-1))*Lose[Zufallszahl],_xlfn.XLOOKUP(LEFT(Lose[[#This Row],[LosID]],FIND("-",Lose[[#This Row],[LosID]])-1),Ziehungsanzahl[Kürzel],Ziehungsanzahl[Kontingent],FALSE,0)),9999)</f>
        <v>0</v>
      </c>
    </row>
    <row r="227" spans="1:23" ht="150" hidden="1">
      <c r="A2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227" t="s">
        <v>4</v>
      </c>
      <c r="C227" s="92" t="s">
        <v>1316</v>
      </c>
      <c r="D227" s="1" t="s">
        <v>24081</v>
      </c>
      <c r="E227" t="s">
        <v>24082</v>
      </c>
      <c r="F227" t="s">
        <v>24083</v>
      </c>
      <c r="G227">
        <v>2</v>
      </c>
      <c r="H227">
        <v>5</v>
      </c>
      <c r="I227">
        <v>0.15</v>
      </c>
      <c r="J227">
        <v>10</v>
      </c>
      <c r="K227" t="str" cm="1">
        <f t="array" ref="K2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Wildau</v>
      </c>
      <c r="L227" t="str">
        <f>IFERROR(LEFT(TRIM(Lose[[#This Row],[Google Koordinaten]]),9),"")</f>
        <v>52.318206</v>
      </c>
      <c r="M227" t="str">
        <f>IFERROR(MID(TRIM(Lose[[#This Row],[Google Koordinaten]]),
FIND(",",TRIM(Lose[[#This Row],[Google Koordinaten]])) + 2,9),"")</f>
        <v>13.632312</v>
      </c>
      <c r="N227">
        <f>IF(Lose[[#This Row],[Bahn-hofs-zeit]]=0,0,MROUND(30*25^((Lose[[#This Row],[Bahn-hofs-zeit]]-_xlfn.MINIFS(Lose[Bahn-hofs-zeit],Lose[Bahn-hofs-zeit],"&gt;0"))/(MAX(Lose[Bahn-hofs-zeit])-_xlfn.MINIFS(Lose[Bahn-hofs-zeit],Lose[Bahn-hofs-zeit],"&gt;0"))),5))</f>
        <v>205</v>
      </c>
      <c r="O227">
        <f>IF(Lose[[#This Row],[Gehzeit (min)]]="",0,CEILING(3*(Lose[[#This Row],[Gehzeit (min)]]+Lose[[#This Row],[Aufgaben-zeit (min)]]),5))</f>
        <v>25</v>
      </c>
      <c r="P227">
        <v>10</v>
      </c>
      <c r="Q227">
        <f>IFERROR(ROUND(Lose[[#This Row],[Distanz (km)]]*60/Lose[[#This Row],[Gehzeit (min)]],1),"")</f>
        <v>4.5</v>
      </c>
      <c r="R2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227">
        <f>IFERROR(Lose[[#This Row],[Distanz (km)]]-Lose[[#This Row],[Check Distanz]],"")</f>
        <v>-7.0000000000000007E-2</v>
      </c>
      <c r="T227" s="60">
        <f>IFERROR(Lose[[#This Row],[Check Umweg]]/Lose[[#This Row],[Check Distanz]],"")</f>
        <v>-0.31818181818181823</v>
      </c>
      <c r="U227">
        <f ca="1">IF(RIGHT(Lose[[#This Row],[LosID]],1)="b",_xlfn.XLOOKUP(REPLACE(Lose[[#This Row],[LosID]],LEN(Lose[[#This Row],[LosID]]),1,"a"),Lose[LosID],Lose[Zufallszahl],"",0),RAND())</f>
        <v>4.5426761327674869E-2</v>
      </c>
      <c r="V227" t="b" cm="1">
        <f t="array" aca="1" ref="V227" ca="1">Lose[[#This Row],[Zufallszahl]]&gt;=IFERROR(LARGE((LEFT(Lose[LosID],FIND("-",Lose[LosID])-1)=LEFT(Lose[[#This Row],[LosID]],FIND("-",Lose[[#This Row],[LosID]])-1))*Lose[Zufallszahl],_xlfn.XLOOKUP(LEFT(Lose[[#This Row],[LosID]],FIND("-",Lose[[#This Row],[LosID]])-1),Ziehungsanzahl[Kürzel],Ziehungsanzahl[Kontingent],FALSE,0)),9999)</f>
        <v>0</v>
      </c>
      <c r="W227" t="s">
        <v>23362</v>
      </c>
    </row>
    <row r="228" spans="1:23" ht="45" hidden="1">
      <c r="A2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8" t="s">
        <v>23352</v>
      </c>
      <c r="C228" s="92" t="s">
        <v>24084</v>
      </c>
      <c r="D228" s="1" t="s">
        <v>24085</v>
      </c>
      <c r="E228" t="s">
        <v>24086</v>
      </c>
      <c r="F228" t="s">
        <v>24087</v>
      </c>
      <c r="G228">
        <v>10</v>
      </c>
      <c r="H228">
        <v>5</v>
      </c>
      <c r="I228">
        <v>0.7</v>
      </c>
      <c r="K228" t="str" cm="1">
        <f t="array" ref="K2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Sigmaringen</v>
      </c>
      <c r="L228" t="str">
        <f>IFERROR(LEFT(TRIM(Lose[[#This Row],[Google Koordinaten]]),9),"")</f>
        <v>48.088923</v>
      </c>
      <c r="M228" t="str">
        <f>IFERROR(MID(TRIM(Lose[[#This Row],[Google Koordinaten]]),
FIND(",",TRIM(Lose[[#This Row],[Google Koordinaten]])) + 2,9),"")</f>
        <v>9.2144255</v>
      </c>
      <c r="N228">
        <f>IF(Lose[[#This Row],[Bahn-hofs-zeit]]=0,0,MROUND(30*25^((Lose[[#This Row],[Bahn-hofs-zeit]]-_xlfn.MINIFS(Lose[Bahn-hofs-zeit],Lose[Bahn-hofs-zeit],"&gt;0"))/(MAX(Lose[Bahn-hofs-zeit])-_xlfn.MINIFS(Lose[Bahn-hofs-zeit],Lose[Bahn-hofs-zeit],"&gt;0"))),5))</f>
        <v>295</v>
      </c>
      <c r="O228">
        <f>IF(Lose[[#This Row],[Gehzeit (min)]]="",0,CEILING(3*(Lose[[#This Row],[Gehzeit (min)]]+Lose[[#This Row],[Aufgaben-zeit (min)]]),5))</f>
        <v>45</v>
      </c>
      <c r="P228">
        <v>11.25</v>
      </c>
      <c r="Q228">
        <f>IFERROR(ROUND(Lose[[#This Row],[Distanz (km)]]*60/Lose[[#This Row],[Gehzeit (min)]],1),"")</f>
        <v>4.2</v>
      </c>
      <c r="R2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228">
        <f>IFERROR(Lose[[#This Row],[Distanz (km)]]-Lose[[#This Row],[Check Distanz]],"")</f>
        <v>0.10999999999999999</v>
      </c>
      <c r="T228" s="60">
        <f>IFERROR(Lose[[#This Row],[Check Umweg]]/Lose[[#This Row],[Check Distanz]],"")</f>
        <v>0.18644067796610167</v>
      </c>
      <c r="U228">
        <f ca="1">IF(RIGHT(Lose[[#This Row],[LosID]],1)="b",_xlfn.XLOOKUP(REPLACE(Lose[[#This Row],[LosID]],LEN(Lose[[#This Row],[LosID]]),1,"a"),Lose[LosID],Lose[Zufallszahl],"",0),RAND())</f>
        <v>0.34657091030768594</v>
      </c>
      <c r="V228" t="b" cm="1">
        <f t="array" aca="1" ref="V228" ca="1">Lose[[#This Row],[Zufallszahl]]&gt;=IFERROR(LARGE((LEFT(Lose[LosID],FIND("-",Lose[LosID])-1)=LEFT(Lose[[#This Row],[LosID]],FIND("-",Lose[[#This Row],[LosID]])-1))*Lose[Zufallszahl],_xlfn.XLOOKUP(LEFT(Lose[[#This Row],[LosID]],FIND("-",Lose[[#This Row],[LosID]])-1),Ziehungsanzahl[Kürzel],Ziehungsanzahl[Kontingent],FALSE,0)),9999)</f>
        <v>0</v>
      </c>
    </row>
    <row r="229" spans="1:23" ht="75" hidden="1">
      <c r="A2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229" t="s">
        <v>23380</v>
      </c>
      <c r="C229" s="92" t="s">
        <v>1317</v>
      </c>
      <c r="D229" s="1" t="s">
        <v>24088</v>
      </c>
      <c r="E229" t="s">
        <v>24089</v>
      </c>
      <c r="F229" t="s">
        <v>24090</v>
      </c>
      <c r="G229">
        <v>11</v>
      </c>
      <c r="H229">
        <v>5</v>
      </c>
      <c r="I229">
        <v>0.45</v>
      </c>
      <c r="K229" t="str" cm="1">
        <f t="array" ref="K2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Witzenhausen Nord</v>
      </c>
      <c r="L229" t="str">
        <f>IFERROR(LEFT(TRIM(Lose[[#This Row],[Google Koordinaten]]),9),"")</f>
        <v>51.349949</v>
      </c>
      <c r="M229" t="str">
        <f>IFERROR(MID(TRIM(Lose[[#This Row],[Google Koordinaten]]),
FIND(",",TRIM(Lose[[#This Row],[Google Koordinaten]])) + 2,9),"")</f>
        <v>9.8551734</v>
      </c>
      <c r="N229">
        <f>IF(Lose[[#This Row],[Bahn-hofs-zeit]]=0,0,MROUND(30*25^((Lose[[#This Row],[Bahn-hofs-zeit]]-_xlfn.MINIFS(Lose[Bahn-hofs-zeit],Lose[Bahn-hofs-zeit],"&gt;0"))/(MAX(Lose[Bahn-hofs-zeit])-_xlfn.MINIFS(Lose[Bahn-hofs-zeit],Lose[Bahn-hofs-zeit],"&gt;0"))),5))</f>
        <v>70</v>
      </c>
      <c r="O229">
        <f>IF(Lose[[#This Row],[Gehzeit (min)]]="",0,CEILING(3*(Lose[[#This Row],[Gehzeit (min)]]+Lose[[#This Row],[Aufgaben-zeit (min)]]),5))</f>
        <v>50</v>
      </c>
      <c r="P229">
        <v>6.25</v>
      </c>
      <c r="Q229">
        <f>IFERROR(ROUND(Lose[[#This Row],[Distanz (km)]]*60/Lose[[#This Row],[Gehzeit (min)]],1),"")</f>
        <v>2.5</v>
      </c>
      <c r="R2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229">
        <f>IFERROR(Lose[[#This Row],[Distanz (km)]]-Lose[[#This Row],[Check Distanz]],"")</f>
        <v>-0.12999999999999995</v>
      </c>
      <c r="T229" s="60">
        <f>IFERROR(Lose[[#This Row],[Check Umweg]]/Lose[[#This Row],[Check Distanz]],"")</f>
        <v>-0.22413793103448268</v>
      </c>
      <c r="U229">
        <f ca="1">IF(RIGHT(Lose[[#This Row],[LosID]],1)="b",_xlfn.XLOOKUP(REPLACE(Lose[[#This Row],[LosID]],LEN(Lose[[#This Row],[LosID]]),1,"a"),Lose[LosID],Lose[Zufallszahl],"",0),RAND())</f>
        <v>6.2224394730081234E-2</v>
      </c>
      <c r="V229" t="b" cm="1">
        <f t="array" aca="1" ref="V229" ca="1">Lose[[#This Row],[Zufallszahl]]&gt;=IFERROR(LARGE((LEFT(Lose[LosID],FIND("-",Lose[LosID])-1)=LEFT(Lose[[#This Row],[LosID]],FIND("-",Lose[[#This Row],[LosID]])-1))*Lose[Zufallszahl],_xlfn.XLOOKUP(LEFT(Lose[[#This Row],[LosID]],FIND("-",Lose[[#This Row],[LosID]])-1),Ziehungsanzahl[Kürzel],Ziehungsanzahl[Kontingent],FALSE,0)),9999)</f>
        <v>0</v>
      </c>
      <c r="W229" s="1" t="s">
        <v>23362</v>
      </c>
    </row>
    <row r="230" spans="1:23" ht="150">
      <c r="A2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0" t="s">
        <v>23385</v>
      </c>
      <c r="C230" s="92" t="s">
        <v>24091</v>
      </c>
      <c r="D230" s="84" t="s">
        <v>24092</v>
      </c>
      <c r="E230" t="s">
        <v>24093</v>
      </c>
      <c r="F230" t="s">
        <v>24094</v>
      </c>
      <c r="G230">
        <v>4</v>
      </c>
      <c r="H230">
        <v>5</v>
      </c>
      <c r="I230">
        <v>0.3</v>
      </c>
      <c r="J230">
        <v>10</v>
      </c>
      <c r="K230" t="str" cm="1">
        <f t="array" ref="K2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Sooden-Allendorf</v>
      </c>
      <c r="L230" t="str">
        <f>IFERROR(LEFT(TRIM(Lose[[#This Row],[Google Koordinaten]]),9),"")</f>
        <v>51.269200</v>
      </c>
      <c r="M230" t="str">
        <f>IFERROR(MID(TRIM(Lose[[#This Row],[Google Koordinaten]]),
FIND(",",TRIM(Lose[[#This Row],[Google Koordinaten]])) + 2,9),"")</f>
        <v>9.9655719</v>
      </c>
      <c r="N230">
        <f>IF(Lose[[#This Row],[Bahn-hofs-zeit]]=0,0,MROUND(30*25^((Lose[[#This Row],[Bahn-hofs-zeit]]-_xlfn.MINIFS(Lose[Bahn-hofs-zeit],Lose[Bahn-hofs-zeit],"&gt;0"))/(MAX(Lose[Bahn-hofs-zeit])-_xlfn.MINIFS(Lose[Bahn-hofs-zeit],Lose[Bahn-hofs-zeit],"&gt;0"))),5))</f>
        <v>75</v>
      </c>
      <c r="O230">
        <f>IF(Lose[[#This Row],[Gehzeit (min)]]="",0,CEILING(3*(Lose[[#This Row],[Gehzeit (min)]]+Lose[[#This Row],[Aufgaben-zeit (min)]]),5))</f>
        <v>30</v>
      </c>
      <c r="P230">
        <v>6.5</v>
      </c>
      <c r="Q230">
        <f>IFERROR(ROUND(Lose[[#This Row],[Distanz (km)]]*60/Lose[[#This Row],[Gehzeit (min)]],1),"")</f>
        <v>4.5</v>
      </c>
      <c r="R2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230">
        <f>IFERROR(Lose[[#This Row],[Distanz (km)]]-Lose[[#This Row],[Check Distanz]],"")</f>
        <v>3.999999999999998E-2</v>
      </c>
      <c r="T230" s="60">
        <f>IFERROR(Lose[[#This Row],[Check Umweg]]/Lose[[#This Row],[Check Distanz]],"")</f>
        <v>0.15384615384615377</v>
      </c>
      <c r="U230">
        <f ca="1">IF(RIGHT(Lose[[#This Row],[LosID]],1)="b",_xlfn.XLOOKUP(REPLACE(Lose[[#This Row],[LosID]],LEN(Lose[[#This Row],[LosID]]),1,"a"),Lose[LosID],Lose[Zufallszahl],"",0),RAND())</f>
        <v>0.38107733760801255</v>
      </c>
      <c r="V230" t="b" cm="1">
        <f t="array" aca="1" ref="V230" ca="1">Lose[[#This Row],[Zufallszahl]]&gt;=IFERROR(LARGE((LEFT(Lose[LosID],FIND("-",Lose[LosID])-1)=LEFT(Lose[[#This Row],[LosID]],FIND("-",Lose[[#This Row],[LosID]])-1))*Lose[Zufallszahl],_xlfn.XLOOKUP(LEFT(Lose[[#This Row],[LosID]],FIND("-",Lose[[#This Row],[LosID]])-1),Ziehungsanzahl[Kürzel],Ziehungsanzahl[Kontingent],FALSE,0)),9999)</f>
        <v>0</v>
      </c>
    </row>
    <row r="231" spans="1:23" ht="45" hidden="1">
      <c r="A2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1" t="s">
        <v>23390</v>
      </c>
      <c r="C231" s="92" t="s">
        <v>1318</v>
      </c>
      <c r="D231" s="1" t="s">
        <v>24095</v>
      </c>
      <c r="E231" t="s">
        <v>24096</v>
      </c>
      <c r="F231" t="s">
        <v>24097</v>
      </c>
      <c r="G231">
        <v>15</v>
      </c>
      <c r="H231">
        <v>2</v>
      </c>
      <c r="I231">
        <v>1.1000000000000001</v>
      </c>
      <c r="K231" t="str" cm="1">
        <f t="array" ref="K2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Riedlingen</v>
      </c>
      <c r="L231" t="str">
        <f>IFERROR(LEFT(TRIM(Lose[[#This Row],[Google Koordinaten]]),9),"")</f>
        <v>48.153451</v>
      </c>
      <c r="M231" t="str">
        <f>IFERROR(MID(TRIM(Lose[[#This Row],[Google Koordinaten]]),
FIND(",",TRIM(Lose[[#This Row],[Google Koordinaten]])) + 2,9),"")</f>
        <v>9.4750284</v>
      </c>
      <c r="N231">
        <f>IF(Lose[[#This Row],[Bahn-hofs-zeit]]=0,0,MROUND(30*25^((Lose[[#This Row],[Bahn-hofs-zeit]]-_xlfn.MINIFS(Lose[Bahn-hofs-zeit],Lose[Bahn-hofs-zeit],"&gt;0"))/(MAX(Lose[Bahn-hofs-zeit])-_xlfn.MINIFS(Lose[Bahn-hofs-zeit],Lose[Bahn-hofs-zeit],"&gt;0"))),5))</f>
        <v>295</v>
      </c>
      <c r="O231">
        <f>IF(Lose[[#This Row],[Gehzeit (min)]]="",0,CEILING(3*(Lose[[#This Row],[Gehzeit (min)]]+Lose[[#This Row],[Aufgaben-zeit (min)]]),5))</f>
        <v>55</v>
      </c>
      <c r="P231">
        <v>11.25</v>
      </c>
      <c r="Q231">
        <f>IFERROR(ROUND(Lose[[#This Row],[Distanz (km)]]*60/Lose[[#This Row],[Gehzeit (min)]],1),"")</f>
        <v>4.4000000000000004</v>
      </c>
      <c r="R2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231">
        <f>IFERROR(Lose[[#This Row],[Distanz (km)]]-Lose[[#This Row],[Check Distanz]],"")</f>
        <v>0.25000000000000011</v>
      </c>
      <c r="T231" s="60">
        <f>IFERROR(Lose[[#This Row],[Check Umweg]]/Lose[[#This Row],[Check Distanz]],"")</f>
        <v>0.29411764705882365</v>
      </c>
      <c r="U231">
        <f ca="1">IF(RIGHT(Lose[[#This Row],[LosID]],1)="b",_xlfn.XLOOKUP(REPLACE(Lose[[#This Row],[LosID]],LEN(Lose[[#This Row],[LosID]]),1,"a"),Lose[LosID],Lose[Zufallszahl],"",0),RAND())</f>
        <v>0.88221482429256659</v>
      </c>
      <c r="V231" t="b" cm="1">
        <f t="array" aca="1" ref="V231" ca="1">Lose[[#This Row],[Zufallszahl]]&gt;=IFERROR(LARGE((LEFT(Lose[LosID],FIND("-",Lose[LosID])-1)=LEFT(Lose[[#This Row],[LosID]],FIND("-",Lose[[#This Row],[LosID]])-1))*Lose[Zufallszahl],_xlfn.XLOOKUP(LEFT(Lose[[#This Row],[LosID]],FIND("-",Lose[[#This Row],[LosID]])-1),Ziehungsanzahl[Kürzel],Ziehungsanzahl[Kontingent],FALSE,0)),9999)</f>
        <v>0</v>
      </c>
    </row>
    <row r="232" spans="1:23" ht="75" hidden="1">
      <c r="A2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2" t="s">
        <v>23394</v>
      </c>
      <c r="C232" s="93" t="s">
        <v>1319</v>
      </c>
      <c r="D232" s="1" t="s">
        <v>24098</v>
      </c>
      <c r="E232" t="s">
        <v>24099</v>
      </c>
      <c r="F232" t="s">
        <v>24100</v>
      </c>
      <c r="G232">
        <v>14</v>
      </c>
      <c r="H232">
        <v>2</v>
      </c>
      <c r="I232">
        <v>1.1000000000000001</v>
      </c>
      <c r="K232" t="str" cm="1">
        <f t="array" ref="K2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Elstal</v>
      </c>
      <c r="L232" t="str">
        <f>IFERROR(LEFT(TRIM(Lose[[#This Row],[Google Koordinaten]]),9),"")</f>
        <v>52.540705</v>
      </c>
      <c r="M232" t="str">
        <f>IFERROR(MID(TRIM(Lose[[#This Row],[Google Koordinaten]]),
FIND(",",TRIM(Lose[[#This Row],[Google Koordinaten]])) + 2,9),"")</f>
        <v>13.002413</v>
      </c>
      <c r="N232">
        <f>IF(Lose[[#This Row],[Bahn-hofs-zeit]]=0,0,MROUND(30*25^((Lose[[#This Row],[Bahn-hofs-zeit]]-_xlfn.MINIFS(Lose[Bahn-hofs-zeit],Lose[Bahn-hofs-zeit],"&gt;0"))/(MAX(Lose[Bahn-hofs-zeit])-_xlfn.MINIFS(Lose[Bahn-hofs-zeit],Lose[Bahn-hofs-zeit],"&gt;0"))),5))</f>
        <v>145</v>
      </c>
      <c r="O232">
        <f>IF(Lose[[#This Row],[Gehzeit (min)]]="",0,CEILING(3*(Lose[[#This Row],[Gehzeit (min)]]+Lose[[#This Row],[Aufgaben-zeit (min)]]),5))</f>
        <v>50</v>
      </c>
      <c r="P232">
        <v>8.75</v>
      </c>
      <c r="Q232">
        <f>IFERROR(ROUND(Lose[[#This Row],[Distanz (km)]]*60/Lose[[#This Row],[Gehzeit (min)]],1),"")</f>
        <v>4.7</v>
      </c>
      <c r="R2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32">
        <f>IFERROR(Lose[[#This Row],[Distanz (km)]]-Lose[[#This Row],[Check Distanz]],"")</f>
        <v>0.33000000000000007</v>
      </c>
      <c r="T232" s="60">
        <f>IFERROR(Lose[[#This Row],[Check Umweg]]/Lose[[#This Row],[Check Distanz]],"")</f>
        <v>0.42857142857142866</v>
      </c>
      <c r="U232">
        <f ca="1">IF(RIGHT(Lose[[#This Row],[LosID]],1)="b",_xlfn.XLOOKUP(REPLACE(Lose[[#This Row],[LosID]],LEN(Lose[[#This Row],[LosID]]),1,"a"),Lose[LosID],Lose[Zufallszahl],"",0),RAND())</f>
        <v>0.57916265193455363</v>
      </c>
      <c r="V232" t="b" cm="1">
        <f t="array" aca="1" ref="V232" ca="1">Lose[[#This Row],[Zufallszahl]]&gt;=IFERROR(LARGE((LEFT(Lose[LosID],FIND("-",Lose[LosID])-1)=LEFT(Lose[[#This Row],[LosID]],FIND("-",Lose[[#This Row],[LosID]])-1))*Lose[Zufallszahl],_xlfn.XLOOKUP(LEFT(Lose[[#This Row],[LosID]],FIND("-",Lose[[#This Row],[LosID]])-1),Ziehungsanzahl[Kürzel],Ziehungsanzahl[Kontingent],FALSE,0)),9999)</f>
        <v>0</v>
      </c>
    </row>
    <row r="233" spans="1:23" ht="75" hidden="1">
      <c r="A2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3" t="s">
        <v>23412</v>
      </c>
      <c r="C233" s="93" t="s">
        <v>1323</v>
      </c>
      <c r="D233" s="1" t="s">
        <v>24101</v>
      </c>
      <c r="E233" t="s">
        <v>24102</v>
      </c>
      <c r="F233" t="s">
        <v>24103</v>
      </c>
      <c r="G233">
        <v>9</v>
      </c>
      <c r="H233">
        <v>1</v>
      </c>
      <c r="I233">
        <v>0.7</v>
      </c>
      <c r="K233" t="str" cm="1">
        <f t="array" ref="K2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233" t="str">
        <f>IFERROR(LEFT(TRIM(Lose[[#This Row],[Google Koordinaten]]),9),"")</f>
        <v>53.892441</v>
      </c>
      <c r="M233" t="str">
        <f>IFERROR(MID(TRIM(Lose[[#This Row],[Google Koordinaten]]),
FIND(",",TRIM(Lose[[#This Row],[Google Koordinaten]])) + 2,9),"")</f>
        <v>11.462035</v>
      </c>
      <c r="N233">
        <f>IF(Lose[[#This Row],[Bahn-hofs-zeit]]=0,0,MROUND(30*25^((Lose[[#This Row],[Bahn-hofs-zeit]]-_xlfn.MINIFS(Lose[Bahn-hofs-zeit],Lose[Bahn-hofs-zeit],"&gt;0"))/(MAX(Lose[Bahn-hofs-zeit])-_xlfn.MINIFS(Lose[Bahn-hofs-zeit],Lose[Bahn-hofs-zeit],"&gt;0"))),5))</f>
        <v>365</v>
      </c>
      <c r="O233">
        <f>IF(Lose[[#This Row],[Gehzeit (min)]]="",0,CEILING(3*(Lose[[#This Row],[Gehzeit (min)]]+Lose[[#This Row],[Aufgaben-zeit (min)]]),5))</f>
        <v>30</v>
      </c>
      <c r="P233">
        <v>12</v>
      </c>
      <c r="Q233">
        <f>IFERROR(ROUND(Lose[[#This Row],[Distanz (km)]]*60/Lose[[#This Row],[Gehzeit (min)]],1),"")</f>
        <v>4.7</v>
      </c>
      <c r="R2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33">
        <f>IFERROR(Lose[[#This Row],[Distanz (km)]]-Lose[[#This Row],[Check Distanz]],"")</f>
        <v>1.0000000000000009E-2</v>
      </c>
      <c r="T233" s="60">
        <f>IFERROR(Lose[[#This Row],[Check Umweg]]/Lose[[#This Row],[Check Distanz]],"")</f>
        <v>1.449275362318842E-2</v>
      </c>
      <c r="U233">
        <f ca="1">IF(RIGHT(Lose[[#This Row],[LosID]],1)="b",_xlfn.XLOOKUP(REPLACE(Lose[[#This Row],[LosID]],LEN(Lose[[#This Row],[LosID]]),1,"a"),Lose[LosID],Lose[Zufallszahl],"",0),RAND())</f>
        <v>0.16597323323505242</v>
      </c>
      <c r="V233" t="b" cm="1">
        <f t="array" aca="1" ref="V233" ca="1">Lose[[#This Row],[Zufallszahl]]&gt;=IFERROR(LARGE((LEFT(Lose[LosID],FIND("-",Lose[LosID])-1)=LEFT(Lose[[#This Row],[LosID]],FIND("-",Lose[[#This Row],[LosID]])-1))*Lose[Zufallszahl],_xlfn.XLOOKUP(LEFT(Lose[[#This Row],[LosID]],FIND("-",Lose[[#This Row],[LosID]])-1),Ziehungsanzahl[Kürzel],Ziehungsanzahl[Kontingent],FALSE,0)),9999)</f>
        <v>0</v>
      </c>
    </row>
    <row r="234" spans="1:23" ht="90">
      <c r="A2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4" t="s">
        <v>23385</v>
      </c>
      <c r="C234" s="92" t="s">
        <v>1327</v>
      </c>
      <c r="D234" s="1" t="s">
        <v>24104</v>
      </c>
      <c r="E234" t="s">
        <v>24105</v>
      </c>
      <c r="F234" t="s">
        <v>24106</v>
      </c>
      <c r="G234">
        <v>19</v>
      </c>
      <c r="H234">
        <v>5</v>
      </c>
      <c r="I234">
        <v>1.4</v>
      </c>
      <c r="J234">
        <v>20</v>
      </c>
      <c r="K234" t="str" cm="1">
        <f t="array" ref="K2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Hbf</v>
      </c>
      <c r="L234" t="str">
        <f>IFERROR(LEFT(TRIM(Lose[[#This Row],[Google Koordinaten]]),9),"")</f>
        <v>53.072508</v>
      </c>
      <c r="M234" t="str">
        <f>IFERROR(MID(TRIM(Lose[[#This Row],[Google Koordinaten]]),
FIND(",",TRIM(Lose[[#This Row],[Google Koordinaten]])) + 2,9),"")</f>
        <v>8.8096275</v>
      </c>
      <c r="N234">
        <f>IF(Lose[[#This Row],[Bahn-hofs-zeit]]=0,0,MROUND(30*25^((Lose[[#This Row],[Bahn-hofs-zeit]]-_xlfn.MINIFS(Lose[Bahn-hofs-zeit],Lose[Bahn-hofs-zeit],"&gt;0"))/(MAX(Lose[Bahn-hofs-zeit])-_xlfn.MINIFS(Lose[Bahn-hofs-zeit],Lose[Bahn-hofs-zeit],"&gt;0"))),5))</f>
        <v>55</v>
      </c>
      <c r="O234">
        <f>IF(Lose[[#This Row],[Gehzeit (min)]]="",0,CEILING(3*(Lose[[#This Row],[Gehzeit (min)]]+Lose[[#This Row],[Aufgaben-zeit (min)]]),5))</f>
        <v>75</v>
      </c>
      <c r="P234">
        <v>5.5</v>
      </c>
      <c r="Q234">
        <f>IFERROR(ROUND(Lose[[#This Row],[Distanz (km)]]*60/Lose[[#This Row],[Gehzeit (min)]],1),"")</f>
        <v>4.4000000000000004</v>
      </c>
      <c r="R2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234">
        <f>IFERROR(Lose[[#This Row],[Distanz (km)]]-Lose[[#This Row],[Check Distanz]],"")</f>
        <v>0.14999999999999991</v>
      </c>
      <c r="T234" s="60">
        <f>IFERROR(Lose[[#This Row],[Check Umweg]]/Lose[[#This Row],[Check Distanz]],"")</f>
        <v>0.11999999999999993</v>
      </c>
      <c r="U234">
        <f ca="1">IF(RIGHT(Lose[[#This Row],[LosID]],1)="b",_xlfn.XLOOKUP(REPLACE(Lose[[#This Row],[LosID]],LEN(Lose[[#This Row],[LosID]]),1,"a"),Lose[LosID],Lose[Zufallszahl],"",0),RAND())</f>
        <v>0.50632874984152265</v>
      </c>
      <c r="V234" t="b" cm="1">
        <f t="array" aca="1" ref="V234" ca="1">Lose[[#This Row],[Zufallszahl]]&gt;=IFERROR(LARGE((LEFT(Lose[LosID],FIND("-",Lose[LosID])-1)=LEFT(Lose[[#This Row],[LosID]],FIND("-",Lose[[#This Row],[LosID]])-1))*Lose[Zufallszahl],_xlfn.XLOOKUP(LEFT(Lose[[#This Row],[LosID]],FIND("-",Lose[[#This Row],[LosID]])-1),Ziehungsanzahl[Kürzel],Ziehungsanzahl[Kontingent],FALSE,0)),9999)</f>
        <v>0</v>
      </c>
    </row>
    <row r="235" spans="1:23" ht="45" hidden="1">
      <c r="A2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5" t="s">
        <v>23390</v>
      </c>
      <c r="C235" s="92" t="s">
        <v>1328</v>
      </c>
      <c r="D235" s="1" t="s">
        <v>24107</v>
      </c>
      <c r="E235" t="s">
        <v>24108</v>
      </c>
      <c r="F235" t="s">
        <v>24109</v>
      </c>
      <c r="G235">
        <v>15</v>
      </c>
      <c r="H235">
        <v>2</v>
      </c>
      <c r="I235">
        <v>1.1000000000000001</v>
      </c>
      <c r="K235" t="str" cm="1">
        <f t="array" ref="K2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Büsum</v>
      </c>
      <c r="L235" t="str">
        <f>IFERROR(LEFT(TRIM(Lose[[#This Row],[Google Koordinaten]]),9),"")</f>
        <v>54.126998</v>
      </c>
      <c r="M235" t="str">
        <f>IFERROR(MID(TRIM(Lose[[#This Row],[Google Koordinaten]]),
FIND(",",TRIM(Lose[[#This Row],[Google Koordinaten]])) + 2,9),"")</f>
        <v>8.8582646</v>
      </c>
      <c r="N235">
        <f>IF(Lose[[#This Row],[Bahn-hofs-zeit]]=0,0,MROUND(30*25^((Lose[[#This Row],[Bahn-hofs-zeit]]-_xlfn.MINIFS(Lose[Bahn-hofs-zeit],Lose[Bahn-hofs-zeit],"&gt;0"))/(MAX(Lose[Bahn-hofs-zeit])-_xlfn.MINIFS(Lose[Bahn-hofs-zeit],Lose[Bahn-hofs-zeit],"&gt;0"))),5))</f>
        <v>425</v>
      </c>
      <c r="O235">
        <f>IF(Lose[[#This Row],[Gehzeit (min)]]="",0,CEILING(3*(Lose[[#This Row],[Gehzeit (min)]]+Lose[[#This Row],[Aufgaben-zeit (min)]]),5))</f>
        <v>55</v>
      </c>
      <c r="P235">
        <v>12.5</v>
      </c>
      <c r="Q235">
        <f>IFERROR(ROUND(Lose[[#This Row],[Distanz (km)]]*60/Lose[[#This Row],[Gehzeit (min)]],1),"")</f>
        <v>4.4000000000000004</v>
      </c>
      <c r="R2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0.95</v>
      </c>
      <c r="S235">
        <f>IFERROR(Lose[[#This Row],[Distanz (km)]]-Lose[[#This Row],[Check Distanz]],"")</f>
        <v>0.15000000000000013</v>
      </c>
      <c r="T235" s="60">
        <f>IFERROR(Lose[[#This Row],[Check Umweg]]/Lose[[#This Row],[Check Distanz]],"")</f>
        <v>0.15789473684210542</v>
      </c>
      <c r="U235">
        <f ca="1">IF(RIGHT(Lose[[#This Row],[LosID]],1)="b",_xlfn.XLOOKUP(REPLACE(Lose[[#This Row],[LosID]],LEN(Lose[[#This Row],[LosID]]),1,"a"),Lose[LosID],Lose[Zufallszahl],"",0),RAND())</f>
        <v>0.99462773552339812</v>
      </c>
      <c r="V235" t="b" cm="1">
        <f t="array" aca="1" ref="V235" ca="1">Lose[[#This Row],[Zufallszahl]]&gt;=IFERROR(LARGE((LEFT(Lose[LosID],FIND("-",Lose[LosID])-1)=LEFT(Lose[[#This Row],[LosID]],FIND("-",Lose[[#This Row],[LosID]])-1))*Lose[Zufallszahl],_xlfn.XLOOKUP(LEFT(Lose[[#This Row],[LosID]],FIND("-",Lose[[#This Row],[LosID]])-1),Ziehungsanzahl[Kürzel],Ziehungsanzahl[Kontingent],FALSE,0)),9999)</f>
        <v>0</v>
      </c>
    </row>
    <row r="236" spans="1:23" ht="45" hidden="1">
      <c r="A2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6" t="s">
        <v>23394</v>
      </c>
      <c r="C236" s="93" t="s">
        <v>24110</v>
      </c>
      <c r="D236" s="1" t="s">
        <v>24111</v>
      </c>
      <c r="E236" t="s">
        <v>24112</v>
      </c>
      <c r="F236" t="s">
        <v>24113</v>
      </c>
      <c r="G236">
        <v>2</v>
      </c>
      <c r="H236">
        <v>3</v>
      </c>
      <c r="I236">
        <v>0.08</v>
      </c>
      <c r="J236">
        <v>20</v>
      </c>
      <c r="K236" t="str" cm="1">
        <f t="array" ref="K2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Ueckermünde Stadthafen</v>
      </c>
      <c r="L236" t="str">
        <f>IFERROR(LEFT(TRIM(Lose[[#This Row],[Google Koordinaten]]),9),"")</f>
        <v>53.736669</v>
      </c>
      <c r="M236" t="str">
        <f>IFERROR(MID(TRIM(Lose[[#This Row],[Google Koordinaten]]),
FIND(",",TRIM(Lose[[#This Row],[Google Koordinaten]])) + 2,9),"")</f>
        <v>14.052025</v>
      </c>
      <c r="N236" s="91">
        <f>IF(Lose[[#This Row],[Bahn-hofs-zeit]]=0,0,MROUND(30*25^((Lose[[#This Row],[Bahn-hofs-zeit]]-_xlfn.MINIFS(Lose[Bahn-hofs-zeit],Lose[Bahn-hofs-zeit],"&gt;0"))/(MAX(Lose[Bahn-hofs-zeit])-_xlfn.MINIFS(Lose[Bahn-hofs-zeit],Lose[Bahn-hofs-zeit],"&gt;0"))),5))</f>
        <v>0</v>
      </c>
      <c r="O236">
        <f>IF(Lose[[#This Row],[Gehzeit (min)]]="",0,CEILING(3*(Lose[[#This Row],[Gehzeit (min)]]+Lose[[#This Row],[Aufgaben-zeit (min)]]),5))</f>
        <v>15</v>
      </c>
      <c r="Q236">
        <f>IFERROR(ROUND(Lose[[#This Row],[Distanz (km)]]*60/Lose[[#This Row],[Gehzeit (min)]],1),"")</f>
        <v>2.4</v>
      </c>
      <c r="R2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236">
        <f>IFERROR(Lose[[#This Row],[Distanz (km)]]-Lose[[#This Row],[Check Distanz]],"")</f>
        <v>0.03</v>
      </c>
      <c r="T236" s="60">
        <f>IFERROR(Lose[[#This Row],[Check Umweg]]/Lose[[#This Row],[Check Distanz]],"")</f>
        <v>0.6</v>
      </c>
      <c r="U236">
        <f ca="1">IF(RIGHT(Lose[[#This Row],[LosID]],1)="b",_xlfn.XLOOKUP(REPLACE(Lose[[#This Row],[LosID]],LEN(Lose[[#This Row],[LosID]]),1,"a"),Lose[LosID],Lose[Zufallszahl],"",0),RAND())</f>
        <v>0.80528759392280758</v>
      </c>
      <c r="V236" t="b" cm="1">
        <f t="array" aca="1" ref="V236" ca="1">Lose[[#This Row],[Zufallszahl]]&gt;=IFERROR(LARGE((LEFT(Lose[LosID],FIND("-",Lose[LosID])-1)=LEFT(Lose[[#This Row],[LosID]],FIND("-",Lose[[#This Row],[LosID]])-1))*Lose[Zufallszahl],_xlfn.XLOOKUP(LEFT(Lose[[#This Row],[LosID]],FIND("-",Lose[[#This Row],[LosID]])-1),Ziehungsanzahl[Kürzel],Ziehungsanzahl[Kontingent],FALSE,0)),9999)</f>
        <v>0</v>
      </c>
      <c r="W236" t="s">
        <v>23398</v>
      </c>
    </row>
    <row r="237" spans="1:23" ht="225" hidden="1">
      <c r="A2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7" t="s">
        <v>23403</v>
      </c>
      <c r="C237" s="93" t="s">
        <v>24114</v>
      </c>
      <c r="D237" s="1" t="s">
        <v>24115</v>
      </c>
      <c r="E237" t="s">
        <v>24116</v>
      </c>
      <c r="F237" t="s">
        <v>24117</v>
      </c>
      <c r="G237">
        <v>23</v>
      </c>
      <c r="H237">
        <v>3</v>
      </c>
      <c r="I237">
        <v>1.7</v>
      </c>
      <c r="J237">
        <v>20</v>
      </c>
      <c r="K237" t="str" cm="1">
        <f t="array" ref="K2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Stralsund Hbf</v>
      </c>
      <c r="L237" t="str">
        <f>IFERROR(LEFT(TRIM(Lose[[#This Row],[Google Koordinaten]]),9),"")</f>
        <v>54.316717</v>
      </c>
      <c r="M237" t="str">
        <f>IFERROR(MID(TRIM(Lose[[#This Row],[Google Koordinaten]]),
FIND(",",TRIM(Lose[[#This Row],[Google Koordinaten]])) + 2,9),"")</f>
        <v>13.093679</v>
      </c>
      <c r="N237" s="91">
        <f>IF(Lose[[#This Row],[Bahn-hofs-zeit]]=0,0,MROUND(30*25^((Lose[[#This Row],[Bahn-hofs-zeit]]-_xlfn.MINIFS(Lose[Bahn-hofs-zeit],Lose[Bahn-hofs-zeit],"&gt;0"))/(MAX(Lose[Bahn-hofs-zeit])-_xlfn.MINIFS(Lose[Bahn-hofs-zeit],Lose[Bahn-hofs-zeit],"&gt;0"))),5))</f>
        <v>0</v>
      </c>
      <c r="O237">
        <f>IF(Lose[[#This Row],[Gehzeit (min)]]="",0,CEILING(3*(Lose[[#This Row],[Gehzeit (min)]]+Lose[[#This Row],[Aufgaben-zeit (min)]]),5))</f>
        <v>80</v>
      </c>
      <c r="Q237">
        <f>IFERROR(ROUND(Lose[[#This Row],[Distanz (km)]]*60/Lose[[#This Row],[Gehzeit (min)]],1),"")</f>
        <v>4.4000000000000004</v>
      </c>
      <c r="R2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1.39</v>
      </c>
      <c r="S237">
        <f>IFERROR(Lose[[#This Row],[Distanz (km)]]-Lose[[#This Row],[Check Distanz]],"")</f>
        <v>0.31000000000000005</v>
      </c>
      <c r="T237" s="60">
        <f>IFERROR(Lose[[#This Row],[Check Umweg]]/Lose[[#This Row],[Check Distanz]],"")</f>
        <v>0.22302158273381301</v>
      </c>
      <c r="U237">
        <f ca="1">IF(RIGHT(Lose[[#This Row],[LosID]],1)="b",_xlfn.XLOOKUP(REPLACE(Lose[[#This Row],[LosID]],LEN(Lose[[#This Row],[LosID]]),1,"a"),Lose[LosID],Lose[Zufallszahl],"",0),RAND())</f>
        <v>0.18510467475952175</v>
      </c>
      <c r="V237" t="b" cm="1">
        <f t="array" aca="1" ref="V237" ca="1">Lose[[#This Row],[Zufallszahl]]&gt;=IFERROR(LARGE((LEFT(Lose[LosID],FIND("-",Lose[LosID])-1)=LEFT(Lose[[#This Row],[LosID]],FIND("-",Lose[[#This Row],[LosID]])-1))*Lose[Zufallszahl],_xlfn.XLOOKUP(LEFT(Lose[[#This Row],[LosID]],FIND("-",Lose[[#This Row],[LosID]])-1),Ziehungsanzahl[Kürzel],Ziehungsanzahl[Kontingent],FALSE,0)),9999)</f>
        <v>0</v>
      </c>
      <c r="W237" t="s">
        <v>23398</v>
      </c>
    </row>
    <row r="238" spans="1:23" ht="45" hidden="1">
      <c r="A2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8" t="s">
        <v>23408</v>
      </c>
      <c r="C238" s="92" t="s">
        <v>1329</v>
      </c>
      <c r="D238" s="1" t="s">
        <v>24118</v>
      </c>
      <c r="E238" t="s">
        <v>24119</v>
      </c>
      <c r="F238" t="s">
        <v>24120</v>
      </c>
      <c r="G238">
        <v>12</v>
      </c>
      <c r="H238">
        <v>10</v>
      </c>
      <c r="I238">
        <v>0.9</v>
      </c>
      <c r="J238">
        <v>10</v>
      </c>
      <c r="K238" t="str" cm="1">
        <f t="array" ref="K2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Haffkrug</v>
      </c>
      <c r="L238" t="str">
        <f>IFERROR(LEFT(TRIM(Lose[[#This Row],[Google Koordinaten]]),9),"")</f>
        <v>54.051919</v>
      </c>
      <c r="M238" t="str">
        <f>IFERROR(MID(TRIM(Lose[[#This Row],[Google Koordinaten]]),
FIND(",",TRIM(Lose[[#This Row],[Google Koordinaten]])) + 2,9),"")</f>
        <v>10.753891</v>
      </c>
      <c r="N238">
        <f>IF(Lose[[#This Row],[Bahn-hofs-zeit]]=0,0,MROUND(30*25^((Lose[[#This Row],[Bahn-hofs-zeit]]-_xlfn.MINIFS(Lose[Bahn-hofs-zeit],Lose[Bahn-hofs-zeit],"&gt;0"))/(MAX(Lose[Bahn-hofs-zeit])-_xlfn.MINIFS(Lose[Bahn-hofs-zeit],Lose[Bahn-hofs-zeit],"&gt;0"))),5))</f>
        <v>205</v>
      </c>
      <c r="O238">
        <f>IF(Lose[[#This Row],[Gehzeit (min)]]="",0,CEILING(3*(Lose[[#This Row],[Gehzeit (min)]]+Lose[[#This Row],[Aufgaben-zeit (min)]]),5))</f>
        <v>70</v>
      </c>
      <c r="P238">
        <v>10</v>
      </c>
      <c r="Q238">
        <f>IFERROR(ROUND(Lose[[#This Row],[Distanz (km)]]*60/Lose[[#This Row],[Gehzeit (min)]],1),"")</f>
        <v>4.5</v>
      </c>
      <c r="R2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38">
        <f>IFERROR(Lose[[#This Row],[Distanz (km)]]-Lose[[#This Row],[Check Distanz]],"")</f>
        <v>0.13</v>
      </c>
      <c r="T238" s="60">
        <f>IFERROR(Lose[[#This Row],[Check Umweg]]/Lose[[#This Row],[Check Distanz]],"")</f>
        <v>0.16883116883116883</v>
      </c>
      <c r="U238">
        <f ca="1">IF(RIGHT(Lose[[#This Row],[LosID]],1)="b",_xlfn.XLOOKUP(REPLACE(Lose[[#This Row],[LosID]],LEN(Lose[[#This Row],[LosID]]),1,"a"),Lose[LosID],Lose[Zufallszahl],"",0),RAND())</f>
        <v>0.65091479849553757</v>
      </c>
      <c r="V238" t="b" cm="1">
        <f t="array" aca="1" ref="V238" ca="1">Lose[[#This Row],[Zufallszahl]]&gt;=IFERROR(LARGE((LEFT(Lose[LosID],FIND("-",Lose[LosID])-1)=LEFT(Lose[[#This Row],[LosID]],FIND("-",Lose[[#This Row],[LosID]])-1))*Lose[Zufallszahl],_xlfn.XLOOKUP(LEFT(Lose[[#This Row],[LosID]],FIND("-",Lose[[#This Row],[LosID]])-1),Ziehungsanzahl[Kürzel],Ziehungsanzahl[Kontingent],FALSE,0)),9999)</f>
        <v>0</v>
      </c>
    </row>
    <row r="239" spans="1:23" ht="60" hidden="1">
      <c r="A2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9" t="s">
        <v>23412</v>
      </c>
      <c r="C239" s="92" t="s">
        <v>24121</v>
      </c>
      <c r="D239" s="1" t="s">
        <v>24122</v>
      </c>
      <c r="E239" t="s">
        <v>24123</v>
      </c>
      <c r="F239" t="s">
        <v>24124</v>
      </c>
      <c r="G239">
        <v>21</v>
      </c>
      <c r="H239">
        <v>5</v>
      </c>
      <c r="I239">
        <v>1.5</v>
      </c>
      <c r="K239" t="str" cm="1">
        <f t="array" ref="K2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Elbbrücken</v>
      </c>
      <c r="L239" t="str">
        <f>IFERROR(LEFT(TRIM(Lose[[#This Row],[Google Koordinaten]]),9),"")</f>
        <v>53.538671</v>
      </c>
      <c r="M239" t="str">
        <f>IFERROR(MID(TRIM(Lose[[#This Row],[Google Koordinaten]]),
FIND(",",TRIM(Lose[[#This Row],[Google Koordinaten]])) + 2,9),"")</f>
        <v>10.008004</v>
      </c>
      <c r="N239">
        <f>IF(Lose[[#This Row],[Bahn-hofs-zeit]]=0,0,MROUND(30*25^((Lose[[#This Row],[Bahn-hofs-zeit]]-_xlfn.MINIFS(Lose[Bahn-hofs-zeit],Lose[Bahn-hofs-zeit],"&gt;0"))/(MAX(Lose[Bahn-hofs-zeit])-_xlfn.MINIFS(Lose[Bahn-hofs-zeit],Lose[Bahn-hofs-zeit],"&gt;0"))),5))</f>
        <v>80</v>
      </c>
      <c r="O239">
        <f>IF(Lose[[#This Row],[Gehzeit (min)]]="",0,CEILING(3*(Lose[[#This Row],[Gehzeit (min)]]+Lose[[#This Row],[Aufgaben-zeit (min)]]),5))</f>
        <v>80</v>
      </c>
      <c r="P239">
        <v>6.75</v>
      </c>
      <c r="Q239">
        <f>IFERROR(ROUND(Lose[[#This Row],[Distanz (km)]]*60/Lose[[#This Row],[Gehzeit (min)]],1),"")</f>
        <v>4.3</v>
      </c>
      <c r="R2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239">
        <f>IFERROR(Lose[[#This Row],[Distanz (km)]]-Lose[[#This Row],[Check Distanz]],"")</f>
        <v>0.32000000000000006</v>
      </c>
      <c r="T239" s="60">
        <f>IFERROR(Lose[[#This Row],[Check Umweg]]/Lose[[#This Row],[Check Distanz]],"")</f>
        <v>0.27118644067796616</v>
      </c>
      <c r="U239">
        <f ca="1">IF(RIGHT(Lose[[#This Row],[LosID]],1)="b",_xlfn.XLOOKUP(REPLACE(Lose[[#This Row],[LosID]],LEN(Lose[[#This Row],[LosID]]),1,"a"),Lose[LosID],Lose[Zufallszahl],"",0),RAND())</f>
        <v>0.74230767313609869</v>
      </c>
      <c r="V239" t="b" cm="1">
        <f t="array" aca="1" ref="V239" ca="1">Lose[[#This Row],[Zufallszahl]]&gt;=IFERROR(LARGE((LEFT(Lose[LosID],FIND("-",Lose[LosID])-1)=LEFT(Lose[[#This Row],[LosID]],FIND("-",Lose[[#This Row],[LosID]])-1))*Lose[Zufallszahl],_xlfn.XLOOKUP(LEFT(Lose[[#This Row],[LosID]],FIND("-",Lose[[#This Row],[LosID]])-1),Ziehungsanzahl[Kürzel],Ziehungsanzahl[Kontingent],FALSE,0)),9999)</f>
        <v>0</v>
      </c>
    </row>
    <row r="240" spans="1:23" ht="120" hidden="1">
      <c r="A2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0" t="s">
        <v>23416</v>
      </c>
      <c r="C240" s="93" t="s">
        <v>1330</v>
      </c>
      <c r="D240" s="1" t="s">
        <v>24125</v>
      </c>
      <c r="E240" t="s">
        <v>24126</v>
      </c>
      <c r="F240" t="s">
        <v>24127</v>
      </c>
      <c r="G240">
        <v>6</v>
      </c>
      <c r="H240">
        <v>12</v>
      </c>
      <c r="I240">
        <v>0.48</v>
      </c>
      <c r="J240">
        <v>15</v>
      </c>
      <c r="K240" t="str" cm="1">
        <f t="array" ref="K2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Lüneburg</v>
      </c>
      <c r="L240" t="str">
        <f>IFERROR(LEFT(TRIM(Lose[[#This Row],[Google Koordinaten]]),9),"")</f>
        <v>53.249170</v>
      </c>
      <c r="M240" t="str">
        <f>IFERROR(MID(TRIM(Lose[[#This Row],[Google Koordinaten]]),
FIND(",",TRIM(Lose[[#This Row],[Google Koordinaten]])) + 2,9),"")</f>
        <v>10.414170</v>
      </c>
      <c r="N240">
        <f>IF(Lose[[#This Row],[Bahn-hofs-zeit]]=0,0,MROUND(30*25^((Lose[[#This Row],[Bahn-hofs-zeit]]-_xlfn.MINIFS(Lose[Bahn-hofs-zeit],Lose[Bahn-hofs-zeit],"&gt;0"))/(MAX(Lose[Bahn-hofs-zeit])-_xlfn.MINIFS(Lose[Bahn-hofs-zeit],Lose[Bahn-hofs-zeit],"&gt;0"))),5))</f>
        <v>75</v>
      </c>
      <c r="O240">
        <f>IF(Lose[[#This Row],[Gehzeit (min)]]="",0,CEILING(3*(Lose[[#This Row],[Gehzeit (min)]]+Lose[[#This Row],[Aufgaben-zeit (min)]]),5))</f>
        <v>55</v>
      </c>
      <c r="P240">
        <v>6.5</v>
      </c>
      <c r="Q240">
        <f>IFERROR(ROUND(Lose[[#This Row],[Distanz (km)]]*60/Lose[[#This Row],[Gehzeit (min)]],1),"")</f>
        <v>4.8</v>
      </c>
      <c r="R2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40">
        <f>IFERROR(Lose[[#This Row],[Distanz (km)]]-Lose[[#This Row],[Check Distanz]],"")</f>
        <v>9.9999999999999978E-2</v>
      </c>
      <c r="T240" s="60">
        <f>IFERROR(Lose[[#This Row],[Check Umweg]]/Lose[[#This Row],[Check Distanz]],"")</f>
        <v>0.26315789473684204</v>
      </c>
      <c r="U240">
        <f ca="1">IF(RIGHT(Lose[[#This Row],[LosID]],1)="b",_xlfn.XLOOKUP(REPLACE(Lose[[#This Row],[LosID]],LEN(Lose[[#This Row],[LosID]]),1,"a"),Lose[LosID],Lose[Zufallszahl],"",0),RAND())</f>
        <v>4.0996589075390166E-2</v>
      </c>
      <c r="V240" t="b" cm="1">
        <f t="array" aca="1" ref="V240" ca="1">Lose[[#This Row],[Zufallszahl]]&gt;=IFERROR(LARGE((LEFT(Lose[LosID],FIND("-",Lose[LosID])-1)=LEFT(Lose[[#This Row],[LosID]],FIND("-",Lose[[#This Row],[LosID]])-1))*Lose[Zufallszahl],_xlfn.XLOOKUP(LEFT(Lose[[#This Row],[LosID]],FIND("-",Lose[[#This Row],[LosID]])-1),Ziehungsanzahl[Kürzel],Ziehungsanzahl[Kontingent],FALSE,0)),9999)</f>
        <v>0</v>
      </c>
    </row>
    <row r="241" spans="1:23" ht="60" hidden="1">
      <c r="A2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1" t="s">
        <v>23357</v>
      </c>
      <c r="C241" s="92" t="s">
        <v>24128</v>
      </c>
      <c r="D241" s="1" t="s">
        <v>24129</v>
      </c>
      <c r="E241" t="s">
        <v>24130</v>
      </c>
      <c r="F241" t="s">
        <v>24131</v>
      </c>
      <c r="G241">
        <v>20</v>
      </c>
      <c r="H241">
        <v>1</v>
      </c>
      <c r="I241">
        <v>1.4</v>
      </c>
      <c r="K241" t="str" cm="1">
        <f t="array" ref="K2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Buxtehude</v>
      </c>
      <c r="L241" t="str">
        <f>IFERROR(LEFT(TRIM(Lose[[#This Row],[Google Koordinaten]]),9),"")</f>
        <v>53.478811</v>
      </c>
      <c r="M241" t="str">
        <f>IFERROR(MID(TRIM(Lose[[#This Row],[Google Koordinaten]]),
FIND(",",TRIM(Lose[[#This Row],[Google Koordinaten]])) + 2,9),"")</f>
        <v>9.7005098</v>
      </c>
      <c r="N241">
        <f>IF(Lose[[#This Row],[Bahn-hofs-zeit]]=0,0,MROUND(30*25^((Lose[[#This Row],[Bahn-hofs-zeit]]-_xlfn.MINIFS(Lose[Bahn-hofs-zeit],Lose[Bahn-hofs-zeit],"&gt;0"))/(MAX(Lose[Bahn-hofs-zeit])-_xlfn.MINIFS(Lose[Bahn-hofs-zeit],Lose[Bahn-hofs-zeit],"&gt;0"))),5))</f>
        <v>100</v>
      </c>
      <c r="O241">
        <f>IF(Lose[[#This Row],[Gehzeit (min)]]="",0,CEILING(3*(Lose[[#This Row],[Gehzeit (min)]]+Lose[[#This Row],[Aufgaben-zeit (min)]]),5))</f>
        <v>65</v>
      </c>
      <c r="P241">
        <v>7.5</v>
      </c>
      <c r="Q241">
        <f>IFERROR(ROUND(Lose[[#This Row],[Distanz (km)]]*60/Lose[[#This Row],[Gehzeit (min)]],1),"")</f>
        <v>4.2</v>
      </c>
      <c r="R2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1.23</v>
      </c>
      <c r="S241">
        <f>IFERROR(Lose[[#This Row],[Distanz (km)]]-Lose[[#This Row],[Check Distanz]],"")</f>
        <v>0.16999999999999993</v>
      </c>
      <c r="T241" s="60">
        <f>IFERROR(Lose[[#This Row],[Check Umweg]]/Lose[[#This Row],[Check Distanz]],"")</f>
        <v>0.13821138211382109</v>
      </c>
      <c r="U241">
        <f ca="1">IF(RIGHT(Lose[[#This Row],[LosID]],1)="b",_xlfn.XLOOKUP(REPLACE(Lose[[#This Row],[LosID]],LEN(Lose[[#This Row],[LosID]]),1,"a"),Lose[LosID],Lose[Zufallszahl],"",0),RAND())</f>
        <v>0.66865172791391292</v>
      </c>
      <c r="V241" t="b" cm="1">
        <f t="array" aca="1" ref="V241" ca="1">Lose[[#This Row],[Zufallszahl]]&gt;=IFERROR(LARGE((LEFT(Lose[LosID],FIND("-",Lose[LosID])-1)=LEFT(Lose[[#This Row],[LosID]],FIND("-",Lose[[#This Row],[LosID]])-1))*Lose[Zufallszahl],_xlfn.XLOOKUP(LEFT(Lose[[#This Row],[LosID]],FIND("-",Lose[[#This Row],[LosID]])-1),Ziehungsanzahl[Kürzel],Ziehungsanzahl[Kontingent],FALSE,0)),9999)</f>
        <v>0</v>
      </c>
    </row>
    <row r="242" spans="1:23" ht="90" hidden="1">
      <c r="A2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2" t="s">
        <v>23363</v>
      </c>
      <c r="C242" s="92" t="s">
        <v>24132</v>
      </c>
      <c r="D242" s="1" t="s">
        <v>24133</v>
      </c>
      <c r="E242" t="s">
        <v>24134</v>
      </c>
      <c r="F242" t="s">
        <v>24135</v>
      </c>
      <c r="G242">
        <v>12</v>
      </c>
      <c r="H242">
        <v>2</v>
      </c>
      <c r="I242">
        <v>0.85</v>
      </c>
      <c r="J242">
        <v>10</v>
      </c>
      <c r="K242" t="str" cm="1">
        <f t="array" ref="K2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Greifswald</v>
      </c>
      <c r="L242" t="str">
        <f>IFERROR(LEFT(TRIM(Lose[[#This Row],[Google Koordinaten]]),9),"")</f>
        <v>54.096153</v>
      </c>
      <c r="M242" t="str">
        <f>IFERROR(MID(TRIM(Lose[[#This Row],[Google Koordinaten]]),
FIND(",",TRIM(Lose[[#This Row],[Google Koordinaten]])) + 2,9),"")</f>
        <v>13.378652</v>
      </c>
      <c r="N242" s="91">
        <f>IF(Lose[[#This Row],[Bahn-hofs-zeit]]=0,0,MROUND(30*25^((Lose[[#This Row],[Bahn-hofs-zeit]]-_xlfn.MINIFS(Lose[Bahn-hofs-zeit],Lose[Bahn-hofs-zeit],"&gt;0"))/(MAX(Lose[Bahn-hofs-zeit])-_xlfn.MINIFS(Lose[Bahn-hofs-zeit],Lose[Bahn-hofs-zeit],"&gt;0"))),5))</f>
        <v>0</v>
      </c>
      <c r="O242">
        <f>IF(Lose[[#This Row],[Gehzeit (min)]]="",0,CEILING(3*(Lose[[#This Row],[Gehzeit (min)]]+Lose[[#This Row],[Aufgaben-zeit (min)]]),5))</f>
        <v>45</v>
      </c>
      <c r="Q242">
        <f>IFERROR(ROUND(Lose[[#This Row],[Distanz (km)]]*60/Lose[[#This Row],[Gehzeit (min)]],1),"")</f>
        <v>4.3</v>
      </c>
      <c r="R2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242">
        <f>IFERROR(Lose[[#This Row],[Distanz (km)]]-Lose[[#This Row],[Check Distanz]],"")</f>
        <v>0.19999999999999996</v>
      </c>
      <c r="T242" s="60">
        <f>IFERROR(Lose[[#This Row],[Check Umweg]]/Lose[[#This Row],[Check Distanz]],"")</f>
        <v>0.3076923076923076</v>
      </c>
      <c r="U242">
        <f ca="1">IF(RIGHT(Lose[[#This Row],[LosID]],1)="b",_xlfn.XLOOKUP(REPLACE(Lose[[#This Row],[LosID]],LEN(Lose[[#This Row],[LosID]]),1,"a"),Lose[LosID],Lose[Zufallszahl],"",0),RAND())</f>
        <v>0.87962021513947219</v>
      </c>
      <c r="V242" t="b" cm="1">
        <f t="array" aca="1" ref="V242" ca="1">Lose[[#This Row],[Zufallszahl]]&gt;=IFERROR(LARGE((LEFT(Lose[LosID],FIND("-",Lose[LosID])-1)=LEFT(Lose[[#This Row],[LosID]],FIND("-",Lose[[#This Row],[LosID]])-1))*Lose[Zufallszahl],_xlfn.XLOOKUP(LEFT(Lose[[#This Row],[LosID]],FIND("-",Lose[[#This Row],[LosID]])-1),Ziehungsanzahl[Kürzel],Ziehungsanzahl[Kontingent],FALSE,0)),9999)</f>
        <v>0</v>
      </c>
      <c r="W242" t="s">
        <v>23398</v>
      </c>
    </row>
    <row r="243" spans="1:23" ht="45" hidden="1">
      <c r="A2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3" t="s">
        <v>23367</v>
      </c>
      <c r="C243" s="92" t="s">
        <v>24136</v>
      </c>
      <c r="D243" s="1" t="s">
        <v>24137</v>
      </c>
      <c r="E243" t="s">
        <v>24138</v>
      </c>
      <c r="F243" t="s">
        <v>24139</v>
      </c>
      <c r="G243">
        <v>25</v>
      </c>
      <c r="H243">
        <v>2</v>
      </c>
      <c r="I243">
        <v>1.7</v>
      </c>
      <c r="K243" t="str" cm="1">
        <f t="array" ref="K2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Bremerhaven Hbf</v>
      </c>
      <c r="L243" t="str">
        <f>IFERROR(LEFT(TRIM(Lose[[#This Row],[Google Koordinaten]]),9),"")</f>
        <v>53.539493</v>
      </c>
      <c r="M243" t="str">
        <f>IFERROR(MID(TRIM(Lose[[#This Row],[Google Koordinaten]]),
FIND(",",TRIM(Lose[[#This Row],[Google Koordinaten]])) + 2,9),"")</f>
        <v>8.5795119</v>
      </c>
      <c r="N243">
        <f>IF(Lose[[#This Row],[Bahn-hofs-zeit]]=0,0,MROUND(30*25^((Lose[[#This Row],[Bahn-hofs-zeit]]-_xlfn.MINIFS(Lose[Bahn-hofs-zeit],Lose[Bahn-hofs-zeit],"&gt;0"))/(MAX(Lose[Bahn-hofs-zeit])-_xlfn.MINIFS(Lose[Bahn-hofs-zeit],Lose[Bahn-hofs-zeit],"&gt;0"))),5))</f>
        <v>95</v>
      </c>
      <c r="O243">
        <f>IF(Lose[[#This Row],[Gehzeit (min)]]="",0,CEILING(3*(Lose[[#This Row],[Gehzeit (min)]]+Lose[[#This Row],[Aufgaben-zeit (min)]]),5))</f>
        <v>85</v>
      </c>
      <c r="P243">
        <v>7.25</v>
      </c>
      <c r="Q243">
        <f>IFERROR(ROUND(Lose[[#This Row],[Distanz (km)]]*60/Lose[[#This Row],[Gehzeit (min)]],1),"")</f>
        <v>4.0999999999999996</v>
      </c>
      <c r="R2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1.42</v>
      </c>
      <c r="S243">
        <f>IFERROR(Lose[[#This Row],[Distanz (km)]]-Lose[[#This Row],[Check Distanz]],"")</f>
        <v>0.28000000000000003</v>
      </c>
      <c r="T243" s="60">
        <f>IFERROR(Lose[[#This Row],[Check Umweg]]/Lose[[#This Row],[Check Distanz]],"")</f>
        <v>0.19718309859154931</v>
      </c>
      <c r="U243">
        <f ca="1">IF(RIGHT(Lose[[#This Row],[LosID]],1)="b",_xlfn.XLOOKUP(REPLACE(Lose[[#This Row],[LosID]],LEN(Lose[[#This Row],[LosID]]),1,"a"),Lose[LosID],Lose[Zufallszahl],"",0),RAND())</f>
        <v>0.8674802124257972</v>
      </c>
      <c r="V243" t="b" cm="1">
        <f t="array" aca="1" ref="V243" ca="1">Lose[[#This Row],[Zufallszahl]]&gt;=IFERROR(LARGE((LEFT(Lose[LosID],FIND("-",Lose[LosID])-1)=LEFT(Lose[[#This Row],[LosID]],FIND("-",Lose[[#This Row],[LosID]])-1))*Lose[Zufallszahl],_xlfn.XLOOKUP(LEFT(Lose[[#This Row],[LosID]],FIND("-",Lose[[#This Row],[LosID]])-1),Ziehungsanzahl[Kürzel],Ziehungsanzahl[Kontingent],FALSE,0)),9999)</f>
        <v>0</v>
      </c>
    </row>
    <row r="244" spans="1:23" ht="135" hidden="1">
      <c r="A2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4" t="s">
        <v>23416</v>
      </c>
      <c r="C244" s="92" t="s">
        <v>24140</v>
      </c>
      <c r="D244" s="1" t="s">
        <v>24141</v>
      </c>
      <c r="E244" t="s">
        <v>24142</v>
      </c>
      <c r="F244" t="s">
        <v>24143</v>
      </c>
      <c r="G244">
        <v>8</v>
      </c>
      <c r="H244">
        <v>12</v>
      </c>
      <c r="I244">
        <v>0.65</v>
      </c>
      <c r="J244">
        <v>20</v>
      </c>
      <c r="K244" t="str" cm="1">
        <f t="array" ref="K2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Cuxhaven(Alte Liebe)</v>
      </c>
      <c r="L244" t="str">
        <f>IFERROR(LEFT(TRIM(Lose[[#This Row],[Google Koordinaten]]),9),"")</f>
        <v>53.870560</v>
      </c>
      <c r="M244" t="str">
        <f>IFERROR(MID(TRIM(Lose[[#This Row],[Google Koordinaten]]),
FIND(",",TRIM(Lose[[#This Row],[Google Koordinaten]])) + 2,9),"")</f>
        <v>8.717500</v>
      </c>
      <c r="N244">
        <f>IF(Lose[[#This Row],[Bahn-hofs-zeit]]=0,0,MROUND(30*25^((Lose[[#This Row],[Bahn-hofs-zeit]]-_xlfn.MINIFS(Lose[Bahn-hofs-zeit],Lose[Bahn-hofs-zeit],"&gt;0"))/(MAX(Lose[Bahn-hofs-zeit])-_xlfn.MINIFS(Lose[Bahn-hofs-zeit],Lose[Bahn-hofs-zeit],"&gt;0"))),5))</f>
        <v>220</v>
      </c>
      <c r="O244">
        <f>IF(Lose[[#This Row],[Gehzeit (min)]]="",0,CEILING(3*(Lose[[#This Row],[Gehzeit (min)]]+Lose[[#This Row],[Aufgaben-zeit (min)]]),5))</f>
        <v>60</v>
      </c>
      <c r="P244">
        <v>10.25</v>
      </c>
      <c r="Q244">
        <f>IFERROR(ROUND(Lose[[#This Row],[Distanz (km)]]*60/Lose[[#This Row],[Gehzeit (min)]],1),"")</f>
        <v>4.9000000000000004</v>
      </c>
      <c r="R2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244">
        <f>IFERROR(Lose[[#This Row],[Distanz (km)]]-Lose[[#This Row],[Check Distanz]],"")</f>
        <v>0.12</v>
      </c>
      <c r="T244" s="60">
        <f>IFERROR(Lose[[#This Row],[Check Umweg]]/Lose[[#This Row],[Check Distanz]],"")</f>
        <v>0.22641509433962262</v>
      </c>
      <c r="U244">
        <f ca="1">IF(RIGHT(Lose[[#This Row],[LosID]],1)="b",_xlfn.XLOOKUP(REPLACE(Lose[[#This Row],[LosID]],LEN(Lose[[#This Row],[LosID]]),1,"a"),Lose[LosID],Lose[Zufallszahl],"",0),RAND())</f>
        <v>0.93573714761797511</v>
      </c>
      <c r="V244" t="b" cm="1">
        <f t="array" aca="1" ref="V244" ca="1">Lose[[#This Row],[Zufallszahl]]&gt;=IFERROR(LARGE((LEFT(Lose[LosID],FIND("-",Lose[LosID])-1)=LEFT(Lose[[#This Row],[LosID]],FIND("-",Lose[[#This Row],[LosID]])-1))*Lose[Zufallszahl],_xlfn.XLOOKUP(LEFT(Lose[[#This Row],[LosID]],FIND("-",Lose[[#This Row],[LosID]])-1),Ziehungsanzahl[Kürzel],Ziehungsanzahl[Kontingent],FALSE,0)),9999)</f>
        <v>0</v>
      </c>
    </row>
    <row r="245" spans="1:23" ht="90" hidden="1">
      <c r="A2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5" t="s">
        <v>23372</v>
      </c>
      <c r="C245" s="92" t="s">
        <v>24144</v>
      </c>
      <c r="D245" s="78" t="s">
        <v>24145</v>
      </c>
      <c r="E245" s="1" t="s">
        <v>24146</v>
      </c>
      <c r="F245" t="s">
        <v>24147</v>
      </c>
      <c r="G245">
        <v>8</v>
      </c>
      <c r="H245">
        <v>1</v>
      </c>
      <c r="I245">
        <v>0.55000000000000004</v>
      </c>
      <c r="J245">
        <v>10</v>
      </c>
      <c r="K245" t="str" cm="1">
        <f t="array" ref="K2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Lünen Hbf</v>
      </c>
      <c r="L245" t="str">
        <f>IFERROR(LEFT(TRIM(Lose[[#This Row],[Google Koordinaten]]),9),"")</f>
        <v>51.615628</v>
      </c>
      <c r="M245" t="str">
        <f>IFERROR(MID(TRIM(Lose[[#This Row],[Google Koordinaten]]),
FIND(",",TRIM(Lose[[#This Row],[Google Koordinaten]])) + 2,9),"")</f>
        <v>7.5230435</v>
      </c>
      <c r="N245">
        <f>IF(Lose[[#This Row],[Bahn-hofs-zeit]]=0,0,MROUND(30*25^((Lose[[#This Row],[Bahn-hofs-zeit]]-_xlfn.MINIFS(Lose[Bahn-hofs-zeit],Lose[Bahn-hofs-zeit],"&gt;0"))/(MAX(Lose[Bahn-hofs-zeit])-_xlfn.MINIFS(Lose[Bahn-hofs-zeit],Lose[Bahn-hofs-zeit],"&gt;0"))),5))</f>
        <v>45</v>
      </c>
      <c r="O245">
        <f>IF(Lose[[#This Row],[Gehzeit (min)]]="",0,CEILING(3*(Lose[[#This Row],[Gehzeit (min)]]+Lose[[#This Row],[Aufgaben-zeit (min)]]),5))</f>
        <v>30</v>
      </c>
      <c r="P245">
        <v>4.75</v>
      </c>
      <c r="Q245">
        <f>IFERROR(ROUND(Lose[[#This Row],[Distanz (km)]]*60/Lose[[#This Row],[Gehzeit (min)]],1),"")</f>
        <v>4.0999999999999996</v>
      </c>
      <c r="R2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245">
        <f>IFERROR(Lose[[#This Row],[Distanz (km)]]-Lose[[#This Row],[Check Distanz]],"")</f>
        <v>7.0000000000000062E-2</v>
      </c>
      <c r="T245" s="60">
        <f>IFERROR(Lose[[#This Row],[Check Umweg]]/Lose[[#This Row],[Check Distanz]],"")</f>
        <v>0.14583333333333348</v>
      </c>
      <c r="U245">
        <f ca="1">IF(RIGHT(Lose[[#This Row],[LosID]],1)="b",_xlfn.XLOOKUP(REPLACE(Lose[[#This Row],[LosID]],LEN(Lose[[#This Row],[LosID]]),1,"a"),Lose[LosID],Lose[Zufallszahl],"",0),RAND())</f>
        <v>0.64629692805317074</v>
      </c>
      <c r="V245" t="b" cm="1">
        <f t="array" aca="1" ref="V245" ca="1">Lose[[#This Row],[Zufallszahl]]&gt;=IFERROR(LARGE((LEFT(Lose[LosID],FIND("-",Lose[LosID])-1)=LEFT(Lose[[#This Row],[LosID]],FIND("-",Lose[[#This Row],[LosID]])-1))*Lose[Zufallszahl],_xlfn.XLOOKUP(LEFT(Lose[[#This Row],[LosID]],FIND("-",Lose[[#This Row],[LosID]])-1),Ziehungsanzahl[Kürzel],Ziehungsanzahl[Kontingent],FALSE,0)),9999)</f>
        <v>0</v>
      </c>
    </row>
    <row r="246" spans="1:23" ht="60" hidden="1">
      <c r="A2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6" t="s">
        <v>4</v>
      </c>
      <c r="C246" s="92" t="s">
        <v>1331</v>
      </c>
      <c r="D246" s="1" t="s">
        <v>24148</v>
      </c>
      <c r="E246" t="s">
        <v>24149</v>
      </c>
      <c r="F246" t="s">
        <v>24150</v>
      </c>
      <c r="G246">
        <v>8</v>
      </c>
      <c r="H246">
        <v>5</v>
      </c>
      <c r="I246">
        <v>0.55000000000000004</v>
      </c>
      <c r="K246" t="str" cm="1">
        <f t="array" ref="K2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Korbach Süd</v>
      </c>
      <c r="L246" t="str">
        <f>IFERROR(LEFT(TRIM(Lose[[#This Row],[Google Koordinaten]]),9),"")</f>
        <v>51.271363</v>
      </c>
      <c r="M246" t="str">
        <f>IFERROR(MID(TRIM(Lose[[#This Row],[Google Koordinaten]]),
FIND(",",TRIM(Lose[[#This Row],[Google Koordinaten]])) + 2,9),"")</f>
        <v>8.8726230</v>
      </c>
      <c r="N246">
        <f>IF(Lose[[#This Row],[Bahn-hofs-zeit]]=0,0,MROUND(30*25^((Lose[[#This Row],[Bahn-hofs-zeit]]-_xlfn.MINIFS(Lose[Bahn-hofs-zeit],Lose[Bahn-hofs-zeit],"&gt;0"))/(MAX(Lose[Bahn-hofs-zeit])-_xlfn.MINIFS(Lose[Bahn-hofs-zeit],Lose[Bahn-hofs-zeit],"&gt;0"))),5))</f>
        <v>75</v>
      </c>
      <c r="O246">
        <f>IF(Lose[[#This Row],[Gehzeit (min)]]="",0,CEILING(3*(Lose[[#This Row],[Gehzeit (min)]]+Lose[[#This Row],[Aufgaben-zeit (min)]]),5))</f>
        <v>40</v>
      </c>
      <c r="P246">
        <v>6.5</v>
      </c>
      <c r="Q246">
        <f>IFERROR(ROUND(Lose[[#This Row],[Distanz (km)]]*60/Lose[[#This Row],[Gehzeit (min)]],1),"")</f>
        <v>4.0999999999999996</v>
      </c>
      <c r="R2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0.45</v>
      </c>
      <c r="S246">
        <f>IFERROR(Lose[[#This Row],[Distanz (km)]]-Lose[[#This Row],[Check Distanz]],"")</f>
        <v>0.10000000000000003</v>
      </c>
      <c r="T246" s="60">
        <f>IFERROR(Lose[[#This Row],[Check Umweg]]/Lose[[#This Row],[Check Distanz]],"")</f>
        <v>0.22222222222222229</v>
      </c>
      <c r="U246">
        <f ca="1">IF(RIGHT(Lose[[#This Row],[LosID]],1)="b",_xlfn.XLOOKUP(REPLACE(Lose[[#This Row],[LosID]],LEN(Lose[[#This Row],[LosID]]),1,"a"),Lose[LosID],Lose[Zufallszahl],"",0),RAND())</f>
        <v>0.18612146497444793</v>
      </c>
      <c r="V246" t="b" cm="1">
        <f t="array" aca="1" ref="V246" ca="1">Lose[[#This Row],[Zufallszahl]]&gt;=IFERROR(LARGE((LEFT(Lose[LosID],FIND("-",Lose[LosID])-1)=LEFT(Lose[[#This Row],[LosID]],FIND("-",Lose[[#This Row],[LosID]])-1))*Lose[Zufallszahl],_xlfn.XLOOKUP(LEFT(Lose[[#This Row],[LosID]],FIND("-",Lose[[#This Row],[LosID]])-1),Ziehungsanzahl[Kürzel],Ziehungsanzahl[Kontingent],FALSE,0)),9999)</f>
        <v>0</v>
      </c>
    </row>
    <row r="247" spans="1:23" ht="60" hidden="1">
      <c r="A2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7" t="s">
        <v>23380</v>
      </c>
      <c r="C247" s="92" t="s">
        <v>24151</v>
      </c>
      <c r="D247" s="1" t="s">
        <v>24152</v>
      </c>
      <c r="E247" t="s">
        <v>24153</v>
      </c>
      <c r="F247" t="s">
        <v>24154</v>
      </c>
      <c r="G247">
        <v>15</v>
      </c>
      <c r="H247">
        <v>10</v>
      </c>
      <c r="I247">
        <v>1.1000000000000001</v>
      </c>
      <c r="J247">
        <v>20</v>
      </c>
      <c r="K247" t="str" cm="1">
        <f t="array" ref="K2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Lübeck-Travemünde Strand</v>
      </c>
      <c r="L247" t="str">
        <f>IFERROR(LEFT(TRIM(Lose[[#This Row],[Google Koordinaten]]),9),"")</f>
        <v>53.961989</v>
      </c>
      <c r="M247" t="str">
        <f>IFERROR(MID(TRIM(Lose[[#This Row],[Google Koordinaten]]),
FIND(",",TRIM(Lose[[#This Row],[Google Koordinaten]])) + 2,9),"")</f>
        <v>10.889111</v>
      </c>
      <c r="N247">
        <f>IF(Lose[[#This Row],[Bahn-hofs-zeit]]=0,0,MROUND(30*25^((Lose[[#This Row],[Bahn-hofs-zeit]]-_xlfn.MINIFS(Lose[Bahn-hofs-zeit],Lose[Bahn-hofs-zeit],"&gt;0"))/(MAX(Lose[Bahn-hofs-zeit])-_xlfn.MINIFS(Lose[Bahn-hofs-zeit],Lose[Bahn-hofs-zeit],"&gt;0"))),5))</f>
        <v>180</v>
      </c>
      <c r="O247">
        <f>IF(Lose[[#This Row],[Gehzeit (min)]]="",0,CEILING(3*(Lose[[#This Row],[Gehzeit (min)]]+Lose[[#This Row],[Aufgaben-zeit (min)]]),5))</f>
        <v>75</v>
      </c>
      <c r="P247">
        <v>9.5</v>
      </c>
      <c r="Q247">
        <f>IFERROR(ROUND(Lose[[#This Row],[Distanz (km)]]*60/Lose[[#This Row],[Gehzeit (min)]],1),"")</f>
        <v>4.4000000000000004</v>
      </c>
      <c r="R2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247">
        <f>IFERROR(Lose[[#This Row],[Distanz (km)]]-Lose[[#This Row],[Check Distanz]],"")</f>
        <v>0.16000000000000014</v>
      </c>
      <c r="T247" s="60">
        <f>IFERROR(Lose[[#This Row],[Check Umweg]]/Lose[[#This Row],[Check Distanz]],"")</f>
        <v>0.17021276595744697</v>
      </c>
      <c r="U247">
        <f ca="1">IF(RIGHT(Lose[[#This Row],[LosID]],1)="b",_xlfn.XLOOKUP(REPLACE(Lose[[#This Row],[LosID]],LEN(Lose[[#This Row],[LosID]]),1,"a"),Lose[LosID],Lose[Zufallszahl],"",0),RAND())</f>
        <v>0.31024501198341925</v>
      </c>
      <c r="V247" t="b" cm="1">
        <f t="array" aca="1" ref="V247" ca="1">Lose[[#This Row],[Zufallszahl]]&gt;=IFERROR(LARGE((LEFT(Lose[LosID],FIND("-",Lose[LosID])-1)=LEFT(Lose[[#This Row],[LosID]],FIND("-",Lose[[#This Row],[LosID]])-1))*Lose[Zufallszahl],_xlfn.XLOOKUP(LEFT(Lose[[#This Row],[LosID]],FIND("-",Lose[[#This Row],[LosID]])-1),Ziehungsanzahl[Kürzel],Ziehungsanzahl[Kontingent],FALSE,0)),9999)</f>
        <v>0</v>
      </c>
    </row>
    <row r="248" spans="1:23" ht="150">
      <c r="A2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8" t="s">
        <v>23385</v>
      </c>
      <c r="C248" s="92" t="s">
        <v>24155</v>
      </c>
      <c r="D248" s="1" t="s">
        <v>24156</v>
      </c>
      <c r="E248" t="s">
        <v>24157</v>
      </c>
      <c r="F248" t="s">
        <v>24158</v>
      </c>
      <c r="G248">
        <v>18</v>
      </c>
      <c r="H248">
        <v>10</v>
      </c>
      <c r="I248">
        <v>1.3</v>
      </c>
      <c r="J248">
        <v>20</v>
      </c>
      <c r="K248" t="str" cm="1">
        <f t="array" ref="K2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Hamburg-Blankenese</v>
      </c>
      <c r="L248" t="str">
        <f>IFERROR(LEFT(TRIM(Lose[[#This Row],[Google Koordinaten]]),9),"")</f>
        <v>53.556258</v>
      </c>
      <c r="M248" t="str">
        <f>IFERROR(MID(TRIM(Lose[[#This Row],[Google Koordinaten]]),
FIND(",",TRIM(Lose[[#This Row],[Google Koordinaten]])) + 2,9),"")</f>
        <v>9.8048477</v>
      </c>
      <c r="N248">
        <f>IF(Lose[[#This Row],[Bahn-hofs-zeit]]=0,0,MROUND(30*25^((Lose[[#This Row],[Bahn-hofs-zeit]]-_xlfn.MINIFS(Lose[Bahn-hofs-zeit],Lose[Bahn-hofs-zeit],"&gt;0"))/(MAX(Lose[Bahn-hofs-zeit])-_xlfn.MINIFS(Lose[Bahn-hofs-zeit],Lose[Bahn-hofs-zeit],"&gt;0"))),5))</f>
        <v>95</v>
      </c>
      <c r="O248">
        <f>IF(Lose[[#This Row],[Gehzeit (min)]]="",0,CEILING(3*(Lose[[#This Row],[Gehzeit (min)]]+Lose[[#This Row],[Aufgaben-zeit (min)]]),5))</f>
        <v>85</v>
      </c>
      <c r="P248">
        <v>7.25</v>
      </c>
      <c r="Q248">
        <f>IFERROR(ROUND(Lose[[#This Row],[Distanz (km)]]*60/Lose[[#This Row],[Gehzeit (min)]],1),"")</f>
        <v>4.3</v>
      </c>
      <c r="R2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248">
        <f>IFERROR(Lose[[#This Row],[Distanz (km)]]-Lose[[#This Row],[Check Distanz]],"")</f>
        <v>0.18999999999999995</v>
      </c>
      <c r="T248" s="60">
        <f>IFERROR(Lose[[#This Row],[Check Umweg]]/Lose[[#This Row],[Check Distanz]],"")</f>
        <v>0.17117117117117112</v>
      </c>
      <c r="U248">
        <f ca="1">IF(RIGHT(Lose[[#This Row],[LosID]],1)="b",_xlfn.XLOOKUP(REPLACE(Lose[[#This Row],[LosID]],LEN(Lose[[#This Row],[LosID]]),1,"a"),Lose[LosID],Lose[Zufallszahl],"",0),RAND())</f>
        <v>0.34922942972160564</v>
      </c>
      <c r="V248" t="b" cm="1">
        <f t="array" aca="1" ref="V248" ca="1">Lose[[#This Row],[Zufallszahl]]&gt;=IFERROR(LARGE((LEFT(Lose[LosID],FIND("-",Lose[LosID])-1)=LEFT(Lose[[#This Row],[LosID]],FIND("-",Lose[[#This Row],[LosID]])-1))*Lose[Zufallszahl],_xlfn.XLOOKUP(LEFT(Lose[[#This Row],[LosID]],FIND("-",Lose[[#This Row],[LosID]])-1),Ziehungsanzahl[Kürzel],Ziehungsanzahl[Kontingent],FALSE,0)),9999)</f>
        <v>0</v>
      </c>
    </row>
    <row r="249" spans="1:23" ht="60" hidden="1">
      <c r="A2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49" t="s">
        <v>23390</v>
      </c>
      <c r="C249" s="92" t="s">
        <v>1332</v>
      </c>
      <c r="D249" s="1" t="s">
        <v>24159</v>
      </c>
      <c r="E249" t="s">
        <v>24160</v>
      </c>
      <c r="F249" t="s">
        <v>24161</v>
      </c>
      <c r="G249">
        <v>6</v>
      </c>
      <c r="H249">
        <v>5</v>
      </c>
      <c r="I249">
        <v>0.45</v>
      </c>
      <c r="K249" t="str" cm="1">
        <f t="array" ref="K2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Nordenham</v>
      </c>
      <c r="L249" t="str">
        <f>IFERROR(LEFT(TRIM(Lose[[#This Row],[Google Koordinaten]]),9),"")</f>
        <v>53.481878</v>
      </c>
      <c r="M249" t="str">
        <f>IFERROR(MID(TRIM(Lose[[#This Row],[Google Koordinaten]]),
FIND(",",TRIM(Lose[[#This Row],[Google Koordinaten]])) + 2,9),"")</f>
        <v>8.4880516</v>
      </c>
      <c r="N249">
        <f>IF(Lose[[#This Row],[Bahn-hofs-zeit]]=0,0,MROUND(30*25^((Lose[[#This Row],[Bahn-hofs-zeit]]-_xlfn.MINIFS(Lose[Bahn-hofs-zeit],Lose[Bahn-hofs-zeit],"&gt;0"))/(MAX(Lose[Bahn-hofs-zeit])-_xlfn.MINIFS(Lose[Bahn-hofs-zeit],Lose[Bahn-hofs-zeit],"&gt;0"))),5))</f>
        <v>145</v>
      </c>
      <c r="O249">
        <f>IF(Lose[[#This Row],[Gehzeit (min)]]="",0,CEILING(3*(Lose[[#This Row],[Gehzeit (min)]]+Lose[[#This Row],[Aufgaben-zeit (min)]]),5))</f>
        <v>35</v>
      </c>
      <c r="P249">
        <v>8.75</v>
      </c>
      <c r="Q249">
        <f>IFERROR(ROUND(Lose[[#This Row],[Distanz (km)]]*60/Lose[[#This Row],[Gehzeit (min)]],1),"")</f>
        <v>4.5</v>
      </c>
      <c r="R2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249">
        <f>IFERROR(Lose[[#This Row],[Distanz (km)]]-Lose[[#This Row],[Check Distanz]],"")</f>
        <v>0.23</v>
      </c>
      <c r="T249" s="60">
        <f>IFERROR(Lose[[#This Row],[Check Umweg]]/Lose[[#This Row],[Check Distanz]],"")</f>
        <v>1.0454545454545454</v>
      </c>
      <c r="U249">
        <f ca="1">IF(RIGHT(Lose[[#This Row],[LosID]],1)="b",_xlfn.XLOOKUP(REPLACE(Lose[[#This Row],[LosID]],LEN(Lose[[#This Row],[LosID]]),1,"a"),Lose[LosID],Lose[Zufallszahl],"",0),RAND())</f>
        <v>0.9787232524588183</v>
      </c>
      <c r="V249" t="b" cm="1">
        <f t="array" aca="1" ref="V249" ca="1">Lose[[#This Row],[Zufallszahl]]&gt;=IFERROR(LARGE((LEFT(Lose[LosID],FIND("-",Lose[LosID])-1)=LEFT(Lose[[#This Row],[LosID]],FIND("-",Lose[[#This Row],[LosID]])-1))*Lose[Zufallszahl],_xlfn.XLOOKUP(LEFT(Lose[[#This Row],[LosID]],FIND("-",Lose[[#This Row],[LosID]])-1),Ziehungsanzahl[Kürzel],Ziehungsanzahl[Kontingent],FALSE,0)),9999)</f>
        <v>0</v>
      </c>
      <c r="W249" t="s">
        <v>23362</v>
      </c>
    </row>
    <row r="250" spans="1:23" ht="90" hidden="1">
      <c r="A2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0" t="s">
        <v>23357</v>
      </c>
      <c r="C250" s="92" t="s">
        <v>1324</v>
      </c>
      <c r="D250" s="1" t="s">
        <v>24162</v>
      </c>
      <c r="E250" t="s">
        <v>24163</v>
      </c>
      <c r="F250" t="s">
        <v>24164</v>
      </c>
      <c r="G250">
        <v>24</v>
      </c>
      <c r="H250">
        <v>2</v>
      </c>
      <c r="I250">
        <v>0.85</v>
      </c>
      <c r="J250">
        <v>20</v>
      </c>
      <c r="K250" t="str" cm="1">
        <f t="array" ref="K2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Soest</v>
      </c>
      <c r="L250" t="str">
        <f>IFERROR(LEFT(TRIM(Lose[[#This Row],[Google Koordinaten]]),9),"")</f>
        <v>51.571930</v>
      </c>
      <c r="M250" t="str">
        <f>IFERROR(MID(TRIM(Lose[[#This Row],[Google Koordinaten]]),
FIND(",",TRIM(Lose[[#This Row],[Google Koordinaten]])) + 2,9),"")</f>
        <v>8.1067542</v>
      </c>
      <c r="N250">
        <f>IF(Lose[[#This Row],[Bahn-hofs-zeit]]=0,0,MROUND(30*25^((Lose[[#This Row],[Bahn-hofs-zeit]]-_xlfn.MINIFS(Lose[Bahn-hofs-zeit],Lose[Bahn-hofs-zeit],"&gt;0"))/(MAX(Lose[Bahn-hofs-zeit])-_xlfn.MINIFS(Lose[Bahn-hofs-zeit],Lose[Bahn-hofs-zeit],"&gt;0"))),5))</f>
        <v>40</v>
      </c>
      <c r="O250">
        <f>IF(Lose[[#This Row],[Gehzeit (min)]]="",0,CEILING(3*(Lose[[#This Row],[Gehzeit (min)]]+Lose[[#This Row],[Aufgaben-zeit (min)]]),5))</f>
        <v>80</v>
      </c>
      <c r="P250">
        <v>4.25</v>
      </c>
      <c r="Q250">
        <f>IFERROR(ROUND(Lose[[#This Row],[Distanz (km)]]*60/Lose[[#This Row],[Gehzeit (min)]],1),"")</f>
        <v>2.1</v>
      </c>
      <c r="R2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250">
        <f>IFERROR(Lose[[#This Row],[Distanz (km)]]-Lose[[#This Row],[Check Distanz]],"")</f>
        <v>0.10999999999999999</v>
      </c>
      <c r="T250" s="60">
        <f>IFERROR(Lose[[#This Row],[Check Umweg]]/Lose[[#This Row],[Check Distanz]],"")</f>
        <v>0.14864864864864863</v>
      </c>
      <c r="U250">
        <f ca="1">IF(RIGHT(Lose[[#This Row],[LosID]],1)="b",_xlfn.XLOOKUP(REPLACE(Lose[[#This Row],[LosID]],LEN(Lose[[#This Row],[LosID]]),1,"a"),Lose[LosID],Lose[Zufallszahl],"",0),RAND())</f>
        <v>0.75473444890830499</v>
      </c>
      <c r="V250" t="b" cm="1">
        <f t="array" aca="1" ref="V250" ca="1">Lose[[#This Row],[Zufallszahl]]&gt;=IFERROR(LARGE((LEFT(Lose[LosID],FIND("-",Lose[LosID])-1)=LEFT(Lose[[#This Row],[LosID]],FIND("-",Lose[[#This Row],[LosID]])-1))*Lose[Zufallszahl],_xlfn.XLOOKUP(LEFT(Lose[[#This Row],[LosID]],FIND("-",Lose[[#This Row],[LosID]])-1),Ziehungsanzahl[Kürzel],Ziehungsanzahl[Kontingent],FALSE,0)),9999)</f>
        <v>0</v>
      </c>
    </row>
    <row r="251" spans="1:23" ht="105" hidden="1">
      <c r="A2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1" t="s">
        <v>23363</v>
      </c>
      <c r="C251" s="92" t="s">
        <v>24165</v>
      </c>
      <c r="D251" s="1" t="s">
        <v>24166</v>
      </c>
      <c r="E251" t="s">
        <v>24167</v>
      </c>
      <c r="F251" t="s">
        <v>24168</v>
      </c>
      <c r="G251">
        <v>23</v>
      </c>
      <c r="H251">
        <v>1</v>
      </c>
      <c r="I251">
        <v>1.6</v>
      </c>
      <c r="J251">
        <v>20</v>
      </c>
      <c r="K251" t="str" cm="1">
        <f t="array" ref="K2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Scharbeutz</v>
      </c>
      <c r="L251" t="str">
        <f>IFERROR(LEFT(TRIM(Lose[[#This Row],[Google Koordinaten]]),9),"")</f>
        <v>54.028223</v>
      </c>
      <c r="M251" t="str">
        <f>IFERROR(MID(TRIM(Lose[[#This Row],[Google Koordinaten]]),
FIND(",",TRIM(Lose[[#This Row],[Google Koordinaten]])) + 2,9),"")</f>
        <v>10.759687</v>
      </c>
      <c r="N251">
        <f>IF(Lose[[#This Row],[Bahn-hofs-zeit]]=0,0,MROUND(30*25^((Lose[[#This Row],[Bahn-hofs-zeit]]-_xlfn.MINIFS(Lose[Bahn-hofs-zeit],Lose[Bahn-hofs-zeit],"&gt;0"))/(MAX(Lose[Bahn-hofs-zeit])-_xlfn.MINIFS(Lose[Bahn-hofs-zeit],Lose[Bahn-hofs-zeit],"&gt;0"))),5))</f>
        <v>205</v>
      </c>
      <c r="O251">
        <f>IF(Lose[[#This Row],[Gehzeit (min)]]="",0,CEILING(3*(Lose[[#This Row],[Gehzeit (min)]]+Lose[[#This Row],[Aufgaben-zeit (min)]]),5))</f>
        <v>75</v>
      </c>
      <c r="P251">
        <v>10</v>
      </c>
      <c r="Q251">
        <f>IFERROR(ROUND(Lose[[#This Row],[Distanz (km)]]*60/Lose[[#This Row],[Gehzeit (min)]],1),"")</f>
        <v>4.2</v>
      </c>
      <c r="R2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1.39</v>
      </c>
      <c r="S251">
        <f>IFERROR(Lose[[#This Row],[Distanz (km)]]-Lose[[#This Row],[Check Distanz]],"")</f>
        <v>0.21000000000000019</v>
      </c>
      <c r="T251" s="60">
        <f>IFERROR(Lose[[#This Row],[Check Umweg]]/Lose[[#This Row],[Check Distanz]],"")</f>
        <v>0.15107913669064763</v>
      </c>
      <c r="U251">
        <f ca="1">IF(RIGHT(Lose[[#This Row],[LosID]],1)="b",_xlfn.XLOOKUP(REPLACE(Lose[[#This Row],[LosID]],LEN(Lose[[#This Row],[LosID]]),1,"a"),Lose[LosID],Lose[Zufallszahl],"",0),RAND())</f>
        <v>0.90805141025161096</v>
      </c>
      <c r="V251" t="b" cm="1">
        <f t="array" aca="1" ref="V251" ca="1">Lose[[#This Row],[Zufallszahl]]&gt;=IFERROR(LARGE((LEFT(Lose[LosID],FIND("-",Lose[LosID])-1)=LEFT(Lose[[#This Row],[LosID]],FIND("-",Lose[[#This Row],[LosID]])-1))*Lose[Zufallszahl],_xlfn.XLOOKUP(LEFT(Lose[[#This Row],[LosID]],FIND("-",Lose[[#This Row],[LosID]])-1),Ziehungsanzahl[Kürzel],Ziehungsanzahl[Kontingent],FALSE,0)),9999)</f>
        <v>0</v>
      </c>
    </row>
    <row r="252" spans="1:23" ht="90" hidden="1">
      <c r="A2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2" t="s">
        <v>23367</v>
      </c>
      <c r="C252" s="92" t="s">
        <v>24169</v>
      </c>
      <c r="D252" s="1" t="s">
        <v>24170</v>
      </c>
      <c r="E252" t="s">
        <v>24171</v>
      </c>
      <c r="F252" t="s">
        <v>24172</v>
      </c>
      <c r="G252">
        <v>11</v>
      </c>
      <c r="H252">
        <v>2</v>
      </c>
      <c r="I252">
        <v>0.8</v>
      </c>
      <c r="J252">
        <v>20</v>
      </c>
      <c r="K252" t="str" cm="1">
        <f t="array" ref="K2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Eckernförde</v>
      </c>
      <c r="L252" t="str">
        <f>IFERROR(LEFT(TRIM(Lose[[#This Row],[Google Koordinaten]]),9),"")</f>
        <v>54.474035</v>
      </c>
      <c r="M252" t="str">
        <f>IFERROR(MID(TRIM(Lose[[#This Row],[Google Koordinaten]]),
FIND(",",TRIM(Lose[[#This Row],[Google Koordinaten]])) + 2,9),"")</f>
        <v>9.8367713</v>
      </c>
      <c r="N252">
        <f>IF(Lose[[#This Row],[Bahn-hofs-zeit]]=0,0,MROUND(30*25^((Lose[[#This Row],[Bahn-hofs-zeit]]-_xlfn.MINIFS(Lose[Bahn-hofs-zeit],Lose[Bahn-hofs-zeit],"&gt;0"))/(MAX(Lose[Bahn-hofs-zeit])-_xlfn.MINIFS(Lose[Bahn-hofs-zeit],Lose[Bahn-hofs-zeit],"&gt;0"))),5))</f>
        <v>275</v>
      </c>
      <c r="O252">
        <f>IF(Lose[[#This Row],[Gehzeit (min)]]="",0,CEILING(3*(Lose[[#This Row],[Gehzeit (min)]]+Lose[[#This Row],[Aufgaben-zeit (min)]]),5))</f>
        <v>40</v>
      </c>
      <c r="P252">
        <v>11</v>
      </c>
      <c r="Q252">
        <f>IFERROR(ROUND(Lose[[#This Row],[Distanz (km)]]*60/Lose[[#This Row],[Gehzeit (min)]],1),"")</f>
        <v>4.4000000000000004</v>
      </c>
      <c r="R2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0.72</v>
      </c>
      <c r="S252">
        <f>IFERROR(Lose[[#This Row],[Distanz (km)]]-Lose[[#This Row],[Check Distanz]],"")</f>
        <v>8.0000000000000071E-2</v>
      </c>
      <c r="T252" s="60">
        <f>IFERROR(Lose[[#This Row],[Check Umweg]]/Lose[[#This Row],[Check Distanz]],"")</f>
        <v>0.11111111111111122</v>
      </c>
      <c r="U252">
        <f ca="1">IF(RIGHT(Lose[[#This Row],[LosID]],1)="b",_xlfn.XLOOKUP(REPLACE(Lose[[#This Row],[LosID]],LEN(Lose[[#This Row],[LosID]]),1,"a"),Lose[LosID],Lose[Zufallszahl],"",0),RAND())</f>
        <v>0.54283384744775587</v>
      </c>
      <c r="V252" t="b" cm="1">
        <f t="array" aca="1" ref="V252" ca="1">Lose[[#This Row],[Zufallszahl]]&gt;=IFERROR(LARGE((LEFT(Lose[LosID],FIND("-",Lose[LosID])-1)=LEFT(Lose[[#This Row],[LosID]],FIND("-",Lose[[#This Row],[LosID]])-1))*Lose[Zufallszahl],_xlfn.XLOOKUP(LEFT(Lose[[#This Row],[LosID]],FIND("-",Lose[[#This Row],[LosID]])-1),Ziehungsanzahl[Kürzel],Ziehungsanzahl[Kontingent],FALSE,0)),9999)</f>
        <v>0</v>
      </c>
    </row>
    <row r="253" spans="1:23" ht="45" hidden="1">
      <c r="A2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3" t="s">
        <v>23372</v>
      </c>
      <c r="C253" s="92" t="s">
        <v>1325</v>
      </c>
      <c r="D253" s="78" t="s">
        <v>24173</v>
      </c>
      <c r="E253" t="s">
        <v>24174</v>
      </c>
      <c r="F253" t="s">
        <v>24175</v>
      </c>
      <c r="G253">
        <v>13</v>
      </c>
      <c r="H253">
        <v>1</v>
      </c>
      <c r="I253">
        <v>0.9</v>
      </c>
      <c r="J253">
        <v>0</v>
      </c>
      <c r="K253" t="str" cm="1">
        <f t="array" ref="K2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253" t="str">
        <f>IFERROR(LEFT(TRIM(Lose[[#This Row],[Google Koordinaten]]),9),"")</f>
        <v>52.124803</v>
      </c>
      <c r="M253" t="str">
        <f>IFERROR(MID(TRIM(Lose[[#This Row],[Google Koordinaten]]),
FIND(",",TRIM(Lose[[#This Row],[Google Koordinaten]])) + 2,9),"")</f>
        <v>11.633467</v>
      </c>
      <c r="N253">
        <f>IF(Lose[[#This Row],[Bahn-hofs-zeit]]=0,0,MROUND(30*25^((Lose[[#This Row],[Bahn-hofs-zeit]]-_xlfn.MINIFS(Lose[Bahn-hofs-zeit],Lose[Bahn-hofs-zeit],"&gt;0"))/(MAX(Lose[Bahn-hofs-zeit])-_xlfn.MINIFS(Lose[Bahn-hofs-zeit],Lose[Bahn-hofs-zeit],"&gt;0"))),5))</f>
        <v>145</v>
      </c>
      <c r="O253">
        <f>IF(Lose[[#This Row],[Gehzeit (min)]]="",0,CEILING(3*(Lose[[#This Row],[Gehzeit (min)]]+Lose[[#This Row],[Aufgaben-zeit (min)]]),5))</f>
        <v>45</v>
      </c>
      <c r="P253">
        <v>8.75</v>
      </c>
      <c r="Q253">
        <f>IFERROR(ROUND(Lose[[#This Row],[Distanz (km)]]*60/Lose[[#This Row],[Gehzeit (min)]],1),"")</f>
        <v>4.2</v>
      </c>
      <c r="R2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53">
        <f>IFERROR(Lose[[#This Row],[Distanz (km)]]-Lose[[#This Row],[Check Distanz]],"")</f>
        <v>0.13</v>
      </c>
      <c r="T253" s="60">
        <f>IFERROR(Lose[[#This Row],[Check Umweg]]/Lose[[#This Row],[Check Distanz]],"")</f>
        <v>0.16883116883116883</v>
      </c>
      <c r="U253">
        <f ca="1">IF(RIGHT(Lose[[#This Row],[LosID]],1)="b",_xlfn.XLOOKUP(REPLACE(Lose[[#This Row],[LosID]],LEN(Lose[[#This Row],[LosID]]),1,"a"),Lose[LosID],Lose[Zufallszahl],"",0),RAND())</f>
        <v>0.13308651919366854</v>
      </c>
      <c r="V253" t="b" cm="1">
        <f t="array" aca="1" ref="V253" ca="1">Lose[[#This Row],[Zufallszahl]]&gt;=IFERROR(LARGE((LEFT(Lose[LosID],FIND("-",Lose[LosID])-1)=LEFT(Lose[[#This Row],[LosID]],FIND("-",Lose[[#This Row],[LosID]])-1))*Lose[Zufallszahl],_xlfn.XLOOKUP(LEFT(Lose[[#This Row],[LosID]],FIND("-",Lose[[#This Row],[LosID]])-1),Ziehungsanzahl[Kürzel],Ziehungsanzahl[Kontingent],FALSE,0)),9999)</f>
        <v>0</v>
      </c>
    </row>
    <row r="254" spans="1:23" ht="105" hidden="1">
      <c r="A2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4" t="s">
        <v>4</v>
      </c>
      <c r="C254" s="92" t="s">
        <v>24176</v>
      </c>
      <c r="D254" s="1" t="s">
        <v>24177</v>
      </c>
      <c r="E254" t="s">
        <v>24178</v>
      </c>
      <c r="F254" t="s">
        <v>24179</v>
      </c>
      <c r="G254">
        <v>17</v>
      </c>
      <c r="H254">
        <v>7</v>
      </c>
      <c r="I254">
        <v>1.2</v>
      </c>
      <c r="J254">
        <v>10</v>
      </c>
      <c r="K254" t="s">
        <v>16069</v>
      </c>
      <c r="L254" t="str">
        <f>IFERROR(LEFT(TRIM(Lose[[#This Row],[Google Koordinaten]]),9),"")</f>
        <v>53.618376</v>
      </c>
      <c r="M254" t="str">
        <f>IFERROR(MID(TRIM(Lose[[#This Row],[Google Koordinaten]]),
FIND(",",TRIM(Lose[[#This Row],[Google Koordinaten]])) + 2,9),"")</f>
        <v>7.1496872</v>
      </c>
      <c r="N254">
        <f>IF(Lose[[#This Row],[Bahn-hofs-zeit]]=0,0,MROUND(30*25^((Lose[[#This Row],[Bahn-hofs-zeit]]-_xlfn.MINIFS(Lose[Bahn-hofs-zeit],Lose[Bahn-hofs-zeit],"&gt;0"))/(MAX(Lose[Bahn-hofs-zeit])-_xlfn.MINIFS(Lose[Bahn-hofs-zeit],Lose[Bahn-hofs-zeit],"&gt;0"))),5))</f>
        <v>195</v>
      </c>
      <c r="O254">
        <f>IF(Lose[[#This Row],[Gehzeit (min)]]="",0,CEILING(3*(Lose[[#This Row],[Gehzeit (min)]]+Lose[[#This Row],[Aufgaben-zeit (min)]]),5))</f>
        <v>75</v>
      </c>
      <c r="P254">
        <v>9.75</v>
      </c>
      <c r="Q254">
        <f>IFERROR(ROUND(Lose[[#This Row],[Distanz (km)]]*60/Lose[[#This Row],[Gehzeit (min)]],1),"")</f>
        <v>4.2</v>
      </c>
      <c r="R2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54">
        <f>IFERROR(Lose[[#This Row],[Distanz (km)]]-Lose[[#This Row],[Check Distanz]],"")</f>
        <v>0.30999999999999994</v>
      </c>
      <c r="T254" s="60">
        <f>IFERROR(Lose[[#This Row],[Check Umweg]]/Lose[[#This Row],[Check Distanz]],"")</f>
        <v>0.34831460674157294</v>
      </c>
      <c r="U254">
        <f ca="1">IF(RIGHT(Lose[[#This Row],[LosID]],1)="b",_xlfn.XLOOKUP(REPLACE(Lose[[#This Row],[LosID]],LEN(Lose[[#This Row],[LosID]]),1,"a"),Lose[LosID],Lose[Zufallszahl],"",0),RAND())</f>
        <v>0.53059591986898402</v>
      </c>
      <c r="V254" t="b" cm="1">
        <f t="array" aca="1" ref="V254" ca="1">Lose[[#This Row],[Zufallszahl]]&gt;=IFERROR(LARGE((LEFT(Lose[LosID],FIND("-",Lose[LosID])-1)=LEFT(Lose[[#This Row],[LosID]],FIND("-",Lose[[#This Row],[LosID]])-1))*Lose[Zufallszahl],_xlfn.XLOOKUP(LEFT(Lose[[#This Row],[LosID]],FIND("-",Lose[[#This Row],[LosID]])-1),Ziehungsanzahl[Kürzel],Ziehungsanzahl[Kontingent],FALSE,0)),9999)</f>
        <v>0</v>
      </c>
    </row>
    <row r="255" spans="1:23" ht="105" hidden="1">
      <c r="A2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5" t="s">
        <v>23352</v>
      </c>
      <c r="C255" s="93" t="s">
        <v>24180</v>
      </c>
      <c r="D255" s="1" t="s">
        <v>24181</v>
      </c>
      <c r="E255" t="s">
        <v>24182</v>
      </c>
      <c r="F255" t="s">
        <v>24183</v>
      </c>
      <c r="G255">
        <v>10</v>
      </c>
      <c r="H255">
        <v>3</v>
      </c>
      <c r="I255">
        <v>0.75</v>
      </c>
      <c r="K255" t="str" cm="1">
        <f t="array" ref="K2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Stade</v>
      </c>
      <c r="L255" t="str">
        <f>IFERROR(LEFT(TRIM(Lose[[#This Row],[Google Koordinaten]]),9),"")</f>
        <v>53.601201</v>
      </c>
      <c r="M255" t="str">
        <f>IFERROR(MID(TRIM(Lose[[#This Row],[Google Koordinaten]]),
FIND(",",TRIM(Lose[[#This Row],[Google Koordinaten]])) + 2,9),"")</f>
        <v>9.4768345</v>
      </c>
      <c r="N255">
        <f>IF(Lose[[#This Row],[Bahn-hofs-zeit]]=0,0,MROUND(30*25^((Lose[[#This Row],[Bahn-hofs-zeit]]-_xlfn.MINIFS(Lose[Bahn-hofs-zeit],Lose[Bahn-hofs-zeit],"&gt;0"))/(MAX(Lose[Bahn-hofs-zeit])-_xlfn.MINIFS(Lose[Bahn-hofs-zeit],Lose[Bahn-hofs-zeit],"&gt;0"))),5))</f>
        <v>115</v>
      </c>
      <c r="O255">
        <f>IF(Lose[[#This Row],[Gehzeit (min)]]="",0,CEILING(3*(Lose[[#This Row],[Gehzeit (min)]]+Lose[[#This Row],[Aufgaben-zeit (min)]]),5))</f>
        <v>40</v>
      </c>
      <c r="P255">
        <v>8</v>
      </c>
      <c r="Q255">
        <f>IFERROR(ROUND(Lose[[#This Row],[Distanz (km)]]*60/Lose[[#This Row],[Gehzeit (min)]],1),"")</f>
        <v>4.5</v>
      </c>
      <c r="R2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255">
        <f>IFERROR(Lose[[#This Row],[Distanz (km)]]-Lose[[#This Row],[Check Distanz]],"")</f>
        <v>0.18999999999999995</v>
      </c>
      <c r="T255" s="60">
        <f>IFERROR(Lose[[#This Row],[Check Umweg]]/Lose[[#This Row],[Check Distanz]],"")</f>
        <v>0.33928571428571414</v>
      </c>
      <c r="U255">
        <f ca="1">IF(RIGHT(Lose[[#This Row],[LosID]],1)="b",_xlfn.XLOOKUP(REPLACE(Lose[[#This Row],[LosID]],LEN(Lose[[#This Row],[LosID]]),1,"a"),Lose[LosID],Lose[Zufallszahl],"",0),RAND())</f>
        <v>0.68831836749237008</v>
      </c>
      <c r="V255" t="b" cm="1">
        <f t="array" aca="1" ref="V255" ca="1">Lose[[#This Row],[Zufallszahl]]&gt;=IFERROR(LARGE((LEFT(Lose[LosID],FIND("-",Lose[LosID])-1)=LEFT(Lose[[#This Row],[LosID]],FIND("-",Lose[[#This Row],[LosID]])-1))*Lose[Zufallszahl],_xlfn.XLOOKUP(LEFT(Lose[[#This Row],[LosID]],FIND("-",Lose[[#This Row],[LosID]])-1),Ziehungsanzahl[Kürzel],Ziehungsanzahl[Kontingent],FALSE,0)),9999)</f>
        <v>0</v>
      </c>
    </row>
    <row r="256" spans="1:23" ht="75" hidden="1">
      <c r="A2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6" t="s">
        <v>23380</v>
      </c>
      <c r="C256" s="92" t="s">
        <v>1326</v>
      </c>
      <c r="D256" s="33" t="s">
        <v>24184</v>
      </c>
      <c r="E256" t="s">
        <v>24185</v>
      </c>
      <c r="F256" t="s">
        <v>24186</v>
      </c>
      <c r="G256">
        <v>13</v>
      </c>
      <c r="H256">
        <v>5</v>
      </c>
      <c r="I256">
        <v>1</v>
      </c>
      <c r="J256">
        <v>25</v>
      </c>
      <c r="K256" t="str" cm="1">
        <f t="array" ref="K2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Warnemünde</v>
      </c>
      <c r="L256" t="str">
        <f>IFERROR(LEFT(TRIM(Lose[[#This Row],[Google Koordinaten]]),9),"")</f>
        <v>54.183270</v>
      </c>
      <c r="M256" t="str">
        <f>IFERROR(MID(TRIM(Lose[[#This Row],[Google Koordinaten]]),
FIND(",",TRIM(Lose[[#This Row],[Google Koordinaten]])) + 2,9),"")</f>
        <v>12.084485</v>
      </c>
      <c r="N256">
        <f>IF(Lose[[#This Row],[Bahn-hofs-zeit]]=0,0,MROUND(30*25^((Lose[[#This Row],[Bahn-hofs-zeit]]-_xlfn.MINIFS(Lose[Bahn-hofs-zeit],Lose[Bahn-hofs-zeit],"&gt;0"))/(MAX(Lose[Bahn-hofs-zeit])-_xlfn.MINIFS(Lose[Bahn-hofs-zeit],Lose[Bahn-hofs-zeit],"&gt;0"))),5))</f>
        <v>395</v>
      </c>
      <c r="O256">
        <f>IF(Lose[[#This Row],[Gehzeit (min)]]="",0,CEILING(3*(Lose[[#This Row],[Gehzeit (min)]]+Lose[[#This Row],[Aufgaben-zeit (min)]]),5))</f>
        <v>55</v>
      </c>
      <c r="P256">
        <v>12.25</v>
      </c>
      <c r="Q256">
        <f>IFERROR(ROUND(Lose[[#This Row],[Distanz (km)]]*60/Lose[[#This Row],[Gehzeit (min)]],1),"")</f>
        <v>4.5999999999999996</v>
      </c>
      <c r="R2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256">
        <f>IFERROR(Lose[[#This Row],[Distanz (km)]]-Lose[[#This Row],[Check Distanz]],"")</f>
        <v>0.16000000000000003</v>
      </c>
      <c r="T256" s="60">
        <f>IFERROR(Lose[[#This Row],[Check Umweg]]/Lose[[#This Row],[Check Distanz]],"")</f>
        <v>0.19047619047619052</v>
      </c>
      <c r="U256">
        <f ca="1">IF(RIGHT(Lose[[#This Row],[LosID]],1)="b",_xlfn.XLOOKUP(REPLACE(Lose[[#This Row],[LosID]],LEN(Lose[[#This Row],[LosID]]),1,"a"),Lose[LosID],Lose[Zufallszahl],"",0),RAND())</f>
        <v>0.2866911899479655</v>
      </c>
      <c r="V256" t="b" cm="1">
        <f t="array" aca="1" ref="V256" ca="1">Lose[[#This Row],[Zufallszahl]]&gt;=IFERROR(LARGE((LEFT(Lose[LosID],FIND("-",Lose[LosID])-1)=LEFT(Lose[[#This Row],[LosID]],FIND("-",Lose[[#This Row],[LosID]])-1))*Lose[Zufallszahl],_xlfn.XLOOKUP(LEFT(Lose[[#This Row],[LosID]],FIND("-",Lose[[#This Row],[LosID]])-1),Ziehungsanzahl[Kürzel],Ziehungsanzahl[Kontingent],FALSE,0)),9999)</f>
        <v>0</v>
      </c>
    </row>
    <row r="257" spans="1:23" ht="120" hidden="1">
      <c r="A2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57" t="s">
        <v>23403</v>
      </c>
      <c r="C257" s="94" t="s">
        <v>1486</v>
      </c>
      <c r="D257" s="1" t="s">
        <v>24187</v>
      </c>
      <c r="E257" t="s">
        <v>1487</v>
      </c>
      <c r="F257" t="s">
        <v>24188</v>
      </c>
      <c r="G257">
        <v>4</v>
      </c>
      <c r="H257">
        <v>1</v>
      </c>
      <c r="I257">
        <v>0.3</v>
      </c>
      <c r="J257" t="s">
        <v>23</v>
      </c>
      <c r="K257" t="str" cm="1">
        <f t="array" ref="K2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Aha</v>
      </c>
      <c r="L257" t="str">
        <f>IFERROR(LEFT(TRIM(Lose[[#This Row],[Google Koordinaten]]),9),"")</f>
        <v>47.833079</v>
      </c>
      <c r="M257" t="str">
        <f>IFERROR(MID(TRIM(Lose[[#This Row],[Google Koordinaten]]),
FIND(",",TRIM(Lose[[#This Row],[Google Koordinaten]])) + 2,9),"")</f>
        <v>8.1326053</v>
      </c>
      <c r="N257">
        <f>IF(Lose[[#This Row],[Bahn-hofs-zeit]]=0,0,MROUND(30*25^((Lose[[#This Row],[Bahn-hofs-zeit]]-_xlfn.MINIFS(Lose[Bahn-hofs-zeit],Lose[Bahn-hofs-zeit],"&gt;0"))/(MAX(Lose[Bahn-hofs-zeit])-_xlfn.MINIFS(Lose[Bahn-hofs-zeit],Lose[Bahn-hofs-zeit],"&gt;0"))),5))</f>
        <v>255</v>
      </c>
      <c r="O257">
        <f>IF(Lose[[#This Row],[Gehzeit (min)]]="",0,CEILING(3*(Lose[[#This Row],[Gehzeit (min)]]+Lose[[#This Row],[Aufgaben-zeit (min)]]),5))</f>
        <v>15</v>
      </c>
      <c r="P257">
        <v>10.75</v>
      </c>
      <c r="Q257">
        <f>IFERROR(ROUND(Lose[[#This Row],[Distanz (km)]]*60/Lose[[#This Row],[Gehzeit (min)]],1),"")</f>
        <v>4.5</v>
      </c>
      <c r="R2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257">
        <f>IFERROR(Lose[[#This Row],[Distanz (km)]]-Lose[[#This Row],[Check Distanz]],"")</f>
        <v>0.16999999999999998</v>
      </c>
      <c r="T257" s="60">
        <f>IFERROR(Lose[[#This Row],[Check Umweg]]/Lose[[#This Row],[Check Distanz]],"")</f>
        <v>1.3076923076923075</v>
      </c>
      <c r="U257">
        <f ca="1">IF(RIGHT(Lose[[#This Row],[LosID]],1)="b",_xlfn.XLOOKUP(REPLACE(Lose[[#This Row],[LosID]],LEN(Lose[[#This Row],[LosID]]),1,"a"),Lose[LosID],Lose[Zufallszahl],"",0),RAND())</f>
        <v>0.65276867435940522</v>
      </c>
      <c r="V257" t="b" cm="1">
        <f t="array" aca="1" ref="V257" ca="1">Lose[[#This Row],[Zufallszahl]]&gt;=IFERROR(LARGE((LEFT(Lose[LosID],FIND("-",Lose[LosID])-1)=LEFT(Lose[[#This Row],[LosID]],FIND("-",Lose[[#This Row],[LosID]])-1))*Lose[Zufallszahl],_xlfn.XLOOKUP(LEFT(Lose[[#This Row],[LosID]],FIND("-",Lose[[#This Row],[LosID]])-1),Ziehungsanzahl[Kürzel],Ziehungsanzahl[Kontingent],FALSE,0)),9999)</f>
        <v>0</v>
      </c>
      <c r="W257" t="s">
        <v>23362</v>
      </c>
    </row>
    <row r="258" spans="1:23" ht="30" hidden="1">
      <c r="A2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8" t="s">
        <v>23352</v>
      </c>
      <c r="C258" t="s">
        <v>1511</v>
      </c>
      <c r="D258" s="1" t="s">
        <v>1514</v>
      </c>
      <c r="E258" t="s">
        <v>1512</v>
      </c>
      <c r="F258" t="s">
        <v>24189</v>
      </c>
      <c r="G258">
        <v>5</v>
      </c>
      <c r="H258">
        <v>1</v>
      </c>
      <c r="I258">
        <v>0.35</v>
      </c>
      <c r="J258" t="s">
        <v>23</v>
      </c>
      <c r="K258" t="str" cm="1">
        <f t="array" ref="K2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Geilenkirchen</v>
      </c>
      <c r="L258" t="str">
        <f>IFERROR(LEFT(TRIM(Lose[[#This Row],[Google Koordinaten]]),9),"")</f>
        <v>50.962797</v>
      </c>
      <c r="M258" t="str">
        <f>IFERROR(MID(TRIM(Lose[[#This Row],[Google Koordinaten]]),
FIND(",",TRIM(Lose[[#This Row],[Google Koordinaten]])) + 2,9),"")</f>
        <v>6.1225233</v>
      </c>
      <c r="N258">
        <f>IF(Lose[[#This Row],[Bahn-hofs-zeit]]=0,0,MROUND(30*25^((Lose[[#This Row],[Bahn-hofs-zeit]]-_xlfn.MINIFS(Lose[Bahn-hofs-zeit],Lose[Bahn-hofs-zeit],"&gt;0"))/(MAX(Lose[Bahn-hofs-zeit])-_xlfn.MINIFS(Lose[Bahn-hofs-zeit],Lose[Bahn-hofs-zeit],"&gt;0"))),5))</f>
        <v>70</v>
      </c>
      <c r="O258">
        <f>IF(Lose[[#This Row],[Gehzeit (min)]]="",0,CEILING(3*(Lose[[#This Row],[Gehzeit (min)]]+Lose[[#This Row],[Aufgaben-zeit (min)]]),5))</f>
        <v>20</v>
      </c>
      <c r="P258">
        <v>6.25</v>
      </c>
      <c r="Q258">
        <f>IFERROR(ROUND(Lose[[#This Row],[Distanz (km)]]*60/Lose[[#This Row],[Gehzeit (min)]],1),"")</f>
        <v>4.2</v>
      </c>
      <c r="R2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258">
        <f>IFERROR(Lose[[#This Row],[Distanz (km)]]-Lose[[#This Row],[Check Distanz]],"")</f>
        <v>0.10999999999999999</v>
      </c>
      <c r="T258" s="60">
        <f>IFERROR(Lose[[#This Row],[Check Umweg]]/Lose[[#This Row],[Check Distanz]],"")</f>
        <v>0.45833333333333331</v>
      </c>
      <c r="U258">
        <f ca="1">IF(RIGHT(Lose[[#This Row],[LosID]],1)="b",_xlfn.XLOOKUP(REPLACE(Lose[[#This Row],[LosID]],LEN(Lose[[#This Row],[LosID]]),1,"a"),Lose[LosID],Lose[Zufallszahl],"",0),RAND())</f>
        <v>0.85670319546020979</v>
      </c>
      <c r="V258" t="b" cm="1">
        <f t="array" aca="1" ref="V258" ca="1">Lose[[#This Row],[Zufallszahl]]&gt;=IFERROR(LARGE((LEFT(Lose[LosID],FIND("-",Lose[LosID])-1)=LEFT(Lose[[#This Row],[LosID]],FIND("-",Lose[[#This Row],[LosID]])-1))*Lose[Zufallszahl],_xlfn.XLOOKUP(LEFT(Lose[[#This Row],[LosID]],FIND("-",Lose[[#This Row],[LosID]])-1),Ziehungsanzahl[Kürzel],Ziehungsanzahl[Kontingent],FALSE,0)),9999)</f>
        <v>0</v>
      </c>
    </row>
    <row r="259" spans="1:23" ht="45" hidden="1">
      <c r="A2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9" t="s">
        <v>23380</v>
      </c>
      <c r="C259" t="s">
        <v>1516</v>
      </c>
      <c r="D259" s="1" t="s">
        <v>24190</v>
      </c>
      <c r="E259" t="s">
        <v>1517</v>
      </c>
      <c r="F259" t="s">
        <v>24191</v>
      </c>
      <c r="G259">
        <v>3</v>
      </c>
      <c r="H259">
        <v>1</v>
      </c>
      <c r="I259">
        <v>0.2</v>
      </c>
      <c r="J259" t="s">
        <v>23</v>
      </c>
      <c r="K259" t="str" cm="1">
        <f t="array" ref="K2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Güterglück</v>
      </c>
      <c r="L259" t="str">
        <f>IFERROR(LEFT(TRIM(Lose[[#This Row],[Google Koordinaten]]),9),"")</f>
        <v>51.992756</v>
      </c>
      <c r="M259" t="str">
        <f>IFERROR(MID(TRIM(Lose[[#This Row],[Google Koordinaten]]),
FIND(",",TRIM(Lose[[#This Row],[Google Koordinaten]])) + 2,9),"")</f>
        <v>11.985386</v>
      </c>
      <c r="N259">
        <f>IF(Lose[[#This Row],[Bahn-hofs-zeit]]=0,0,MROUND(30*25^((Lose[[#This Row],[Bahn-hofs-zeit]]-_xlfn.MINIFS(Lose[Bahn-hofs-zeit],Lose[Bahn-hofs-zeit],"&gt;0"))/(MAX(Lose[Bahn-hofs-zeit])-_xlfn.MINIFS(Lose[Bahn-hofs-zeit],Lose[Bahn-hofs-zeit],"&gt;0"))),5))</f>
        <v>295</v>
      </c>
      <c r="O259">
        <f>IF(Lose[[#This Row],[Gehzeit (min)]]="",0,CEILING(3*(Lose[[#This Row],[Gehzeit (min)]]+Lose[[#This Row],[Aufgaben-zeit (min)]]),5))</f>
        <v>15</v>
      </c>
      <c r="P259">
        <v>11.25</v>
      </c>
      <c r="Q259">
        <f>IFERROR(ROUND(Lose[[#This Row],[Distanz (km)]]*60/Lose[[#This Row],[Gehzeit (min)]],1),"")</f>
        <v>4</v>
      </c>
      <c r="R2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259">
        <f>IFERROR(Lose[[#This Row],[Distanz (km)]]-Lose[[#This Row],[Check Distanz]],"")</f>
        <v>9.0000000000000011E-2</v>
      </c>
      <c r="T259" s="60">
        <f>IFERROR(Lose[[#This Row],[Check Umweg]]/Lose[[#This Row],[Check Distanz]],"")</f>
        <v>0.81818181818181823</v>
      </c>
      <c r="U259">
        <f ca="1">IF(RIGHT(Lose[[#This Row],[LosID]],1)="b",_xlfn.XLOOKUP(REPLACE(Lose[[#This Row],[LosID]],LEN(Lose[[#This Row],[LosID]]),1,"a"),Lose[LosID],Lose[Zufallszahl],"",0),RAND())</f>
        <v>0.4156522420502331</v>
      </c>
      <c r="V259" t="b" cm="1">
        <f t="array" aca="1" ref="V259" ca="1">Lose[[#This Row],[Zufallszahl]]&gt;=IFERROR(LARGE((LEFT(Lose[LosID],FIND("-",Lose[LosID])-1)=LEFT(Lose[[#This Row],[LosID]],FIND("-",Lose[[#This Row],[LosID]])-1))*Lose[Zufallszahl],_xlfn.XLOOKUP(LEFT(Lose[[#This Row],[LosID]],FIND("-",Lose[[#This Row],[LosID]])-1),Ziehungsanzahl[Kürzel],Ziehungsanzahl[Kontingent],FALSE,0)),9999)</f>
        <v>0</v>
      </c>
    </row>
    <row r="260" spans="1:23" ht="60">
      <c r="A2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0" t="s">
        <v>23385</v>
      </c>
      <c r="C260" t="s">
        <v>1521</v>
      </c>
      <c r="D260" s="1" t="s">
        <v>24192</v>
      </c>
      <c r="E260" t="s">
        <v>1522</v>
      </c>
      <c r="F260" t="s">
        <v>24193</v>
      </c>
      <c r="G260">
        <v>11</v>
      </c>
      <c r="H260">
        <v>2</v>
      </c>
      <c r="I260">
        <v>0.85</v>
      </c>
      <c r="J260" t="s">
        <v>23</v>
      </c>
      <c r="K260" t="str" cm="1">
        <f t="array" ref="K2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Quadrath-Ichendorf</v>
      </c>
      <c r="L260" t="str">
        <f>IFERROR(LEFT(TRIM(Lose[[#This Row],[Google Koordinaten]]),9),"")</f>
        <v>50.936611</v>
      </c>
      <c r="M260" t="str">
        <f>IFERROR(MID(TRIM(Lose[[#This Row],[Google Koordinaten]]),
FIND(",",TRIM(Lose[[#This Row],[Google Koordinaten]])) + 2,9),"")</f>
        <v>6.6958783</v>
      </c>
      <c r="N260">
        <f>IF(Lose[[#This Row],[Bahn-hofs-zeit]]=0,0,MROUND(30*25^((Lose[[#This Row],[Bahn-hofs-zeit]]-_xlfn.MINIFS(Lose[Bahn-hofs-zeit],Lose[Bahn-hofs-zeit],"&gt;0"))/(MAX(Lose[Bahn-hofs-zeit])-_xlfn.MINIFS(Lose[Bahn-hofs-zeit],Lose[Bahn-hofs-zeit],"&gt;0"))),5))</f>
        <v>45</v>
      </c>
      <c r="O260">
        <f>IF(Lose[[#This Row],[Gehzeit (min)]]="",0,CEILING(3*(Lose[[#This Row],[Gehzeit (min)]]+Lose[[#This Row],[Aufgaben-zeit (min)]]),5))</f>
        <v>40</v>
      </c>
      <c r="P260">
        <v>4.5</v>
      </c>
      <c r="Q260">
        <f>IFERROR(ROUND(Lose[[#This Row],[Distanz (km)]]*60/Lose[[#This Row],[Gehzeit (min)]],1),"")</f>
        <v>4.5999999999999996</v>
      </c>
      <c r="R2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60">
        <f>IFERROR(Lose[[#This Row],[Distanz (km)]]-Lose[[#This Row],[Check Distanz]],"")</f>
        <v>0.17999999999999994</v>
      </c>
      <c r="T260" s="60">
        <f>IFERROR(Lose[[#This Row],[Check Umweg]]/Lose[[#This Row],[Check Distanz]],"")</f>
        <v>0.26865671641791034</v>
      </c>
      <c r="U260">
        <f ca="1">IF(RIGHT(Lose[[#This Row],[LosID]],1)="b",_xlfn.XLOOKUP(REPLACE(Lose[[#This Row],[LosID]],LEN(Lose[[#This Row],[LosID]]),1,"a"),Lose[LosID],Lose[Zufallszahl],"",0),RAND())</f>
        <v>0.90892581731067712</v>
      </c>
      <c r="V260" t="b" cm="1">
        <f t="array" aca="1" ref="V260" ca="1">Lose[[#This Row],[Zufallszahl]]&gt;=IFERROR(LARGE((LEFT(Lose[LosID],FIND("-",Lose[LosID])-1)=LEFT(Lose[[#This Row],[LosID]],FIND("-",Lose[[#This Row],[LosID]])-1))*Lose[Zufallszahl],_xlfn.XLOOKUP(LEFT(Lose[[#This Row],[LosID]],FIND("-",Lose[[#This Row],[LosID]])-1),Ziehungsanzahl[Kürzel],Ziehungsanzahl[Kontingent],FALSE,0)),9999)</f>
        <v>0</v>
      </c>
    </row>
    <row r="261" spans="1:23" ht="60" hidden="1">
      <c r="A2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61" t="s">
        <v>23390</v>
      </c>
      <c r="C261" t="s">
        <v>24194</v>
      </c>
      <c r="D261" s="1" t="s">
        <v>24195</v>
      </c>
      <c r="E261" t="s">
        <v>24196</v>
      </c>
      <c r="F261" t="s">
        <v>24197</v>
      </c>
      <c r="G261">
        <v>2</v>
      </c>
      <c r="H261">
        <v>1</v>
      </c>
      <c r="I261">
        <v>0.1</v>
      </c>
      <c r="J261" t="s">
        <v>23</v>
      </c>
      <c r="K261" t="str" cm="1">
        <f t="array" ref="K2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Lauterecken-Grumbach</v>
      </c>
      <c r="L261" t="str">
        <f>IFERROR(LEFT(TRIM(Lose[[#This Row],[Google Koordinaten]]),9),"")</f>
        <v>49.653495</v>
      </c>
      <c r="M261" t="str">
        <f>IFERROR(MID(TRIM(Lose[[#This Row],[Google Koordinaten]]),
FIND(",",TRIM(Lose[[#This Row],[Google Koordinaten]])) + 2,9),"")</f>
        <v>7.5905750</v>
      </c>
      <c r="N261">
        <f>IF(Lose[[#This Row],[Bahn-hofs-zeit]]=0,0,MROUND(30*25^((Lose[[#This Row],[Bahn-hofs-zeit]]-_xlfn.MINIFS(Lose[Bahn-hofs-zeit],Lose[Bahn-hofs-zeit],"&gt;0"))/(MAX(Lose[Bahn-hofs-zeit])-_xlfn.MINIFS(Lose[Bahn-hofs-zeit],Lose[Bahn-hofs-zeit],"&gt;0"))),5))</f>
        <v>125</v>
      </c>
      <c r="O261">
        <f>IF(Lose[[#This Row],[Gehzeit (min)]]="",0,CEILING(3*(Lose[[#This Row],[Gehzeit (min)]]+Lose[[#This Row],[Aufgaben-zeit (min)]]),5))</f>
        <v>10</v>
      </c>
      <c r="P261">
        <v>8.25</v>
      </c>
      <c r="Q261">
        <f>IFERROR(ROUND(Lose[[#This Row],[Distanz (km)]]*60/Lose[[#This Row],[Gehzeit (min)]],1),"")</f>
        <v>3</v>
      </c>
      <c r="R2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261">
        <f>IFERROR(Lose[[#This Row],[Distanz (km)]]-Lose[[#This Row],[Check Distanz]],"")</f>
        <v>7.0000000000000007E-2</v>
      </c>
      <c r="T261" s="60">
        <f>IFERROR(Lose[[#This Row],[Check Umweg]]/Lose[[#This Row],[Check Distanz]],"")</f>
        <v>2.3333333333333335</v>
      </c>
      <c r="U261">
        <f ca="1">IF(RIGHT(Lose[[#This Row],[LosID]],1)="b",_xlfn.XLOOKUP(REPLACE(Lose[[#This Row],[LosID]],LEN(Lose[[#This Row],[LosID]]),1,"a"),Lose[LosID],Lose[Zufallszahl],"",0),RAND())</f>
        <v>0.2838772523856552</v>
      </c>
      <c r="V261" t="b" cm="1">
        <f t="array" aca="1" ref="V261" ca="1">Lose[[#This Row],[Zufallszahl]]&gt;=IFERROR(LARGE((LEFT(Lose[LosID],FIND("-",Lose[LosID])-1)=LEFT(Lose[[#This Row],[LosID]],FIND("-",Lose[[#This Row],[LosID]])-1))*Lose[Zufallszahl],_xlfn.XLOOKUP(LEFT(Lose[[#This Row],[LosID]],FIND("-",Lose[[#This Row],[LosID]])-1),Ziehungsanzahl[Kürzel],Ziehungsanzahl[Kontingent],FALSE,0)),9999)</f>
        <v>0</v>
      </c>
      <c r="W261" t="s">
        <v>23362</v>
      </c>
    </row>
    <row r="262" spans="1:23" hidden="1">
      <c r="A2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2" t="s">
        <v>23394</v>
      </c>
      <c r="C262" t="s">
        <v>24198</v>
      </c>
      <c r="D262" s="1" t="s">
        <v>24199</v>
      </c>
      <c r="E262" t="s">
        <v>24200</v>
      </c>
      <c r="F262" t="s">
        <v>24201</v>
      </c>
      <c r="G262">
        <v>9</v>
      </c>
      <c r="H262">
        <v>2</v>
      </c>
      <c r="I262">
        <v>0.7</v>
      </c>
      <c r="J262" t="s">
        <v>23</v>
      </c>
      <c r="K262" t="str" cm="1">
        <f t="array" ref="K2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Lauda</v>
      </c>
      <c r="L262" t="str">
        <f>IFERROR(LEFT(TRIM(Lose[[#This Row],[Google Koordinaten]]),9),"")</f>
        <v>49.569848</v>
      </c>
      <c r="M262" t="str">
        <f>IFERROR(MID(TRIM(Lose[[#This Row],[Google Koordinaten]]),
FIND(",",TRIM(Lose[[#This Row],[Google Koordinaten]])) + 2,9),"")</f>
        <v>9.7033589</v>
      </c>
      <c r="N262">
        <f>IF(Lose[[#This Row],[Bahn-hofs-zeit]]=0,0,MROUND(30*25^((Lose[[#This Row],[Bahn-hofs-zeit]]-_xlfn.MINIFS(Lose[Bahn-hofs-zeit],Lose[Bahn-hofs-zeit],"&gt;0"))/(MAX(Lose[Bahn-hofs-zeit])-_xlfn.MINIFS(Lose[Bahn-hofs-zeit],Lose[Bahn-hofs-zeit],"&gt;0"))),5))</f>
        <v>95</v>
      </c>
      <c r="O262">
        <f>IF(Lose[[#This Row],[Gehzeit (min)]]="",0,CEILING(3*(Lose[[#This Row],[Gehzeit (min)]]+Lose[[#This Row],[Aufgaben-zeit (min)]]),5))</f>
        <v>35</v>
      </c>
      <c r="P262">
        <v>7.25</v>
      </c>
      <c r="Q262">
        <f>IFERROR(ROUND(Lose[[#This Row],[Distanz (km)]]*60/Lose[[#This Row],[Gehzeit (min)]],1),"")</f>
        <v>4.7</v>
      </c>
      <c r="R2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62">
        <f>IFERROR(Lose[[#This Row],[Distanz (km)]]-Lose[[#This Row],[Check Distanz]],"")</f>
        <v>2.9999999999999916E-2</v>
      </c>
      <c r="T262" s="60">
        <f>IFERROR(Lose[[#This Row],[Check Umweg]]/Lose[[#This Row],[Check Distanz]],"")</f>
        <v>4.4776119402984947E-2</v>
      </c>
      <c r="U262">
        <f ca="1">IF(RIGHT(Lose[[#This Row],[LosID]],1)="b",_xlfn.XLOOKUP(REPLACE(Lose[[#This Row],[LosID]],LEN(Lose[[#This Row],[LosID]]),1,"a"),Lose[LosID],Lose[Zufallszahl],"",0),RAND())</f>
        <v>0.20357946002661431</v>
      </c>
      <c r="V262" t="b" cm="1">
        <f t="array" aca="1" ref="V262" ca="1">Lose[[#This Row],[Zufallszahl]]&gt;=IFERROR(LARGE((LEFT(Lose[LosID],FIND("-",Lose[LosID])-1)=LEFT(Lose[[#This Row],[LosID]],FIND("-",Lose[[#This Row],[LosID]])-1))*Lose[Zufallszahl],_xlfn.XLOOKUP(LEFT(Lose[[#This Row],[LosID]],FIND("-",Lose[[#This Row],[LosID]])-1),Ziehungsanzahl[Kürzel],Ziehungsanzahl[Kontingent],FALSE,0)),9999)</f>
        <v>0</v>
      </c>
    </row>
    <row r="263" spans="1:23" ht="60" hidden="1">
      <c r="A2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3" t="s">
        <v>23403</v>
      </c>
      <c r="C263" s="74" t="s">
        <v>24202</v>
      </c>
      <c r="D263" s="1" t="s">
        <v>24203</v>
      </c>
      <c r="E263" t="s">
        <v>24204</v>
      </c>
      <c r="F263" t="s">
        <v>24205</v>
      </c>
      <c r="G263">
        <v>15</v>
      </c>
      <c r="H263">
        <v>5</v>
      </c>
      <c r="I263">
        <v>1.1000000000000001</v>
      </c>
      <c r="J263">
        <v>10</v>
      </c>
      <c r="K263" t="str" cm="1">
        <f t="array" ref="K2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Trompet</v>
      </c>
      <c r="L263" t="str">
        <f>IFERROR(LEFT(TRIM(Lose[[#This Row],[Google Koordinaten]]),9),"")</f>
        <v>51.407481</v>
      </c>
      <c r="M263" t="str">
        <f>IFERROR(MID(TRIM(Lose[[#This Row],[Google Koordinaten]]),
FIND(",",TRIM(Lose[[#This Row],[Google Koordinaten]])) + 2,9),"")</f>
        <v>6.6702739</v>
      </c>
      <c r="N263">
        <f>IF(Lose[[#This Row],[Bahn-hofs-zeit]]=0,0,MROUND(30*25^((Lose[[#This Row],[Bahn-hofs-zeit]]-_xlfn.MINIFS(Lose[Bahn-hofs-zeit],Lose[Bahn-hofs-zeit],"&gt;0"))/(MAX(Lose[Bahn-hofs-zeit])-_xlfn.MINIFS(Lose[Bahn-hofs-zeit],Lose[Bahn-hofs-zeit],"&gt;0"))),5))</f>
        <v>40</v>
      </c>
      <c r="O263">
        <f>IF(Lose[[#This Row],[Gehzeit (min)]]="",0,CEILING(3*(Lose[[#This Row],[Gehzeit (min)]]+Lose[[#This Row],[Aufgaben-zeit (min)]]),5))</f>
        <v>60</v>
      </c>
      <c r="P263">
        <v>4.25</v>
      </c>
      <c r="Q263">
        <f>IFERROR(ROUND(Lose[[#This Row],[Distanz (km)]]*60/Lose[[#This Row],[Gehzeit (min)]],1),"")</f>
        <v>4.4000000000000004</v>
      </c>
      <c r="R2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63">
        <f>IFERROR(Lose[[#This Row],[Distanz (km)]]-Lose[[#This Row],[Check Distanz]],"")</f>
        <v>0.43000000000000005</v>
      </c>
      <c r="T263" s="60">
        <f>IFERROR(Lose[[#This Row],[Check Umweg]]/Lose[[#This Row],[Check Distanz]],"")</f>
        <v>0.64179104477611948</v>
      </c>
      <c r="U263">
        <f ca="1">IF(RIGHT(Lose[[#This Row],[LosID]],1)="b",_xlfn.XLOOKUP(REPLACE(Lose[[#This Row],[LosID]],LEN(Lose[[#This Row],[LosID]]),1,"a"),Lose[LosID],Lose[Zufallszahl],"",0),RAND())</f>
        <v>0.24646406561870948</v>
      </c>
      <c r="V263" t="b" cm="1">
        <f t="array" aca="1" ref="V263" ca="1">Lose[[#This Row],[Zufallszahl]]&gt;=IFERROR(LARGE((LEFT(Lose[LosID],FIND("-",Lose[LosID])-1)=LEFT(Lose[[#This Row],[LosID]],FIND("-",Lose[[#This Row],[LosID]])-1))*Lose[Zufallszahl],_xlfn.XLOOKUP(LEFT(Lose[[#This Row],[LosID]],FIND("-",Lose[[#This Row],[LosID]])-1),Ziehungsanzahl[Kürzel],Ziehungsanzahl[Kontingent],FALSE,0)),9999)</f>
        <v>0</v>
      </c>
    </row>
    <row r="264" spans="1:23" ht="30" hidden="1">
      <c r="A2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4" t="s">
        <v>23408</v>
      </c>
      <c r="C264" t="s">
        <v>24206</v>
      </c>
      <c r="D264" s="1" t="s">
        <v>24207</v>
      </c>
      <c r="E264" t="s">
        <v>24208</v>
      </c>
      <c r="F264" t="s">
        <v>24209</v>
      </c>
      <c r="G264">
        <v>10</v>
      </c>
      <c r="H264">
        <v>1</v>
      </c>
      <c r="I264">
        <v>0.8</v>
      </c>
      <c r="J264" t="s">
        <v>23</v>
      </c>
      <c r="K264" t="str" cm="1">
        <f t="array" ref="K2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Dreieich-Dreieichenhain</v>
      </c>
      <c r="L264" t="str">
        <f>IFERROR(LEFT(TRIM(Lose[[#This Row],[Google Koordinaten]]),9),"")</f>
        <v>50.001851</v>
      </c>
      <c r="M264" t="str">
        <f>IFERROR(MID(TRIM(Lose[[#This Row],[Google Koordinaten]]),
FIND(",",TRIM(Lose[[#This Row],[Google Koordinaten]])) + 2,9),"")</f>
        <v>8.7161551</v>
      </c>
      <c r="N264">
        <f>IF(Lose[[#This Row],[Bahn-hofs-zeit]]=0,0,MROUND(30*25^((Lose[[#This Row],[Bahn-hofs-zeit]]-_xlfn.MINIFS(Lose[Bahn-hofs-zeit],Lose[Bahn-hofs-zeit],"&gt;0"))/(MAX(Lose[Bahn-hofs-zeit])-_xlfn.MINIFS(Lose[Bahn-hofs-zeit],Lose[Bahn-hofs-zeit],"&gt;0"))),5))</f>
        <v>40</v>
      </c>
      <c r="O264">
        <f>IF(Lose[[#This Row],[Gehzeit (min)]]="",0,CEILING(3*(Lose[[#This Row],[Gehzeit (min)]]+Lose[[#This Row],[Aufgaben-zeit (min)]]),5))</f>
        <v>35</v>
      </c>
      <c r="P264">
        <v>4.25</v>
      </c>
      <c r="Q264">
        <f>IFERROR(ROUND(Lose[[#This Row],[Distanz (km)]]*60/Lose[[#This Row],[Gehzeit (min)]],1),"")</f>
        <v>4.8</v>
      </c>
      <c r="R2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264">
        <f>IFERROR(Lose[[#This Row],[Distanz (km)]]-Lose[[#This Row],[Check Distanz]],"")</f>
        <v>0.15000000000000002</v>
      </c>
      <c r="T264" s="60">
        <f>IFERROR(Lose[[#This Row],[Check Umweg]]/Lose[[#This Row],[Check Distanz]],"")</f>
        <v>0.23076923076923078</v>
      </c>
      <c r="U264">
        <f ca="1">IF(RIGHT(Lose[[#This Row],[LosID]],1)="b",_xlfn.XLOOKUP(REPLACE(Lose[[#This Row],[LosID]],LEN(Lose[[#This Row],[LosID]]),1,"a"),Lose[LosID],Lose[Zufallszahl],"",0),RAND())</f>
        <v>0.18211926909766851</v>
      </c>
      <c r="V264" t="b" cm="1">
        <f t="array" aca="1" ref="V264" ca="1">Lose[[#This Row],[Zufallszahl]]&gt;=IFERROR(LARGE((LEFT(Lose[LosID],FIND("-",Lose[LosID])-1)=LEFT(Lose[[#This Row],[LosID]],FIND("-",Lose[[#This Row],[LosID]])-1))*Lose[Zufallszahl],_xlfn.XLOOKUP(LEFT(Lose[[#This Row],[LosID]],FIND("-",Lose[[#This Row],[LosID]])-1),Ziehungsanzahl[Kürzel],Ziehungsanzahl[Kontingent],FALSE,0)),9999)</f>
        <v>0</v>
      </c>
    </row>
    <row r="265" spans="1:23" ht="45" hidden="1">
      <c r="A2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5" t="s">
        <v>23412</v>
      </c>
      <c r="C265" s="92" t="s">
        <v>1526</v>
      </c>
      <c r="D265" s="1" t="s">
        <v>1529</v>
      </c>
      <c r="E265" t="s">
        <v>1527</v>
      </c>
      <c r="F265" t="s">
        <v>24210</v>
      </c>
      <c r="G265">
        <v>8</v>
      </c>
      <c r="H265">
        <v>1</v>
      </c>
      <c r="I265">
        <v>0.35</v>
      </c>
      <c r="J265">
        <v>10</v>
      </c>
      <c r="K265" t="str" cm="1">
        <f t="array" ref="K2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Bengel</v>
      </c>
      <c r="L265" t="str">
        <f>IFERROR(LEFT(TRIM(Lose[[#This Row],[Google Koordinaten]]),9),"")</f>
        <v>50.012140</v>
      </c>
      <c r="M265" t="str">
        <f>IFERROR(MID(TRIM(Lose[[#This Row],[Google Koordinaten]]),
FIND(",",TRIM(Lose[[#This Row],[Google Koordinaten]])) + 2,9),"")</f>
        <v>7.0612907</v>
      </c>
      <c r="N265">
        <f>IF(Lose[[#This Row],[Bahn-hofs-zeit]]=0,0,MROUND(30*25^((Lose[[#This Row],[Bahn-hofs-zeit]]-_xlfn.MINIFS(Lose[Bahn-hofs-zeit],Lose[Bahn-hofs-zeit],"&gt;0"))/(MAX(Lose[Bahn-hofs-zeit])-_xlfn.MINIFS(Lose[Bahn-hofs-zeit],Lose[Bahn-hofs-zeit],"&gt;0"))),5))</f>
        <v>125</v>
      </c>
      <c r="O265">
        <f>IF(Lose[[#This Row],[Gehzeit (min)]]="",0,CEILING(3*(Lose[[#This Row],[Gehzeit (min)]]+Lose[[#This Row],[Aufgaben-zeit (min)]]),5))</f>
        <v>30</v>
      </c>
      <c r="P265">
        <v>8.25</v>
      </c>
      <c r="Q265">
        <f>IFERROR(ROUND(Lose[[#This Row],[Distanz (km)]]*60/Lose[[#This Row],[Gehzeit (min)]],1),"")</f>
        <v>2.6</v>
      </c>
      <c r="R2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v>
      </c>
      <c r="S265">
        <f>IFERROR(Lose[[#This Row],[Distanz (km)]]-Lose[[#This Row],[Check Distanz]],"")</f>
        <v>4.9999999999999989E-2</v>
      </c>
      <c r="T265" s="60">
        <f>IFERROR(Lose[[#This Row],[Check Umweg]]/Lose[[#This Row],[Check Distanz]],"")</f>
        <v>0.16666666666666663</v>
      </c>
      <c r="U265">
        <f ca="1">IF(RIGHT(Lose[[#This Row],[LosID]],1)="b",_xlfn.XLOOKUP(REPLACE(Lose[[#This Row],[LosID]],LEN(Lose[[#This Row],[LosID]]),1,"a"),Lose[LosID],Lose[Zufallszahl],"",0),RAND())</f>
        <v>0.19765635438732021</v>
      </c>
      <c r="V265" t="b" cm="1">
        <f t="array" aca="1" ref="V265" ca="1">Lose[[#This Row],[Zufallszahl]]&gt;=IFERROR(LARGE((LEFT(Lose[LosID],FIND("-",Lose[LosID])-1)=LEFT(Lose[[#This Row],[LosID]],FIND("-",Lose[[#This Row],[LosID]])-1))*Lose[Zufallszahl],_xlfn.XLOOKUP(LEFT(Lose[[#This Row],[LosID]],FIND("-",Lose[[#This Row],[LosID]])-1),Ziehungsanzahl[Kürzel],Ziehungsanzahl[Kontingent],FALSE,0)),9999)</f>
        <v>0</v>
      </c>
    </row>
    <row r="266" spans="1:23" ht="135" hidden="1">
      <c r="A2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6" t="s">
        <v>23416</v>
      </c>
      <c r="C266" t="s">
        <v>24211</v>
      </c>
      <c r="D266" s="1" t="s">
        <v>24212</v>
      </c>
      <c r="E266" t="s">
        <v>24213</v>
      </c>
      <c r="F266" t="s">
        <v>24214</v>
      </c>
      <c r="G266">
        <v>5</v>
      </c>
      <c r="H266">
        <v>10</v>
      </c>
      <c r="I266">
        <v>0.4</v>
      </c>
      <c r="J266">
        <v>10</v>
      </c>
      <c r="K266" t="str" cm="1">
        <f t="array" ref="K2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266" t="str">
        <f>IFERROR(LEFT(TRIM(Lose[[#This Row],[Google Koordinaten]]),9),"")</f>
        <v>51.744000</v>
      </c>
      <c r="M266" t="str">
        <f>IFERROR(MID(TRIM(Lose[[#This Row],[Google Koordinaten]]),
FIND(",",TRIM(Lose[[#This Row],[Google Koordinaten]])) + 2,9),"")</f>
        <v>10.694000</v>
      </c>
      <c r="N266">
        <f>IF(Lose[[#This Row],[Bahn-hofs-zeit]]=0,0,MROUND(30*25^((Lose[[#This Row],[Bahn-hofs-zeit]]-_xlfn.MINIFS(Lose[Bahn-hofs-zeit],Lose[Bahn-hofs-zeit],"&gt;0"))/(MAX(Lose[Bahn-hofs-zeit])-_xlfn.MINIFS(Lose[Bahn-hofs-zeit],Lose[Bahn-hofs-zeit],"&gt;0"))),5))</f>
        <v>750</v>
      </c>
      <c r="O266">
        <f>IF(Lose[[#This Row],[Gehzeit (min)]]="",0,CEILING(3*(Lose[[#This Row],[Gehzeit (min)]]+Lose[[#This Row],[Aufgaben-zeit (min)]]),5))</f>
        <v>45</v>
      </c>
      <c r="P266">
        <v>14.5</v>
      </c>
      <c r="Q266">
        <f>IFERROR(ROUND(Lose[[#This Row],[Distanz (km)]]*60/Lose[[#This Row],[Gehzeit (min)]],1),"")</f>
        <v>4.8</v>
      </c>
      <c r="R2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266">
        <f>IFERROR(Lose[[#This Row],[Distanz (km)]]-Lose[[#This Row],[Check Distanz]],"")</f>
        <v>0.06</v>
      </c>
      <c r="T266" s="60">
        <f>IFERROR(Lose[[#This Row],[Check Umweg]]/Lose[[#This Row],[Check Distanz]],"")</f>
        <v>0.1764705882352941</v>
      </c>
      <c r="U266">
        <f ca="1">IF(RIGHT(Lose[[#This Row],[LosID]],1)="b",_xlfn.XLOOKUP(REPLACE(Lose[[#This Row],[LosID]],LEN(Lose[[#This Row],[LosID]]),1,"a"),Lose[LosID],Lose[Zufallszahl],"",0),RAND())</f>
        <v>0.65835581229058515</v>
      </c>
      <c r="V266" t="b" cm="1">
        <f t="array" aca="1" ref="V266" ca="1">Lose[[#This Row],[Zufallszahl]]&gt;=IFERROR(LARGE((LEFT(Lose[LosID],FIND("-",Lose[LosID])-1)=LEFT(Lose[[#This Row],[LosID]],FIND("-",Lose[[#This Row],[LosID]])-1))*Lose[Zufallszahl],_xlfn.XLOOKUP(LEFT(Lose[[#This Row],[LosID]],FIND("-",Lose[[#This Row],[LosID]])-1),Ziehungsanzahl[Kürzel],Ziehungsanzahl[Kontingent],FALSE,0)),9999)</f>
        <v>0</v>
      </c>
    </row>
    <row r="267" spans="1:23" ht="30" hidden="1">
      <c r="A2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7" t="s">
        <v>23357</v>
      </c>
      <c r="C267" t="s">
        <v>24215</v>
      </c>
      <c r="D267" s="1" t="s">
        <v>24216</v>
      </c>
      <c r="E267" t="s">
        <v>24217</v>
      </c>
      <c r="F267" t="s">
        <v>24218</v>
      </c>
      <c r="G267">
        <v>28</v>
      </c>
      <c r="H267">
        <v>2</v>
      </c>
      <c r="I267">
        <v>2</v>
      </c>
      <c r="K267" t="str" cm="1">
        <f t="array" ref="K2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Witzwort</v>
      </c>
      <c r="L267" t="str">
        <f>IFERROR(LEFT(TRIM(Lose[[#This Row],[Google Koordinaten]]),9),"")</f>
        <v>54.398533</v>
      </c>
      <c r="M267" t="str">
        <f>IFERROR(MID(TRIM(Lose[[#This Row],[Google Koordinaten]]),
FIND(",",TRIM(Lose[[#This Row],[Google Koordinaten]])) + 2,9),"")</f>
        <v>8.9860416</v>
      </c>
      <c r="N267">
        <f>IF(Lose[[#This Row],[Bahn-hofs-zeit]]=0,0,MROUND(30*25^((Lose[[#This Row],[Bahn-hofs-zeit]]-_xlfn.MINIFS(Lose[Bahn-hofs-zeit],Lose[Bahn-hofs-zeit],"&gt;0"))/(MAX(Lose[Bahn-hofs-zeit])-_xlfn.MINIFS(Lose[Bahn-hofs-zeit],Lose[Bahn-hofs-zeit],"&gt;0"))),5))</f>
        <v>365</v>
      </c>
      <c r="O267">
        <f>IF(Lose[[#This Row],[Gehzeit (min)]]="",0,CEILING(3*(Lose[[#This Row],[Gehzeit (min)]]+Lose[[#This Row],[Aufgaben-zeit (min)]]),5))</f>
        <v>90</v>
      </c>
      <c r="P267">
        <v>12</v>
      </c>
      <c r="Q267">
        <f>IFERROR(ROUND(Lose[[#This Row],[Distanz (km)]]*60/Lose[[#This Row],[Gehzeit (min)]],1),"")</f>
        <v>4.3</v>
      </c>
      <c r="R2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v>
      </c>
      <c r="S267">
        <f>IFERROR(Lose[[#This Row],[Distanz (km)]]-Lose[[#This Row],[Check Distanz]],"")</f>
        <v>0.39999999999999991</v>
      </c>
      <c r="T267" s="60">
        <f>IFERROR(Lose[[#This Row],[Check Umweg]]/Lose[[#This Row],[Check Distanz]],"")</f>
        <v>0.24999999999999994</v>
      </c>
      <c r="U267">
        <f ca="1">IF(RIGHT(Lose[[#This Row],[LosID]],1)="b",_xlfn.XLOOKUP(REPLACE(Lose[[#This Row],[LosID]],LEN(Lose[[#This Row],[LosID]]),1,"a"),Lose[LosID],Lose[Zufallszahl],"",0),RAND())</f>
        <v>0.45592044390663389</v>
      </c>
      <c r="V267" t="b" cm="1">
        <f t="array" aca="1" ref="V267" ca="1">Lose[[#This Row],[Zufallszahl]]&gt;=IFERROR(LARGE((LEFT(Lose[LosID],FIND("-",Lose[LosID])-1)=LEFT(Lose[[#This Row],[LosID]],FIND("-",Lose[[#This Row],[LosID]])-1))*Lose[Zufallszahl],_xlfn.XLOOKUP(LEFT(Lose[[#This Row],[LosID]],FIND("-",Lose[[#This Row],[LosID]])-1),Ziehungsanzahl[Kürzel],Ziehungsanzahl[Kontingent],FALSE,0)),9999)</f>
        <v>0</v>
      </c>
    </row>
    <row r="268" spans="1:23" ht="30" hidden="1">
      <c r="A2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8" t="s">
        <v>23408</v>
      </c>
      <c r="C268" s="92" t="s">
        <v>1491</v>
      </c>
      <c r="D268" s="1" t="s">
        <v>1494</v>
      </c>
      <c r="E268" t="s">
        <v>1492</v>
      </c>
      <c r="F268" t="s">
        <v>24219</v>
      </c>
      <c r="G268">
        <v>13</v>
      </c>
      <c r="H268">
        <v>1</v>
      </c>
      <c r="I268">
        <v>0.9</v>
      </c>
      <c r="J268" t="s">
        <v>23</v>
      </c>
      <c r="K268" t="str" cm="1">
        <f t="array" ref="K2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Alpen</v>
      </c>
      <c r="L268" t="str">
        <f>IFERROR(LEFT(TRIM(Lose[[#This Row],[Google Koordinaten]]),9),"")</f>
        <v>51.578496</v>
      </c>
      <c r="M268" t="str">
        <f>IFERROR(MID(TRIM(Lose[[#This Row],[Google Koordinaten]]),
FIND(",",TRIM(Lose[[#This Row],[Google Koordinaten]])) + 2,9),"")</f>
        <v>6.5179640</v>
      </c>
      <c r="N268">
        <f>IF(Lose[[#This Row],[Bahn-hofs-zeit]]=0,0,MROUND(30*25^((Lose[[#This Row],[Bahn-hofs-zeit]]-_xlfn.MINIFS(Lose[Bahn-hofs-zeit],Lose[Bahn-hofs-zeit],"&gt;0"))/(MAX(Lose[Bahn-hofs-zeit])-_xlfn.MINIFS(Lose[Bahn-hofs-zeit],Lose[Bahn-hofs-zeit],"&gt;0"))),5))</f>
        <v>80</v>
      </c>
      <c r="O268">
        <f>IF(Lose[[#This Row],[Gehzeit (min)]]="",0,CEILING(3*(Lose[[#This Row],[Gehzeit (min)]]+Lose[[#This Row],[Aufgaben-zeit (min)]]),5))</f>
        <v>45</v>
      </c>
      <c r="P268">
        <v>6.75</v>
      </c>
      <c r="Q268">
        <f>IFERROR(ROUND(Lose[[#This Row],[Distanz (km)]]*60/Lose[[#This Row],[Gehzeit (min)]],1),"")</f>
        <v>4.2</v>
      </c>
      <c r="R2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0.54</v>
      </c>
      <c r="S268">
        <f>IFERROR(Lose[[#This Row],[Distanz (km)]]-Lose[[#This Row],[Check Distanz]],"")</f>
        <v>0.36</v>
      </c>
      <c r="T268" s="60">
        <f>IFERROR(Lose[[#This Row],[Check Umweg]]/Lose[[#This Row],[Check Distanz]],"")</f>
        <v>0.66666666666666663</v>
      </c>
      <c r="U268">
        <f ca="1">IF(RIGHT(Lose[[#This Row],[LosID]],1)="b",_xlfn.XLOOKUP(REPLACE(Lose[[#This Row],[LosID]],LEN(Lose[[#This Row],[LosID]]),1,"a"),Lose[LosID],Lose[Zufallszahl],"",0),RAND())</f>
        <v>0.1966373771546267</v>
      </c>
      <c r="V268" t="b" cm="1">
        <f t="array" aca="1" ref="V268" ca="1">Lose[[#This Row],[Zufallszahl]]&gt;=IFERROR(LARGE((LEFT(Lose[LosID],FIND("-",Lose[LosID])-1)=LEFT(Lose[[#This Row],[LosID]],FIND("-",Lose[[#This Row],[LosID]])-1))*Lose[Zufallszahl],_xlfn.XLOOKUP(LEFT(Lose[[#This Row],[LosID]],FIND("-",Lose[[#This Row],[LosID]])-1),Ziehungsanzahl[Kürzel],Ziehungsanzahl[Kontingent],FALSE,0)),9999)</f>
        <v>0</v>
      </c>
    </row>
    <row r="269" spans="1:23" ht="150" hidden="1">
      <c r="A2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9" t="s">
        <v>23363</v>
      </c>
      <c r="C269" t="s">
        <v>24220</v>
      </c>
      <c r="D269" s="1" t="s">
        <v>24221</v>
      </c>
      <c r="E269" t="s">
        <v>481</v>
      </c>
      <c r="F269" t="s">
        <v>24222</v>
      </c>
      <c r="G269" s="1">
        <v>10</v>
      </c>
      <c r="H269">
        <v>2</v>
      </c>
      <c r="I269">
        <v>0.8</v>
      </c>
      <c r="J269">
        <v>20</v>
      </c>
      <c r="K269" t="str" cm="1">
        <f t="array" ref="K2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Oberbillig</v>
      </c>
      <c r="L269" t="str">
        <f>IFERROR(LEFT(TRIM(Lose[[#This Row],[Google Koordinaten]]),9),"")</f>
        <v>49.712554</v>
      </c>
      <c r="M269" t="str">
        <f>IFERROR(MID(TRIM(Lose[[#This Row],[Google Koordinaten]]),
FIND(",",TRIM(Lose[[#This Row],[Google Koordinaten]])) + 2,9),"")</f>
        <v>6.5041781</v>
      </c>
      <c r="N269">
        <f>IF(Lose[[#This Row],[Bahn-hofs-zeit]]=0,0,MROUND(30*25^((Lose[[#This Row],[Bahn-hofs-zeit]]-_xlfn.MINIFS(Lose[Bahn-hofs-zeit],Lose[Bahn-hofs-zeit],"&gt;0"))/(MAX(Lose[Bahn-hofs-zeit])-_xlfn.MINIFS(Lose[Bahn-hofs-zeit],Lose[Bahn-hofs-zeit],"&gt;0"))),5))</f>
        <v>220</v>
      </c>
      <c r="O269">
        <f>IF(Lose[[#This Row],[Gehzeit (min)]]="",0,CEILING(3*(Lose[[#This Row],[Gehzeit (min)]]+Lose[[#This Row],[Aufgaben-zeit (min)]]),5))</f>
        <v>40</v>
      </c>
      <c r="P269">
        <v>10.25</v>
      </c>
      <c r="Q269">
        <f>IFERROR(ROUND(Lose[[#This Row],[Distanz (km)]]*60/Lose[[#This Row],[Gehzeit (min)]],1),"")</f>
        <v>4.8</v>
      </c>
      <c r="R2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269">
        <f>IFERROR(Lose[[#This Row],[Distanz (km)]]-Lose[[#This Row],[Check Distanz]],"")</f>
        <v>0.20000000000000007</v>
      </c>
      <c r="T269" s="60">
        <f>IFERROR(Lose[[#This Row],[Check Umweg]]/Lose[[#This Row],[Check Distanz]],"")</f>
        <v>0.33333333333333348</v>
      </c>
      <c r="U269">
        <f ca="1">IF(RIGHT(Lose[[#This Row],[LosID]],1)="b",_xlfn.XLOOKUP(REPLACE(Lose[[#This Row],[LosID]],LEN(Lose[[#This Row],[LosID]]),1,"a"),Lose[LosID],Lose[Zufallszahl],"",0),RAND())</f>
        <v>0.80238153576145788</v>
      </c>
      <c r="V269" t="b" cm="1">
        <f t="array" aca="1" ref="V269" ca="1">Lose[[#This Row],[Zufallszahl]]&gt;=IFERROR(LARGE((LEFT(Lose[LosID],FIND("-",Lose[LosID])-1)=LEFT(Lose[[#This Row],[LosID]],FIND("-",Lose[[#This Row],[LosID]])-1))*Lose[Zufallszahl],_xlfn.XLOOKUP(LEFT(Lose[[#This Row],[LosID]],FIND("-",Lose[[#This Row],[LosID]])-1),Ziehungsanzahl[Kürzel],Ziehungsanzahl[Kontingent],FALSE,0)),9999)</f>
        <v>0</v>
      </c>
    </row>
    <row r="270" spans="1:23" ht="24" hidden="1" customHeight="1">
      <c r="A2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niedrige Gehgeschwindigkeit; Weg ist kürzer als Luftlinie</v>
      </c>
      <c r="B270" t="s">
        <v>23367</v>
      </c>
      <c r="C270" s="92" t="s">
        <v>24223</v>
      </c>
      <c r="D270" s="1" t="s">
        <v>24224</v>
      </c>
      <c r="E270" t="s">
        <v>24225</v>
      </c>
      <c r="F270" t="s">
        <v>24226</v>
      </c>
      <c r="G270">
        <v>1</v>
      </c>
      <c r="H270">
        <v>1</v>
      </c>
      <c r="I270">
        <v>0.02</v>
      </c>
      <c r="K270" t="str" cm="1">
        <f t="array" ref="K2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Holm-Seppensen</v>
      </c>
      <c r="L270" t="str">
        <f>IFERROR(LEFT(TRIM(Lose[[#This Row],[Google Koordinaten]]),9),"")</f>
        <v>53.284908</v>
      </c>
      <c r="M270" t="str">
        <f>IFERROR(MID(TRIM(Lose[[#This Row],[Google Koordinaten]]),
FIND(",",TRIM(Lose[[#This Row],[Google Koordinaten]])) + 2,9),"")</f>
        <v>9.8702000</v>
      </c>
      <c r="N270">
        <f>IF(Lose[[#This Row],[Bahn-hofs-zeit]]=0,0,MROUND(30*25^((Lose[[#This Row],[Bahn-hofs-zeit]]-_xlfn.MINIFS(Lose[Bahn-hofs-zeit],Lose[Bahn-hofs-zeit],"&gt;0"))/(MAX(Lose[Bahn-hofs-zeit])-_xlfn.MINIFS(Lose[Bahn-hofs-zeit],Lose[Bahn-hofs-zeit],"&gt;0"))),5))</f>
        <v>110</v>
      </c>
      <c r="O270">
        <f>IF(Lose[[#This Row],[Gehzeit (min)]]="",0,CEILING(3*(Lose[[#This Row],[Gehzeit (min)]]+Lose[[#This Row],[Aufgaben-zeit (min)]]),5))</f>
        <v>10</v>
      </c>
      <c r="P270">
        <v>7.75</v>
      </c>
      <c r="Q270">
        <f>IFERROR(ROUND(Lose[[#This Row],[Distanz (km)]]*60/Lose[[#This Row],[Gehzeit (min)]],1),"")</f>
        <v>1.2</v>
      </c>
      <c r="R2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270">
        <f>IFERROR(Lose[[#This Row],[Distanz (km)]]-Lose[[#This Row],[Check Distanz]],"")</f>
        <v>0</v>
      </c>
      <c r="T270" s="60">
        <f>IFERROR(Lose[[#This Row],[Check Umweg]]/Lose[[#This Row],[Check Distanz]],"")</f>
        <v>0</v>
      </c>
      <c r="U270">
        <f ca="1">IF(RIGHT(Lose[[#This Row],[LosID]],1)="b",_xlfn.XLOOKUP(REPLACE(Lose[[#This Row],[LosID]],LEN(Lose[[#This Row],[LosID]]),1,"a"),Lose[LosID],Lose[Zufallszahl],"",0),RAND())</f>
        <v>0.47277162811594864</v>
      </c>
      <c r="V270" t="b" cm="1">
        <f t="array" aca="1" ref="V270" ca="1">Lose[[#This Row],[Zufallszahl]]&gt;=IFERROR(LARGE((LEFT(Lose[LosID],FIND("-",Lose[LosID])-1)=LEFT(Lose[[#This Row],[LosID]],FIND("-",Lose[[#This Row],[LosID]])-1))*Lose[Zufallszahl],_xlfn.XLOOKUP(LEFT(Lose[[#This Row],[LosID]],FIND("-",Lose[[#This Row],[LosID]])-1),Ziehungsanzahl[Kürzel],Ziehungsanzahl[Kontingent],FALSE,0)),9999)</f>
        <v>0</v>
      </c>
      <c r="W270" t="s">
        <v>23362</v>
      </c>
    </row>
    <row r="271" spans="1:23" ht="120" hidden="1">
      <c r="A2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1" t="s">
        <v>23372</v>
      </c>
      <c r="C271" t="s">
        <v>24227</v>
      </c>
      <c r="D271" s="1" t="s">
        <v>24228</v>
      </c>
      <c r="E271" t="s">
        <v>24229</v>
      </c>
      <c r="F271" t="s">
        <v>24230</v>
      </c>
      <c r="G271">
        <v>16</v>
      </c>
      <c r="H271">
        <v>3</v>
      </c>
      <c r="I271">
        <v>1.2</v>
      </c>
      <c r="K271" t="str" cm="1">
        <f t="array" ref="K2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Haßloch(Pfalz)</v>
      </c>
      <c r="L271" t="str">
        <f>IFERROR(LEFT(TRIM(Lose[[#This Row],[Google Koordinaten]]),9),"")</f>
        <v>49.362889</v>
      </c>
      <c r="M271" t="str">
        <f>IFERROR(MID(TRIM(Lose[[#This Row],[Google Koordinaten]]),
FIND(",",TRIM(Lose[[#This Row],[Google Koordinaten]])) + 2,9),"")</f>
        <v>8.2562786</v>
      </c>
      <c r="N271">
        <f>IF(Lose[[#This Row],[Bahn-hofs-zeit]]=0,0,MROUND(30*25^((Lose[[#This Row],[Bahn-hofs-zeit]]-_xlfn.MINIFS(Lose[Bahn-hofs-zeit],Lose[Bahn-hofs-zeit],"&gt;0"))/(MAX(Lose[Bahn-hofs-zeit])-_xlfn.MINIFS(Lose[Bahn-hofs-zeit],Lose[Bahn-hofs-zeit],"&gt;0"))),5))</f>
        <v>65</v>
      </c>
      <c r="O271">
        <f>IF(Lose[[#This Row],[Gehzeit (min)]]="",0,CEILING(3*(Lose[[#This Row],[Gehzeit (min)]]+Lose[[#This Row],[Aufgaben-zeit (min)]]),5))</f>
        <v>60</v>
      </c>
      <c r="P271">
        <v>6</v>
      </c>
      <c r="Q271">
        <f>IFERROR(ROUND(Lose[[#This Row],[Distanz (km)]]*60/Lose[[#This Row],[Gehzeit (min)]],1),"")</f>
        <v>4.5</v>
      </c>
      <c r="R2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71">
        <f>IFERROR(Lose[[#This Row],[Distanz (km)]]-Lose[[#This Row],[Check Distanz]],"")</f>
        <v>0.16999999999999993</v>
      </c>
      <c r="T271" s="60">
        <f>IFERROR(Lose[[#This Row],[Check Umweg]]/Lose[[#This Row],[Check Distanz]],"")</f>
        <v>0.16504854368932032</v>
      </c>
      <c r="U271">
        <f ca="1">IF(RIGHT(Lose[[#This Row],[LosID]],1)="b",_xlfn.XLOOKUP(REPLACE(Lose[[#This Row],[LosID]],LEN(Lose[[#This Row],[LosID]]),1,"a"),Lose[LosID],Lose[Zufallszahl],"",0),RAND())</f>
        <v>0.34463816412172532</v>
      </c>
      <c r="V271" t="b" cm="1">
        <f t="array" aca="1" ref="V271" ca="1">Lose[[#This Row],[Zufallszahl]]&gt;=IFERROR(LARGE((LEFT(Lose[LosID],FIND("-",Lose[LosID])-1)=LEFT(Lose[[#This Row],[LosID]],FIND("-",Lose[[#This Row],[LosID]])-1))*Lose[Zufallszahl],_xlfn.XLOOKUP(LEFT(Lose[[#This Row],[LosID]],FIND("-",Lose[[#This Row],[LosID]])-1),Ziehungsanzahl[Kürzel],Ziehungsanzahl[Kontingent],FALSE,0)),9999)</f>
        <v>0</v>
      </c>
      <c r="W271" s="1"/>
    </row>
    <row r="272" spans="1:23" ht="120" hidden="1">
      <c r="A2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2" t="s">
        <v>4</v>
      </c>
      <c r="C272" t="s">
        <v>1531</v>
      </c>
      <c r="D272" s="1" t="s">
        <v>24231</v>
      </c>
      <c r="E272" t="s">
        <v>24232</v>
      </c>
      <c r="F272" t="s">
        <v>24233</v>
      </c>
      <c r="G272">
        <v>17</v>
      </c>
      <c r="H272">
        <v>7</v>
      </c>
      <c r="I272">
        <v>1.2</v>
      </c>
      <c r="J272">
        <v>20</v>
      </c>
      <c r="K272" t="str" cm="1">
        <f t="array" ref="K2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Sterbfritz</v>
      </c>
      <c r="L272" t="str">
        <f>IFERROR(LEFT(TRIM(Lose[[#This Row],[Google Koordinaten]]),9),"")</f>
        <v>50.304875</v>
      </c>
      <c r="M272" t="str">
        <f>IFERROR(MID(TRIM(Lose[[#This Row],[Google Koordinaten]]),
FIND(",",TRIM(Lose[[#This Row],[Google Koordinaten]])) + 2,9),"")</f>
        <v>9.6250668</v>
      </c>
      <c r="N272">
        <f>IF(Lose[[#This Row],[Bahn-hofs-zeit]]=0,0,MROUND(30*25^((Lose[[#This Row],[Bahn-hofs-zeit]]-_xlfn.MINIFS(Lose[Bahn-hofs-zeit],Lose[Bahn-hofs-zeit],"&gt;0"))/(MAX(Lose[Bahn-hofs-zeit])-_xlfn.MINIFS(Lose[Bahn-hofs-zeit],Lose[Bahn-hofs-zeit],"&gt;0"))),5))</f>
        <v>90</v>
      </c>
      <c r="O272">
        <f>IF(Lose[[#This Row],[Gehzeit (min)]]="",0,CEILING(3*(Lose[[#This Row],[Gehzeit (min)]]+Lose[[#This Row],[Aufgaben-zeit (min)]]),5))</f>
        <v>75</v>
      </c>
      <c r="P272">
        <v>7</v>
      </c>
      <c r="Q272">
        <f>IFERROR(ROUND(Lose[[#This Row],[Distanz (km)]]*60/Lose[[#This Row],[Gehzeit (min)]],1),"")</f>
        <v>4.2</v>
      </c>
      <c r="R2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72">
        <f>IFERROR(Lose[[#This Row],[Distanz (km)]]-Lose[[#This Row],[Check Distanz]],"")</f>
        <v>0.30999999999999994</v>
      </c>
      <c r="T272" s="60">
        <f>IFERROR(Lose[[#This Row],[Check Umweg]]/Lose[[#This Row],[Check Distanz]],"")</f>
        <v>0.34831460674157294</v>
      </c>
      <c r="U272">
        <f ca="1">IF(RIGHT(Lose[[#This Row],[LosID]],1)="b",_xlfn.XLOOKUP(REPLACE(Lose[[#This Row],[LosID]],LEN(Lose[[#This Row],[LosID]]),1,"a"),Lose[LosID],Lose[Zufallszahl],"",0),RAND())</f>
        <v>0.40555552840421205</v>
      </c>
      <c r="V272" t="b" cm="1">
        <f t="array" aca="1" ref="V272" ca="1">Lose[[#This Row],[Zufallszahl]]&gt;=IFERROR(LARGE((LEFT(Lose[LosID],FIND("-",Lose[LosID])-1)=LEFT(Lose[[#This Row],[LosID]],FIND("-",Lose[[#This Row],[LosID]])-1))*Lose[Zufallszahl],_xlfn.XLOOKUP(LEFT(Lose[[#This Row],[LosID]],FIND("-",Lose[[#This Row],[LosID]])-1),Ziehungsanzahl[Kürzel],Ziehungsanzahl[Kontingent],FALSE,0)),9999)</f>
        <v>0</v>
      </c>
    </row>
    <row r="273" spans="1:23" ht="60" hidden="1">
      <c r="A2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3" t="s">
        <v>23352</v>
      </c>
      <c r="C273" t="s">
        <v>24234</v>
      </c>
      <c r="D273" s="1" t="s">
        <v>24235</v>
      </c>
      <c r="E273" t="s">
        <v>24236</v>
      </c>
      <c r="F273" t="s">
        <v>24237</v>
      </c>
      <c r="G273">
        <v>1</v>
      </c>
      <c r="H273">
        <v>15</v>
      </c>
      <c r="I273">
        <v>0.05</v>
      </c>
      <c r="K273" t="str" cm="1">
        <f t="array" ref="K2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Killer</v>
      </c>
      <c r="L273" t="str">
        <f>IFERROR(LEFT(TRIM(Lose[[#This Row],[Google Koordinaten]]),9),"")</f>
        <v>48.315912</v>
      </c>
      <c r="M273" t="str">
        <f>IFERROR(MID(TRIM(Lose[[#This Row],[Google Koordinaten]]),
FIND(",",TRIM(Lose[[#This Row],[Google Koordinaten]])) + 2,9),"")</f>
        <v>9.0609076</v>
      </c>
      <c r="N273">
        <f>IF(Lose[[#This Row],[Bahn-hofs-zeit]]=0,0,MROUND(30*25^((Lose[[#This Row],[Bahn-hofs-zeit]]-_xlfn.MINIFS(Lose[Bahn-hofs-zeit],Lose[Bahn-hofs-zeit],"&gt;0"))/(MAX(Lose[Bahn-hofs-zeit])-_xlfn.MINIFS(Lose[Bahn-hofs-zeit],Lose[Bahn-hofs-zeit],"&gt;0"))),5))</f>
        <v>395</v>
      </c>
      <c r="O273">
        <f>IF(Lose[[#This Row],[Gehzeit (min)]]="",0,CEILING(3*(Lose[[#This Row],[Gehzeit (min)]]+Lose[[#This Row],[Aufgaben-zeit (min)]]),5))</f>
        <v>50</v>
      </c>
      <c r="P273">
        <v>12.25</v>
      </c>
      <c r="Q273">
        <f>IFERROR(ROUND(Lose[[#This Row],[Distanz (km)]]*60/Lose[[#This Row],[Gehzeit (min)]],1),"")</f>
        <v>3</v>
      </c>
      <c r="R2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273">
        <f>IFERROR(Lose[[#This Row],[Distanz (km)]]-Lose[[#This Row],[Check Distanz]],"")</f>
        <v>2.0000000000000004E-2</v>
      </c>
      <c r="T273" s="60">
        <f>IFERROR(Lose[[#This Row],[Check Umweg]]/Lose[[#This Row],[Check Distanz]],"")</f>
        <v>0.66666666666666685</v>
      </c>
      <c r="U273">
        <f ca="1">IF(RIGHT(Lose[[#This Row],[LosID]],1)="b",_xlfn.XLOOKUP(REPLACE(Lose[[#This Row],[LosID]],LEN(Lose[[#This Row],[LosID]]),1,"a"),Lose[LosID],Lose[Zufallszahl],"",0),RAND())</f>
        <v>0.38678135877714248</v>
      </c>
      <c r="V273" t="b" cm="1">
        <f t="array" aca="1" ref="V273" ca="1">Lose[[#This Row],[Zufallszahl]]&gt;=IFERROR(LARGE((LEFT(Lose[LosID],FIND("-",Lose[LosID])-1)=LEFT(Lose[[#This Row],[LosID]],FIND("-",Lose[[#This Row],[LosID]])-1))*Lose[Zufallszahl],_xlfn.XLOOKUP(LEFT(Lose[[#This Row],[LosID]],FIND("-",Lose[[#This Row],[LosID]])-1),Ziehungsanzahl[Kürzel],Ziehungsanzahl[Kontingent],FALSE,0)),9999)</f>
        <v>0</v>
      </c>
    </row>
    <row r="274" spans="1:23" ht="135" hidden="1">
      <c r="A2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4" t="s">
        <v>23380</v>
      </c>
      <c r="C274" t="s">
        <v>24238</v>
      </c>
      <c r="D274" s="1" t="s">
        <v>24239</v>
      </c>
      <c r="E274" t="s">
        <v>24240</v>
      </c>
      <c r="F274" t="s">
        <v>24241</v>
      </c>
      <c r="G274">
        <v>17</v>
      </c>
      <c r="H274">
        <v>1</v>
      </c>
      <c r="I274">
        <v>1.1000000000000001</v>
      </c>
      <c r="J274">
        <v>40</v>
      </c>
      <c r="K274" t="str" cm="1">
        <f t="array" ref="K2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Icking</v>
      </c>
      <c r="L274" t="str">
        <f>IFERROR(LEFT(TRIM(Lose[[#This Row],[Google Koordinaten]]),9),"")</f>
        <v>47.960219</v>
      </c>
      <c r="M274" t="str">
        <f>IFERROR(MID(TRIM(Lose[[#This Row],[Google Koordinaten]]),
FIND(",",TRIM(Lose[[#This Row],[Google Koordinaten]])) + 2,9),"")</f>
        <v>11.435444</v>
      </c>
      <c r="N274">
        <f>IF(Lose[[#This Row],[Bahn-hofs-zeit]]=0,0,MROUND(30*25^((Lose[[#This Row],[Bahn-hofs-zeit]]-_xlfn.MINIFS(Lose[Bahn-hofs-zeit],Lose[Bahn-hofs-zeit],"&gt;0"))/(MAX(Lose[Bahn-hofs-zeit])-_xlfn.MINIFS(Lose[Bahn-hofs-zeit],Lose[Bahn-hofs-zeit],"&gt;0"))),5))</f>
        <v>365</v>
      </c>
      <c r="O274">
        <f>IF(Lose[[#This Row],[Gehzeit (min)]]="",0,CEILING(3*(Lose[[#This Row],[Gehzeit (min)]]+Lose[[#This Row],[Aufgaben-zeit (min)]]),5))</f>
        <v>55</v>
      </c>
      <c r="P274">
        <v>12</v>
      </c>
      <c r="Q274">
        <f>IFERROR(ROUND(Lose[[#This Row],[Distanz (km)]]*60/Lose[[#This Row],[Gehzeit (min)]],1),"")</f>
        <v>3.9</v>
      </c>
      <c r="R2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274">
        <f>IFERROR(Lose[[#This Row],[Distanz (km)]]-Lose[[#This Row],[Check Distanz]],"")</f>
        <v>0.32000000000000006</v>
      </c>
      <c r="T274" s="60">
        <f>IFERROR(Lose[[#This Row],[Check Umweg]]/Lose[[#This Row],[Check Distanz]],"")</f>
        <v>0.4102564102564103</v>
      </c>
      <c r="U274">
        <f ca="1">IF(RIGHT(Lose[[#This Row],[LosID]],1)="b",_xlfn.XLOOKUP(REPLACE(Lose[[#This Row],[LosID]],LEN(Lose[[#This Row],[LosID]]),1,"a"),Lose[LosID],Lose[Zufallszahl],"",0),RAND())</f>
        <v>0.41080098666731235</v>
      </c>
      <c r="V274" t="b" cm="1">
        <f t="array" aca="1" ref="V274" ca="1">Lose[[#This Row],[Zufallszahl]]&gt;=IFERROR(LARGE((LEFT(Lose[LosID],FIND("-",Lose[LosID])-1)=LEFT(Lose[[#This Row],[LosID]],FIND("-",Lose[[#This Row],[LosID]])-1))*Lose[Zufallszahl],_xlfn.XLOOKUP(LEFT(Lose[[#This Row],[LosID]],FIND("-",Lose[[#This Row],[LosID]])-1),Ziehungsanzahl[Kürzel],Ziehungsanzahl[Kontingent],FALSE,0)),9999)</f>
        <v>0</v>
      </c>
    </row>
    <row r="275" spans="1:23" ht="30" hidden="1">
      <c r="A2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5" t="s">
        <v>23412</v>
      </c>
      <c r="C275" t="s">
        <v>24242</v>
      </c>
      <c r="D275" s="1" t="s">
        <v>24243</v>
      </c>
      <c r="E275" t="s">
        <v>24244</v>
      </c>
      <c r="F275" t="s">
        <v>24245</v>
      </c>
      <c r="G275">
        <v>10</v>
      </c>
      <c r="H275">
        <v>1</v>
      </c>
      <c r="I275">
        <v>0.75</v>
      </c>
      <c r="J275" t="s">
        <v>23</v>
      </c>
      <c r="K275" t="str" cm="1">
        <f t="array" ref="K2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Kork</v>
      </c>
      <c r="L275" t="str">
        <f>IFERROR(LEFT(TRIM(Lose[[#This Row],[Google Koordinaten]]),9),"")</f>
        <v>48.566578</v>
      </c>
      <c r="M275" t="str">
        <f>IFERROR(MID(TRIM(Lose[[#This Row],[Google Koordinaten]]),
FIND(",",TRIM(Lose[[#This Row],[Google Koordinaten]])) + 2,9),"")</f>
        <v>7.8687584</v>
      </c>
      <c r="N275">
        <f>IF(Lose[[#This Row],[Bahn-hofs-zeit]]=0,0,MROUND(30*25^((Lose[[#This Row],[Bahn-hofs-zeit]]-_xlfn.MINIFS(Lose[Bahn-hofs-zeit],Lose[Bahn-hofs-zeit],"&gt;0"))/(MAX(Lose[Bahn-hofs-zeit])-_xlfn.MINIFS(Lose[Bahn-hofs-zeit],Lose[Bahn-hofs-zeit],"&gt;0"))),5))</f>
        <v>95</v>
      </c>
      <c r="O275">
        <f>IF(Lose[[#This Row],[Gehzeit (min)]]="",0,CEILING(3*(Lose[[#This Row],[Gehzeit (min)]]+Lose[[#This Row],[Aufgaben-zeit (min)]]),5))</f>
        <v>35</v>
      </c>
      <c r="P275">
        <v>7.25</v>
      </c>
      <c r="Q275">
        <f>IFERROR(ROUND(Lose[[#This Row],[Distanz (km)]]*60/Lose[[#This Row],[Gehzeit (min)]],1),"")</f>
        <v>4.5</v>
      </c>
      <c r="R2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275">
        <f>IFERROR(Lose[[#This Row],[Distanz (km)]]-Lose[[#This Row],[Check Distanz]],"")</f>
        <v>0.16000000000000003</v>
      </c>
      <c r="T275" s="60">
        <f>IFERROR(Lose[[#This Row],[Check Umweg]]/Lose[[#This Row],[Check Distanz]],"")</f>
        <v>0.27118644067796616</v>
      </c>
      <c r="U275">
        <f ca="1">IF(RIGHT(Lose[[#This Row],[LosID]],1)="b",_xlfn.XLOOKUP(REPLACE(Lose[[#This Row],[LosID]],LEN(Lose[[#This Row],[LosID]]),1,"a"),Lose[LosID],Lose[Zufallszahl],"",0),RAND())</f>
        <v>0.83125082325770194</v>
      </c>
      <c r="V275" t="b" cm="1">
        <f t="array" aca="1" ref="V275" ca="1">Lose[[#This Row],[Zufallszahl]]&gt;=IFERROR(LARGE((LEFT(Lose[LosID],FIND("-",Lose[LosID])-1)=LEFT(Lose[[#This Row],[LosID]],FIND("-",Lose[[#This Row],[LosID]])-1))*Lose[Zufallszahl],_xlfn.XLOOKUP(LEFT(Lose[[#This Row],[LosID]],FIND("-",Lose[[#This Row],[LosID]])-1),Ziehungsanzahl[Kürzel],Ziehungsanzahl[Kontingent],FALSE,0)),9999)</f>
        <v>0</v>
      </c>
    </row>
    <row r="276" spans="1:23" ht="75" hidden="1">
      <c r="A2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6" t="s">
        <v>23416</v>
      </c>
      <c r="C276" s="92" t="s">
        <v>24246</v>
      </c>
      <c r="D276" s="1" t="s">
        <v>24247</v>
      </c>
      <c r="E276" t="s">
        <v>24248</v>
      </c>
      <c r="F276" t="s">
        <v>24249</v>
      </c>
      <c r="G276">
        <v>5</v>
      </c>
      <c r="H276">
        <v>10</v>
      </c>
      <c r="I276">
        <v>0.32</v>
      </c>
      <c r="J276">
        <v>0</v>
      </c>
      <c r="K276" t="str" cm="1">
        <f t="array" ref="K2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Busenberg-Schindhard</v>
      </c>
      <c r="L276" t="str">
        <f>IFERROR(LEFT(TRIM(Lose[[#This Row],[Google Koordinaten]]),9),"")</f>
        <v>49.140500</v>
      </c>
      <c r="M276" t="str">
        <f>IFERROR(MID(TRIM(Lose[[#This Row],[Google Koordinaten]]),
FIND(",",TRIM(Lose[[#This Row],[Google Koordinaten]])) + 2,9),"")</f>
        <v>7.802500</v>
      </c>
      <c r="N276">
        <f>IF(Lose[[#This Row],[Bahn-hofs-zeit]]=0,0,MROUND(30*25^((Lose[[#This Row],[Bahn-hofs-zeit]]-_xlfn.MINIFS(Lose[Bahn-hofs-zeit],Lose[Bahn-hofs-zeit],"&gt;0"))/(MAX(Lose[Bahn-hofs-zeit])-_xlfn.MINIFS(Lose[Bahn-hofs-zeit],Lose[Bahn-hofs-zeit],"&gt;0"))),5))</f>
        <v>195</v>
      </c>
      <c r="O276">
        <f>IF(Lose[[#This Row],[Gehzeit (min)]]="",0,CEILING(3*(Lose[[#This Row],[Gehzeit (min)]]+Lose[[#This Row],[Aufgaben-zeit (min)]]),5))</f>
        <v>45</v>
      </c>
      <c r="P276">
        <v>9.75</v>
      </c>
      <c r="Q276">
        <f>IFERROR(ROUND(Lose[[#This Row],[Distanz (km)]]*60/Lose[[#This Row],[Gehzeit (min)]],1),"")</f>
        <v>3.8</v>
      </c>
      <c r="R2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276">
        <f>IFERROR(Lose[[#This Row],[Distanz (km)]]-Lose[[#This Row],[Check Distanz]],"")</f>
        <v>4.9999999999999989E-2</v>
      </c>
      <c r="T276" s="60">
        <f>IFERROR(Lose[[#This Row],[Check Umweg]]/Lose[[#This Row],[Check Distanz]],"")</f>
        <v>0.18518518518518512</v>
      </c>
      <c r="U276">
        <f ca="1">IF(RIGHT(Lose[[#This Row],[LosID]],1)="b",_xlfn.XLOOKUP(REPLACE(Lose[[#This Row],[LosID]],LEN(Lose[[#This Row],[LosID]]),1,"a"),Lose[LosID],Lose[Zufallszahl],"",0),RAND())</f>
        <v>0.39319587611664353</v>
      </c>
      <c r="V276" t="b" cm="1">
        <f t="array" aca="1" ref="V276" ca="1">Lose[[#This Row],[Zufallszahl]]&gt;=IFERROR(LARGE((LEFT(Lose[LosID],FIND("-",Lose[LosID])-1)=LEFT(Lose[[#This Row],[LosID]],FIND("-",Lose[[#This Row],[LosID]])-1))*Lose[Zufallszahl],_xlfn.XLOOKUP(LEFT(Lose[[#This Row],[LosID]],FIND("-",Lose[[#This Row],[LosID]])-1),Ziehungsanzahl[Kürzel],Ziehungsanzahl[Kontingent],FALSE,0)),9999)</f>
        <v>0</v>
      </c>
      <c r="W276" t="s">
        <v>23884</v>
      </c>
    </row>
    <row r="277" spans="1:23" ht="30" hidden="1">
      <c r="A2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7" t="s">
        <v>23357</v>
      </c>
      <c r="C277" t="s">
        <v>1496</v>
      </c>
      <c r="D277" s="1" t="s">
        <v>1499</v>
      </c>
      <c r="E277" t="s">
        <v>1497</v>
      </c>
      <c r="F277" t="s">
        <v>24250</v>
      </c>
      <c r="G277">
        <v>2</v>
      </c>
      <c r="H277">
        <v>1</v>
      </c>
      <c r="I277">
        <v>0.1</v>
      </c>
      <c r="J277" t="s">
        <v>23</v>
      </c>
      <c r="K277" t="str" cm="1">
        <f t="array" ref="K2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Oschatz</v>
      </c>
      <c r="L277" t="str">
        <f>IFERROR(LEFT(TRIM(Lose[[#This Row],[Google Koordinaten]]),9),"")</f>
        <v>51.311298</v>
      </c>
      <c r="M277" t="str">
        <f>IFERROR(MID(TRIM(Lose[[#This Row],[Google Koordinaten]]),
FIND(",",TRIM(Lose[[#This Row],[Google Koordinaten]])) + 2,9),"")</f>
        <v>13.105080</v>
      </c>
      <c r="N277">
        <f>IF(Lose[[#This Row],[Bahn-hofs-zeit]]=0,0,MROUND(30*25^((Lose[[#This Row],[Bahn-hofs-zeit]]-_xlfn.MINIFS(Lose[Bahn-hofs-zeit],Lose[Bahn-hofs-zeit],"&gt;0"))/(MAX(Lose[Bahn-hofs-zeit])-_xlfn.MINIFS(Lose[Bahn-hofs-zeit],Lose[Bahn-hofs-zeit],"&gt;0"))),5))</f>
        <v>295</v>
      </c>
      <c r="O277">
        <f>IF(Lose[[#This Row],[Gehzeit (min)]]="",0,CEILING(3*(Lose[[#This Row],[Gehzeit (min)]]+Lose[[#This Row],[Aufgaben-zeit (min)]]),5))</f>
        <v>10</v>
      </c>
      <c r="P277">
        <v>11.25</v>
      </c>
      <c r="Q277">
        <f>IFERROR(ROUND(Lose[[#This Row],[Distanz (km)]]*60/Lose[[#This Row],[Gehzeit (min)]],1),"")</f>
        <v>3</v>
      </c>
      <c r="R2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277">
        <f>IFERROR(Lose[[#This Row],[Distanz (km)]]-Lose[[#This Row],[Check Distanz]],"")</f>
        <v>1.0000000000000009E-2</v>
      </c>
      <c r="T277" s="60">
        <f>IFERROR(Lose[[#This Row],[Check Umweg]]/Lose[[#This Row],[Check Distanz]],"")</f>
        <v>0.11111111111111122</v>
      </c>
      <c r="U277">
        <f ca="1">IF(RIGHT(Lose[[#This Row],[LosID]],1)="b",_xlfn.XLOOKUP(REPLACE(Lose[[#This Row],[LosID]],LEN(Lose[[#This Row],[LosID]]),1,"a"),Lose[LosID],Lose[Zufallszahl],"",0),RAND())</f>
        <v>0.45509000227896568</v>
      </c>
      <c r="V277" t="b" cm="1">
        <f t="array" aca="1" ref="V277" ca="1">Lose[[#This Row],[Zufallszahl]]&gt;=IFERROR(LARGE((LEFT(Lose[LosID],FIND("-",Lose[LosID])-1)=LEFT(Lose[[#This Row],[LosID]],FIND("-",Lose[[#This Row],[LosID]])-1))*Lose[Zufallszahl],_xlfn.XLOOKUP(LEFT(Lose[[#This Row],[LosID]],FIND("-",Lose[[#This Row],[LosID]])-1),Ziehungsanzahl[Kürzel],Ziehungsanzahl[Kontingent],FALSE,0)),9999)</f>
        <v>0</v>
      </c>
    </row>
    <row r="278" spans="1:23" ht="105" hidden="1">
      <c r="A2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8" t="s">
        <v>23363</v>
      </c>
      <c r="C278" t="s">
        <v>24251</v>
      </c>
      <c r="D278" s="1" t="s">
        <v>24252</v>
      </c>
      <c r="E278" t="s">
        <v>24253</v>
      </c>
      <c r="F278" t="s">
        <v>24254</v>
      </c>
      <c r="G278">
        <v>13</v>
      </c>
      <c r="H278">
        <v>1</v>
      </c>
      <c r="I278">
        <v>1</v>
      </c>
      <c r="J278">
        <v>10</v>
      </c>
      <c r="K278" t="str" cm="1">
        <f t="array" ref="K2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278" t="str">
        <f>IFERROR(LEFT(TRIM(Lose[[#This Row],[Google Koordinaten]]),9),"")</f>
        <v>48.635032</v>
      </c>
      <c r="M278" t="str">
        <f>IFERROR(MID(TRIM(Lose[[#This Row],[Google Koordinaten]]),
FIND(",",TRIM(Lose[[#This Row],[Google Koordinaten]])) + 2,9),"")</f>
        <v>9.8019237</v>
      </c>
      <c r="N278">
        <f>IF(Lose[[#This Row],[Bahn-hofs-zeit]]=0,0,MROUND(30*25^((Lose[[#This Row],[Bahn-hofs-zeit]]-_xlfn.MINIFS(Lose[Bahn-hofs-zeit],Lose[Bahn-hofs-zeit],"&gt;0"))/(MAX(Lose[Bahn-hofs-zeit])-_xlfn.MINIFS(Lose[Bahn-hofs-zeit],Lose[Bahn-hofs-zeit],"&gt;0"))),5))</f>
        <v>145</v>
      </c>
      <c r="O278">
        <f>IF(Lose[[#This Row],[Gehzeit (min)]]="",0,CEILING(3*(Lose[[#This Row],[Gehzeit (min)]]+Lose[[#This Row],[Aufgaben-zeit (min)]]),5))</f>
        <v>45</v>
      </c>
      <c r="P278">
        <v>8.75</v>
      </c>
      <c r="Q278">
        <f>IFERROR(ROUND(Lose[[#This Row],[Distanz (km)]]*60/Lose[[#This Row],[Gehzeit (min)]],1),"")</f>
        <v>4.5999999999999996</v>
      </c>
      <c r="R2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278">
        <f>IFERROR(Lose[[#This Row],[Distanz (km)]]-Lose[[#This Row],[Check Distanz]],"")</f>
        <v>0.38</v>
      </c>
      <c r="T278" s="60">
        <f>IFERROR(Lose[[#This Row],[Check Umweg]]/Lose[[#This Row],[Check Distanz]],"")</f>
        <v>0.61290322580645162</v>
      </c>
      <c r="U278">
        <f ca="1">IF(RIGHT(Lose[[#This Row],[LosID]],1)="b",_xlfn.XLOOKUP(REPLACE(Lose[[#This Row],[LosID]],LEN(Lose[[#This Row],[LosID]]),1,"a"),Lose[LosID],Lose[Zufallszahl],"",0),RAND())</f>
        <v>0.21292441038059928</v>
      </c>
      <c r="V278" t="b" cm="1">
        <f t="array" aca="1" ref="V278" ca="1">Lose[[#This Row],[Zufallszahl]]&gt;=IFERROR(LARGE((LEFT(Lose[LosID],FIND("-",Lose[LosID])-1)=LEFT(Lose[[#This Row],[LosID]],FIND("-",Lose[[#This Row],[LosID]])-1))*Lose[Zufallszahl],_xlfn.XLOOKUP(LEFT(Lose[[#This Row],[LosID]],FIND("-",Lose[[#This Row],[LosID]])-1),Ziehungsanzahl[Kürzel],Ziehungsanzahl[Kontingent],FALSE,0)),9999)</f>
        <v>0</v>
      </c>
    </row>
    <row r="279" spans="1:23" ht="45" hidden="1">
      <c r="A2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9" t="s">
        <v>23367</v>
      </c>
      <c r="C279" t="s">
        <v>1501</v>
      </c>
      <c r="D279" s="1" t="s">
        <v>1504</v>
      </c>
      <c r="E279" t="s">
        <v>1502</v>
      </c>
      <c r="F279" t="s">
        <v>24255</v>
      </c>
      <c r="G279">
        <v>4</v>
      </c>
      <c r="H279">
        <v>1</v>
      </c>
      <c r="I279">
        <v>0.3</v>
      </c>
      <c r="J279">
        <v>15</v>
      </c>
      <c r="K279" t="str" cm="1">
        <f t="array" ref="K2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Simmelsdorf-Hüttenbach</v>
      </c>
      <c r="L279" t="str">
        <f>IFERROR(LEFT(TRIM(Lose[[#This Row],[Google Koordinaten]]),9),"")</f>
        <v>49.600780</v>
      </c>
      <c r="M279" t="str">
        <f>IFERROR(MID(TRIM(Lose[[#This Row],[Google Koordinaten]]),
FIND(",",TRIM(Lose[[#This Row],[Google Koordinaten]])) + 2,9),"")</f>
        <v>11.343457</v>
      </c>
      <c r="N279">
        <f>IF(Lose[[#This Row],[Bahn-hofs-zeit]]=0,0,MROUND(30*25^((Lose[[#This Row],[Bahn-hofs-zeit]]-_xlfn.MINIFS(Lose[Bahn-hofs-zeit],Lose[Bahn-hofs-zeit],"&gt;0"))/(MAX(Lose[Bahn-hofs-zeit])-_xlfn.MINIFS(Lose[Bahn-hofs-zeit],Lose[Bahn-hofs-zeit],"&gt;0"))),5))</f>
        <v>100</v>
      </c>
      <c r="O279">
        <f>IF(Lose[[#This Row],[Gehzeit (min)]]="",0,CEILING(3*(Lose[[#This Row],[Gehzeit (min)]]+Lose[[#This Row],[Aufgaben-zeit (min)]]),5))</f>
        <v>15</v>
      </c>
      <c r="P279">
        <v>7.5</v>
      </c>
      <c r="Q279">
        <f>IFERROR(ROUND(Lose[[#This Row],[Distanz (km)]]*60/Lose[[#This Row],[Gehzeit (min)]],1),"")</f>
        <v>4.5</v>
      </c>
      <c r="R2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0.28999999999999998</v>
      </c>
      <c r="S279">
        <f>IFERROR(Lose[[#This Row],[Distanz (km)]]-Lose[[#This Row],[Check Distanz]],"")</f>
        <v>1.0000000000000009E-2</v>
      </c>
      <c r="T279" s="60">
        <f>IFERROR(Lose[[#This Row],[Check Umweg]]/Lose[[#This Row],[Check Distanz]],"")</f>
        <v>3.4482758620689689E-2</v>
      </c>
      <c r="U279">
        <f ca="1">IF(RIGHT(Lose[[#This Row],[LosID]],1)="b",_xlfn.XLOOKUP(REPLACE(Lose[[#This Row],[LosID]],LEN(Lose[[#This Row],[LosID]]),1,"a"),Lose[LosID],Lose[Zufallszahl],"",0),RAND())</f>
        <v>0.93198033526829582</v>
      </c>
      <c r="V279" t="b" cm="1">
        <f t="array" aca="1" ref="V279" ca="1">Lose[[#This Row],[Zufallszahl]]&gt;=IFERROR(LARGE((LEFT(Lose[LosID],FIND("-",Lose[LosID])-1)=LEFT(Lose[[#This Row],[LosID]],FIND("-",Lose[[#This Row],[LosID]])-1))*Lose[Zufallszahl],_xlfn.XLOOKUP(LEFT(Lose[[#This Row],[LosID]],FIND("-",Lose[[#This Row],[LosID]])-1),Ziehungsanzahl[Kürzel],Ziehungsanzahl[Kontingent],FALSE,0)),9999)</f>
        <v>0</v>
      </c>
    </row>
    <row r="280" spans="1:23" ht="30" hidden="1">
      <c r="A2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0" t="s">
        <v>23372</v>
      </c>
      <c r="C280" t="s">
        <v>1506</v>
      </c>
      <c r="D280" s="1" t="s">
        <v>1509</v>
      </c>
      <c r="E280" t="s">
        <v>1507</v>
      </c>
      <c r="F280" t="s">
        <v>24256</v>
      </c>
      <c r="G280">
        <v>15</v>
      </c>
      <c r="H280">
        <v>1</v>
      </c>
      <c r="I280">
        <v>0.95</v>
      </c>
      <c r="J280" t="s">
        <v>23</v>
      </c>
      <c r="K280" t="str" cm="1">
        <f t="array" ref="K2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Sulzbach-Rosenberg</v>
      </c>
      <c r="L280" t="str">
        <f>IFERROR(LEFT(TRIM(Lose[[#This Row],[Google Koordinaten]]),9),"")</f>
        <v>49.505299</v>
      </c>
      <c r="M280" t="str">
        <f>IFERROR(MID(TRIM(Lose[[#This Row],[Google Koordinaten]]),
FIND(",",TRIM(Lose[[#This Row],[Google Koordinaten]])) + 2,9),"")</f>
        <v>11.736050</v>
      </c>
      <c r="N280">
        <f>IF(Lose[[#This Row],[Bahn-hofs-zeit]]=0,0,MROUND(30*25^((Lose[[#This Row],[Bahn-hofs-zeit]]-_xlfn.MINIFS(Lose[Bahn-hofs-zeit],Lose[Bahn-hofs-zeit],"&gt;0"))/(MAX(Lose[Bahn-hofs-zeit])-_xlfn.MINIFS(Lose[Bahn-hofs-zeit],Lose[Bahn-hofs-zeit],"&gt;0"))),5))</f>
        <v>165</v>
      </c>
      <c r="O280">
        <f>IF(Lose[[#This Row],[Gehzeit (min)]]="",0,CEILING(3*(Lose[[#This Row],[Gehzeit (min)]]+Lose[[#This Row],[Aufgaben-zeit (min)]]),5))</f>
        <v>50</v>
      </c>
      <c r="P280">
        <v>9.25</v>
      </c>
      <c r="Q280">
        <f>IFERROR(ROUND(Lose[[#This Row],[Distanz (km)]]*60/Lose[[#This Row],[Gehzeit (min)]],1),"")</f>
        <v>3.8</v>
      </c>
      <c r="R2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80">
        <f>IFERROR(Lose[[#This Row],[Distanz (km)]]-Lose[[#This Row],[Check Distanz]],"")</f>
        <v>0.26</v>
      </c>
      <c r="T280" s="60">
        <f>IFERROR(Lose[[#This Row],[Check Umweg]]/Lose[[#This Row],[Check Distanz]],"")</f>
        <v>0.37681159420289861</v>
      </c>
      <c r="U280">
        <f ca="1">IF(RIGHT(Lose[[#This Row],[LosID]],1)="b",_xlfn.XLOOKUP(REPLACE(Lose[[#This Row],[LosID]],LEN(Lose[[#This Row],[LosID]]),1,"a"),Lose[LosID],Lose[Zufallszahl],"",0),RAND())</f>
        <v>0.95904055361580709</v>
      </c>
      <c r="V280" t="b" cm="1">
        <f t="array" aca="1" ref="V280" ca="1">Lose[[#This Row],[Zufallszahl]]&gt;=IFERROR(LARGE((LEFT(Lose[LosID],FIND("-",Lose[LosID])-1)=LEFT(Lose[[#This Row],[LosID]],FIND("-",Lose[[#This Row],[LosID]])-1))*Lose[Zufallszahl],_xlfn.XLOOKUP(LEFT(Lose[[#This Row],[LosID]],FIND("-",Lose[[#This Row],[LosID]])-1),Ziehungsanzahl[Kürzel],Ziehungsanzahl[Kontingent],FALSE,0)),9999)</f>
        <v>0</v>
      </c>
    </row>
    <row r="281" spans="1:23" ht="30" hidden="1">
      <c r="A2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1" t="s">
        <v>4</v>
      </c>
      <c r="C281" t="s">
        <v>24257</v>
      </c>
      <c r="D281" s="1" t="s">
        <v>24258</v>
      </c>
      <c r="E281" t="s">
        <v>24259</v>
      </c>
      <c r="F281" t="s">
        <v>24260</v>
      </c>
      <c r="G281">
        <v>9</v>
      </c>
      <c r="H281">
        <v>1</v>
      </c>
      <c r="I281">
        <v>0.65</v>
      </c>
      <c r="J281" t="s">
        <v>23</v>
      </c>
      <c r="K281" t="str" cm="1">
        <f t="array" ref="K2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Feucht Ost</v>
      </c>
      <c r="L281" t="str">
        <f>IFERROR(LEFT(TRIM(Lose[[#This Row],[Google Koordinaten]]),9),"")</f>
        <v>49.376790</v>
      </c>
      <c r="M281" t="str">
        <f>IFERROR(MID(TRIM(Lose[[#This Row],[Google Koordinaten]]),
FIND(",",TRIM(Lose[[#This Row],[Google Koordinaten]])) + 2,9),"")</f>
        <v>11.213893</v>
      </c>
      <c r="N281">
        <f>IF(Lose[[#This Row],[Bahn-hofs-zeit]]=0,0,MROUND(30*25^((Lose[[#This Row],[Bahn-hofs-zeit]]-_xlfn.MINIFS(Lose[Bahn-hofs-zeit],Lose[Bahn-hofs-zeit],"&gt;0"))/(MAX(Lose[Bahn-hofs-zeit])-_xlfn.MINIFS(Lose[Bahn-hofs-zeit],Lose[Bahn-hofs-zeit],"&gt;0"))),5))</f>
        <v>135</v>
      </c>
      <c r="O281">
        <f>IF(Lose[[#This Row],[Gehzeit (min)]]="",0,CEILING(3*(Lose[[#This Row],[Gehzeit (min)]]+Lose[[#This Row],[Aufgaben-zeit (min)]]),5))</f>
        <v>30</v>
      </c>
      <c r="P281">
        <v>8.5</v>
      </c>
      <c r="Q281">
        <f>IFERROR(ROUND(Lose[[#This Row],[Distanz (km)]]*60/Lose[[#This Row],[Gehzeit (min)]],1),"")</f>
        <v>4.3</v>
      </c>
      <c r="R2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81">
        <f>IFERROR(Lose[[#This Row],[Distanz (km)]]-Lose[[#This Row],[Check Distanz]],"")</f>
        <v>0.16000000000000003</v>
      </c>
      <c r="T281" s="60">
        <f>IFERROR(Lose[[#This Row],[Check Umweg]]/Lose[[#This Row],[Check Distanz]],"")</f>
        <v>0.32653061224489804</v>
      </c>
      <c r="U281">
        <f ca="1">IF(RIGHT(Lose[[#This Row],[LosID]],1)="b",_xlfn.XLOOKUP(REPLACE(Lose[[#This Row],[LosID]],LEN(Lose[[#This Row],[LosID]]),1,"a"),Lose[LosID],Lose[Zufallszahl],"",0),RAND())</f>
        <v>0.32182165011615416</v>
      </c>
      <c r="V281" t="b" cm="1">
        <f t="array" aca="1" ref="V281" ca="1">Lose[[#This Row],[Zufallszahl]]&gt;=IFERROR(LARGE((LEFT(Lose[LosID],FIND("-",Lose[LosID])-1)=LEFT(Lose[[#This Row],[LosID]],FIND("-",Lose[[#This Row],[LosID]])-1))*Lose[Zufallszahl],_xlfn.XLOOKUP(LEFT(Lose[[#This Row],[LosID]],FIND("-",Lose[[#This Row],[LosID]])-1),Ziehungsanzahl[Kürzel],Ziehungsanzahl[Kontingent],FALSE,0)),9999)</f>
        <v>0</v>
      </c>
    </row>
    <row r="282" spans="1:23" ht="45" hidden="1">
      <c r="A2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2" t="s">
        <v>23380</v>
      </c>
      <c r="C282" t="s">
        <v>24261</v>
      </c>
      <c r="D282" s="33" t="s">
        <v>24262</v>
      </c>
      <c r="E282" t="s">
        <v>24263</v>
      </c>
      <c r="F282" t="s">
        <v>24264</v>
      </c>
      <c r="G282">
        <v>5</v>
      </c>
      <c r="H282">
        <v>5</v>
      </c>
      <c r="I282">
        <v>0.4</v>
      </c>
      <c r="K282" t="str" cm="1">
        <f t="array" ref="K2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2" t="str">
        <f>IFERROR(LEFT(TRIM(Lose[[#This Row],[Google Koordinaten]]),9),"")</f>
        <v>51.957495</v>
      </c>
      <c r="M282" t="str">
        <f>IFERROR(MID(TRIM(Lose[[#This Row],[Google Koordinaten]]),
FIND(",",TRIM(Lose[[#This Row],[Google Koordinaten]])) + 2,9),"")</f>
        <v>7.6308826</v>
      </c>
      <c r="N282">
        <f>IF(Lose[[#This Row],[Bahn-hofs-zeit]]=0,0,MROUND(30*25^((Lose[[#This Row],[Bahn-hofs-zeit]]-_xlfn.MINIFS(Lose[Bahn-hofs-zeit],Lose[Bahn-hofs-zeit],"&gt;0"))/(MAX(Lose[Bahn-hofs-zeit])-_xlfn.MINIFS(Lose[Bahn-hofs-zeit],Lose[Bahn-hofs-zeit],"&gt;0"))),5))</f>
        <v>0</v>
      </c>
      <c r="O282">
        <f>IF(Lose[[#This Row],[Gehzeit (min)]]="",0,CEILING(3*(Lose[[#This Row],[Gehzeit (min)]]+Lose[[#This Row],[Aufgaben-zeit (min)]]),5))</f>
        <v>30</v>
      </c>
      <c r="Q282">
        <f>IFERROR(ROUND(Lose[[#This Row],[Distanz (km)]]*60/Lose[[#This Row],[Gehzeit (min)]],1),"")</f>
        <v>4.8</v>
      </c>
      <c r="R2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0.35</v>
      </c>
      <c r="S282">
        <f>IFERROR(Lose[[#This Row],[Distanz (km)]]-Lose[[#This Row],[Check Distanz]],"")</f>
        <v>5.0000000000000044E-2</v>
      </c>
      <c r="T282" s="60">
        <f>IFERROR(Lose[[#This Row],[Check Umweg]]/Lose[[#This Row],[Check Distanz]],"")</f>
        <v>0.14285714285714299</v>
      </c>
      <c r="U282">
        <f ca="1">IF(RIGHT(Lose[[#This Row],[LosID]],1)="b",_xlfn.XLOOKUP(REPLACE(Lose[[#This Row],[LosID]],LEN(Lose[[#This Row],[LosID]]),1,"a"),Lose[LosID],Lose[Zufallszahl],"",0),RAND())</f>
        <v>0.28436748072706242</v>
      </c>
      <c r="V282" t="b" cm="1">
        <f t="array" aca="1" ref="V282" ca="1">Lose[[#This Row],[Zufallszahl]]&gt;=IFERROR(LARGE((LEFT(Lose[LosID],FIND("-",Lose[LosID])-1)=LEFT(Lose[[#This Row],[LosID]],FIND("-",Lose[[#This Row],[LosID]])-1))*Lose[Zufallszahl],_xlfn.XLOOKUP(LEFT(Lose[[#This Row],[LosID]],FIND("-",Lose[[#This Row],[LosID]])-1),Ziehungsanzahl[Kürzel],Ziehungsanzahl[Kontingent],FALSE,0)),9999)</f>
        <v>0</v>
      </c>
      <c r="W282" t="s">
        <v>23498</v>
      </c>
    </row>
    <row r="283" spans="1:23" ht="90" hidden="1">
      <c r="A2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3" t="s">
        <v>23363</v>
      </c>
      <c r="C283" t="s">
        <v>24265</v>
      </c>
      <c r="D283" s="1" t="s">
        <v>24266</v>
      </c>
      <c r="E283" t="s">
        <v>24267</v>
      </c>
      <c r="F283" t="s">
        <v>24268</v>
      </c>
      <c r="G283">
        <v>18</v>
      </c>
      <c r="H283">
        <v>5</v>
      </c>
      <c r="I283">
        <v>1.3</v>
      </c>
      <c r="J283">
        <v>10</v>
      </c>
      <c r="K283" t="str" cm="1">
        <f t="array" ref="K2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3" t="str">
        <f>IFERROR(LEFT(TRIM(Lose[[#This Row],[Google Koordinaten]]),9),"")</f>
        <v>51.956820</v>
      </c>
      <c r="M283" t="str">
        <f>IFERROR(MID(TRIM(Lose[[#This Row],[Google Koordinaten]]),
FIND(",",TRIM(Lose[[#This Row],[Google Koordinaten]])) + 2,9),"")</f>
        <v>7.6175890</v>
      </c>
      <c r="N283">
        <f>IF(Lose[[#This Row],[Bahn-hofs-zeit]]=0,0,MROUND(30*25^((Lose[[#This Row],[Bahn-hofs-zeit]]-_xlfn.MINIFS(Lose[Bahn-hofs-zeit],Lose[Bahn-hofs-zeit],"&gt;0"))/(MAX(Lose[Bahn-hofs-zeit])-_xlfn.MINIFS(Lose[Bahn-hofs-zeit],Lose[Bahn-hofs-zeit],"&gt;0"))),5))</f>
        <v>0</v>
      </c>
      <c r="O283">
        <f>IF(Lose[[#This Row],[Gehzeit (min)]]="",0,CEILING(3*(Lose[[#This Row],[Gehzeit (min)]]+Lose[[#This Row],[Aufgaben-zeit (min)]]),5))</f>
        <v>70</v>
      </c>
      <c r="Q283">
        <f>IFERROR(ROUND(Lose[[#This Row],[Distanz (km)]]*60/Lose[[#This Row],[Gehzeit (min)]],1),"")</f>
        <v>4.3</v>
      </c>
      <c r="R2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v>
      </c>
      <c r="S283">
        <f>IFERROR(Lose[[#This Row],[Distanz (km)]]-Lose[[#This Row],[Check Distanz]],"")</f>
        <v>6.0000000000000053E-2</v>
      </c>
      <c r="T283" s="60">
        <f>IFERROR(Lose[[#This Row],[Check Umweg]]/Lose[[#This Row],[Check Distanz]],"")</f>
        <v>4.8387096774193589E-2</v>
      </c>
      <c r="U283">
        <f ca="1">IF(RIGHT(Lose[[#This Row],[LosID]],1)="b",_xlfn.XLOOKUP(REPLACE(Lose[[#This Row],[LosID]],LEN(Lose[[#This Row],[LosID]]),1,"a"),Lose[LosID],Lose[Zufallszahl],"",0),RAND())</f>
        <v>5.4712544640750704E-2</v>
      </c>
      <c r="V283" t="b" cm="1">
        <f t="array" aca="1" ref="V283" ca="1">Lose[[#This Row],[Zufallszahl]]&gt;=IFERROR(LARGE((LEFT(Lose[LosID],FIND("-",Lose[LosID])-1)=LEFT(Lose[[#This Row],[LosID]],FIND("-",Lose[[#This Row],[LosID]])-1))*Lose[Zufallszahl],_xlfn.XLOOKUP(LEFT(Lose[[#This Row],[LosID]],FIND("-",Lose[[#This Row],[LosID]])-1),Ziehungsanzahl[Kürzel],Ziehungsanzahl[Kontingent],FALSE,0)),9999)</f>
        <v>0</v>
      </c>
      <c r="W283" t="s">
        <v>23498</v>
      </c>
    </row>
    <row r="284" spans="1:23" hidden="1">
      <c r="A2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284" t="s">
        <v>23367</v>
      </c>
      <c r="C284" t="s">
        <v>24269</v>
      </c>
      <c r="K284" t="str" cm="1">
        <f t="array" ref="K2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284" t="str">
        <f>IFERROR(LEFT(TRIM(Lose[[#This Row],[Google Koordinaten]]),9),"")</f>
        <v/>
      </c>
      <c r="M284" t="str">
        <f>IFERROR(MID(TRIM(Lose[[#This Row],[Google Koordinaten]]),
FIND(",",TRIM(Lose[[#This Row],[Google Koordinaten]])) + 2,9),"")</f>
        <v/>
      </c>
      <c r="N284">
        <f>IF(Lose[[#This Row],[Bahn-hofs-zeit]]=0,0,MROUND(30*25^((Lose[[#This Row],[Bahn-hofs-zeit]]-_xlfn.MINIFS(Lose[Bahn-hofs-zeit],Lose[Bahn-hofs-zeit],"&gt;0"))/(MAX(Lose[Bahn-hofs-zeit])-_xlfn.MINIFS(Lose[Bahn-hofs-zeit],Lose[Bahn-hofs-zeit],"&gt;0"))),5))</f>
        <v>0</v>
      </c>
      <c r="O284">
        <f>IF(Lose[[#This Row],[Gehzeit (min)]]="",0,CEILING(3*(Lose[[#This Row],[Gehzeit (min)]]+Lose[[#This Row],[Aufgaben-zeit (min)]]),5))</f>
        <v>0</v>
      </c>
      <c r="Q284" t="str">
        <f>IFERROR(ROUND(Lose[[#This Row],[Distanz (km)]]*60/Lose[[#This Row],[Gehzeit (min)]],1),"")</f>
        <v/>
      </c>
      <c r="R28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84" t="str">
        <f>IFERROR(Lose[[#This Row],[Distanz (km)]]-Lose[[#This Row],[Check Distanz]],"")</f>
        <v/>
      </c>
      <c r="T284" s="60" t="str">
        <f>IFERROR(Lose[[#This Row],[Check Umweg]]/Lose[[#This Row],[Check Distanz]],"")</f>
        <v/>
      </c>
      <c r="U284">
        <f ca="1">IF(RIGHT(Lose[[#This Row],[LosID]],1)="b",_xlfn.XLOOKUP(REPLACE(Lose[[#This Row],[LosID]],LEN(Lose[[#This Row],[LosID]]),1,"a"),Lose[LosID],Lose[Zufallszahl],"",0),RAND())</f>
        <v>0.52355830536554337</v>
      </c>
      <c r="V284" t="b" cm="1">
        <f t="array" aca="1" ref="V284" ca="1">Lose[[#This Row],[Zufallszahl]]&gt;=IFERROR(LARGE((LEFT(Lose[LosID],FIND("-",Lose[LosID])-1)=LEFT(Lose[[#This Row],[LosID]],FIND("-",Lose[[#This Row],[LosID]])-1))*Lose[Zufallszahl],_xlfn.XLOOKUP(LEFT(Lose[[#This Row],[LosID]],FIND("-",Lose[[#This Row],[LosID]])-1),Ziehungsanzahl[Kürzel],Ziehungsanzahl[Kontingent],FALSE,0)),9999)</f>
        <v>0</v>
      </c>
    </row>
    <row r="285" spans="1:23" ht="75" hidden="1">
      <c r="A2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5" t="s">
        <v>23372</v>
      </c>
      <c r="C285" t="s">
        <v>24270</v>
      </c>
      <c r="D285" s="78" t="s">
        <v>24271</v>
      </c>
      <c r="E285" t="s">
        <v>24272</v>
      </c>
      <c r="F285" t="s">
        <v>24273</v>
      </c>
      <c r="G285">
        <v>12</v>
      </c>
      <c r="H285">
        <v>5</v>
      </c>
      <c r="I285">
        <v>0.9</v>
      </c>
      <c r="J285">
        <v>30</v>
      </c>
      <c r="K285" t="str" cm="1">
        <f t="array" ref="K2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5" t="str">
        <f>IFERROR(LEFT(TRIM(Lose[[#This Row],[Google Koordinaten]]),9),"")</f>
        <v>51.961808</v>
      </c>
      <c r="M285" t="str">
        <f>IFERROR(MID(TRIM(Lose[[#This Row],[Google Koordinaten]]),
FIND(",",TRIM(Lose[[#This Row],[Google Koordinaten]])) + 2,9),"")</f>
        <v>7.6279668</v>
      </c>
      <c r="N285">
        <f>IF(Lose[[#This Row],[Bahn-hofs-zeit]]=0,0,MROUND(30*25^((Lose[[#This Row],[Bahn-hofs-zeit]]-_xlfn.MINIFS(Lose[Bahn-hofs-zeit],Lose[Bahn-hofs-zeit],"&gt;0"))/(MAX(Lose[Bahn-hofs-zeit])-_xlfn.MINIFS(Lose[Bahn-hofs-zeit],Lose[Bahn-hofs-zeit],"&gt;0"))),5))</f>
        <v>0</v>
      </c>
      <c r="O285">
        <f>IF(Lose[[#This Row],[Gehzeit (min)]]="",0,CEILING(3*(Lose[[#This Row],[Gehzeit (min)]]+Lose[[#This Row],[Aufgaben-zeit (min)]]),5))</f>
        <v>55</v>
      </c>
      <c r="Q285">
        <f>IFERROR(ROUND(Lose[[#This Row],[Distanz (km)]]*60/Lose[[#This Row],[Gehzeit (min)]],1),"")</f>
        <v>4.5</v>
      </c>
      <c r="R2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285">
        <f>IFERROR(Lose[[#This Row],[Distanz (km)]]-Lose[[#This Row],[Check Distanz]],"")</f>
        <v>0.10999999999999999</v>
      </c>
      <c r="T285" s="60">
        <f>IFERROR(Lose[[#This Row],[Check Umweg]]/Lose[[#This Row],[Check Distanz]],"")</f>
        <v>0.13924050632911389</v>
      </c>
      <c r="U285">
        <f ca="1">IF(RIGHT(Lose[[#This Row],[LosID]],1)="b",_xlfn.XLOOKUP(REPLACE(Lose[[#This Row],[LosID]],LEN(Lose[[#This Row],[LosID]]),1,"a"),Lose[LosID],Lose[Zufallszahl],"",0),RAND())</f>
        <v>0.22167501886358043</v>
      </c>
      <c r="V285" t="b" cm="1">
        <f t="array" aca="1" ref="V285" ca="1">Lose[[#This Row],[Zufallszahl]]&gt;=IFERROR(LARGE((LEFT(Lose[LosID],FIND("-",Lose[LosID])-1)=LEFT(Lose[[#This Row],[LosID]],FIND("-",Lose[[#This Row],[LosID]])-1))*Lose[Zufallszahl],_xlfn.XLOOKUP(LEFT(Lose[[#This Row],[LosID]],FIND("-",Lose[[#This Row],[LosID]])-1),Ziehungsanzahl[Kürzel],Ziehungsanzahl[Kontingent],FALSE,0)),9999)</f>
        <v>0</v>
      </c>
      <c r="W285" t="s">
        <v>23498</v>
      </c>
    </row>
    <row r="286" spans="1:23" ht="30" hidden="1">
      <c r="A2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6" t="s">
        <v>4</v>
      </c>
      <c r="C286" t="s">
        <v>1346</v>
      </c>
      <c r="D286" s="1" t="s">
        <v>24274</v>
      </c>
      <c r="E286" t="s">
        <v>24275</v>
      </c>
      <c r="F286" t="s">
        <v>24276</v>
      </c>
      <c r="G286">
        <v>10</v>
      </c>
      <c r="H286">
        <v>5</v>
      </c>
      <c r="I286" t="s">
        <v>24277</v>
      </c>
      <c r="K286" t="str" cm="1">
        <f t="array" ref="K2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6" t="str">
        <f>IFERROR(LEFT(TRIM(Lose[[#This Row],[Google Koordinaten]]),9),"")</f>
        <v>51.956476</v>
      </c>
      <c r="M286" t="str">
        <f>IFERROR(MID(TRIM(Lose[[#This Row],[Google Koordinaten]]),
FIND(",",TRIM(Lose[[#This Row],[Google Koordinaten]])) + 2,9),"")</f>
        <v>7.629967</v>
      </c>
      <c r="N286">
        <f>IF(Lose[[#This Row],[Bahn-hofs-zeit]]=0,0,MROUND(30*25^((Lose[[#This Row],[Bahn-hofs-zeit]]-_xlfn.MINIFS(Lose[Bahn-hofs-zeit],Lose[Bahn-hofs-zeit],"&gt;0"))/(MAX(Lose[Bahn-hofs-zeit])-_xlfn.MINIFS(Lose[Bahn-hofs-zeit],Lose[Bahn-hofs-zeit],"&gt;0"))),5))</f>
        <v>0</v>
      </c>
      <c r="O286">
        <f>IF(Lose[[#This Row],[Gehzeit (min)]]="",0,CEILING(3*(Lose[[#This Row],[Gehzeit (min)]]+Lose[[#This Row],[Aufgaben-zeit (min)]]),5))</f>
        <v>45</v>
      </c>
      <c r="Q286">
        <f>IFERROR(ROUND(Lose[[#This Row],[Distanz (km)]]*60/Lose[[#This Row],[Gehzeit (min)]],1),"")</f>
        <v>2.4</v>
      </c>
      <c r="R2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0.39</v>
      </c>
      <c r="S286">
        <f>IFERROR(Lose[[#This Row],[Distanz (km)]]-Lose[[#This Row],[Check Distanz]],"")</f>
        <v>1.0000000000000009E-2</v>
      </c>
      <c r="T286" s="60">
        <f>IFERROR(Lose[[#This Row],[Check Umweg]]/Lose[[#This Row],[Check Distanz]],"")</f>
        <v>2.5641025641025664E-2</v>
      </c>
      <c r="U286">
        <f ca="1">IF(RIGHT(Lose[[#This Row],[LosID]],1)="b",_xlfn.XLOOKUP(REPLACE(Lose[[#This Row],[LosID]],LEN(Lose[[#This Row],[LosID]]),1,"a"),Lose[LosID],Lose[Zufallszahl],"",0),RAND())</f>
        <v>8.7388930158152189E-2</v>
      </c>
      <c r="V286" t="b" cm="1">
        <f t="array" aca="1" ref="V286" ca="1">Lose[[#This Row],[Zufallszahl]]&gt;=IFERROR(LARGE((LEFT(Lose[LosID],FIND("-",Lose[LosID])-1)=LEFT(Lose[[#This Row],[LosID]],FIND("-",Lose[[#This Row],[LosID]])-1))*Lose[Zufallszahl],_xlfn.XLOOKUP(LEFT(Lose[[#This Row],[LosID]],FIND("-",Lose[[#This Row],[LosID]])-1),Ziehungsanzahl[Kürzel],Ziehungsanzahl[Kontingent],FALSE,0)),9999)</f>
        <v>0</v>
      </c>
      <c r="W286" t="s">
        <v>23498</v>
      </c>
    </row>
    <row r="287" spans="1:23" ht="45" hidden="1">
      <c r="A2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7" t="s">
        <v>23352</v>
      </c>
      <c r="C287" t="s">
        <v>1347</v>
      </c>
      <c r="D287" s="1" t="s">
        <v>24278</v>
      </c>
      <c r="E287" t="s">
        <v>24279</v>
      </c>
      <c r="F287" t="s">
        <v>24280</v>
      </c>
      <c r="G287">
        <v>20</v>
      </c>
      <c r="H287">
        <v>5</v>
      </c>
      <c r="I287">
        <v>1.4</v>
      </c>
      <c r="K287" t="str" cm="1">
        <f t="array" ref="K2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7" t="str">
        <f>IFERROR(LEFT(TRIM(Lose[[#This Row],[Google Koordinaten]]),9),"")</f>
        <v>51.967630</v>
      </c>
      <c r="M287" t="str">
        <f>IFERROR(MID(TRIM(Lose[[#This Row],[Google Koordinaten]]),
FIND(",",TRIM(Lose[[#This Row],[Google Koordinaten]])) + 2,9),"")</f>
        <v>7.6295572</v>
      </c>
      <c r="N287">
        <f>IF(Lose[[#This Row],[Bahn-hofs-zeit]]=0,0,MROUND(30*25^((Lose[[#This Row],[Bahn-hofs-zeit]]-_xlfn.MINIFS(Lose[Bahn-hofs-zeit],Lose[Bahn-hofs-zeit],"&gt;0"))/(MAX(Lose[Bahn-hofs-zeit])-_xlfn.MINIFS(Lose[Bahn-hofs-zeit],Lose[Bahn-hofs-zeit],"&gt;0"))),5))</f>
        <v>0</v>
      </c>
      <c r="O287">
        <f>IF(Lose[[#This Row],[Gehzeit (min)]]="",0,CEILING(3*(Lose[[#This Row],[Gehzeit (min)]]+Lose[[#This Row],[Aufgaben-zeit (min)]]),5))</f>
        <v>75</v>
      </c>
      <c r="Q287">
        <f>IFERROR(ROUND(Lose[[#This Row],[Distanz (km)]]*60/Lose[[#This Row],[Gehzeit (min)]],1),"")</f>
        <v>4.2</v>
      </c>
      <c r="R2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287">
        <f>IFERROR(Lose[[#This Row],[Distanz (km)]]-Lose[[#This Row],[Check Distanz]],"")</f>
        <v>9.9999999999999867E-2</v>
      </c>
      <c r="T287" s="60">
        <f>IFERROR(Lose[[#This Row],[Check Umweg]]/Lose[[#This Row],[Check Distanz]],"")</f>
        <v>7.6923076923076816E-2</v>
      </c>
      <c r="U287">
        <f ca="1">IF(RIGHT(Lose[[#This Row],[LosID]],1)="b",_xlfn.XLOOKUP(REPLACE(Lose[[#This Row],[LosID]],LEN(Lose[[#This Row],[LosID]]),1,"a"),Lose[LosID],Lose[Zufallszahl],"",0),RAND())</f>
        <v>0.25815178046329368</v>
      </c>
      <c r="V287" t="b" cm="1">
        <f t="array" aca="1" ref="V287" ca="1">Lose[[#This Row],[Zufallszahl]]&gt;=IFERROR(LARGE((LEFT(Lose[LosID],FIND("-",Lose[LosID])-1)=LEFT(Lose[[#This Row],[LosID]],FIND("-",Lose[[#This Row],[LosID]])-1))*Lose[Zufallszahl],_xlfn.XLOOKUP(LEFT(Lose[[#This Row],[LosID]],FIND("-",Lose[[#This Row],[LosID]])-1),Ziehungsanzahl[Kürzel],Ziehungsanzahl[Kontingent],FALSE,0)),9999)</f>
        <v>0</v>
      </c>
      <c r="W287" t="s">
        <v>23498</v>
      </c>
    </row>
    <row r="288" spans="1:23" ht="75" hidden="1">
      <c r="A2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8" t="s">
        <v>23380</v>
      </c>
      <c r="C288" t="s">
        <v>1348</v>
      </c>
      <c r="D288" s="1" t="s">
        <v>24281</v>
      </c>
      <c r="E288" t="s">
        <v>24282</v>
      </c>
      <c r="F288" t="s">
        <v>24283</v>
      </c>
      <c r="G288">
        <v>14</v>
      </c>
      <c r="H288">
        <v>2</v>
      </c>
      <c r="I288">
        <v>1</v>
      </c>
      <c r="K288" t="str" cm="1">
        <f t="array" ref="K2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8" t="str">
        <f>IFERROR(LEFT(TRIM(Lose[[#This Row],[Google Koordinaten]]),9),"")</f>
        <v>51.960249</v>
      </c>
      <c r="M288" t="str">
        <f>IFERROR(MID(TRIM(Lose[[#This Row],[Google Koordinaten]]),
FIND(",",TRIM(Lose[[#This Row],[Google Koordinaten]])) + 2,9),"")</f>
        <v>7.6264514</v>
      </c>
      <c r="N288">
        <f>IF(Lose[[#This Row],[Bahn-hofs-zeit]]=0,0,MROUND(30*25^((Lose[[#This Row],[Bahn-hofs-zeit]]-_xlfn.MINIFS(Lose[Bahn-hofs-zeit],Lose[Bahn-hofs-zeit],"&gt;0"))/(MAX(Lose[Bahn-hofs-zeit])-_xlfn.MINIFS(Lose[Bahn-hofs-zeit],Lose[Bahn-hofs-zeit],"&gt;0"))),5))</f>
        <v>0</v>
      </c>
      <c r="O288">
        <f>IF(Lose[[#This Row],[Gehzeit (min)]]="",0,CEILING(3*(Lose[[#This Row],[Gehzeit (min)]]+Lose[[#This Row],[Aufgaben-zeit (min)]]),5))</f>
        <v>50</v>
      </c>
      <c r="Q288">
        <f>IFERROR(ROUND(Lose[[#This Row],[Distanz (km)]]*60/Lose[[#This Row],[Gehzeit (min)]],1),"")</f>
        <v>4.3</v>
      </c>
      <c r="R2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0.76</v>
      </c>
      <c r="S288">
        <f>IFERROR(Lose[[#This Row],[Distanz (km)]]-Lose[[#This Row],[Check Distanz]],"")</f>
        <v>0.24</v>
      </c>
      <c r="T288" s="60">
        <f>IFERROR(Lose[[#This Row],[Check Umweg]]/Lose[[#This Row],[Check Distanz]],"")</f>
        <v>0.31578947368421051</v>
      </c>
      <c r="U288">
        <f ca="1">IF(RIGHT(Lose[[#This Row],[LosID]],1)="b",_xlfn.XLOOKUP(REPLACE(Lose[[#This Row],[LosID]],LEN(Lose[[#This Row],[LosID]]),1,"a"),Lose[LosID],Lose[Zufallszahl],"",0),RAND())</f>
        <v>0.19883710812903699</v>
      </c>
      <c r="V288" t="b" cm="1">
        <f t="array" aca="1" ref="V288" ca="1">Lose[[#This Row],[Zufallszahl]]&gt;=IFERROR(LARGE((LEFT(Lose[LosID],FIND("-",Lose[LosID])-1)=LEFT(Lose[[#This Row],[LosID]],FIND("-",Lose[[#This Row],[LosID]])-1))*Lose[Zufallszahl],_xlfn.XLOOKUP(LEFT(Lose[[#This Row],[LosID]],FIND("-",Lose[[#This Row],[LosID]])-1),Ziehungsanzahl[Kürzel],Ziehungsanzahl[Kontingent],FALSE,0)),9999)</f>
        <v>0</v>
      </c>
      <c r="W288" t="s">
        <v>23498</v>
      </c>
    </row>
    <row r="289" spans="1:23" ht="90">
      <c r="A2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9" t="s">
        <v>23385</v>
      </c>
      <c r="C289" t="s">
        <v>24284</v>
      </c>
      <c r="D289" s="1" t="s">
        <v>24285</v>
      </c>
      <c r="E289" t="s">
        <v>24286</v>
      </c>
      <c r="F289" t="s">
        <v>24287</v>
      </c>
      <c r="G289">
        <v>23</v>
      </c>
      <c r="H289">
        <v>10</v>
      </c>
      <c r="I289">
        <v>1.6</v>
      </c>
      <c r="J289">
        <v>20</v>
      </c>
      <c r="K289" t="str" cm="1">
        <f t="array" ref="K2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9" t="str">
        <f>IFERROR(LEFT(TRIM(Lose[[#This Row],[Google Koordinaten]]),9),"")</f>
        <v>51.967280</v>
      </c>
      <c r="M289" t="str">
        <f>IFERROR(MID(TRIM(Lose[[#This Row],[Google Koordinaten]]),
FIND(",",TRIM(Lose[[#This Row],[Google Koordinaten]])) + 2,9),"")</f>
        <v>7.6222581</v>
      </c>
      <c r="N289">
        <f>IF(Lose[[#This Row],[Bahn-hofs-zeit]]=0,0,MROUND(30*25^((Lose[[#This Row],[Bahn-hofs-zeit]]-_xlfn.MINIFS(Lose[Bahn-hofs-zeit],Lose[Bahn-hofs-zeit],"&gt;0"))/(MAX(Lose[Bahn-hofs-zeit])-_xlfn.MINIFS(Lose[Bahn-hofs-zeit],Lose[Bahn-hofs-zeit],"&gt;0"))),5))</f>
        <v>0</v>
      </c>
      <c r="O289">
        <f>IF(Lose[[#This Row],[Gehzeit (min)]]="",0,CEILING(3*(Lose[[#This Row],[Gehzeit (min)]]+Lose[[#This Row],[Aufgaben-zeit (min)]]),5))</f>
        <v>100</v>
      </c>
      <c r="Q289">
        <f>IFERROR(ROUND(Lose[[#This Row],[Distanz (km)]]*60/Lose[[#This Row],[Gehzeit (min)]],1),"")</f>
        <v>4.2</v>
      </c>
      <c r="R2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1.51</v>
      </c>
      <c r="S289">
        <f>IFERROR(Lose[[#This Row],[Distanz (km)]]-Lose[[#This Row],[Check Distanz]],"")</f>
        <v>9.000000000000008E-2</v>
      </c>
      <c r="T289" s="60">
        <f>IFERROR(Lose[[#This Row],[Check Umweg]]/Lose[[#This Row],[Check Distanz]],"")</f>
        <v>5.9602649006622571E-2</v>
      </c>
      <c r="U289">
        <f ca="1">IF(RIGHT(Lose[[#This Row],[LosID]],1)="b",_xlfn.XLOOKUP(REPLACE(Lose[[#This Row],[LosID]],LEN(Lose[[#This Row],[LosID]]),1,"a"),Lose[LosID],Lose[Zufallszahl],"",0),RAND())</f>
        <v>0.35835805479728533</v>
      </c>
      <c r="V289" t="b" cm="1">
        <f t="array" aca="1" ref="V289" ca="1">Lose[[#This Row],[Zufallszahl]]&gt;=IFERROR(LARGE((LEFT(Lose[LosID],FIND("-",Lose[LosID])-1)=LEFT(Lose[[#This Row],[LosID]],FIND("-",Lose[[#This Row],[LosID]])-1))*Lose[Zufallszahl],_xlfn.XLOOKUP(LEFT(Lose[[#This Row],[LosID]],FIND("-",Lose[[#This Row],[LosID]])-1),Ziehungsanzahl[Kürzel],Ziehungsanzahl[Kontingent],FALSE,0)),9999)</f>
        <v>0</v>
      </c>
      <c r="W289" t="s">
        <v>23498</v>
      </c>
    </row>
    <row r="290" spans="1:23" ht="30" hidden="1">
      <c r="A2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0" t="s">
        <v>23390</v>
      </c>
      <c r="C290" t="s">
        <v>24288</v>
      </c>
      <c r="D290" s="1" t="s">
        <v>24289</v>
      </c>
      <c r="E290" t="s">
        <v>24290</v>
      </c>
      <c r="F290" t="s">
        <v>24291</v>
      </c>
      <c r="G290">
        <v>14</v>
      </c>
      <c r="H290">
        <v>2</v>
      </c>
      <c r="I290">
        <v>1</v>
      </c>
      <c r="K290" t="str" cm="1">
        <f t="array" ref="K2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0" t="str">
        <f>IFERROR(LEFT(TRIM(Lose[[#This Row],[Google Koordinaten]]),9),"")</f>
        <v>51.961629</v>
      </c>
      <c r="M290" t="str">
        <f>IFERROR(MID(TRIM(Lose[[#This Row],[Google Koordinaten]]),
FIND(",",TRIM(Lose[[#This Row],[Google Koordinaten]])) + 2,9),"")</f>
        <v>7.6241666</v>
      </c>
      <c r="N290">
        <f>IF(Lose[[#This Row],[Bahn-hofs-zeit]]=0,0,MROUND(30*25^((Lose[[#This Row],[Bahn-hofs-zeit]]-_xlfn.MINIFS(Lose[Bahn-hofs-zeit],Lose[Bahn-hofs-zeit],"&gt;0"))/(MAX(Lose[Bahn-hofs-zeit])-_xlfn.MINIFS(Lose[Bahn-hofs-zeit],Lose[Bahn-hofs-zeit],"&gt;0"))),5))</f>
        <v>0</v>
      </c>
      <c r="O290">
        <f>IF(Lose[[#This Row],[Gehzeit (min)]]="",0,CEILING(3*(Lose[[#This Row],[Gehzeit (min)]]+Lose[[#This Row],[Aufgaben-zeit (min)]]),5))</f>
        <v>50</v>
      </c>
      <c r="Q290">
        <f>IFERROR(ROUND(Lose[[#This Row],[Distanz (km)]]*60/Lose[[#This Row],[Gehzeit (min)]],1),"")</f>
        <v>4.3</v>
      </c>
      <c r="R2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290">
        <f>IFERROR(Lose[[#This Row],[Distanz (km)]]-Lose[[#This Row],[Check Distanz]],"")</f>
        <v>3.0000000000000027E-2</v>
      </c>
      <c r="T290" s="60">
        <f>IFERROR(Lose[[#This Row],[Check Umweg]]/Lose[[#This Row],[Check Distanz]],"")</f>
        <v>3.0927835051546421E-2</v>
      </c>
      <c r="U290">
        <f ca="1">IF(RIGHT(Lose[[#This Row],[LosID]],1)="b",_xlfn.XLOOKUP(REPLACE(Lose[[#This Row],[LosID]],LEN(Lose[[#This Row],[LosID]]),1,"a"),Lose[LosID],Lose[Zufallszahl],"",0),RAND())</f>
        <v>0.63313799145771621</v>
      </c>
      <c r="V290" t="b" cm="1">
        <f t="array" aca="1" ref="V290" ca="1">Lose[[#This Row],[Zufallszahl]]&gt;=IFERROR(LARGE((LEFT(Lose[LosID],FIND("-",Lose[LosID])-1)=LEFT(Lose[[#This Row],[LosID]],FIND("-",Lose[[#This Row],[LosID]])-1))*Lose[Zufallszahl],_xlfn.XLOOKUP(LEFT(Lose[[#This Row],[LosID]],FIND("-",Lose[[#This Row],[LosID]])-1),Ziehungsanzahl[Kürzel],Ziehungsanzahl[Kontingent],FALSE,0)),9999)</f>
        <v>0</v>
      </c>
      <c r="W290" t="s">
        <v>23498</v>
      </c>
    </row>
    <row r="291" spans="1:23" ht="45" hidden="1">
      <c r="A2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1" t="s">
        <v>23394</v>
      </c>
      <c r="C291" t="s">
        <v>24292</v>
      </c>
      <c r="D291" s="1" t="s">
        <v>24293</v>
      </c>
      <c r="E291" t="s">
        <v>24294</v>
      </c>
      <c r="F291" t="s">
        <v>24295</v>
      </c>
      <c r="G291">
        <v>29</v>
      </c>
      <c r="H291">
        <v>1</v>
      </c>
      <c r="I291">
        <v>2.2000000000000002</v>
      </c>
      <c r="K291" t="str" cm="1">
        <f t="array" ref="K2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1" t="str">
        <f>IFERROR(LEFT(TRIM(Lose[[#This Row],[Google Koordinaten]]),9),"")</f>
        <v>51.942981</v>
      </c>
      <c r="M291" t="str">
        <f>IFERROR(MID(TRIM(Lose[[#This Row],[Google Koordinaten]]),
FIND(",",TRIM(Lose[[#This Row],[Google Koordinaten]])) + 2,9),"")</f>
        <v>7.6486686</v>
      </c>
      <c r="N291">
        <f>IF(Lose[[#This Row],[Bahn-hofs-zeit]]=0,0,MROUND(30*25^((Lose[[#This Row],[Bahn-hofs-zeit]]-_xlfn.MINIFS(Lose[Bahn-hofs-zeit],Lose[Bahn-hofs-zeit],"&gt;0"))/(MAX(Lose[Bahn-hofs-zeit])-_xlfn.MINIFS(Lose[Bahn-hofs-zeit],Lose[Bahn-hofs-zeit],"&gt;0"))),5))</f>
        <v>0</v>
      </c>
      <c r="O291">
        <f>IF(Lose[[#This Row],[Gehzeit (min)]]="",0,CEILING(3*(Lose[[#This Row],[Gehzeit (min)]]+Lose[[#This Row],[Aufgaben-zeit (min)]]),5))</f>
        <v>90</v>
      </c>
      <c r="Q291">
        <f>IFERROR(ROUND(Lose[[#This Row],[Distanz (km)]]*60/Lose[[#This Row],[Gehzeit (min)]],1),"")</f>
        <v>4.5999999999999996</v>
      </c>
      <c r="R2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1.75</v>
      </c>
      <c r="S291">
        <f>IFERROR(Lose[[#This Row],[Distanz (km)]]-Lose[[#This Row],[Check Distanz]],"")</f>
        <v>0.45000000000000018</v>
      </c>
      <c r="T291" s="60">
        <f>IFERROR(Lose[[#This Row],[Check Umweg]]/Lose[[#This Row],[Check Distanz]],"")</f>
        <v>0.25714285714285723</v>
      </c>
      <c r="U291">
        <f ca="1">IF(RIGHT(Lose[[#This Row],[LosID]],1)="b",_xlfn.XLOOKUP(REPLACE(Lose[[#This Row],[LosID]],LEN(Lose[[#This Row],[LosID]]),1,"a"),Lose[LosID],Lose[Zufallszahl],"",0),RAND())</f>
        <v>0.38301703730335479</v>
      </c>
      <c r="V291" t="b" cm="1">
        <f t="array" aca="1" ref="V291" ca="1">Lose[[#This Row],[Zufallszahl]]&gt;=IFERROR(LARGE((LEFT(Lose[LosID],FIND("-",Lose[LosID])-1)=LEFT(Lose[[#This Row],[LosID]],FIND("-",Lose[[#This Row],[LosID]])-1))*Lose[Zufallszahl],_xlfn.XLOOKUP(LEFT(Lose[[#This Row],[LosID]],FIND("-",Lose[[#This Row],[LosID]])-1),Ziehungsanzahl[Kürzel],Ziehungsanzahl[Kontingent],FALSE,0)),9999)</f>
        <v>0</v>
      </c>
      <c r="W291" t="s">
        <v>23498</v>
      </c>
    </row>
    <row r="292" spans="1:23" ht="90" hidden="1">
      <c r="A2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2" t="s">
        <v>23403</v>
      </c>
      <c r="C292" s="73" t="s">
        <v>1349</v>
      </c>
      <c r="D292" s="1" t="s">
        <v>24296</v>
      </c>
      <c r="E292" t="s">
        <v>24297</v>
      </c>
      <c r="F292" t="s">
        <v>24298</v>
      </c>
      <c r="G292">
        <v>12</v>
      </c>
      <c r="H292">
        <v>10</v>
      </c>
      <c r="I292">
        <v>0.9</v>
      </c>
      <c r="J292">
        <v>5</v>
      </c>
      <c r="K292" t="str" cm="1">
        <f t="array" ref="K2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Telgte</v>
      </c>
      <c r="L292" t="str">
        <f>IFERROR(LEFT(TRIM(Lose[[#This Row],[Google Koordinaten]]),9),"")</f>
        <v>51.985526</v>
      </c>
      <c r="M292" t="str">
        <f>IFERROR(MID(TRIM(Lose[[#This Row],[Google Koordinaten]]),
FIND(",",TRIM(Lose[[#This Row],[Google Koordinaten]])) + 2,9),"")</f>
        <v>7.7903361</v>
      </c>
      <c r="N292">
        <f>IF(Lose[[#This Row],[Bahn-hofs-zeit]]=0,0,MROUND(30*25^((Lose[[#This Row],[Bahn-hofs-zeit]]-_xlfn.MINIFS(Lose[Bahn-hofs-zeit],Lose[Bahn-hofs-zeit],"&gt;0"))/(MAX(Lose[Bahn-hofs-zeit])-_xlfn.MINIFS(Lose[Bahn-hofs-zeit],Lose[Bahn-hofs-zeit],"&gt;0"))),5))</f>
        <v>50</v>
      </c>
      <c r="O292">
        <f>IF(Lose[[#This Row],[Gehzeit (min)]]="",0,CEILING(3*(Lose[[#This Row],[Gehzeit (min)]]+Lose[[#This Row],[Aufgaben-zeit (min)]]),5))</f>
        <v>70</v>
      </c>
      <c r="P292">
        <v>5</v>
      </c>
      <c r="Q292">
        <f>IFERROR(ROUND(Lose[[#This Row],[Distanz (km)]]*60/Lose[[#This Row],[Gehzeit (min)]],1),"")</f>
        <v>4.5</v>
      </c>
      <c r="R2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0.81</v>
      </c>
      <c r="S292">
        <f>IFERROR(Lose[[#This Row],[Distanz (km)]]-Lose[[#This Row],[Check Distanz]],"")</f>
        <v>8.9999999999999969E-2</v>
      </c>
      <c r="T292" s="60">
        <f>IFERROR(Lose[[#This Row],[Check Umweg]]/Lose[[#This Row],[Check Distanz]],"")</f>
        <v>0.11111111111111106</v>
      </c>
      <c r="U292">
        <f ca="1">IF(RIGHT(Lose[[#This Row],[LosID]],1)="b",_xlfn.XLOOKUP(REPLACE(Lose[[#This Row],[LosID]],LEN(Lose[[#This Row],[LosID]]),1,"a"),Lose[LosID],Lose[Zufallszahl],"",0),RAND())</f>
        <v>0.85243052666725627</v>
      </c>
      <c r="V292" t="b" cm="1">
        <f t="array" aca="1" ref="V292" ca="1">Lose[[#This Row],[Zufallszahl]]&gt;=IFERROR(LARGE((LEFT(Lose[LosID],FIND("-",Lose[LosID])-1)=LEFT(Lose[[#This Row],[LosID]],FIND("-",Lose[[#This Row],[LosID]])-1))*Lose[Zufallszahl],_xlfn.XLOOKUP(LEFT(Lose[[#This Row],[LosID]],FIND("-",Lose[[#This Row],[LosID]])-1),Ziehungsanzahl[Kürzel],Ziehungsanzahl[Kontingent],FALSE,0)),9999)</f>
        <v>0</v>
      </c>
    </row>
    <row r="293" spans="1:23" ht="45">
      <c r="A2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3" t="s">
        <v>23385</v>
      </c>
      <c r="C293" t="s">
        <v>1343</v>
      </c>
      <c r="D293" s="1" t="s">
        <v>24299</v>
      </c>
      <c r="E293" t="s">
        <v>24300</v>
      </c>
      <c r="F293" t="s">
        <v>24301</v>
      </c>
      <c r="G293">
        <v>26</v>
      </c>
      <c r="H293">
        <v>5</v>
      </c>
      <c r="I293">
        <v>1.9</v>
      </c>
      <c r="K293" t="str" cm="1">
        <f t="array" ref="K2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3" t="str">
        <f>IFERROR(LEFT(TRIM(Lose[[#This Row],[Google Koordinaten]]),9),"")</f>
        <v>51.967925</v>
      </c>
      <c r="M293" t="str">
        <f>IFERROR(MID(TRIM(Lose[[#This Row],[Google Koordinaten]]),
FIND(",",TRIM(Lose[[#This Row],[Google Koordinaten]])) + 2,9),"")</f>
        <v>7.6168832</v>
      </c>
      <c r="N293">
        <f>IF(Lose[[#This Row],[Bahn-hofs-zeit]]=0,0,MROUND(30*25^((Lose[[#This Row],[Bahn-hofs-zeit]]-_xlfn.MINIFS(Lose[Bahn-hofs-zeit],Lose[Bahn-hofs-zeit],"&gt;0"))/(MAX(Lose[Bahn-hofs-zeit])-_xlfn.MINIFS(Lose[Bahn-hofs-zeit],Lose[Bahn-hofs-zeit],"&gt;0"))),5))</f>
        <v>0</v>
      </c>
      <c r="O293">
        <f>IF(Lose[[#This Row],[Gehzeit (min)]]="",0,CEILING(3*(Lose[[#This Row],[Gehzeit (min)]]+Lose[[#This Row],[Aufgaben-zeit (min)]]),5))</f>
        <v>95</v>
      </c>
      <c r="Q293">
        <f>IFERROR(ROUND(Lose[[#This Row],[Distanz (km)]]*60/Lose[[#This Row],[Gehzeit (min)]],1),"")</f>
        <v>4.4000000000000004</v>
      </c>
      <c r="R2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1.81</v>
      </c>
      <c r="S293">
        <f>IFERROR(Lose[[#This Row],[Distanz (km)]]-Lose[[#This Row],[Check Distanz]],"")</f>
        <v>8.9999999999999858E-2</v>
      </c>
      <c r="T293" s="60">
        <f>IFERROR(Lose[[#This Row],[Check Umweg]]/Lose[[#This Row],[Check Distanz]],"")</f>
        <v>4.972375690607727E-2</v>
      </c>
      <c r="U293">
        <f ca="1">IF(RIGHT(Lose[[#This Row],[LosID]],1)="b",_xlfn.XLOOKUP(REPLACE(Lose[[#This Row],[LosID]],LEN(Lose[[#This Row],[LosID]]),1,"a"),Lose[LosID],Lose[Zufallszahl],"",0),RAND())</f>
        <v>0.87756788887931048</v>
      </c>
      <c r="V293" t="b" cm="1">
        <f t="array" aca="1" ref="V293" ca="1">Lose[[#This Row],[Zufallszahl]]&gt;=IFERROR(LARGE((LEFT(Lose[LosID],FIND("-",Lose[LosID])-1)=LEFT(Lose[[#This Row],[LosID]],FIND("-",Lose[[#This Row],[LosID]])-1))*Lose[Zufallszahl],_xlfn.XLOOKUP(LEFT(Lose[[#This Row],[LosID]],FIND("-",Lose[[#This Row],[LosID]])-1),Ziehungsanzahl[Kürzel],Ziehungsanzahl[Kontingent],FALSE,0)),9999)</f>
        <v>0</v>
      </c>
      <c r="W293" t="s">
        <v>23498</v>
      </c>
    </row>
    <row r="294" spans="1:23" ht="60" hidden="1">
      <c r="A2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4" t="s">
        <v>23408</v>
      </c>
      <c r="C294" t="s">
        <v>24302</v>
      </c>
      <c r="D294" s="1" t="s">
        <v>24303</v>
      </c>
      <c r="E294" t="s">
        <v>24304</v>
      </c>
      <c r="F294" t="s">
        <v>24305</v>
      </c>
      <c r="G294">
        <v>15</v>
      </c>
      <c r="H294">
        <v>5</v>
      </c>
      <c r="I294">
        <v>1.1000000000000001</v>
      </c>
      <c r="K294" t="str" cm="1">
        <f t="array" ref="K2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Münster-Mecklenbeck</v>
      </c>
      <c r="L294" t="str">
        <f>IFERROR(LEFT(TRIM(Lose[[#This Row],[Google Koordinaten]]),9),"")</f>
        <v>51.920124</v>
      </c>
      <c r="M294" t="str">
        <f>IFERROR(MID(TRIM(Lose[[#This Row],[Google Koordinaten]]),
FIND(",",TRIM(Lose[[#This Row],[Google Koordinaten]])) + 2,9),"")</f>
        <v>7.5738475</v>
      </c>
      <c r="N294">
        <f>IF(Lose[[#This Row],[Bahn-hofs-zeit]]=0,0,MROUND(30*25^((Lose[[#This Row],[Bahn-hofs-zeit]]-_xlfn.MINIFS(Lose[Bahn-hofs-zeit],Lose[Bahn-hofs-zeit],"&gt;0"))/(MAX(Lose[Bahn-hofs-zeit])-_xlfn.MINIFS(Lose[Bahn-hofs-zeit],Lose[Bahn-hofs-zeit],"&gt;0"))),5))</f>
        <v>40</v>
      </c>
      <c r="O294">
        <f>IF(Lose[[#This Row],[Gehzeit (min)]]="",0,CEILING(3*(Lose[[#This Row],[Gehzeit (min)]]+Lose[[#This Row],[Aufgaben-zeit (min)]]),5))</f>
        <v>60</v>
      </c>
      <c r="P294">
        <v>4.25</v>
      </c>
      <c r="Q294">
        <f>IFERROR(ROUND(Lose[[#This Row],[Distanz (km)]]*60/Lose[[#This Row],[Gehzeit (min)]],1),"")</f>
        <v>4.4000000000000004</v>
      </c>
      <c r="R2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294">
        <f>IFERROR(Lose[[#This Row],[Distanz (km)]]-Lose[[#This Row],[Check Distanz]],"")</f>
        <v>0.52000000000000013</v>
      </c>
      <c r="T294" s="60">
        <f>IFERROR(Lose[[#This Row],[Check Umweg]]/Lose[[#This Row],[Check Distanz]],"")</f>
        <v>0.89655172413793127</v>
      </c>
      <c r="U294">
        <f ca="1">IF(RIGHT(Lose[[#This Row],[LosID]],1)="b",_xlfn.XLOOKUP(REPLACE(Lose[[#This Row],[LosID]],LEN(Lose[[#This Row],[LosID]]),1,"a"),Lose[LosID],Lose[Zufallszahl],"",0),RAND())</f>
        <v>0.43343312772401632</v>
      </c>
      <c r="V294" t="b" cm="1">
        <f t="array" aca="1" ref="V294" ca="1">Lose[[#This Row],[Zufallszahl]]&gt;=IFERROR(LARGE((LEFT(Lose[LosID],FIND("-",Lose[LosID])-1)=LEFT(Lose[[#This Row],[LosID]],FIND("-",Lose[[#This Row],[LosID]])-1))*Lose[Zufallszahl],_xlfn.XLOOKUP(LEFT(Lose[[#This Row],[LosID]],FIND("-",Lose[[#This Row],[LosID]])-1),Ziehungsanzahl[Kürzel],Ziehungsanzahl[Kontingent],FALSE,0)),9999)</f>
        <v>0</v>
      </c>
    </row>
    <row r="295" spans="1:23" ht="120" hidden="1">
      <c r="A2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5" t="s">
        <v>23412</v>
      </c>
      <c r="C295" t="s">
        <v>24306</v>
      </c>
      <c r="D295" s="1" t="s">
        <v>24307</v>
      </c>
      <c r="E295" t="s">
        <v>24308</v>
      </c>
      <c r="F295" s="82" t="s">
        <v>24309</v>
      </c>
      <c r="G295">
        <v>10</v>
      </c>
      <c r="H295">
        <v>10</v>
      </c>
      <c r="I295">
        <v>0.7</v>
      </c>
      <c r="J295">
        <v>20</v>
      </c>
      <c r="K295" t="str" cm="1">
        <f t="array" ref="K2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5" t="str">
        <f>IFERROR(LEFT(TRIM(Lose[[#This Row],[Google Koordinaten]]),9),"")</f>
        <v>51.955791</v>
      </c>
      <c r="M295" t="str">
        <f>IFERROR(MID(TRIM(Lose[[#This Row],[Google Koordinaten]]),
FIND(",",TRIM(Lose[[#This Row],[Google Koordinaten]])) + 2,9),"")</f>
        <v>7.626453</v>
      </c>
      <c r="N295">
        <f>IF(Lose[[#This Row],[Bahn-hofs-zeit]]=0,0,MROUND(30*25^((Lose[[#This Row],[Bahn-hofs-zeit]]-_xlfn.MINIFS(Lose[Bahn-hofs-zeit],Lose[Bahn-hofs-zeit],"&gt;0"))/(MAX(Lose[Bahn-hofs-zeit])-_xlfn.MINIFS(Lose[Bahn-hofs-zeit],Lose[Bahn-hofs-zeit],"&gt;0"))),5))</f>
        <v>0</v>
      </c>
      <c r="O295">
        <f>IF(Lose[[#This Row],[Gehzeit (min)]]="",0,CEILING(3*(Lose[[#This Row],[Gehzeit (min)]]+Lose[[#This Row],[Aufgaben-zeit (min)]]),5))</f>
        <v>60</v>
      </c>
      <c r="Q295">
        <f>IFERROR(ROUND(Lose[[#This Row],[Distanz (km)]]*60/Lose[[#This Row],[Gehzeit (min)]],1),"")</f>
        <v>4.2</v>
      </c>
      <c r="R2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295">
        <f>IFERROR(Lose[[#This Row],[Distanz (km)]]-Lose[[#This Row],[Check Distanz]],"")</f>
        <v>5.9999999999999942E-2</v>
      </c>
      <c r="T295" s="60">
        <f>IFERROR(Lose[[#This Row],[Check Umweg]]/Lose[[#This Row],[Check Distanz]],"")</f>
        <v>9.3749999999999903E-2</v>
      </c>
      <c r="U295">
        <f ca="1">IF(RIGHT(Lose[[#This Row],[LosID]],1)="b",_xlfn.XLOOKUP(REPLACE(Lose[[#This Row],[LosID]],LEN(Lose[[#This Row],[LosID]]),1,"a"),Lose[LosID],Lose[Zufallszahl],"",0),RAND())</f>
        <v>0.95152693173040181</v>
      </c>
      <c r="V295" t="b" cm="1">
        <f t="array" aca="1" ref="V295" ca="1">Lose[[#This Row],[Zufallszahl]]&gt;=IFERROR(LARGE((LEFT(Lose[LosID],FIND("-",Lose[LosID])-1)=LEFT(Lose[[#This Row],[LosID]],FIND("-",Lose[[#This Row],[LosID]])-1))*Lose[Zufallszahl],_xlfn.XLOOKUP(LEFT(Lose[[#This Row],[LosID]],FIND("-",Lose[[#This Row],[LosID]])-1),Ziehungsanzahl[Kürzel],Ziehungsanzahl[Kontingent],FALSE,0)),9999)</f>
        <v>0</v>
      </c>
      <c r="W295" t="s">
        <v>23498</v>
      </c>
    </row>
    <row r="296" spans="1:23" ht="135" hidden="1">
      <c r="A2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6" t="s">
        <v>23416</v>
      </c>
      <c r="C296" t="s">
        <v>24310</v>
      </c>
      <c r="D296" s="1" t="s">
        <v>24311</v>
      </c>
      <c r="E296" t="s">
        <v>24312</v>
      </c>
      <c r="F296" t="s">
        <v>24313</v>
      </c>
      <c r="G296">
        <v>16</v>
      </c>
      <c r="H296">
        <v>12</v>
      </c>
      <c r="I296">
        <v>1.2</v>
      </c>
      <c r="J296">
        <v>20</v>
      </c>
      <c r="K296" t="str" cm="1">
        <f t="array" ref="K2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6" t="str">
        <f>IFERROR(LEFT(TRIM(Lose[[#This Row],[Google Koordinaten]]),9),"")</f>
        <v>51.963330</v>
      </c>
      <c r="M296" t="str">
        <f>IFERROR(MID(TRIM(Lose[[#This Row],[Google Koordinaten]]),
FIND(",",TRIM(Lose[[#This Row],[Google Koordinaten]])) + 2,9),"")</f>
        <v>7.625560</v>
      </c>
      <c r="N296">
        <f>IF(Lose[[#This Row],[Bahn-hofs-zeit]]=0,0,MROUND(30*25^((Lose[[#This Row],[Bahn-hofs-zeit]]-_xlfn.MINIFS(Lose[Bahn-hofs-zeit],Lose[Bahn-hofs-zeit],"&gt;0"))/(MAX(Lose[Bahn-hofs-zeit])-_xlfn.MINIFS(Lose[Bahn-hofs-zeit],Lose[Bahn-hofs-zeit],"&gt;0"))),5))</f>
        <v>0</v>
      </c>
      <c r="O296">
        <f>IF(Lose[[#This Row],[Gehzeit (min)]]="",0,CEILING(3*(Lose[[#This Row],[Gehzeit (min)]]+Lose[[#This Row],[Aufgaben-zeit (min)]]),5))</f>
        <v>85</v>
      </c>
      <c r="Q296">
        <f>IFERROR(ROUND(Lose[[#This Row],[Distanz (km)]]*60/Lose[[#This Row],[Gehzeit (min)]],1),"")</f>
        <v>4.5</v>
      </c>
      <c r="R2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1.02</v>
      </c>
      <c r="S296">
        <f>IFERROR(Lose[[#This Row],[Distanz (km)]]-Lose[[#This Row],[Check Distanz]],"")</f>
        <v>0.17999999999999994</v>
      </c>
      <c r="T296" s="60">
        <f>IFERROR(Lose[[#This Row],[Check Umweg]]/Lose[[#This Row],[Check Distanz]],"")</f>
        <v>0.17647058823529405</v>
      </c>
      <c r="U296">
        <f ca="1">IF(RIGHT(Lose[[#This Row],[LosID]],1)="b",_xlfn.XLOOKUP(REPLACE(Lose[[#This Row],[LosID]],LEN(Lose[[#This Row],[LosID]]),1,"a"),Lose[LosID],Lose[Zufallszahl],"",0),RAND())</f>
        <v>0.30918707159699121</v>
      </c>
      <c r="V296" t="b" cm="1">
        <f t="array" aca="1" ref="V296" ca="1">Lose[[#This Row],[Zufallszahl]]&gt;=IFERROR(LARGE((LEFT(Lose[LosID],FIND("-",Lose[LosID])-1)=LEFT(Lose[[#This Row],[LosID]],FIND("-",Lose[[#This Row],[LosID]])-1))*Lose[Zufallszahl],_xlfn.XLOOKUP(LEFT(Lose[[#This Row],[LosID]],FIND("-",Lose[[#This Row],[LosID]])-1),Ziehungsanzahl[Kürzel],Ziehungsanzahl[Kontingent],FALSE,0)),9999)</f>
        <v>0</v>
      </c>
      <c r="W296" t="s">
        <v>23498</v>
      </c>
    </row>
    <row r="297" spans="1:23" hidden="1">
      <c r="A2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7" t="s">
        <v>23357</v>
      </c>
      <c r="C297" t="s">
        <v>1350</v>
      </c>
      <c r="D297" s="1" t="s">
        <v>24314</v>
      </c>
      <c r="E297" t="s">
        <v>24315</v>
      </c>
      <c r="F297" t="s">
        <v>24316</v>
      </c>
      <c r="G297">
        <v>24</v>
      </c>
      <c r="H297">
        <v>1</v>
      </c>
      <c r="I297">
        <v>0.85</v>
      </c>
      <c r="K297" t="str" cm="1">
        <f t="array" ref="K2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Nottuln-Appelhülsen</v>
      </c>
      <c r="L297" t="str">
        <f>IFERROR(LEFT(TRIM(Lose[[#This Row],[Google Koordinaten]]),9),"")</f>
        <v>51.898162</v>
      </c>
      <c r="M297" t="str">
        <f>IFERROR(MID(TRIM(Lose[[#This Row],[Google Koordinaten]]),
FIND(",",TRIM(Lose[[#This Row],[Google Koordinaten]])) + 2,9),"")</f>
        <v>7.4219318</v>
      </c>
      <c r="N297">
        <f>IF(Lose[[#This Row],[Bahn-hofs-zeit]]=0,0,MROUND(30*25^((Lose[[#This Row],[Bahn-hofs-zeit]]-_xlfn.MINIFS(Lose[Bahn-hofs-zeit],Lose[Bahn-hofs-zeit],"&gt;0"))/(MAX(Lose[Bahn-hofs-zeit])-_xlfn.MINIFS(Lose[Bahn-hofs-zeit],Lose[Bahn-hofs-zeit],"&gt;0"))),5))</f>
        <v>40</v>
      </c>
      <c r="O297">
        <f>IF(Lose[[#This Row],[Gehzeit (min)]]="",0,CEILING(3*(Lose[[#This Row],[Gehzeit (min)]]+Lose[[#This Row],[Aufgaben-zeit (min)]]),5))</f>
        <v>75</v>
      </c>
      <c r="P297">
        <v>4.25</v>
      </c>
      <c r="Q297">
        <f>IFERROR(ROUND(Lose[[#This Row],[Distanz (km)]]*60/Lose[[#This Row],[Gehzeit (min)]],1),"")</f>
        <v>2.1</v>
      </c>
      <c r="R2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297">
        <f>IFERROR(Lose[[#This Row],[Distanz (km)]]-Lose[[#This Row],[Check Distanz]],"")</f>
        <v>0.12</v>
      </c>
      <c r="T297" s="60">
        <f>IFERROR(Lose[[#This Row],[Check Umweg]]/Lose[[#This Row],[Check Distanz]],"")</f>
        <v>0.16438356164383561</v>
      </c>
      <c r="U297">
        <f ca="1">IF(RIGHT(Lose[[#This Row],[LosID]],1)="b",_xlfn.XLOOKUP(REPLACE(Lose[[#This Row],[LosID]],LEN(Lose[[#This Row],[LosID]]),1,"a"),Lose[LosID],Lose[Zufallszahl],"",0),RAND())</f>
        <v>0.7093070358148611</v>
      </c>
      <c r="V297" t="b" cm="1">
        <f t="array" aca="1" ref="V297" ca="1">Lose[[#This Row],[Zufallszahl]]&gt;=IFERROR(LARGE((LEFT(Lose[LosID],FIND("-",Lose[LosID])-1)=LEFT(Lose[[#This Row],[LosID]],FIND("-",Lose[[#This Row],[LosID]])-1))*Lose[Zufallszahl],_xlfn.XLOOKUP(LEFT(Lose[[#This Row],[LosID]],FIND("-",Lose[[#This Row],[LosID]])-1),Ziehungsanzahl[Kürzel],Ziehungsanzahl[Kontingent],FALSE,0)),9999)</f>
        <v>0</v>
      </c>
    </row>
    <row r="298" spans="1:23" ht="135" hidden="1">
      <c r="A2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8" t="s">
        <v>23363</v>
      </c>
      <c r="C298" t="s">
        <v>1351</v>
      </c>
      <c r="D298" s="1" t="s">
        <v>24317</v>
      </c>
      <c r="E298" t="s">
        <v>24318</v>
      </c>
      <c r="F298" t="s">
        <v>24319</v>
      </c>
      <c r="G298">
        <v>12</v>
      </c>
      <c r="H298">
        <v>5</v>
      </c>
      <c r="I298">
        <v>0.85</v>
      </c>
      <c r="K298" t="str" cm="1">
        <f t="array" ref="K2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8" t="str">
        <f>IFERROR(LEFT(TRIM(Lose[[#This Row],[Google Koordinaten]]),9),"")</f>
        <v>51.962990</v>
      </c>
      <c r="M298" t="str">
        <f>IFERROR(MID(TRIM(Lose[[#This Row],[Google Koordinaten]]),
FIND(",",TRIM(Lose[[#This Row],[Google Koordinaten]])) + 2,9),"")</f>
        <v>7.6298622</v>
      </c>
      <c r="N298">
        <f>IF(Lose[[#This Row],[Bahn-hofs-zeit]]=0,0,MROUND(30*25^((Lose[[#This Row],[Bahn-hofs-zeit]]-_xlfn.MINIFS(Lose[Bahn-hofs-zeit],Lose[Bahn-hofs-zeit],"&gt;0"))/(MAX(Lose[Bahn-hofs-zeit])-_xlfn.MINIFS(Lose[Bahn-hofs-zeit],Lose[Bahn-hofs-zeit],"&gt;0"))),5))</f>
        <v>0</v>
      </c>
      <c r="O298">
        <f>IF(Lose[[#This Row],[Gehzeit (min)]]="",0,CEILING(3*(Lose[[#This Row],[Gehzeit (min)]]+Lose[[#This Row],[Aufgaben-zeit (min)]]),5))</f>
        <v>55</v>
      </c>
      <c r="Q298">
        <f>IFERROR(ROUND(Lose[[#This Row],[Distanz (km)]]*60/Lose[[#This Row],[Gehzeit (min)]],1),"")</f>
        <v>4.3</v>
      </c>
      <c r="R2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298">
        <f>IFERROR(Lose[[#This Row],[Distanz (km)]]-Lose[[#This Row],[Check Distanz]],"")</f>
        <v>3.0000000000000027E-2</v>
      </c>
      <c r="T298" s="60">
        <f>IFERROR(Lose[[#This Row],[Check Umweg]]/Lose[[#This Row],[Check Distanz]],"")</f>
        <v>3.6585365853658569E-2</v>
      </c>
      <c r="U298">
        <f ca="1">IF(RIGHT(Lose[[#This Row],[LosID]],1)="b",_xlfn.XLOOKUP(REPLACE(Lose[[#This Row],[LosID]],LEN(Lose[[#This Row],[LosID]]),1,"a"),Lose[LosID],Lose[Zufallszahl],"",0),RAND())</f>
        <v>0.81699053606198768</v>
      </c>
      <c r="V298" t="b" cm="1">
        <f t="array" aca="1" ref="V298" ca="1">Lose[[#This Row],[Zufallszahl]]&gt;=IFERROR(LARGE((LEFT(Lose[LosID],FIND("-",Lose[LosID])-1)=LEFT(Lose[[#This Row],[LosID]],FIND("-",Lose[[#This Row],[LosID]])-1))*Lose[Zufallszahl],_xlfn.XLOOKUP(LEFT(Lose[[#This Row],[LosID]],FIND("-",Lose[[#This Row],[LosID]])-1),Ziehungsanzahl[Kürzel],Ziehungsanzahl[Kontingent],FALSE,0)),9999)</f>
        <v>0</v>
      </c>
      <c r="W298" t="s">
        <v>23498</v>
      </c>
    </row>
    <row r="299" spans="1:23" hidden="1">
      <c r="A2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299" t="s">
        <v>23367</v>
      </c>
      <c r="C299" t="s">
        <v>1352</v>
      </c>
      <c r="K299" t="str" cm="1">
        <f t="array" ref="K2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299" t="str">
        <f>IFERROR(LEFT(TRIM(Lose[[#This Row],[Google Koordinaten]]),9),"")</f>
        <v/>
      </c>
      <c r="M299" t="str">
        <f>IFERROR(MID(TRIM(Lose[[#This Row],[Google Koordinaten]]),
FIND(",",TRIM(Lose[[#This Row],[Google Koordinaten]])) + 2,9),"")</f>
        <v/>
      </c>
      <c r="N299">
        <f>IF(Lose[[#This Row],[Bahn-hofs-zeit]]=0,0,MROUND(30*25^((Lose[[#This Row],[Bahn-hofs-zeit]]-_xlfn.MINIFS(Lose[Bahn-hofs-zeit],Lose[Bahn-hofs-zeit],"&gt;0"))/(MAX(Lose[Bahn-hofs-zeit])-_xlfn.MINIFS(Lose[Bahn-hofs-zeit],Lose[Bahn-hofs-zeit],"&gt;0"))),5))</f>
        <v>0</v>
      </c>
      <c r="O299">
        <f>IF(Lose[[#This Row],[Gehzeit (min)]]="",0,CEILING(3*(Lose[[#This Row],[Gehzeit (min)]]+Lose[[#This Row],[Aufgaben-zeit (min)]]),5))</f>
        <v>0</v>
      </c>
      <c r="Q299" t="str">
        <f>IFERROR(ROUND(Lose[[#This Row],[Distanz (km)]]*60/Lose[[#This Row],[Gehzeit (min)]],1),"")</f>
        <v/>
      </c>
      <c r="R29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99" t="str">
        <f>IFERROR(Lose[[#This Row],[Distanz (km)]]-Lose[[#This Row],[Check Distanz]],"")</f>
        <v/>
      </c>
      <c r="T299" s="60" t="str">
        <f>IFERROR(Lose[[#This Row],[Check Umweg]]/Lose[[#This Row],[Check Distanz]],"")</f>
        <v/>
      </c>
      <c r="U299">
        <f ca="1">IF(RIGHT(Lose[[#This Row],[LosID]],1)="b",_xlfn.XLOOKUP(REPLACE(Lose[[#This Row],[LosID]],LEN(Lose[[#This Row],[LosID]]),1,"a"),Lose[LosID],Lose[Zufallszahl],"",0),RAND())</f>
        <v>0.47173097555403742</v>
      </c>
      <c r="V299" t="b" cm="1">
        <f t="array" aca="1" ref="V299" ca="1">Lose[[#This Row],[Zufallszahl]]&gt;=IFERROR(LARGE((LEFT(Lose[LosID],FIND("-",Lose[LosID])-1)=LEFT(Lose[[#This Row],[LosID]],FIND("-",Lose[[#This Row],[LosID]])-1))*Lose[Zufallszahl],_xlfn.XLOOKUP(LEFT(Lose[[#This Row],[LosID]],FIND("-",Lose[[#This Row],[LosID]])-1),Ziehungsanzahl[Kürzel],Ziehungsanzahl[Kontingent],FALSE,0)),9999)</f>
        <v>0</v>
      </c>
    </row>
    <row r="300" spans="1:23" ht="60" hidden="1">
      <c r="A3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0" t="s">
        <v>23390</v>
      </c>
      <c r="C300" t="s">
        <v>24320</v>
      </c>
      <c r="D300" s="1" t="s">
        <v>24321</v>
      </c>
      <c r="E300" t="s">
        <v>24322</v>
      </c>
      <c r="F300" t="s">
        <v>24323</v>
      </c>
      <c r="G300">
        <v>16</v>
      </c>
      <c r="H300">
        <v>5</v>
      </c>
      <c r="I300">
        <v>1.1000000000000001</v>
      </c>
      <c r="J300">
        <v>30</v>
      </c>
      <c r="K300" t="str" cm="1">
        <f t="array" ref="K3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300" t="str">
        <f>IFERROR(LEFT(TRIM(Lose[[#This Row],[Google Koordinaten]]),9),"")</f>
        <v>51.964276</v>
      </c>
      <c r="M300" t="str">
        <f>IFERROR(MID(TRIM(Lose[[#This Row],[Google Koordinaten]]),
FIND(",",TRIM(Lose[[#This Row],[Google Koordinaten]])) + 2,9),"")</f>
        <v>7.6261822</v>
      </c>
      <c r="N300">
        <f>IF(Lose[[#This Row],[Bahn-hofs-zeit]]=0,0,MROUND(30*25^((Lose[[#This Row],[Bahn-hofs-zeit]]-_xlfn.MINIFS(Lose[Bahn-hofs-zeit],Lose[Bahn-hofs-zeit],"&gt;0"))/(MAX(Lose[Bahn-hofs-zeit])-_xlfn.MINIFS(Lose[Bahn-hofs-zeit],Lose[Bahn-hofs-zeit],"&gt;0"))),5))</f>
        <v>0</v>
      </c>
      <c r="O300">
        <f>IF(Lose[[#This Row],[Gehzeit (min)]]="",0,CEILING(3*(Lose[[#This Row],[Gehzeit (min)]]+Lose[[#This Row],[Aufgaben-zeit (min)]]),5))</f>
        <v>65</v>
      </c>
      <c r="Q300">
        <f>IFERROR(ROUND(Lose[[#This Row],[Distanz (km)]]*60/Lose[[#This Row],[Gehzeit (min)]],1),"")</f>
        <v>4.0999999999999996</v>
      </c>
      <c r="R3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1.08</v>
      </c>
      <c r="S300">
        <f>IFERROR(Lose[[#This Row],[Distanz (km)]]-Lose[[#This Row],[Check Distanz]],"")</f>
        <v>2.0000000000000018E-2</v>
      </c>
      <c r="T300" s="60">
        <f>IFERROR(Lose[[#This Row],[Check Umweg]]/Lose[[#This Row],[Check Distanz]],"")</f>
        <v>1.8518518518518535E-2</v>
      </c>
      <c r="U300">
        <f ca="1">IF(RIGHT(Lose[[#This Row],[LosID]],1)="b",_xlfn.XLOOKUP(REPLACE(Lose[[#This Row],[LosID]],LEN(Lose[[#This Row],[LosID]]),1,"a"),Lose[LosID],Lose[Zufallszahl],"",0),RAND())</f>
        <v>0.71394099138804457</v>
      </c>
      <c r="V300" t="b" cm="1">
        <f t="array" aca="1" ref="V300" ca="1">Lose[[#This Row],[Zufallszahl]]&gt;=IFERROR(LARGE((LEFT(Lose[LosID],FIND("-",Lose[LosID])-1)=LEFT(Lose[[#This Row],[LosID]],FIND("-",Lose[[#This Row],[LosID]])-1))*Lose[Zufallszahl],_xlfn.XLOOKUP(LEFT(Lose[[#This Row],[LosID]],FIND("-",Lose[[#This Row],[LosID]])-1),Ziehungsanzahl[Kürzel],Ziehungsanzahl[Kontingent],FALSE,0)),9999)</f>
        <v>0</v>
      </c>
      <c r="W300" t="s">
        <v>23498</v>
      </c>
    </row>
    <row r="301" spans="1:23" hidden="1">
      <c r="A3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1" t="s">
        <v>23394</v>
      </c>
      <c r="C301" t="s">
        <v>24324</v>
      </c>
      <c r="D301" s="1" t="s">
        <v>24325</v>
      </c>
      <c r="E301" t="s">
        <v>24326</v>
      </c>
      <c r="F301" t="s">
        <v>24327</v>
      </c>
      <c r="G301">
        <v>25</v>
      </c>
      <c r="H301">
        <v>2</v>
      </c>
      <c r="I301">
        <v>1.8</v>
      </c>
      <c r="K301" t="str" cm="1">
        <f t="array" ref="K3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301" t="str">
        <f>IFERROR(LEFT(TRIM(Lose[[#This Row],[Google Koordinaten]]),9),"")</f>
        <v>51.951351</v>
      </c>
      <c r="M301" t="str">
        <f>IFERROR(MID(TRIM(Lose[[#This Row],[Google Koordinaten]]),
FIND(",",TRIM(Lose[[#This Row],[Google Koordinaten]])) + 2,9),"")</f>
        <v>7.6506645</v>
      </c>
      <c r="N301">
        <f>IF(Lose[[#This Row],[Bahn-hofs-zeit]]=0,0,MROUND(30*25^((Lose[[#This Row],[Bahn-hofs-zeit]]-_xlfn.MINIFS(Lose[Bahn-hofs-zeit],Lose[Bahn-hofs-zeit],"&gt;0"))/(MAX(Lose[Bahn-hofs-zeit])-_xlfn.MINIFS(Lose[Bahn-hofs-zeit],Lose[Bahn-hofs-zeit],"&gt;0"))),5))</f>
        <v>0</v>
      </c>
      <c r="O301">
        <f>IF(Lose[[#This Row],[Gehzeit (min)]]="",0,CEILING(3*(Lose[[#This Row],[Gehzeit (min)]]+Lose[[#This Row],[Aufgaben-zeit (min)]]),5))</f>
        <v>85</v>
      </c>
      <c r="Q301">
        <f>IFERROR(ROUND(Lose[[#This Row],[Distanz (km)]]*60/Lose[[#This Row],[Gehzeit (min)]],1),"")</f>
        <v>4.3</v>
      </c>
      <c r="R3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301">
        <f>IFERROR(Lose[[#This Row],[Distanz (km)]]-Lose[[#This Row],[Check Distanz]],"")</f>
        <v>0.62000000000000011</v>
      </c>
      <c r="T301" s="60">
        <f>IFERROR(Lose[[#This Row],[Check Umweg]]/Lose[[#This Row],[Check Distanz]],"")</f>
        <v>0.52542372881355948</v>
      </c>
      <c r="U301">
        <f ca="1">IF(RIGHT(Lose[[#This Row],[LosID]],1)="b",_xlfn.XLOOKUP(REPLACE(Lose[[#This Row],[LosID]],LEN(Lose[[#This Row],[LosID]]),1,"a"),Lose[LosID],Lose[Zufallszahl],"",0),RAND())</f>
        <v>0.83811668865377698</v>
      </c>
      <c r="V301" t="b" cm="1">
        <f t="array" aca="1" ref="V301" ca="1">Lose[[#This Row],[Zufallszahl]]&gt;=IFERROR(LARGE((LEFT(Lose[LosID],FIND("-",Lose[LosID])-1)=LEFT(Lose[[#This Row],[LosID]],FIND("-",Lose[[#This Row],[LosID]])-1))*Lose[Zufallszahl],_xlfn.XLOOKUP(LEFT(Lose[[#This Row],[LosID]],FIND("-",Lose[[#This Row],[LosID]])-1),Ziehungsanzahl[Kürzel],Ziehungsanzahl[Kontingent],FALSE,0)),9999)</f>
        <v>0</v>
      </c>
      <c r="W301" t="s">
        <v>23498</v>
      </c>
    </row>
    <row r="302" spans="1:23" hidden="1">
      <c r="A3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2" t="s">
        <v>23403</v>
      </c>
      <c r="C302" s="74" t="s">
        <v>1344</v>
      </c>
      <c r="D302" s="1" t="s">
        <v>24328</v>
      </c>
      <c r="E302" t="s">
        <v>24329</v>
      </c>
      <c r="F302" t="s">
        <v>24330</v>
      </c>
      <c r="G302">
        <v>12</v>
      </c>
      <c r="H302">
        <v>2</v>
      </c>
      <c r="I302">
        <v>0.9</v>
      </c>
      <c r="K302" t="str" cm="1">
        <f t="array" ref="K3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302" t="str">
        <f>IFERROR(LEFT(TRIM(Lose[[#This Row],[Google Koordinaten]]),9),"")</f>
        <v>51.962954</v>
      </c>
      <c r="M302" t="str">
        <f>IFERROR(MID(TRIM(Lose[[#This Row],[Google Koordinaten]]),
FIND(",",TRIM(Lose[[#This Row],[Google Koordinaten]])) + 2,9),"")</f>
        <v>7.6289039</v>
      </c>
      <c r="N302">
        <f>IF(Lose[[#This Row],[Bahn-hofs-zeit]]=0,0,MROUND(30*25^((Lose[[#This Row],[Bahn-hofs-zeit]]-_xlfn.MINIFS(Lose[Bahn-hofs-zeit],Lose[Bahn-hofs-zeit],"&gt;0"))/(MAX(Lose[Bahn-hofs-zeit])-_xlfn.MINIFS(Lose[Bahn-hofs-zeit],Lose[Bahn-hofs-zeit],"&gt;0"))),5))</f>
        <v>0</v>
      </c>
      <c r="O302">
        <f>IF(Lose[[#This Row],[Gehzeit (min)]]="",0,CEILING(3*(Lose[[#This Row],[Gehzeit (min)]]+Lose[[#This Row],[Aufgaben-zeit (min)]]),5))</f>
        <v>45</v>
      </c>
      <c r="Q302">
        <f>IFERROR(ROUND(Lose[[#This Row],[Distanz (km)]]*60/Lose[[#This Row],[Gehzeit (min)]],1),"")</f>
        <v>4.5</v>
      </c>
      <c r="R3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302">
        <f>IFERROR(Lose[[#This Row],[Distanz (km)]]-Lose[[#This Row],[Check Distanz]],"")</f>
        <v>5.0000000000000044E-2</v>
      </c>
      <c r="T302" s="60">
        <f>IFERROR(Lose[[#This Row],[Check Umweg]]/Lose[[#This Row],[Check Distanz]],"")</f>
        <v>5.8823529411764761E-2</v>
      </c>
      <c r="U302">
        <f ca="1">IF(RIGHT(Lose[[#This Row],[LosID]],1)="b",_xlfn.XLOOKUP(REPLACE(Lose[[#This Row],[LosID]],LEN(Lose[[#This Row],[LosID]]),1,"a"),Lose[LosID],Lose[Zufallszahl],"",0),RAND())</f>
        <v>0.44485092079891764</v>
      </c>
      <c r="V302" t="b" cm="1">
        <f t="array" aca="1" ref="V302" ca="1">Lose[[#This Row],[Zufallszahl]]&gt;=IFERROR(LARGE((LEFT(Lose[LosID],FIND("-",Lose[LosID])-1)=LEFT(Lose[[#This Row],[LosID]],FIND("-",Lose[[#This Row],[LosID]])-1))*Lose[Zufallszahl],_xlfn.XLOOKUP(LEFT(Lose[[#This Row],[LosID]],FIND("-",Lose[[#This Row],[LosID]])-1),Ziehungsanzahl[Kürzel],Ziehungsanzahl[Kontingent],FALSE,0)),9999)</f>
        <v>0</v>
      </c>
      <c r="W302" t="s">
        <v>23498</v>
      </c>
    </row>
    <row r="303" spans="1:23" ht="30" hidden="1">
      <c r="A3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3" t="s">
        <v>23408</v>
      </c>
      <c r="C303" t="s">
        <v>24331</v>
      </c>
      <c r="D303" s="1" t="s">
        <v>24332</v>
      </c>
      <c r="E303" t="s">
        <v>24333</v>
      </c>
      <c r="F303" t="s">
        <v>24334</v>
      </c>
      <c r="G303">
        <v>26</v>
      </c>
      <c r="H303">
        <v>1</v>
      </c>
      <c r="I303">
        <v>1.9</v>
      </c>
      <c r="K303" t="str" cm="1">
        <f t="array" ref="K3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303" t="str">
        <f>IFERROR(LEFT(TRIM(Lose[[#This Row],[Google Koordinaten]]),9),"")</f>
        <v>51.967123</v>
      </c>
      <c r="M303" t="str">
        <f>IFERROR(MID(TRIM(Lose[[#This Row],[Google Koordinaten]]),
FIND(",",TRIM(Lose[[#This Row],[Google Koordinaten]])) + 2,9),"")</f>
        <v>7.6172732</v>
      </c>
      <c r="N303">
        <f>IF(Lose[[#This Row],[Bahn-hofs-zeit]]=0,0,MROUND(30*25^((Lose[[#This Row],[Bahn-hofs-zeit]]-_xlfn.MINIFS(Lose[Bahn-hofs-zeit],Lose[Bahn-hofs-zeit],"&gt;0"))/(MAX(Lose[Bahn-hofs-zeit])-_xlfn.MINIFS(Lose[Bahn-hofs-zeit],Lose[Bahn-hofs-zeit],"&gt;0"))),5))</f>
        <v>0</v>
      </c>
      <c r="O303">
        <f>IF(Lose[[#This Row],[Gehzeit (min)]]="",0,CEILING(3*(Lose[[#This Row],[Gehzeit (min)]]+Lose[[#This Row],[Aufgaben-zeit (min)]]),5))</f>
        <v>85</v>
      </c>
      <c r="Q303">
        <f>IFERROR(ROUND(Lose[[#This Row],[Distanz (km)]]*60/Lose[[#This Row],[Gehzeit (min)]],1),"")</f>
        <v>4.4000000000000004</v>
      </c>
      <c r="R3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1.72</v>
      </c>
      <c r="S303">
        <f>IFERROR(Lose[[#This Row],[Distanz (km)]]-Lose[[#This Row],[Check Distanz]],"")</f>
        <v>0.17999999999999994</v>
      </c>
      <c r="T303" s="60">
        <f>IFERROR(Lose[[#This Row],[Check Umweg]]/Lose[[#This Row],[Check Distanz]],"")</f>
        <v>0.10465116279069764</v>
      </c>
      <c r="U303">
        <f ca="1">IF(RIGHT(Lose[[#This Row],[LosID]],1)="b",_xlfn.XLOOKUP(REPLACE(Lose[[#This Row],[LosID]],LEN(Lose[[#This Row],[LosID]]),1,"a"),Lose[LosID],Lose[Zufallszahl],"",0),RAND())</f>
        <v>0.18349331573666461</v>
      </c>
      <c r="V303" t="b" cm="1">
        <f t="array" aca="1" ref="V303" ca="1">Lose[[#This Row],[Zufallszahl]]&gt;=IFERROR(LARGE((LEFT(Lose[LosID],FIND("-",Lose[LosID])-1)=LEFT(Lose[[#This Row],[LosID]],FIND("-",Lose[[#This Row],[LosID]])-1))*Lose[Zufallszahl],_xlfn.XLOOKUP(LEFT(Lose[[#This Row],[LosID]],FIND("-",Lose[[#This Row],[LosID]])-1),Ziehungsanzahl[Kürzel],Ziehungsanzahl[Kontingent],FALSE,0)),9999)</f>
        <v>0</v>
      </c>
      <c r="W303" t="s">
        <v>23498</v>
      </c>
    </row>
    <row r="304" spans="1:23" ht="75" hidden="1">
      <c r="A3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4" t="s">
        <v>23412</v>
      </c>
      <c r="C304" t="s">
        <v>24335</v>
      </c>
      <c r="D304" s="1" t="s">
        <v>24336</v>
      </c>
      <c r="E304" t="s">
        <v>24337</v>
      </c>
      <c r="F304" s="82" t="s">
        <v>24338</v>
      </c>
      <c r="G304">
        <v>12</v>
      </c>
      <c r="H304">
        <v>2</v>
      </c>
      <c r="I304">
        <v>0.85</v>
      </c>
      <c r="J304">
        <v>10</v>
      </c>
      <c r="K304" t="str" cm="1">
        <f t="array" ref="K3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304" t="str">
        <f>IFERROR(LEFT(TRIM(Lose[[#This Row],[Google Koordinaten]]),9),"")</f>
        <v>51.950934</v>
      </c>
      <c r="M304" t="str">
        <f>IFERROR(MID(TRIM(Lose[[#This Row],[Google Koordinaten]]),
FIND(",",TRIM(Lose[[#This Row],[Google Koordinaten]])) + 2,9),"")</f>
        <v>7.63689</v>
      </c>
      <c r="N304">
        <f>IF(Lose[[#This Row],[Bahn-hofs-zeit]]=0,0,MROUND(30*25^((Lose[[#This Row],[Bahn-hofs-zeit]]-_xlfn.MINIFS(Lose[Bahn-hofs-zeit],Lose[Bahn-hofs-zeit],"&gt;0"))/(MAX(Lose[Bahn-hofs-zeit])-_xlfn.MINIFS(Lose[Bahn-hofs-zeit],Lose[Bahn-hofs-zeit],"&gt;0"))),5))</f>
        <v>0</v>
      </c>
      <c r="O304">
        <f>IF(Lose[[#This Row],[Gehzeit (min)]]="",0,CEILING(3*(Lose[[#This Row],[Gehzeit (min)]]+Lose[[#This Row],[Aufgaben-zeit (min)]]),5))</f>
        <v>45</v>
      </c>
      <c r="Q304">
        <f>IFERROR(ROUND(Lose[[#This Row],[Distanz (km)]]*60/Lose[[#This Row],[Gehzeit (min)]],1),"")</f>
        <v>4.3</v>
      </c>
      <c r="R3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304">
        <f>IFERROR(Lose[[#This Row],[Distanz (km)]]-Lose[[#This Row],[Check Distanz]],"")</f>
        <v>0.21999999999999997</v>
      </c>
      <c r="T304" s="60">
        <f>IFERROR(Lose[[#This Row],[Check Umweg]]/Lose[[#This Row],[Check Distanz]],"")</f>
        <v>0.34920634920634919</v>
      </c>
      <c r="U304">
        <f ca="1">IF(RIGHT(Lose[[#This Row],[LosID]],1)="b",_xlfn.XLOOKUP(REPLACE(Lose[[#This Row],[LosID]],LEN(Lose[[#This Row],[LosID]]),1,"a"),Lose[LosID],Lose[Zufallszahl],"",0),RAND())</f>
        <v>0.64629694930856174</v>
      </c>
      <c r="V304" t="b" cm="1">
        <f t="array" aca="1" ref="V304" ca="1">Lose[[#This Row],[Zufallszahl]]&gt;=IFERROR(LARGE((LEFT(Lose[LosID],FIND("-",Lose[LosID])-1)=LEFT(Lose[[#This Row],[LosID]],FIND("-",Lose[[#This Row],[LosID]])-1))*Lose[Zufallszahl],_xlfn.XLOOKUP(LEFT(Lose[[#This Row],[LosID]],FIND("-",Lose[[#This Row],[LosID]])-1),Ziehungsanzahl[Kürzel],Ziehungsanzahl[Kontingent],FALSE,0)),9999)</f>
        <v>0</v>
      </c>
      <c r="W304" t="s">
        <v>23498</v>
      </c>
    </row>
    <row r="305" spans="1:23" ht="120" hidden="1">
      <c r="A3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5" t="s">
        <v>23416</v>
      </c>
      <c r="C305" t="s">
        <v>24339</v>
      </c>
      <c r="D305" s="1" t="s">
        <v>24340</v>
      </c>
      <c r="E305" t="s">
        <v>24341</v>
      </c>
      <c r="F305" t="s">
        <v>24342</v>
      </c>
      <c r="G305">
        <v>14</v>
      </c>
      <c r="H305">
        <v>12</v>
      </c>
      <c r="I305">
        <v>1.05</v>
      </c>
      <c r="J305">
        <v>10</v>
      </c>
      <c r="K305" t="str" cm="1">
        <f t="array" ref="K3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305" t="str">
        <f>IFERROR(LEFT(TRIM(Lose[[#This Row],[Google Koordinaten]]),9),"")</f>
        <v>51.960830</v>
      </c>
      <c r="M305" t="str">
        <f>IFERROR(MID(TRIM(Lose[[#This Row],[Google Koordinaten]]),
FIND(",",TRIM(Lose[[#This Row],[Google Koordinaten]])) + 2,9),"")</f>
        <v>7.630000</v>
      </c>
      <c r="N305">
        <f>IF(Lose[[#This Row],[Bahn-hofs-zeit]]=0,0,MROUND(30*25^((Lose[[#This Row],[Bahn-hofs-zeit]]-_xlfn.MINIFS(Lose[Bahn-hofs-zeit],Lose[Bahn-hofs-zeit],"&gt;0"))/(MAX(Lose[Bahn-hofs-zeit])-_xlfn.MINIFS(Lose[Bahn-hofs-zeit],Lose[Bahn-hofs-zeit],"&gt;0"))),5))</f>
        <v>0</v>
      </c>
      <c r="O305">
        <f>IF(Lose[[#This Row],[Gehzeit (min)]]="",0,CEILING(3*(Lose[[#This Row],[Gehzeit (min)]]+Lose[[#This Row],[Aufgaben-zeit (min)]]),5))</f>
        <v>80</v>
      </c>
      <c r="Q305">
        <f>IFERROR(ROUND(Lose[[#This Row],[Distanz (km)]]*60/Lose[[#This Row],[Gehzeit (min)]],1),"")</f>
        <v>4.5</v>
      </c>
      <c r="R3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305">
        <f>IFERROR(Lose[[#This Row],[Distanz (km)]]-Lose[[#This Row],[Check Distanz]],"")</f>
        <v>0.44000000000000006</v>
      </c>
      <c r="T305" s="60">
        <f>IFERROR(Lose[[#This Row],[Check Umweg]]/Lose[[#This Row],[Check Distanz]],"")</f>
        <v>0.7213114754098362</v>
      </c>
      <c r="U305">
        <f ca="1">IF(RIGHT(Lose[[#This Row],[LosID]],1)="b",_xlfn.XLOOKUP(REPLACE(Lose[[#This Row],[LosID]],LEN(Lose[[#This Row],[LosID]]),1,"a"),Lose[LosID],Lose[Zufallszahl],"",0),RAND())</f>
        <v>8.9012448300451075E-2</v>
      </c>
      <c r="V305" t="b" cm="1">
        <f t="array" aca="1" ref="V305" ca="1">Lose[[#This Row],[Zufallszahl]]&gt;=IFERROR(LARGE((LEFT(Lose[LosID],FIND("-",Lose[LosID])-1)=LEFT(Lose[[#This Row],[LosID]],FIND("-",Lose[[#This Row],[LosID]])-1))*Lose[Zufallszahl],_xlfn.XLOOKUP(LEFT(Lose[[#This Row],[LosID]],FIND("-",Lose[[#This Row],[LosID]])-1),Ziehungsanzahl[Kürzel],Ziehungsanzahl[Kontingent],FALSE,0)),9999)</f>
        <v>0</v>
      </c>
      <c r="W305" t="s">
        <v>23498</v>
      </c>
    </row>
    <row r="306" spans="1:23" hidden="1">
      <c r="A3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6" t="s">
        <v>23357</v>
      </c>
      <c r="C306" t="s">
        <v>1345</v>
      </c>
      <c r="D306" s="1" t="s">
        <v>24343</v>
      </c>
      <c r="E306" t="s">
        <v>24344</v>
      </c>
      <c r="F306" t="s">
        <v>24345</v>
      </c>
      <c r="G306">
        <v>20</v>
      </c>
      <c r="H306">
        <v>1</v>
      </c>
      <c r="I306">
        <v>1.5</v>
      </c>
      <c r="J306">
        <v>10</v>
      </c>
      <c r="K306" t="str" cm="1">
        <f t="array" ref="K3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Senden-Bösensell</v>
      </c>
      <c r="L306" t="str">
        <f>IFERROR(LEFT(TRIM(Lose[[#This Row],[Google Koordinaten]]),9),"")</f>
        <v>51.911163</v>
      </c>
      <c r="M306" t="str">
        <f>IFERROR(MID(TRIM(Lose[[#This Row],[Google Koordinaten]]),
FIND(",",TRIM(Lose[[#This Row],[Google Koordinaten]])) + 2,9),"")</f>
        <v>7.5002011</v>
      </c>
      <c r="N306">
        <f>IF(Lose[[#This Row],[Bahn-hofs-zeit]]=0,0,MROUND(30*25^((Lose[[#This Row],[Bahn-hofs-zeit]]-_xlfn.MINIFS(Lose[Bahn-hofs-zeit],Lose[Bahn-hofs-zeit],"&gt;0"))/(MAX(Lose[Bahn-hofs-zeit])-_xlfn.MINIFS(Lose[Bahn-hofs-zeit],Lose[Bahn-hofs-zeit],"&gt;0"))),5))</f>
        <v>40</v>
      </c>
      <c r="O306">
        <f>IF(Lose[[#This Row],[Gehzeit (min)]]="",0,CEILING(3*(Lose[[#This Row],[Gehzeit (min)]]+Lose[[#This Row],[Aufgaben-zeit (min)]]),5))</f>
        <v>65</v>
      </c>
      <c r="P306">
        <v>4.25</v>
      </c>
      <c r="Q306">
        <f>IFERROR(ROUND(Lose[[#This Row],[Distanz (km)]]*60/Lose[[#This Row],[Gehzeit (min)]],1),"")</f>
        <v>4.5</v>
      </c>
      <c r="R3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306">
        <f>IFERROR(Lose[[#This Row],[Distanz (km)]]-Lose[[#This Row],[Check Distanz]],"")</f>
        <v>0.53</v>
      </c>
      <c r="T306" s="60">
        <f>IFERROR(Lose[[#This Row],[Check Umweg]]/Lose[[#This Row],[Check Distanz]],"")</f>
        <v>0.54639175257731964</v>
      </c>
      <c r="U306">
        <f ca="1">IF(RIGHT(Lose[[#This Row],[LosID]],1)="b",_xlfn.XLOOKUP(REPLACE(Lose[[#This Row],[LosID]],LEN(Lose[[#This Row],[LosID]]),1,"a"),Lose[LosID],Lose[Zufallszahl],"",0),RAND())</f>
        <v>0.34869353901167754</v>
      </c>
      <c r="V306" t="b" cm="1">
        <f t="array" aca="1" ref="V306" ca="1">Lose[[#This Row],[Zufallszahl]]&gt;=IFERROR(LARGE((LEFT(Lose[LosID],FIND("-",Lose[LosID])-1)=LEFT(Lose[[#This Row],[LosID]],FIND("-",Lose[[#This Row],[LosID]])-1))*Lose[Zufallszahl],_xlfn.XLOOKUP(LEFT(Lose[[#This Row],[LosID]],FIND("-",Lose[[#This Row],[LosID]])-1),Ziehungsanzahl[Kürzel],Ziehungsanzahl[Kontingent],FALSE,0)),9999)</f>
        <v>0</v>
      </c>
    </row>
    <row r="307" spans="1:23" ht="75" hidden="1">
      <c r="A3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07" t="s">
        <v>23394</v>
      </c>
      <c r="C307" t="s">
        <v>1333</v>
      </c>
      <c r="D307" s="1" t="s">
        <v>24346</v>
      </c>
      <c r="E307" t="s">
        <v>24347</v>
      </c>
      <c r="F307" t="s">
        <v>24348</v>
      </c>
      <c r="G307">
        <v>5</v>
      </c>
      <c r="H307">
        <v>1</v>
      </c>
      <c r="I307">
        <v>0.35</v>
      </c>
      <c r="J307">
        <v>5</v>
      </c>
      <c r="K307" t="str" cm="1">
        <f t="array" ref="K3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Woffleben</v>
      </c>
      <c r="L307" t="str">
        <f>IFERROR(LEFT(TRIM(Lose[[#This Row],[Google Koordinaten]]),9),"")</f>
        <v>51.556257</v>
      </c>
      <c r="M307" t="str">
        <f>IFERROR(MID(TRIM(Lose[[#This Row],[Google Koordinaten]]),
FIND(",",TRIM(Lose[[#This Row],[Google Koordinaten]])) + 2,9),"")</f>
        <v>10.723233</v>
      </c>
      <c r="N307">
        <f>IF(Lose[[#This Row],[Bahn-hofs-zeit]]=0,0,MROUND(30*25^((Lose[[#This Row],[Bahn-hofs-zeit]]-_xlfn.MINIFS(Lose[Bahn-hofs-zeit],Lose[Bahn-hofs-zeit],"&gt;0"))/(MAX(Lose[Bahn-hofs-zeit])-_xlfn.MINIFS(Lose[Bahn-hofs-zeit],Lose[Bahn-hofs-zeit],"&gt;0"))),5))</f>
        <v>125</v>
      </c>
      <c r="O307">
        <f>IF(Lose[[#This Row],[Gehzeit (min)]]="",0,CEILING(3*(Lose[[#This Row],[Gehzeit (min)]]+Lose[[#This Row],[Aufgaben-zeit (min)]]),5))</f>
        <v>20</v>
      </c>
      <c r="P307">
        <v>8.25</v>
      </c>
      <c r="Q307">
        <f>IFERROR(ROUND(Lose[[#This Row],[Distanz (km)]]*60/Lose[[#This Row],[Gehzeit (min)]],1),"")</f>
        <v>4.2</v>
      </c>
      <c r="R3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307">
        <f>IFERROR(Lose[[#This Row],[Distanz (km)]]-Lose[[#This Row],[Check Distanz]],"")</f>
        <v>0.21999999999999997</v>
      </c>
      <c r="T307" s="60">
        <f>IFERROR(Lose[[#This Row],[Check Umweg]]/Lose[[#This Row],[Check Distanz]],"")</f>
        <v>1.6923076923076921</v>
      </c>
      <c r="U307">
        <f ca="1">IF(RIGHT(Lose[[#This Row],[LosID]],1)="b",_xlfn.XLOOKUP(REPLACE(Lose[[#This Row],[LosID]],LEN(Lose[[#This Row],[LosID]]),1,"a"),Lose[LosID],Lose[Zufallszahl],"",0),RAND())</f>
        <v>0.81752109799367634</v>
      </c>
      <c r="V307" t="b" cm="1">
        <f t="array" aca="1" ref="V307" ca="1">Lose[[#This Row],[Zufallszahl]]&gt;=IFERROR(LARGE((LEFT(Lose[LosID],FIND("-",Lose[LosID])-1)=LEFT(Lose[[#This Row],[LosID]],FIND("-",Lose[[#This Row],[LosID]])-1))*Lose[Zufallszahl],_xlfn.XLOOKUP(LEFT(Lose[[#This Row],[LosID]],FIND("-",Lose[[#This Row],[LosID]])-1),Ziehungsanzahl[Kürzel],Ziehungsanzahl[Kontingent],FALSE,0)),9999)</f>
        <v>0</v>
      </c>
      <c r="W307" t="s">
        <v>23362</v>
      </c>
    </row>
    <row r="308" spans="1:23" ht="135" hidden="1">
      <c r="A3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08" t="s">
        <v>4</v>
      </c>
      <c r="C308" t="s">
        <v>24349</v>
      </c>
      <c r="D308" s="1" t="s">
        <v>24350</v>
      </c>
      <c r="E308" t="s">
        <v>24351</v>
      </c>
      <c r="F308" t="s">
        <v>24352</v>
      </c>
      <c r="G308">
        <v>10</v>
      </c>
      <c r="H308">
        <v>10</v>
      </c>
      <c r="I308">
        <v>0.8</v>
      </c>
      <c r="J308">
        <v>20</v>
      </c>
      <c r="K308" t="str" cm="1">
        <f t="array" ref="K3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Alzey Süd</v>
      </c>
      <c r="L308" t="str">
        <f>IFERROR(LEFT(TRIM(Lose[[#This Row],[Google Koordinaten]]),9),"")</f>
        <v>49.738575</v>
      </c>
      <c r="M308" t="str">
        <f>IFERROR(MID(TRIM(Lose[[#This Row],[Google Koordinaten]]),
FIND(",",TRIM(Lose[[#This Row],[Google Koordinaten]])) + 2,9),"")</f>
        <v>8.114408</v>
      </c>
      <c r="N308">
        <f>IF(Lose[[#This Row],[Bahn-hofs-zeit]]=0,0,MROUND(30*25^((Lose[[#This Row],[Bahn-hofs-zeit]]-_xlfn.MINIFS(Lose[Bahn-hofs-zeit],Lose[Bahn-hofs-zeit],"&gt;0"))/(MAX(Lose[Bahn-hofs-zeit])-_xlfn.MINIFS(Lose[Bahn-hofs-zeit],Lose[Bahn-hofs-zeit],"&gt;0"))),5))</f>
        <v>50</v>
      </c>
      <c r="O308">
        <f>IF(Lose[[#This Row],[Gehzeit (min)]]="",0,CEILING(3*(Lose[[#This Row],[Gehzeit (min)]]+Lose[[#This Row],[Aufgaben-zeit (min)]]),5))</f>
        <v>60</v>
      </c>
      <c r="P308">
        <v>5</v>
      </c>
      <c r="Q308">
        <f>IFERROR(ROUND(Lose[[#This Row],[Distanz (km)]]*60/Lose[[#This Row],[Gehzeit (min)]],1),"")</f>
        <v>4.8</v>
      </c>
      <c r="R3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308">
        <f>IFERROR(Lose[[#This Row],[Distanz (km)]]-Lose[[#This Row],[Check Distanz]],"")</f>
        <v>0.49000000000000005</v>
      </c>
      <c r="T308" s="60">
        <f>IFERROR(Lose[[#This Row],[Check Umweg]]/Lose[[#This Row],[Check Distanz]],"")</f>
        <v>1.5806451612903227</v>
      </c>
      <c r="U308">
        <f ca="1">IF(RIGHT(Lose[[#This Row],[LosID]],1)="b",_xlfn.XLOOKUP(REPLACE(Lose[[#This Row],[LosID]],LEN(Lose[[#This Row],[LosID]]),1,"a"),Lose[LosID],Lose[Zufallszahl],"",0),RAND())</f>
        <v>0.58150087167261122</v>
      </c>
      <c r="V308" t="b" cm="1">
        <f t="array" aca="1" ref="V308" ca="1">Lose[[#This Row],[Zufallszahl]]&gt;=IFERROR(LARGE((LEFT(Lose[LosID],FIND("-",Lose[LosID])-1)=LEFT(Lose[[#This Row],[LosID]],FIND("-",Lose[[#This Row],[LosID]])-1))*Lose[Zufallszahl],_xlfn.XLOOKUP(LEFT(Lose[[#This Row],[LosID]],FIND("-",Lose[[#This Row],[LosID]])-1),Ziehungsanzahl[Kürzel],Ziehungsanzahl[Kontingent],FALSE,0)),9999)</f>
        <v>0</v>
      </c>
      <c r="W308" t="s">
        <v>23362</v>
      </c>
    </row>
    <row r="309" spans="1:23" ht="105" hidden="1">
      <c r="A3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9" t="s">
        <v>23352</v>
      </c>
      <c r="C309" t="s">
        <v>24353</v>
      </c>
      <c r="D309" s="1" t="s">
        <v>24354</v>
      </c>
      <c r="E309" t="s">
        <v>24355</v>
      </c>
      <c r="F309" t="s">
        <v>24356</v>
      </c>
      <c r="G309">
        <v>14</v>
      </c>
      <c r="H309">
        <v>10</v>
      </c>
      <c r="I309">
        <v>1</v>
      </c>
      <c r="J309">
        <v>10</v>
      </c>
      <c r="K309" t="str" cm="1">
        <f t="array" ref="K3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Karlshafen</v>
      </c>
      <c r="L309" t="str">
        <f>IFERROR(LEFT(TRIM(Lose[[#This Row],[Google Koordinaten]]),9),"")</f>
        <v>51.642294</v>
      </c>
      <c r="M309" t="str">
        <f>IFERROR(MID(TRIM(Lose[[#This Row],[Google Koordinaten]]),
FIND(",",TRIM(Lose[[#This Row],[Google Koordinaten]])) + 2,9),"")</f>
        <v>9.4493572</v>
      </c>
      <c r="N309">
        <f>IF(Lose[[#This Row],[Bahn-hofs-zeit]]=0,0,MROUND(30*25^((Lose[[#This Row],[Bahn-hofs-zeit]]-_xlfn.MINIFS(Lose[Bahn-hofs-zeit],Lose[Bahn-hofs-zeit],"&gt;0"))/(MAX(Lose[Bahn-hofs-zeit])-_xlfn.MINIFS(Lose[Bahn-hofs-zeit],Lose[Bahn-hofs-zeit],"&gt;0"))),5))</f>
        <v>70</v>
      </c>
      <c r="O309">
        <f>IF(Lose[[#This Row],[Gehzeit (min)]]="",0,CEILING(3*(Lose[[#This Row],[Gehzeit (min)]]+Lose[[#This Row],[Aufgaben-zeit (min)]]),5))</f>
        <v>75</v>
      </c>
      <c r="P309">
        <v>6.25</v>
      </c>
      <c r="Q309">
        <f>IFERROR(ROUND(Lose[[#This Row],[Distanz (km)]]*60/Lose[[#This Row],[Gehzeit (min)]],1),"")</f>
        <v>4.3</v>
      </c>
      <c r="R3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309">
        <f>IFERROR(Lose[[#This Row],[Distanz (km)]]-Lose[[#This Row],[Check Distanz]],"")</f>
        <v>0.49</v>
      </c>
      <c r="T309" s="60">
        <f>IFERROR(Lose[[#This Row],[Check Umweg]]/Lose[[#This Row],[Check Distanz]],"")</f>
        <v>0.96078431372549011</v>
      </c>
      <c r="U309">
        <f ca="1">IF(RIGHT(Lose[[#This Row],[LosID]],1)="b",_xlfn.XLOOKUP(REPLACE(Lose[[#This Row],[LosID]],LEN(Lose[[#This Row],[LosID]]),1,"a"),Lose[LosID],Lose[Zufallszahl],"",0),RAND())</f>
        <v>0.39489229448280239</v>
      </c>
      <c r="V309" t="b" cm="1">
        <f t="array" aca="1" ref="V309" ca="1">Lose[[#This Row],[Zufallszahl]]&gt;=IFERROR(LARGE((LEFT(Lose[LosID],FIND("-",Lose[LosID])-1)=LEFT(Lose[[#This Row],[LosID]],FIND("-",Lose[[#This Row],[LosID]])-1))*Lose[Zufallszahl],_xlfn.XLOOKUP(LEFT(Lose[[#This Row],[LosID]],FIND("-",Lose[[#This Row],[LosID]])-1),Ziehungsanzahl[Kürzel],Ziehungsanzahl[Kontingent],FALSE,0)),9999)</f>
        <v>0</v>
      </c>
    </row>
    <row r="310" spans="1:23" ht="60" hidden="1">
      <c r="A3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0" t="s">
        <v>23380</v>
      </c>
      <c r="C310" t="s">
        <v>24357</v>
      </c>
      <c r="D310" s="1" t="s">
        <v>24358</v>
      </c>
      <c r="E310" t="s">
        <v>24359</v>
      </c>
      <c r="F310" t="s">
        <v>24360</v>
      </c>
      <c r="G310">
        <v>8</v>
      </c>
      <c r="H310">
        <v>5</v>
      </c>
      <c r="I310">
        <v>0.55000000000000004</v>
      </c>
      <c r="K310" t="str" cm="1">
        <f t="array" ref="K3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Winterberg(Westf)</v>
      </c>
      <c r="L310" t="str">
        <f>IFERROR(LEFT(TRIM(Lose[[#This Row],[Google Koordinaten]]),9),"")</f>
        <v>51.196001</v>
      </c>
      <c r="M310" t="str">
        <f>IFERROR(MID(TRIM(Lose[[#This Row],[Google Koordinaten]]),
FIND(",",TRIM(Lose[[#This Row],[Google Koordinaten]])) + 2,9),"")</f>
        <v>8.5343669</v>
      </c>
      <c r="N310">
        <f>IF(Lose[[#This Row],[Bahn-hofs-zeit]]=0,0,MROUND(30*25^((Lose[[#This Row],[Bahn-hofs-zeit]]-_xlfn.MINIFS(Lose[Bahn-hofs-zeit],Lose[Bahn-hofs-zeit],"&gt;0"))/(MAX(Lose[Bahn-hofs-zeit])-_xlfn.MINIFS(Lose[Bahn-hofs-zeit],Lose[Bahn-hofs-zeit],"&gt;0"))),5))</f>
        <v>95</v>
      </c>
      <c r="O310">
        <f>IF(Lose[[#This Row],[Gehzeit (min)]]="",0,CEILING(3*(Lose[[#This Row],[Gehzeit (min)]]+Lose[[#This Row],[Aufgaben-zeit (min)]]),5))</f>
        <v>40</v>
      </c>
      <c r="P310">
        <v>7.25</v>
      </c>
      <c r="Q310">
        <f>IFERROR(ROUND(Lose[[#This Row],[Distanz (km)]]*60/Lose[[#This Row],[Gehzeit (min)]],1),"")</f>
        <v>4.0999999999999996</v>
      </c>
      <c r="R3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0.32</v>
      </c>
      <c r="S310">
        <f>IFERROR(Lose[[#This Row],[Distanz (km)]]-Lose[[#This Row],[Check Distanz]],"")</f>
        <v>0.23000000000000004</v>
      </c>
      <c r="T310" s="60">
        <f>IFERROR(Lose[[#This Row],[Check Umweg]]/Lose[[#This Row],[Check Distanz]],"")</f>
        <v>0.71875000000000011</v>
      </c>
      <c r="U310">
        <f ca="1">IF(RIGHT(Lose[[#This Row],[LosID]],1)="b",_xlfn.XLOOKUP(REPLACE(Lose[[#This Row],[LosID]],LEN(Lose[[#This Row],[LosID]]),1,"a"),Lose[LosID],Lose[Zufallszahl],"",0),RAND())</f>
        <v>0.98999604819560771</v>
      </c>
      <c r="V310" t="b" cm="1">
        <f t="array" aca="1" ref="V310" ca="1">Lose[[#This Row],[Zufallszahl]]&gt;=IFERROR(LARGE((LEFT(Lose[LosID],FIND("-",Lose[LosID])-1)=LEFT(Lose[[#This Row],[LosID]],FIND("-",Lose[[#This Row],[LosID]])-1))*Lose[Zufallszahl],_xlfn.XLOOKUP(LEFT(Lose[[#This Row],[LosID]],FIND("-",Lose[[#This Row],[LosID]])-1),Ziehungsanzahl[Kürzel],Ziehungsanzahl[Kontingent],FALSE,0)),9999)</f>
        <v>0</v>
      </c>
      <c r="W310" t="s">
        <v>132</v>
      </c>
    </row>
    <row r="311" spans="1:23" ht="120">
      <c r="A3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1" t="s">
        <v>23385</v>
      </c>
      <c r="C311" t="s">
        <v>24361</v>
      </c>
      <c r="D311" s="1" t="s">
        <v>24362</v>
      </c>
      <c r="E311" t="s">
        <v>24363</v>
      </c>
      <c r="F311" t="s">
        <v>24364</v>
      </c>
      <c r="G311">
        <v>10</v>
      </c>
      <c r="H311">
        <v>5</v>
      </c>
      <c r="I311">
        <v>0.7</v>
      </c>
      <c r="J311">
        <v>40</v>
      </c>
      <c r="K311" t="str" cm="1">
        <f t="array" ref="K3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Kahl(Main)</v>
      </c>
      <c r="L311" t="str">
        <f>IFERROR(LEFT(TRIM(Lose[[#This Row],[Google Koordinaten]]),9),"")</f>
        <v>50.081817</v>
      </c>
      <c r="M311" t="str">
        <f>IFERROR(MID(TRIM(Lose[[#This Row],[Google Koordinaten]]),
FIND(",",TRIM(Lose[[#This Row],[Google Koordinaten]])) + 2,9),"")</f>
        <v>9.0082811</v>
      </c>
      <c r="N311">
        <f>IF(Lose[[#This Row],[Bahn-hofs-zeit]]=0,0,MROUND(30*25^((Lose[[#This Row],[Bahn-hofs-zeit]]-_xlfn.MINIFS(Lose[Bahn-hofs-zeit],Lose[Bahn-hofs-zeit],"&gt;0"))/(MAX(Lose[Bahn-hofs-zeit])-_xlfn.MINIFS(Lose[Bahn-hofs-zeit],Lose[Bahn-hofs-zeit],"&gt;0"))),5))</f>
        <v>50</v>
      </c>
      <c r="O311">
        <f>IF(Lose[[#This Row],[Gehzeit (min)]]="",0,CEILING(3*(Lose[[#This Row],[Gehzeit (min)]]+Lose[[#This Row],[Aufgaben-zeit (min)]]),5))</f>
        <v>45</v>
      </c>
      <c r="P311">
        <v>5</v>
      </c>
      <c r="Q311">
        <f>IFERROR(ROUND(Lose[[#This Row],[Distanz (km)]]*60/Lose[[#This Row],[Gehzeit (min)]],1),"")</f>
        <v>4.2</v>
      </c>
      <c r="R3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311">
        <f>IFERROR(Lose[[#This Row],[Distanz (km)]]-Lose[[#This Row],[Check Distanz]],"")</f>
        <v>0.10999999999999999</v>
      </c>
      <c r="T311" s="60">
        <f>IFERROR(Lose[[#This Row],[Check Umweg]]/Lose[[#This Row],[Check Distanz]],"")</f>
        <v>0.18644067796610167</v>
      </c>
      <c r="U311">
        <f ca="1">IF(RIGHT(Lose[[#This Row],[LosID]],1)="b",_xlfn.XLOOKUP(REPLACE(Lose[[#This Row],[LosID]],LEN(Lose[[#This Row],[LosID]]),1,"a"),Lose[LosID],Lose[Zufallszahl],"",0),RAND())</f>
        <v>0.87096827811736632</v>
      </c>
      <c r="V311" t="b" cm="1">
        <f t="array" aca="1" ref="V311" ca="1">Lose[[#This Row],[Zufallszahl]]&gt;=IFERROR(LARGE((LEFT(Lose[LosID],FIND("-",Lose[LosID])-1)=LEFT(Lose[[#This Row],[LosID]],FIND("-",Lose[[#This Row],[LosID]])-1))*Lose[Zufallszahl],_xlfn.XLOOKUP(LEFT(Lose[[#This Row],[LosID]],FIND("-",Lose[[#This Row],[LosID]])-1),Ziehungsanzahl[Kürzel],Ziehungsanzahl[Kontingent],FALSE,0)),9999)</f>
        <v>0</v>
      </c>
    </row>
    <row r="312" spans="1:23" ht="30" hidden="1">
      <c r="A3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2" t="s">
        <v>23390</v>
      </c>
      <c r="C312" t="s">
        <v>24365</v>
      </c>
      <c r="D312" s="1" t="s">
        <v>24366</v>
      </c>
      <c r="E312" t="s">
        <v>24367</v>
      </c>
      <c r="F312" t="s">
        <v>24368</v>
      </c>
      <c r="G312">
        <v>10</v>
      </c>
      <c r="H312">
        <v>2</v>
      </c>
      <c r="I312">
        <v>0.75</v>
      </c>
      <c r="K312" t="str" cm="1">
        <f t="array" ref="K3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Barmstedt Brunnenstr</v>
      </c>
      <c r="L312" t="str">
        <f>IFERROR(LEFT(TRIM(Lose[[#This Row],[Google Koordinaten]]),9),"")</f>
        <v>53.786514</v>
      </c>
      <c r="M312" t="str">
        <f>IFERROR(MID(TRIM(Lose[[#This Row],[Google Koordinaten]]),
FIND(",",TRIM(Lose[[#This Row],[Google Koordinaten]])) + 2,9),"")</f>
        <v>9.7635613</v>
      </c>
      <c r="N312">
        <f>IF(Lose[[#This Row],[Bahn-hofs-zeit]]=0,0,MROUND(30*25^((Lose[[#This Row],[Bahn-hofs-zeit]]-_xlfn.MINIFS(Lose[Bahn-hofs-zeit],Lose[Bahn-hofs-zeit],"&gt;0"))/(MAX(Lose[Bahn-hofs-zeit])-_xlfn.MINIFS(Lose[Bahn-hofs-zeit],Lose[Bahn-hofs-zeit],"&gt;0"))),5))</f>
        <v>135</v>
      </c>
      <c r="O312">
        <f>IF(Lose[[#This Row],[Gehzeit (min)]]="",0,CEILING(3*(Lose[[#This Row],[Gehzeit (min)]]+Lose[[#This Row],[Aufgaben-zeit (min)]]),5))</f>
        <v>40</v>
      </c>
      <c r="P312">
        <v>8.5</v>
      </c>
      <c r="Q312">
        <f>IFERROR(ROUND(Lose[[#This Row],[Distanz (km)]]*60/Lose[[#This Row],[Gehzeit (min)]],1),"")</f>
        <v>4.5</v>
      </c>
      <c r="R3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312">
        <f>IFERROR(Lose[[#This Row],[Distanz (km)]]-Lose[[#This Row],[Check Distanz]],"")</f>
        <v>6.0000000000000053E-2</v>
      </c>
      <c r="T312" s="60">
        <f>IFERROR(Lose[[#This Row],[Check Umweg]]/Lose[[#This Row],[Check Distanz]],"")</f>
        <v>8.6956521739130516E-2</v>
      </c>
      <c r="U312">
        <f ca="1">IF(RIGHT(Lose[[#This Row],[LosID]],1)="b",_xlfn.XLOOKUP(REPLACE(Lose[[#This Row],[LosID]],LEN(Lose[[#This Row],[LosID]]),1,"a"),Lose[LosID],Lose[Zufallszahl],"",0),RAND())</f>
        <v>0.73011439082334295</v>
      </c>
      <c r="V312" t="b" cm="1">
        <f t="array" aca="1" ref="V312" ca="1">Lose[[#This Row],[Zufallszahl]]&gt;=IFERROR(LARGE((LEFT(Lose[LosID],FIND("-",Lose[LosID])-1)=LEFT(Lose[[#This Row],[LosID]],FIND("-",Lose[[#This Row],[LosID]])-1))*Lose[Zufallszahl],_xlfn.XLOOKUP(LEFT(Lose[[#This Row],[LosID]],FIND("-",Lose[[#This Row],[LosID]])-1),Ziehungsanzahl[Kürzel],Ziehungsanzahl[Kontingent],FALSE,0)),9999)</f>
        <v>0</v>
      </c>
    </row>
    <row r="313" spans="1:23" ht="60" hidden="1">
      <c r="A3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3" t="s">
        <v>23394</v>
      </c>
      <c r="C313" t="s">
        <v>24369</v>
      </c>
      <c r="D313" s="1" t="s">
        <v>24370</v>
      </c>
      <c r="E313" t="s">
        <v>24371</v>
      </c>
      <c r="F313" t="s">
        <v>24372</v>
      </c>
      <c r="G313">
        <v>4</v>
      </c>
      <c r="H313">
        <v>2</v>
      </c>
      <c r="I313">
        <v>0.3</v>
      </c>
      <c r="K313" t="str" cm="1">
        <f t="array" ref="K3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Viechtach</v>
      </c>
      <c r="L313" t="str">
        <f>IFERROR(LEFT(TRIM(Lose[[#This Row],[Google Koordinaten]]),9),"")</f>
        <v>49.077130</v>
      </c>
      <c r="M313" t="str">
        <f>IFERROR(MID(TRIM(Lose[[#This Row],[Google Koordinaten]]),
FIND(",",TRIM(Lose[[#This Row],[Google Koordinaten]])) + 2,9),"")</f>
        <v>12.891388</v>
      </c>
      <c r="N313" s="91">
        <f>IF(Lose[[#This Row],[Bahn-hofs-zeit]]=0,0,MROUND(30*25^((Lose[[#This Row],[Bahn-hofs-zeit]]-_xlfn.MINIFS(Lose[Bahn-hofs-zeit],Lose[Bahn-hofs-zeit],"&gt;0"))/(MAX(Lose[Bahn-hofs-zeit])-_xlfn.MINIFS(Lose[Bahn-hofs-zeit],Lose[Bahn-hofs-zeit],"&gt;0"))),5))</f>
        <v>0</v>
      </c>
      <c r="O313">
        <f>IF(Lose[[#This Row],[Gehzeit (min)]]="",0,CEILING(3*(Lose[[#This Row],[Gehzeit (min)]]+Lose[[#This Row],[Aufgaben-zeit (min)]]),5))</f>
        <v>20</v>
      </c>
      <c r="Q313">
        <f>IFERROR(ROUND(Lose[[#This Row],[Distanz (km)]]*60/Lose[[#This Row],[Gehzeit (min)]],1),"")</f>
        <v>4.5</v>
      </c>
      <c r="R3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313">
        <f>IFERROR(Lose[[#This Row],[Distanz (km)]]-Lose[[#This Row],[Check Distanz]],"")</f>
        <v>0.06</v>
      </c>
      <c r="T313" s="60">
        <f>IFERROR(Lose[[#This Row],[Check Umweg]]/Lose[[#This Row],[Check Distanz]],"")</f>
        <v>0.25</v>
      </c>
      <c r="U313">
        <f ca="1">IF(RIGHT(Lose[[#This Row],[LosID]],1)="b",_xlfn.XLOOKUP(REPLACE(Lose[[#This Row],[LosID]],LEN(Lose[[#This Row],[LosID]]),1,"a"),Lose[LosID],Lose[Zufallszahl],"",0),RAND())</f>
        <v>0.4077213001304042</v>
      </c>
      <c r="V313" t="b" cm="1">
        <f t="array" aca="1" ref="V313" ca="1">Lose[[#This Row],[Zufallszahl]]&gt;=IFERROR(LARGE((LEFT(Lose[LosID],FIND("-",Lose[LosID])-1)=LEFT(Lose[[#This Row],[LosID]],FIND("-",Lose[[#This Row],[LosID]])-1))*Lose[Zufallszahl],_xlfn.XLOOKUP(LEFT(Lose[[#This Row],[LosID]],FIND("-",Lose[[#This Row],[LosID]])-1),Ziehungsanzahl[Kürzel],Ziehungsanzahl[Kontingent],FALSE,0)),9999)</f>
        <v>0</v>
      </c>
      <c r="W313" t="s">
        <v>23398</v>
      </c>
    </row>
    <row r="314" spans="1:23" ht="105" hidden="1">
      <c r="A3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14" t="s">
        <v>23403</v>
      </c>
      <c r="C314" s="75" t="s">
        <v>1338</v>
      </c>
      <c r="D314" s="1" t="s">
        <v>24373</v>
      </c>
      <c r="E314" t="s">
        <v>24374</v>
      </c>
      <c r="F314" t="s">
        <v>24375</v>
      </c>
      <c r="G314">
        <v>9</v>
      </c>
      <c r="H314">
        <v>5</v>
      </c>
      <c r="I314">
        <v>0.7</v>
      </c>
      <c r="J314">
        <v>20</v>
      </c>
      <c r="K314" t="str" cm="1">
        <f t="array" ref="K3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Oberwinden</v>
      </c>
      <c r="L314" t="str">
        <f>IFERROR(LEFT(TRIM(Lose[[#This Row],[Google Koordinaten]]),9),"")</f>
        <v>48.154733</v>
      </c>
      <c r="M314" t="str">
        <f>IFERROR(MID(TRIM(Lose[[#This Row],[Google Koordinaten]]),
FIND(",",TRIM(Lose[[#This Row],[Google Koordinaten]])) + 2,9),"")</f>
        <v>8.0457015</v>
      </c>
      <c r="N314">
        <f>IF(Lose[[#This Row],[Bahn-hofs-zeit]]=0,0,MROUND(30*25^((Lose[[#This Row],[Bahn-hofs-zeit]]-_xlfn.MINIFS(Lose[Bahn-hofs-zeit],Lose[Bahn-hofs-zeit],"&gt;0"))/(MAX(Lose[Bahn-hofs-zeit])-_xlfn.MINIFS(Lose[Bahn-hofs-zeit],Lose[Bahn-hofs-zeit],"&gt;0"))),5))</f>
        <v>165</v>
      </c>
      <c r="O314">
        <f>IF(Lose[[#This Row],[Gehzeit (min)]]="",0,CEILING(3*(Lose[[#This Row],[Gehzeit (min)]]+Lose[[#This Row],[Aufgaben-zeit (min)]]),5))</f>
        <v>45</v>
      </c>
      <c r="P314">
        <v>9.25</v>
      </c>
      <c r="Q314">
        <f>IFERROR(ROUND(Lose[[#This Row],[Distanz (km)]]*60/Lose[[#This Row],[Gehzeit (min)]],1),"")</f>
        <v>4.7</v>
      </c>
      <c r="R3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314">
        <f>IFERROR(Lose[[#This Row],[Distanz (km)]]-Lose[[#This Row],[Check Distanz]],"")</f>
        <v>0.43999999999999995</v>
      </c>
      <c r="T314" s="60">
        <f>IFERROR(Lose[[#This Row],[Check Umweg]]/Lose[[#This Row],[Check Distanz]],"")</f>
        <v>1.6923076923076921</v>
      </c>
      <c r="U314">
        <f ca="1">IF(RIGHT(Lose[[#This Row],[LosID]],1)="b",_xlfn.XLOOKUP(REPLACE(Lose[[#This Row],[LosID]],LEN(Lose[[#This Row],[LosID]]),1,"a"),Lose[LosID],Lose[Zufallszahl],"",0),RAND())</f>
        <v>0.36837835259186946</v>
      </c>
      <c r="V314" t="b" cm="1">
        <f t="array" aca="1" ref="V314" ca="1">Lose[[#This Row],[Zufallszahl]]&gt;=IFERROR(LARGE((LEFT(Lose[LosID],FIND("-",Lose[LosID])-1)=LEFT(Lose[[#This Row],[LosID]],FIND("-",Lose[[#This Row],[LosID]])-1))*Lose[Zufallszahl],_xlfn.XLOOKUP(LEFT(Lose[[#This Row],[LosID]],FIND("-",Lose[[#This Row],[LosID]])-1),Ziehungsanzahl[Kürzel],Ziehungsanzahl[Kontingent],FALSE,0)),9999)</f>
        <v>0</v>
      </c>
      <c r="W314" t="s">
        <v>23362</v>
      </c>
    </row>
    <row r="315" spans="1:23" ht="45" hidden="1">
      <c r="A3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5" t="s">
        <v>23408</v>
      </c>
      <c r="C315" t="s">
        <v>1339</v>
      </c>
      <c r="D315" s="1" t="s">
        <v>24376</v>
      </c>
      <c r="E315" t="s">
        <v>24377</v>
      </c>
      <c r="F315" t="s">
        <v>24378</v>
      </c>
      <c r="G315">
        <v>10</v>
      </c>
      <c r="H315">
        <v>5</v>
      </c>
      <c r="I315">
        <v>0.7</v>
      </c>
      <c r="J315">
        <v>5</v>
      </c>
      <c r="K315" t="str" cm="1">
        <f t="array" ref="K3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Thale Hbf</v>
      </c>
      <c r="L315" t="str">
        <f>IFERROR(LEFT(TRIM(Lose[[#This Row],[Google Koordinaten]]),9),"")</f>
        <v>51.741649</v>
      </c>
      <c r="M315" t="str">
        <f>IFERROR(MID(TRIM(Lose[[#This Row],[Google Koordinaten]]),
FIND(",",TRIM(Lose[[#This Row],[Google Koordinaten]])) + 2,9),"")</f>
        <v>11.026719</v>
      </c>
      <c r="N315">
        <f>IF(Lose[[#This Row],[Bahn-hofs-zeit]]=0,0,MROUND(30*25^((Lose[[#This Row],[Bahn-hofs-zeit]]-_xlfn.MINIFS(Lose[Bahn-hofs-zeit],Lose[Bahn-hofs-zeit],"&gt;0"))/(MAX(Lose[Bahn-hofs-zeit])-_xlfn.MINIFS(Lose[Bahn-hofs-zeit],Lose[Bahn-hofs-zeit],"&gt;0"))),5))</f>
        <v>240</v>
      </c>
      <c r="O315">
        <f>IF(Lose[[#This Row],[Gehzeit (min)]]="",0,CEILING(3*(Lose[[#This Row],[Gehzeit (min)]]+Lose[[#This Row],[Aufgaben-zeit (min)]]),5))</f>
        <v>45</v>
      </c>
      <c r="P315">
        <v>10.5</v>
      </c>
      <c r="Q315">
        <f>IFERROR(ROUND(Lose[[#This Row],[Distanz (km)]]*60/Lose[[#This Row],[Gehzeit (min)]],1),"")</f>
        <v>4.2</v>
      </c>
      <c r="R3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315">
        <f>IFERROR(Lose[[#This Row],[Distanz (km)]]-Lose[[#This Row],[Check Distanz]],"")</f>
        <v>0.13</v>
      </c>
      <c r="T315" s="60">
        <f>IFERROR(Lose[[#This Row],[Check Umweg]]/Lose[[#This Row],[Check Distanz]],"")</f>
        <v>0.22807017543859651</v>
      </c>
      <c r="U315">
        <f ca="1">IF(RIGHT(Lose[[#This Row],[LosID]],1)="b",_xlfn.XLOOKUP(REPLACE(Lose[[#This Row],[LosID]],LEN(Lose[[#This Row],[LosID]]),1,"a"),Lose[LosID],Lose[Zufallszahl],"",0),RAND())</f>
        <v>0.17750898926744396</v>
      </c>
      <c r="V315" t="b" cm="1">
        <f t="array" aca="1" ref="V315" ca="1">Lose[[#This Row],[Zufallszahl]]&gt;=IFERROR(LARGE((LEFT(Lose[LosID],FIND("-",Lose[LosID])-1)=LEFT(Lose[[#This Row],[LosID]],FIND("-",Lose[[#This Row],[LosID]])-1))*Lose[Zufallszahl],_xlfn.XLOOKUP(LEFT(Lose[[#This Row],[LosID]],FIND("-",Lose[[#This Row],[LosID]])-1),Ziehungsanzahl[Kürzel],Ziehungsanzahl[Kontingent],FALSE,0)),9999)</f>
        <v>0</v>
      </c>
    </row>
    <row r="316" spans="1:23" ht="45" hidden="1">
      <c r="A3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6" t="s">
        <v>23412</v>
      </c>
      <c r="C316" t="s">
        <v>1340</v>
      </c>
      <c r="D316" s="1" t="s">
        <v>24379</v>
      </c>
      <c r="E316" t="s">
        <v>24380</v>
      </c>
      <c r="F316" t="s">
        <v>24381</v>
      </c>
      <c r="G316">
        <v>15</v>
      </c>
      <c r="H316">
        <v>1</v>
      </c>
      <c r="I316">
        <v>0.9</v>
      </c>
      <c r="K316" t="str" cm="1">
        <f t="array" ref="K3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Diez</v>
      </c>
      <c r="L316" t="str">
        <f>IFERROR(LEFT(TRIM(Lose[[#This Row],[Google Koordinaten]]),9),"")</f>
        <v>50.372934</v>
      </c>
      <c r="M316" t="str">
        <f>IFERROR(MID(TRIM(Lose[[#This Row],[Google Koordinaten]]),
FIND(",",TRIM(Lose[[#This Row],[Google Koordinaten]])) + 2,9),"")</f>
        <v>8.0119519</v>
      </c>
      <c r="N316">
        <f>IF(Lose[[#This Row],[Bahn-hofs-zeit]]=0,0,MROUND(30*25^((Lose[[#This Row],[Bahn-hofs-zeit]]-_xlfn.MINIFS(Lose[Bahn-hofs-zeit],Lose[Bahn-hofs-zeit],"&gt;0"))/(MAX(Lose[Bahn-hofs-zeit])-_xlfn.MINIFS(Lose[Bahn-hofs-zeit],Lose[Bahn-hofs-zeit],"&gt;0"))),5))</f>
        <v>55</v>
      </c>
      <c r="O316">
        <f>IF(Lose[[#This Row],[Gehzeit (min)]]="",0,CEILING(3*(Lose[[#This Row],[Gehzeit (min)]]+Lose[[#This Row],[Aufgaben-zeit (min)]]),5))</f>
        <v>50</v>
      </c>
      <c r="P316">
        <v>5.5</v>
      </c>
      <c r="Q316">
        <f>IFERROR(ROUND(Lose[[#This Row],[Distanz (km)]]*60/Lose[[#This Row],[Gehzeit (min)]],1),"")</f>
        <v>3.6</v>
      </c>
      <c r="R3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316">
        <f>IFERROR(Lose[[#This Row],[Distanz (km)]]-Lose[[#This Row],[Check Distanz]],"")</f>
        <v>0.27</v>
      </c>
      <c r="T316" s="60">
        <f>IFERROR(Lose[[#This Row],[Check Umweg]]/Lose[[#This Row],[Check Distanz]],"")</f>
        <v>0.4285714285714286</v>
      </c>
      <c r="U316">
        <f ca="1">IF(RIGHT(Lose[[#This Row],[LosID]],1)="b",_xlfn.XLOOKUP(REPLACE(Lose[[#This Row],[LosID]],LEN(Lose[[#This Row],[LosID]]),1,"a"),Lose[LosID],Lose[Zufallszahl],"",0),RAND())</f>
        <v>0.87536178770513773</v>
      </c>
      <c r="V316" t="b" cm="1">
        <f t="array" aca="1" ref="V316" ca="1">Lose[[#This Row],[Zufallszahl]]&gt;=IFERROR(LARGE((LEFT(Lose[LosID],FIND("-",Lose[LosID])-1)=LEFT(Lose[[#This Row],[LosID]],FIND("-",Lose[[#This Row],[LosID]])-1))*Lose[Zufallszahl],_xlfn.XLOOKUP(LEFT(Lose[[#This Row],[LosID]],FIND("-",Lose[[#This Row],[LosID]])-1),Ziehungsanzahl[Kürzel],Ziehungsanzahl[Kontingent],FALSE,0)),9999)</f>
        <v>0</v>
      </c>
    </row>
    <row r="317" spans="1:23" ht="60" hidden="1">
      <c r="A3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7" t="s">
        <v>23416</v>
      </c>
      <c r="C317" t="s">
        <v>24382</v>
      </c>
      <c r="D317" s="1" t="s">
        <v>24383</v>
      </c>
      <c r="E317" t="s">
        <v>24384</v>
      </c>
      <c r="F317" t="s">
        <v>24385</v>
      </c>
      <c r="G317">
        <v>4</v>
      </c>
      <c r="H317">
        <v>12</v>
      </c>
      <c r="I317">
        <v>0.25</v>
      </c>
      <c r="J317">
        <v>0</v>
      </c>
      <c r="K317" t="str" cm="1">
        <f t="array" ref="K3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Berleburg</v>
      </c>
      <c r="L317" t="str">
        <f>IFERROR(LEFT(TRIM(Lose[[#This Row],[Google Koordinaten]]),9),"")</f>
        <v>51.052780</v>
      </c>
      <c r="M317" t="str">
        <f>IFERROR(MID(TRIM(Lose[[#This Row],[Google Koordinaten]]),
FIND(",",TRIM(Lose[[#This Row],[Google Koordinaten]])) + 2,9),"")</f>
        <v>8.394440</v>
      </c>
      <c r="N317">
        <f>IF(Lose[[#This Row],[Bahn-hofs-zeit]]=0,0,MROUND(30*25^((Lose[[#This Row],[Bahn-hofs-zeit]]-_xlfn.MINIFS(Lose[Bahn-hofs-zeit],Lose[Bahn-hofs-zeit],"&gt;0"))/(MAX(Lose[Bahn-hofs-zeit])-_xlfn.MINIFS(Lose[Bahn-hofs-zeit],Lose[Bahn-hofs-zeit],"&gt;0"))),5))</f>
        <v>145</v>
      </c>
      <c r="O317">
        <f>IF(Lose[[#This Row],[Gehzeit (min)]]="",0,CEILING(3*(Lose[[#This Row],[Gehzeit (min)]]+Lose[[#This Row],[Aufgaben-zeit (min)]]),5))</f>
        <v>50</v>
      </c>
      <c r="P317">
        <v>8.75</v>
      </c>
      <c r="Q317">
        <f>IFERROR(ROUND(Lose[[#This Row],[Distanz (km)]]*60/Lose[[#This Row],[Gehzeit (min)]],1),"")</f>
        <v>3.8</v>
      </c>
      <c r="R3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317">
        <f>IFERROR(Lose[[#This Row],[Distanz (km)]]-Lose[[#This Row],[Check Distanz]],"")</f>
        <v>7.0000000000000007E-2</v>
      </c>
      <c r="T317" s="60">
        <f>IFERROR(Lose[[#This Row],[Check Umweg]]/Lose[[#This Row],[Check Distanz]],"")</f>
        <v>0.38888888888888895</v>
      </c>
      <c r="U317">
        <f ca="1">IF(RIGHT(Lose[[#This Row],[LosID]],1)="b",_xlfn.XLOOKUP(REPLACE(Lose[[#This Row],[LosID]],LEN(Lose[[#This Row],[LosID]]),1,"a"),Lose[LosID],Lose[Zufallszahl],"",0),RAND())</f>
        <v>0.48234605913300099</v>
      </c>
      <c r="V317" t="b" cm="1">
        <f t="array" aca="1" ref="V317" ca="1">Lose[[#This Row],[Zufallszahl]]&gt;=IFERROR(LARGE((LEFT(Lose[LosID],FIND("-",Lose[LosID])-1)=LEFT(Lose[[#This Row],[LosID]],FIND("-",Lose[[#This Row],[LosID]])-1))*Lose[Zufallszahl],_xlfn.XLOOKUP(LEFT(Lose[[#This Row],[LosID]],FIND("-",Lose[[#This Row],[LosID]])-1),Ziehungsanzahl[Kürzel],Ziehungsanzahl[Kontingent],FALSE,0)),9999)</f>
        <v>0</v>
      </c>
    </row>
    <row r="318" spans="1:23" ht="165" hidden="1">
      <c r="A3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8" t="s">
        <v>23403</v>
      </c>
      <c r="C318" s="75" t="s">
        <v>1334</v>
      </c>
      <c r="D318" s="1" t="s">
        <v>24386</v>
      </c>
      <c r="E318" t="s">
        <v>24387</v>
      </c>
      <c r="F318" t="s">
        <v>24388</v>
      </c>
      <c r="G318">
        <v>5</v>
      </c>
      <c r="H318">
        <v>1</v>
      </c>
      <c r="I318">
        <v>0.4</v>
      </c>
      <c r="J318">
        <v>20</v>
      </c>
      <c r="K318" t="str" cm="1">
        <f t="array" ref="K3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Titisee</v>
      </c>
      <c r="L318" t="str">
        <f>IFERROR(LEFT(TRIM(Lose[[#This Row],[Google Koordinaten]]),9),"")</f>
        <v>47.900777</v>
      </c>
      <c r="M318" t="str">
        <f>IFERROR(MID(TRIM(Lose[[#This Row],[Google Koordinaten]]),
FIND(",",TRIM(Lose[[#This Row],[Google Koordinaten]])) + 2,9),"")</f>
        <v>8.1523534</v>
      </c>
      <c r="N318">
        <f>IF(Lose[[#This Row],[Bahn-hofs-zeit]]=0,0,MROUND(30*25^((Lose[[#This Row],[Bahn-hofs-zeit]]-_xlfn.MINIFS(Lose[Bahn-hofs-zeit],Lose[Bahn-hofs-zeit],"&gt;0"))/(MAX(Lose[Bahn-hofs-zeit])-_xlfn.MINIFS(Lose[Bahn-hofs-zeit],Lose[Bahn-hofs-zeit],"&gt;0"))),5))</f>
        <v>165</v>
      </c>
      <c r="O318">
        <f>IF(Lose[[#This Row],[Gehzeit (min)]]="",0,CEILING(3*(Lose[[#This Row],[Gehzeit (min)]]+Lose[[#This Row],[Aufgaben-zeit (min)]]),5))</f>
        <v>20</v>
      </c>
      <c r="P318">
        <v>9.25</v>
      </c>
      <c r="Q318">
        <f>IFERROR(ROUND(Lose[[#This Row],[Distanz (km)]]*60/Lose[[#This Row],[Gehzeit (min)]],1),"")</f>
        <v>4.8</v>
      </c>
      <c r="R3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318">
        <f>IFERROR(Lose[[#This Row],[Distanz (km)]]-Lose[[#This Row],[Check Distanz]],"")</f>
        <v>4.0000000000000036E-2</v>
      </c>
      <c r="T318" s="60">
        <f>IFERROR(Lose[[#This Row],[Check Umweg]]/Lose[[#This Row],[Check Distanz]],"")</f>
        <v>0.11111111111111122</v>
      </c>
      <c r="U318">
        <f ca="1">IF(RIGHT(Lose[[#This Row],[LosID]],1)="b",_xlfn.XLOOKUP(REPLACE(Lose[[#This Row],[LosID]],LEN(Lose[[#This Row],[LosID]]),1,"a"),Lose[LosID],Lose[Zufallszahl],"",0),RAND())</f>
        <v>0.53332095982171523</v>
      </c>
      <c r="V318" t="b" cm="1">
        <f t="array" aca="1" ref="V318" ca="1">Lose[[#This Row],[Zufallszahl]]&gt;=IFERROR(LARGE((LEFT(Lose[LosID],FIND("-",Lose[LosID])-1)=LEFT(Lose[[#This Row],[LosID]],FIND("-",Lose[[#This Row],[LosID]])-1))*Lose[Zufallszahl],_xlfn.XLOOKUP(LEFT(Lose[[#This Row],[LosID]],FIND("-",Lose[[#This Row],[LosID]])-1),Ziehungsanzahl[Kürzel],Ziehungsanzahl[Kontingent],FALSE,0)),9999)</f>
        <v>0</v>
      </c>
    </row>
    <row r="319" spans="1:23" ht="45" hidden="1">
      <c r="A3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9" t="s">
        <v>23357</v>
      </c>
      <c r="C319" t="s">
        <v>24389</v>
      </c>
      <c r="D319" s="1" t="s">
        <v>24390</v>
      </c>
      <c r="E319" t="s">
        <v>24391</v>
      </c>
      <c r="F319" t="s">
        <v>24392</v>
      </c>
      <c r="G319">
        <v>16</v>
      </c>
      <c r="H319">
        <v>3</v>
      </c>
      <c r="I319">
        <v>1.2</v>
      </c>
      <c r="K319" t="str" cm="1">
        <f t="array" ref="K3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Laasphe</v>
      </c>
      <c r="L319" t="str">
        <f>IFERROR(LEFT(TRIM(Lose[[#This Row],[Google Koordinaten]]),9),"")</f>
        <v>50.930293</v>
      </c>
      <c r="M319" t="str">
        <f>IFERROR(MID(TRIM(Lose[[#This Row],[Google Koordinaten]]),
FIND(",",TRIM(Lose[[#This Row],[Google Koordinaten]])) + 2,9),"")</f>
        <v>8.4073368</v>
      </c>
      <c r="N319">
        <f>IF(Lose[[#This Row],[Bahn-hofs-zeit]]=0,0,MROUND(30*25^((Lose[[#This Row],[Bahn-hofs-zeit]]-_xlfn.MINIFS(Lose[Bahn-hofs-zeit],Lose[Bahn-hofs-zeit],"&gt;0"))/(MAX(Lose[Bahn-hofs-zeit])-_xlfn.MINIFS(Lose[Bahn-hofs-zeit],Lose[Bahn-hofs-zeit],"&gt;0"))),5))</f>
        <v>100</v>
      </c>
      <c r="O319">
        <f>IF(Lose[[#This Row],[Gehzeit (min)]]="",0,CEILING(3*(Lose[[#This Row],[Gehzeit (min)]]+Lose[[#This Row],[Aufgaben-zeit (min)]]),5))</f>
        <v>60</v>
      </c>
      <c r="P319">
        <v>7.5</v>
      </c>
      <c r="Q319">
        <f>IFERROR(ROUND(Lose[[#This Row],[Distanz (km)]]*60/Lose[[#This Row],[Gehzeit (min)]],1),"")</f>
        <v>4.5</v>
      </c>
      <c r="R3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319">
        <f>IFERROR(Lose[[#This Row],[Distanz (km)]]-Lose[[#This Row],[Check Distanz]],"")</f>
        <v>0.26</v>
      </c>
      <c r="T319" s="60">
        <f>IFERROR(Lose[[#This Row],[Check Umweg]]/Lose[[#This Row],[Check Distanz]],"")</f>
        <v>0.27659574468085107</v>
      </c>
      <c r="U319">
        <f ca="1">IF(RIGHT(Lose[[#This Row],[LosID]],1)="b",_xlfn.XLOOKUP(REPLACE(Lose[[#This Row],[LosID]],LEN(Lose[[#This Row],[LosID]]),1,"a"),Lose[LosID],Lose[Zufallszahl],"",0),RAND())</f>
        <v>0.99109046923405864</v>
      </c>
      <c r="V319" t="b" cm="1">
        <f t="array" aca="1" ref="V319" ca="1">Lose[[#This Row],[Zufallszahl]]&gt;=IFERROR(LARGE((LEFT(Lose[LosID],FIND("-",Lose[LosID])-1)=LEFT(Lose[[#This Row],[LosID]],FIND("-",Lose[[#This Row],[LosID]])-1))*Lose[Zufallszahl],_xlfn.XLOOKUP(LEFT(Lose[[#This Row],[LosID]],FIND("-",Lose[[#This Row],[LosID]])-1),Ziehungsanzahl[Kürzel],Ziehungsanzahl[Kontingent],FALSE,0)),9999)</f>
        <v>0</v>
      </c>
    </row>
    <row r="320" spans="1:23" ht="135" hidden="1">
      <c r="A3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0" t="s">
        <v>23363</v>
      </c>
      <c r="C320" t="s">
        <v>1341</v>
      </c>
      <c r="D320" s="1" t="s">
        <v>24393</v>
      </c>
      <c r="E320" t="s">
        <v>24394</v>
      </c>
      <c r="F320" t="s">
        <v>24395</v>
      </c>
      <c r="G320">
        <v>23</v>
      </c>
      <c r="H320">
        <v>5</v>
      </c>
      <c r="I320">
        <v>1.8</v>
      </c>
      <c r="J320">
        <v>20</v>
      </c>
      <c r="K320" t="str" cm="1">
        <f t="array" ref="K3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Metelen Land</v>
      </c>
      <c r="L320" t="str">
        <f>IFERROR(LEFT(TRIM(Lose[[#This Row],[Google Koordinaten]]),9),"")</f>
        <v>52.150380</v>
      </c>
      <c r="M320" t="str">
        <f>IFERROR(MID(TRIM(Lose[[#This Row],[Google Koordinaten]]),
FIND(",",TRIM(Lose[[#This Row],[Google Koordinaten]])) + 2,9),"")</f>
        <v>7.2519842</v>
      </c>
      <c r="N320">
        <f>IF(Lose[[#This Row],[Bahn-hofs-zeit]]=0,0,MROUND(30*25^((Lose[[#This Row],[Bahn-hofs-zeit]]-_xlfn.MINIFS(Lose[Bahn-hofs-zeit],Lose[Bahn-hofs-zeit],"&gt;0"))/(MAX(Lose[Bahn-hofs-zeit])-_xlfn.MINIFS(Lose[Bahn-hofs-zeit],Lose[Bahn-hofs-zeit],"&gt;0"))),5))</f>
        <v>70</v>
      </c>
      <c r="O320">
        <f>IF(Lose[[#This Row],[Gehzeit (min)]]="",0,CEILING(3*(Lose[[#This Row],[Gehzeit (min)]]+Lose[[#This Row],[Aufgaben-zeit (min)]]),5))</f>
        <v>85</v>
      </c>
      <c r="P320">
        <v>6.25</v>
      </c>
      <c r="Q320">
        <f>IFERROR(ROUND(Lose[[#This Row],[Distanz (km)]]*60/Lose[[#This Row],[Gehzeit (min)]],1),"")</f>
        <v>4.7</v>
      </c>
      <c r="R3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1.36</v>
      </c>
      <c r="S320">
        <f>IFERROR(Lose[[#This Row],[Distanz (km)]]-Lose[[#This Row],[Check Distanz]],"")</f>
        <v>0.43999999999999995</v>
      </c>
      <c r="T320" s="60">
        <f>IFERROR(Lose[[#This Row],[Check Umweg]]/Lose[[#This Row],[Check Distanz]],"")</f>
        <v>0.32352941176470584</v>
      </c>
      <c r="U320">
        <f ca="1">IF(RIGHT(Lose[[#This Row],[LosID]],1)="b",_xlfn.XLOOKUP(REPLACE(Lose[[#This Row],[LosID]],LEN(Lose[[#This Row],[LosID]]),1,"a"),Lose[LosID],Lose[Zufallszahl],"",0),RAND())</f>
        <v>0.95087795050498847</v>
      </c>
      <c r="V320" t="b" cm="1">
        <f t="array" aca="1" ref="V320" ca="1">Lose[[#This Row],[Zufallszahl]]&gt;=IFERROR(LARGE((LEFT(Lose[LosID],FIND("-",Lose[LosID])-1)=LEFT(Lose[[#This Row],[LosID]],FIND("-",Lose[[#This Row],[LosID]])-1))*Lose[Zufallszahl],_xlfn.XLOOKUP(LEFT(Lose[[#This Row],[LosID]],FIND("-",Lose[[#This Row],[LosID]])-1),Ziehungsanzahl[Kürzel],Ziehungsanzahl[Kontingent],FALSE,0)),9999)</f>
        <v>0</v>
      </c>
    </row>
    <row r="321" spans="1:23" ht="30" hidden="1">
      <c r="A3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1" t="s">
        <v>23367</v>
      </c>
      <c r="C321" t="s">
        <v>24396</v>
      </c>
      <c r="D321" s="1" t="s">
        <v>24397</v>
      </c>
      <c r="E321" t="s">
        <v>24398</v>
      </c>
      <c r="F321" t="s">
        <v>24399</v>
      </c>
      <c r="G321">
        <v>13</v>
      </c>
      <c r="H321">
        <v>2</v>
      </c>
      <c r="I321">
        <v>1</v>
      </c>
      <c r="K321" t="str" cm="1">
        <f t="array" ref="K3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Segeberg</v>
      </c>
      <c r="L321" t="str">
        <f>IFERROR(LEFT(TRIM(Lose[[#This Row],[Google Koordinaten]]),9),"")</f>
        <v>53.939372</v>
      </c>
      <c r="M321" t="str">
        <f>IFERROR(MID(TRIM(Lose[[#This Row],[Google Koordinaten]]),
FIND(",",TRIM(Lose[[#This Row],[Google Koordinaten]])) + 2,9),"")</f>
        <v>10.314335</v>
      </c>
      <c r="N321">
        <f>IF(Lose[[#This Row],[Bahn-hofs-zeit]]=0,0,MROUND(30*25^((Lose[[#This Row],[Bahn-hofs-zeit]]-_xlfn.MINIFS(Lose[Bahn-hofs-zeit],Lose[Bahn-hofs-zeit],"&gt;0"))/(MAX(Lose[Bahn-hofs-zeit])-_xlfn.MINIFS(Lose[Bahn-hofs-zeit],Lose[Bahn-hofs-zeit],"&gt;0"))),5))</f>
        <v>135</v>
      </c>
      <c r="O321">
        <f>IF(Lose[[#This Row],[Gehzeit (min)]]="",0,CEILING(3*(Lose[[#This Row],[Gehzeit (min)]]+Lose[[#This Row],[Aufgaben-zeit (min)]]),5))</f>
        <v>45</v>
      </c>
      <c r="P321">
        <v>8.5</v>
      </c>
      <c r="Q321">
        <f>IFERROR(ROUND(Lose[[#This Row],[Distanz (km)]]*60/Lose[[#This Row],[Gehzeit (min)]],1),"")</f>
        <v>4.5999999999999996</v>
      </c>
      <c r="R3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321">
        <f>IFERROR(Lose[[#This Row],[Distanz (km)]]-Lose[[#This Row],[Check Distanz]],"")</f>
        <v>0.26</v>
      </c>
      <c r="T321" s="60">
        <f>IFERROR(Lose[[#This Row],[Check Umweg]]/Lose[[#This Row],[Check Distanz]],"")</f>
        <v>0.35135135135135137</v>
      </c>
      <c r="U321">
        <f ca="1">IF(RIGHT(Lose[[#This Row],[LosID]],1)="b",_xlfn.XLOOKUP(REPLACE(Lose[[#This Row],[LosID]],LEN(Lose[[#This Row],[LosID]]),1,"a"),Lose[LosID],Lose[Zufallszahl],"",0),RAND())</f>
        <v>0.18202956367670697</v>
      </c>
      <c r="V321" t="b" cm="1">
        <f t="array" aca="1" ref="V321" ca="1">Lose[[#This Row],[Zufallszahl]]&gt;=IFERROR(LARGE((LEFT(Lose[LosID],FIND("-",Lose[LosID])-1)=LEFT(Lose[[#This Row],[LosID]],FIND("-",Lose[[#This Row],[LosID]])-1))*Lose[Zufallszahl],_xlfn.XLOOKUP(LEFT(Lose[[#This Row],[LosID]],FIND("-",Lose[[#This Row],[LosID]])-1),Ziehungsanzahl[Kürzel],Ziehungsanzahl[Kontingent],FALSE,0)),9999)</f>
        <v>0</v>
      </c>
    </row>
    <row r="322" spans="1:23" ht="75" hidden="1">
      <c r="A3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2" t="s">
        <v>23372</v>
      </c>
      <c r="C322" t="s">
        <v>24400</v>
      </c>
      <c r="D322" s="1" t="s">
        <v>24401</v>
      </c>
      <c r="E322" t="s">
        <v>24402</v>
      </c>
      <c r="F322" t="s">
        <v>24403</v>
      </c>
      <c r="G322">
        <v>7</v>
      </c>
      <c r="H322">
        <v>2</v>
      </c>
      <c r="I322">
        <v>0.5</v>
      </c>
      <c r="J322">
        <v>10</v>
      </c>
      <c r="K322" t="str" cm="1">
        <f t="array" ref="K3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Goar</v>
      </c>
      <c r="L322" t="str">
        <f>IFERROR(LEFT(TRIM(Lose[[#This Row],[Google Koordinaten]]),9),"")</f>
        <v>50.152876</v>
      </c>
      <c r="M322" t="str">
        <f>IFERROR(MID(TRIM(Lose[[#This Row],[Google Koordinaten]]),
FIND(",",TRIM(Lose[[#This Row],[Google Koordinaten]])) + 2,9),"")</f>
        <v>7.7115444</v>
      </c>
      <c r="N322">
        <f>IF(Lose[[#This Row],[Bahn-hofs-zeit]]=0,0,MROUND(30*25^((Lose[[#This Row],[Bahn-hofs-zeit]]-_xlfn.MINIFS(Lose[Bahn-hofs-zeit],Lose[Bahn-hofs-zeit],"&gt;0"))/(MAX(Lose[Bahn-hofs-zeit])-_xlfn.MINIFS(Lose[Bahn-hofs-zeit],Lose[Bahn-hofs-zeit],"&gt;0"))),5))</f>
        <v>70</v>
      </c>
      <c r="O322">
        <f>IF(Lose[[#This Row],[Gehzeit (min)]]="",0,CEILING(3*(Lose[[#This Row],[Gehzeit (min)]]+Lose[[#This Row],[Aufgaben-zeit (min)]]),5))</f>
        <v>30</v>
      </c>
      <c r="P322">
        <v>6.25</v>
      </c>
      <c r="Q322">
        <f>IFERROR(ROUND(Lose[[#This Row],[Distanz (km)]]*60/Lose[[#This Row],[Gehzeit (min)]],1),"")</f>
        <v>4.3</v>
      </c>
      <c r="R3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0.37</v>
      </c>
      <c r="S322">
        <f>IFERROR(Lose[[#This Row],[Distanz (km)]]-Lose[[#This Row],[Check Distanz]],"")</f>
        <v>0.13</v>
      </c>
      <c r="T322" s="60">
        <f>IFERROR(Lose[[#This Row],[Check Umweg]]/Lose[[#This Row],[Check Distanz]],"")</f>
        <v>0.35135135135135137</v>
      </c>
      <c r="U322">
        <f ca="1">IF(RIGHT(Lose[[#This Row],[LosID]],1)="b",_xlfn.XLOOKUP(REPLACE(Lose[[#This Row],[LosID]],LEN(Lose[[#This Row],[LosID]]),1,"a"),Lose[LosID],Lose[Zufallszahl],"",0),RAND())</f>
        <v>0.58633753077404749</v>
      </c>
      <c r="V322" t="b" cm="1">
        <f t="array" aca="1" ref="V322" ca="1">Lose[[#This Row],[Zufallszahl]]&gt;=IFERROR(LARGE((LEFT(Lose[LosID],FIND("-",Lose[LosID])-1)=LEFT(Lose[[#This Row],[LosID]],FIND("-",Lose[[#This Row],[LosID]])-1))*Lose[Zufallszahl],_xlfn.XLOOKUP(LEFT(Lose[[#This Row],[LosID]],FIND("-",Lose[[#This Row],[LosID]])-1),Ziehungsanzahl[Kürzel],Ziehungsanzahl[Kontingent],FALSE,0)),9999)</f>
        <v>0</v>
      </c>
      <c r="W322" s="1"/>
    </row>
    <row r="323" spans="1:23" ht="150" hidden="1">
      <c r="A3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3" t="s">
        <v>4</v>
      </c>
      <c r="C323" t="s">
        <v>24404</v>
      </c>
      <c r="D323" s="1" t="s">
        <v>24405</v>
      </c>
      <c r="E323" t="s">
        <v>24406</v>
      </c>
      <c r="F323" t="s">
        <v>24407</v>
      </c>
      <c r="G323">
        <v>4</v>
      </c>
      <c r="H323">
        <v>5</v>
      </c>
      <c r="I323">
        <v>0.3</v>
      </c>
      <c r="K323" t="str" cm="1">
        <f t="array" ref="K3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Liebenwerda</v>
      </c>
      <c r="L323" t="str">
        <f>IFERROR(LEFT(TRIM(Lose[[#This Row],[Google Koordinaten]]),9),"")</f>
        <v>51.515930</v>
      </c>
      <c r="M323" t="str">
        <f>IFERROR(MID(TRIM(Lose[[#This Row],[Google Koordinaten]]),
FIND(",",TRIM(Lose[[#This Row],[Google Koordinaten]])) + 2,9),"")</f>
        <v>13.402116</v>
      </c>
      <c r="N323">
        <f>IF(Lose[[#This Row],[Bahn-hofs-zeit]]=0,0,MROUND(30*25^((Lose[[#This Row],[Bahn-hofs-zeit]]-_xlfn.MINIFS(Lose[Bahn-hofs-zeit],Lose[Bahn-hofs-zeit],"&gt;0"))/(MAX(Lose[Bahn-hofs-zeit])-_xlfn.MINIFS(Lose[Bahn-hofs-zeit],Lose[Bahn-hofs-zeit],"&gt;0"))),5))</f>
        <v>395</v>
      </c>
      <c r="O323">
        <f>IF(Lose[[#This Row],[Gehzeit (min)]]="",0,CEILING(3*(Lose[[#This Row],[Gehzeit (min)]]+Lose[[#This Row],[Aufgaben-zeit (min)]]),5))</f>
        <v>30</v>
      </c>
      <c r="P323">
        <v>12.25</v>
      </c>
      <c r="Q323">
        <f>IFERROR(ROUND(Lose[[#This Row],[Distanz (km)]]*60/Lose[[#This Row],[Gehzeit (min)]],1),"")</f>
        <v>4.5</v>
      </c>
      <c r="R3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323">
        <f>IFERROR(Lose[[#This Row],[Distanz (km)]]-Lose[[#This Row],[Check Distanz]],"")</f>
        <v>1.9999999999999962E-2</v>
      </c>
      <c r="T323" s="60">
        <f>IFERROR(Lose[[#This Row],[Check Umweg]]/Lose[[#This Row],[Check Distanz]],"")</f>
        <v>7.1428571428571286E-2</v>
      </c>
      <c r="U323">
        <f ca="1">IF(RIGHT(Lose[[#This Row],[LosID]],1)="b",_xlfn.XLOOKUP(REPLACE(Lose[[#This Row],[LosID]],LEN(Lose[[#This Row],[LosID]]),1,"a"),Lose[LosID],Lose[Zufallszahl],"",0),RAND())</f>
        <v>0.77262242428131511</v>
      </c>
      <c r="V323" t="b" cm="1">
        <f t="array" aca="1" ref="V323" ca="1">Lose[[#This Row],[Zufallszahl]]&gt;=IFERROR(LARGE((LEFT(Lose[LosID],FIND("-",Lose[LosID])-1)=LEFT(Lose[[#This Row],[LosID]],FIND("-",Lose[[#This Row],[LosID]])-1))*Lose[Zufallszahl],_xlfn.XLOOKUP(LEFT(Lose[[#This Row],[LosID]],FIND("-",Lose[[#This Row],[LosID]])-1),Ziehungsanzahl[Kürzel],Ziehungsanzahl[Kontingent],FALSE,0)),9999)</f>
        <v>0</v>
      </c>
    </row>
    <row r="324" spans="1:23" ht="75" hidden="1">
      <c r="A3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4" t="s">
        <v>23352</v>
      </c>
      <c r="C324" t="s">
        <v>1342</v>
      </c>
      <c r="D324" s="1" t="s">
        <v>24408</v>
      </c>
      <c r="E324" t="s">
        <v>24409</v>
      </c>
      <c r="F324" t="s">
        <v>24410</v>
      </c>
      <c r="G324">
        <v>23</v>
      </c>
      <c r="H324">
        <v>5</v>
      </c>
      <c r="I324">
        <v>1.7</v>
      </c>
      <c r="K324" t="str" cm="1">
        <f t="array" ref="K3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Fornsbach</v>
      </c>
      <c r="L324" t="str">
        <f>IFERROR(LEFT(TRIM(Lose[[#This Row],[Google Koordinaten]]),9),"")</f>
        <v>48.976542</v>
      </c>
      <c r="M324" t="str">
        <f>IFERROR(MID(TRIM(Lose[[#This Row],[Google Koordinaten]]),
FIND(",",TRIM(Lose[[#This Row],[Google Koordinaten]])) + 2,9),"")</f>
        <v>9.6634970</v>
      </c>
      <c r="N324">
        <f>IF(Lose[[#This Row],[Bahn-hofs-zeit]]=0,0,MROUND(30*25^((Lose[[#This Row],[Bahn-hofs-zeit]]-_xlfn.MINIFS(Lose[Bahn-hofs-zeit],Lose[Bahn-hofs-zeit],"&gt;0"))/(MAX(Lose[Bahn-hofs-zeit])-_xlfn.MINIFS(Lose[Bahn-hofs-zeit],Lose[Bahn-hofs-zeit],"&gt;0"))),5))</f>
        <v>195</v>
      </c>
      <c r="O324">
        <f>IF(Lose[[#This Row],[Gehzeit (min)]]="",0,CEILING(3*(Lose[[#This Row],[Gehzeit (min)]]+Lose[[#This Row],[Aufgaben-zeit (min)]]),5))</f>
        <v>85</v>
      </c>
      <c r="P324">
        <v>9.75</v>
      </c>
      <c r="Q324">
        <f>IFERROR(ROUND(Lose[[#This Row],[Distanz (km)]]*60/Lose[[#This Row],[Gehzeit (min)]],1),"")</f>
        <v>4.4000000000000004</v>
      </c>
      <c r="R3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v>
      </c>
      <c r="S324">
        <f>IFERROR(Lose[[#This Row],[Distanz (km)]]-Lose[[#This Row],[Check Distanz]],"")</f>
        <v>0.15999999999999992</v>
      </c>
      <c r="T324" s="60">
        <f>IFERROR(Lose[[#This Row],[Check Umweg]]/Lose[[#This Row],[Check Distanz]],"")</f>
        <v>0.10389610389610385</v>
      </c>
      <c r="U324">
        <f ca="1">IF(RIGHT(Lose[[#This Row],[LosID]],1)="b",_xlfn.XLOOKUP(REPLACE(Lose[[#This Row],[LosID]],LEN(Lose[[#This Row],[LosID]]),1,"a"),Lose[LosID],Lose[Zufallszahl],"",0),RAND())</f>
        <v>0.27225471019603198</v>
      </c>
      <c r="V324" t="b" cm="1">
        <f t="array" aca="1" ref="V324" ca="1">Lose[[#This Row],[Zufallszahl]]&gt;=IFERROR(LARGE((LEFT(Lose[LosID],FIND("-",Lose[LosID])-1)=LEFT(Lose[[#This Row],[LosID]],FIND("-",Lose[[#This Row],[LosID]])-1))*Lose[Zufallszahl],_xlfn.XLOOKUP(LEFT(Lose[[#This Row],[LosID]],FIND("-",Lose[[#This Row],[LosID]])-1),Ziehungsanzahl[Kürzel],Ziehungsanzahl[Kontingent],FALSE,0)),9999)</f>
        <v>0</v>
      </c>
    </row>
    <row r="325" spans="1:23" hidden="1">
      <c r="A3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5" t="s">
        <v>23408</v>
      </c>
      <c r="C325" t="s">
        <v>24411</v>
      </c>
      <c r="D325" s="1" t="s">
        <v>24412</v>
      </c>
      <c r="E325" t="s">
        <v>24413</v>
      </c>
      <c r="F325" t="s">
        <v>24414</v>
      </c>
      <c r="G325">
        <v>17</v>
      </c>
      <c r="H325">
        <v>5</v>
      </c>
      <c r="I325">
        <v>1.2</v>
      </c>
      <c r="K325" t="str" cm="1">
        <f t="array" ref="K3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Burgstädt</v>
      </c>
      <c r="L325" t="str">
        <f>IFERROR(LEFT(TRIM(Lose[[#This Row],[Google Koordinaten]]),9),"")</f>
        <v>50.915387</v>
      </c>
      <c r="M325" t="str">
        <f>IFERROR(MID(TRIM(Lose[[#This Row],[Google Koordinaten]]),
FIND(",",TRIM(Lose[[#This Row],[Google Koordinaten]])) + 2,9),"")</f>
        <v>12.822683</v>
      </c>
      <c r="N325">
        <f>IF(Lose[[#This Row],[Bahn-hofs-zeit]]=0,0,MROUND(30*25^((Lose[[#This Row],[Bahn-hofs-zeit]]-_xlfn.MINIFS(Lose[Bahn-hofs-zeit],Lose[Bahn-hofs-zeit],"&gt;0"))/(MAX(Lose[Bahn-hofs-zeit])-_xlfn.MINIFS(Lose[Bahn-hofs-zeit],Lose[Bahn-hofs-zeit],"&gt;0"))),5))</f>
        <v>255</v>
      </c>
      <c r="O325">
        <f>IF(Lose[[#This Row],[Gehzeit (min)]]="",0,CEILING(3*(Lose[[#This Row],[Gehzeit (min)]]+Lose[[#This Row],[Aufgaben-zeit (min)]]),5))</f>
        <v>70</v>
      </c>
      <c r="P325">
        <v>10.75</v>
      </c>
      <c r="Q325">
        <f>IFERROR(ROUND(Lose[[#This Row],[Distanz (km)]]*60/Lose[[#This Row],[Gehzeit (min)]],1),"")</f>
        <v>4.2</v>
      </c>
      <c r="R3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325">
        <f>IFERROR(Lose[[#This Row],[Distanz (km)]]-Lose[[#This Row],[Check Distanz]],"")</f>
        <v>0.5</v>
      </c>
      <c r="T325" s="60">
        <f>IFERROR(Lose[[#This Row],[Check Umweg]]/Lose[[#This Row],[Check Distanz]],"")</f>
        <v>0.7142857142857143</v>
      </c>
      <c r="U325">
        <f ca="1">IF(RIGHT(Lose[[#This Row],[LosID]],1)="b",_xlfn.XLOOKUP(REPLACE(Lose[[#This Row],[LosID]],LEN(Lose[[#This Row],[LosID]]),1,"a"),Lose[LosID],Lose[Zufallszahl],"",0),RAND())</f>
        <v>0.83186886307101604</v>
      </c>
      <c r="V325" t="b" cm="1">
        <f t="array" aca="1" ref="V325" ca="1">Lose[[#This Row],[Zufallszahl]]&gt;=IFERROR(LARGE((LEFT(Lose[LosID],FIND("-",Lose[LosID])-1)=LEFT(Lose[[#This Row],[LosID]],FIND("-",Lose[[#This Row],[LosID]])-1))*Lose[Zufallszahl],_xlfn.XLOOKUP(LEFT(Lose[[#This Row],[LosID]],FIND("-",Lose[[#This Row],[LosID]])-1),Ziehungsanzahl[Kürzel],Ziehungsanzahl[Kontingent],FALSE,0)),9999)</f>
        <v>0</v>
      </c>
    </row>
    <row r="326" spans="1:23" ht="90" hidden="1">
      <c r="A3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6" t="s">
        <v>23412</v>
      </c>
      <c r="C326" t="s">
        <v>1335</v>
      </c>
      <c r="D326" s="1" t="s">
        <v>24415</v>
      </c>
      <c r="E326" s="82" t="s">
        <v>24416</v>
      </c>
      <c r="F326" s="82" t="s">
        <v>24417</v>
      </c>
      <c r="G326">
        <v>20</v>
      </c>
      <c r="H326">
        <v>2</v>
      </c>
      <c r="I326">
        <v>1.4</v>
      </c>
      <c r="J326">
        <v>10</v>
      </c>
      <c r="K326" t="str" cm="1">
        <f t="array" ref="K3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Timmendorfer Strand</v>
      </c>
      <c r="L326" t="str">
        <f>IFERROR(LEFT(TRIM(Lose[[#This Row],[Google Koordinaten]]),9),"")</f>
        <v>53.999746</v>
      </c>
      <c r="M326" t="str">
        <f>IFERROR(MID(TRIM(Lose[[#This Row],[Google Koordinaten]]),
FIND(",",TRIM(Lose[[#This Row],[Google Koordinaten]])) + 2,9),"")</f>
        <v>10.778266</v>
      </c>
      <c r="N326">
        <f>IF(Lose[[#This Row],[Bahn-hofs-zeit]]=0,0,MROUND(30*25^((Lose[[#This Row],[Bahn-hofs-zeit]]-_xlfn.MINIFS(Lose[Bahn-hofs-zeit],Lose[Bahn-hofs-zeit],"&gt;0"))/(MAX(Lose[Bahn-hofs-zeit])-_xlfn.MINIFS(Lose[Bahn-hofs-zeit],Lose[Bahn-hofs-zeit],"&gt;0"))),5))</f>
        <v>180</v>
      </c>
      <c r="O326">
        <f>IF(Lose[[#This Row],[Gehzeit (min)]]="",0,CEILING(3*(Lose[[#This Row],[Gehzeit (min)]]+Lose[[#This Row],[Aufgaben-zeit (min)]]),5))</f>
        <v>70</v>
      </c>
      <c r="P326">
        <v>9.5</v>
      </c>
      <c r="Q326">
        <f>IFERROR(ROUND(Lose[[#This Row],[Distanz (km)]]*60/Lose[[#This Row],[Gehzeit (min)]],1),"")</f>
        <v>4.2</v>
      </c>
      <c r="R3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326">
        <f>IFERROR(Lose[[#This Row],[Distanz (km)]]-Lose[[#This Row],[Check Distanz]],"")</f>
        <v>0.18999999999999995</v>
      </c>
      <c r="T326" s="60">
        <f>IFERROR(Lose[[#This Row],[Check Umweg]]/Lose[[#This Row],[Check Distanz]],"")</f>
        <v>0.1570247933884297</v>
      </c>
      <c r="U326">
        <f ca="1">IF(RIGHT(Lose[[#This Row],[LosID]],1)="b",_xlfn.XLOOKUP(REPLACE(Lose[[#This Row],[LosID]],LEN(Lose[[#This Row],[LosID]]),1,"a"),Lose[LosID],Lose[Zufallszahl],"",0),RAND())</f>
        <v>0.59049677559289726</v>
      </c>
      <c r="V326" t="b" cm="1">
        <f t="array" aca="1" ref="V326" ca="1">Lose[[#This Row],[Zufallszahl]]&gt;=IFERROR(LARGE((LEFT(Lose[LosID],FIND("-",Lose[LosID])-1)=LEFT(Lose[[#This Row],[LosID]],FIND("-",Lose[[#This Row],[LosID]])-1))*Lose[Zufallszahl],_xlfn.XLOOKUP(LEFT(Lose[[#This Row],[LosID]],FIND("-",Lose[[#This Row],[LosID]])-1),Ziehungsanzahl[Kürzel],Ziehungsanzahl[Kontingent],FALSE,0)),9999)</f>
        <v>0</v>
      </c>
    </row>
    <row r="327" spans="1:23" ht="135" hidden="1">
      <c r="A3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7" t="s">
        <v>23416</v>
      </c>
      <c r="C327" t="s">
        <v>24418</v>
      </c>
      <c r="D327" s="1" t="s">
        <v>24419</v>
      </c>
      <c r="E327" t="s">
        <v>24420</v>
      </c>
      <c r="F327" t="s">
        <v>24421</v>
      </c>
      <c r="G327">
        <v>18</v>
      </c>
      <c r="H327">
        <v>12</v>
      </c>
      <c r="I327">
        <v>1.4</v>
      </c>
      <c r="J327">
        <v>15</v>
      </c>
      <c r="K327" t="str" cm="1">
        <f t="array" ref="K3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Miltenberg</v>
      </c>
      <c r="L327" t="str">
        <f>IFERROR(LEFT(TRIM(Lose[[#This Row],[Google Koordinaten]]),9),"")</f>
        <v>49.703610</v>
      </c>
      <c r="M327" t="str">
        <f>IFERROR(MID(TRIM(Lose[[#This Row],[Google Koordinaten]]),
FIND(",",TRIM(Lose[[#This Row],[Google Koordinaten]])) + 2,9),"")</f>
        <v>9.265280</v>
      </c>
      <c r="N327">
        <f>IF(Lose[[#This Row],[Bahn-hofs-zeit]]=0,0,MROUND(30*25^((Lose[[#This Row],[Bahn-hofs-zeit]]-_xlfn.MINIFS(Lose[Bahn-hofs-zeit],Lose[Bahn-hofs-zeit],"&gt;0"))/(MAX(Lose[Bahn-hofs-zeit])-_xlfn.MINIFS(Lose[Bahn-hofs-zeit],Lose[Bahn-hofs-zeit],"&gt;0"))),5))</f>
        <v>90</v>
      </c>
      <c r="O327">
        <f>IF(Lose[[#This Row],[Gehzeit (min)]]="",0,CEILING(3*(Lose[[#This Row],[Gehzeit (min)]]+Lose[[#This Row],[Aufgaben-zeit (min)]]),5))</f>
        <v>90</v>
      </c>
      <c r="P327">
        <v>7</v>
      </c>
      <c r="Q327">
        <f>IFERROR(ROUND(Lose[[#This Row],[Distanz (km)]]*60/Lose[[#This Row],[Gehzeit (min)]],1),"")</f>
        <v>4.7</v>
      </c>
      <c r="R3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327">
        <f>IFERROR(Lose[[#This Row],[Distanz (km)]]-Lose[[#This Row],[Check Distanz]],"")</f>
        <v>0.14999999999999991</v>
      </c>
      <c r="T327" s="60">
        <f>IFERROR(Lose[[#This Row],[Check Umweg]]/Lose[[#This Row],[Check Distanz]],"")</f>
        <v>0.11999999999999993</v>
      </c>
      <c r="U327">
        <f ca="1">IF(RIGHT(Lose[[#This Row],[LosID]],1)="b",_xlfn.XLOOKUP(REPLACE(Lose[[#This Row],[LosID]],LEN(Lose[[#This Row],[LosID]]),1,"a"),Lose[LosID],Lose[Zufallszahl],"",0),RAND())</f>
        <v>0.94333415653220731</v>
      </c>
      <c r="V327" t="b" cm="1">
        <f t="array" aca="1" ref="V327" ca="1">Lose[[#This Row],[Zufallszahl]]&gt;=IFERROR(LARGE((LEFT(Lose[LosID],FIND("-",Lose[LosID])-1)=LEFT(Lose[[#This Row],[LosID]],FIND("-",Lose[[#This Row],[LosID]])-1))*Lose[Zufallszahl],_xlfn.XLOOKUP(LEFT(Lose[[#This Row],[LosID]],FIND("-",Lose[[#This Row],[LosID]])-1),Ziehungsanzahl[Kürzel],Ziehungsanzahl[Kontingent],FALSE,0)),9999)</f>
        <v>0</v>
      </c>
    </row>
    <row r="328" spans="1:23" ht="45" hidden="1">
      <c r="A3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8" t="s">
        <v>23357</v>
      </c>
      <c r="C328" t="s">
        <v>1336</v>
      </c>
      <c r="D328" s="1" t="s">
        <v>24422</v>
      </c>
      <c r="E328" t="s">
        <v>24423</v>
      </c>
      <c r="F328" t="s">
        <v>24424</v>
      </c>
      <c r="G328">
        <v>18</v>
      </c>
      <c r="H328">
        <v>2</v>
      </c>
      <c r="I328">
        <v>1.3</v>
      </c>
      <c r="K328" t="str" cm="1">
        <f t="array" ref="K3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Hilchenbach</v>
      </c>
      <c r="L328" t="str">
        <f>IFERROR(LEFT(TRIM(Lose[[#This Row],[Google Koordinaten]]),9),"")</f>
        <v>50.999127</v>
      </c>
      <c r="M328" t="str">
        <f>IFERROR(MID(TRIM(Lose[[#This Row],[Google Koordinaten]]),
FIND(",",TRIM(Lose[[#This Row],[Google Koordinaten]])) + 2,9),"")</f>
        <v>8.1170389</v>
      </c>
      <c r="N328">
        <f>IF(Lose[[#This Row],[Bahn-hofs-zeit]]=0,0,MROUND(30*25^((Lose[[#This Row],[Bahn-hofs-zeit]]-_xlfn.MINIFS(Lose[Bahn-hofs-zeit],Lose[Bahn-hofs-zeit],"&gt;0"))/(MAX(Lose[Bahn-hofs-zeit])-_xlfn.MINIFS(Lose[Bahn-hofs-zeit],Lose[Bahn-hofs-zeit],"&gt;0"))),5))</f>
        <v>100</v>
      </c>
      <c r="O328">
        <f>IF(Lose[[#This Row],[Gehzeit (min)]]="",0,CEILING(3*(Lose[[#This Row],[Gehzeit (min)]]+Lose[[#This Row],[Aufgaben-zeit (min)]]),5))</f>
        <v>60</v>
      </c>
      <c r="P328">
        <v>7.5</v>
      </c>
      <c r="Q328">
        <f>IFERROR(ROUND(Lose[[#This Row],[Distanz (km)]]*60/Lose[[#This Row],[Gehzeit (min)]],1),"")</f>
        <v>4.3</v>
      </c>
      <c r="R3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328">
        <f>IFERROR(Lose[[#This Row],[Distanz (km)]]-Lose[[#This Row],[Check Distanz]],"")</f>
        <v>0.27</v>
      </c>
      <c r="T328" s="60">
        <f>IFERROR(Lose[[#This Row],[Check Umweg]]/Lose[[#This Row],[Check Distanz]],"")</f>
        <v>0.26213592233009708</v>
      </c>
      <c r="U328">
        <f ca="1">IF(RIGHT(Lose[[#This Row],[LosID]],1)="b",_xlfn.XLOOKUP(REPLACE(Lose[[#This Row],[LosID]],LEN(Lose[[#This Row],[LosID]]),1,"a"),Lose[LosID],Lose[Zufallszahl],"",0),RAND())</f>
        <v>9.0471337621156112E-2</v>
      </c>
      <c r="V328" t="b" cm="1">
        <f t="array" aca="1" ref="V328" ca="1">Lose[[#This Row],[Zufallszahl]]&gt;=IFERROR(LARGE((LEFT(Lose[LosID],FIND("-",Lose[LosID])-1)=LEFT(Lose[[#This Row],[LosID]],FIND("-",Lose[[#This Row],[LosID]])-1))*Lose[Zufallszahl],_xlfn.XLOOKUP(LEFT(Lose[[#This Row],[LosID]],FIND("-",Lose[[#This Row],[LosID]])-1),Ziehungsanzahl[Kürzel],Ziehungsanzahl[Kontingent],FALSE,0)),9999)</f>
        <v>0</v>
      </c>
    </row>
    <row r="329" spans="1:23" ht="75" hidden="1">
      <c r="A3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9" t="s">
        <v>23363</v>
      </c>
      <c r="C329" t="s">
        <v>24425</v>
      </c>
      <c r="D329" s="1" t="s">
        <v>24426</v>
      </c>
      <c r="E329" t="s">
        <v>24427</v>
      </c>
      <c r="F329" t="s">
        <v>24428</v>
      </c>
      <c r="G329">
        <v>2</v>
      </c>
      <c r="H329">
        <v>5</v>
      </c>
      <c r="I329">
        <v>0.15</v>
      </c>
      <c r="J329">
        <v>20</v>
      </c>
      <c r="K329" t="str" cm="1">
        <f t="array" ref="K3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Kälberau</v>
      </c>
      <c r="L329" t="str">
        <f>IFERROR(LEFT(TRIM(Lose[[#This Row],[Google Koordinaten]]),9),"")</f>
        <v>50.090530</v>
      </c>
      <c r="M329" t="str">
        <f>IFERROR(MID(TRIM(Lose[[#This Row],[Google Koordinaten]]),
FIND(",",TRIM(Lose[[#This Row],[Google Koordinaten]])) + 2,9),"")</f>
        <v>9.0898479</v>
      </c>
      <c r="N329">
        <f>IF(Lose[[#This Row],[Bahn-hofs-zeit]]=0,0,MROUND(30*25^((Lose[[#This Row],[Bahn-hofs-zeit]]-_xlfn.MINIFS(Lose[Bahn-hofs-zeit],Lose[Bahn-hofs-zeit],"&gt;0"))/(MAX(Lose[Bahn-hofs-zeit])-_xlfn.MINIFS(Lose[Bahn-hofs-zeit],Lose[Bahn-hofs-zeit],"&gt;0"))),5))</f>
        <v>55</v>
      </c>
      <c r="O329">
        <f>IF(Lose[[#This Row],[Gehzeit (min)]]="",0,CEILING(3*(Lose[[#This Row],[Gehzeit (min)]]+Lose[[#This Row],[Aufgaben-zeit (min)]]),5))</f>
        <v>25</v>
      </c>
      <c r="P329">
        <v>5.5</v>
      </c>
      <c r="Q329">
        <f>IFERROR(ROUND(Lose[[#This Row],[Distanz (km)]]*60/Lose[[#This Row],[Gehzeit (min)]],1),"")</f>
        <v>4.5</v>
      </c>
      <c r="R3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329">
        <f>IFERROR(Lose[[#This Row],[Distanz (km)]]-Lose[[#This Row],[Check Distanz]],"")</f>
        <v>0.03</v>
      </c>
      <c r="T329" s="60">
        <f>IFERROR(Lose[[#This Row],[Check Umweg]]/Lose[[#This Row],[Check Distanz]],"")</f>
        <v>0.25</v>
      </c>
      <c r="U329">
        <f ca="1">IF(RIGHT(Lose[[#This Row],[LosID]],1)="b",_xlfn.XLOOKUP(REPLACE(Lose[[#This Row],[LosID]],LEN(Lose[[#This Row],[LosID]]),1,"a"),Lose[LosID],Lose[Zufallszahl],"",0),RAND())</f>
        <v>1.4476218335581881E-2</v>
      </c>
      <c r="V329" t="b" cm="1">
        <f t="array" aca="1" ref="V329" ca="1">Lose[[#This Row],[Zufallszahl]]&gt;=IFERROR(LARGE((LEFT(Lose[LosID],FIND("-",Lose[LosID])-1)=LEFT(Lose[[#This Row],[LosID]],FIND("-",Lose[[#This Row],[LosID]])-1))*Lose[Zufallszahl],_xlfn.XLOOKUP(LEFT(Lose[[#This Row],[LosID]],FIND("-",Lose[[#This Row],[LosID]])-1),Ziehungsanzahl[Kürzel],Ziehungsanzahl[Kontingent],FALSE,0)),9999)</f>
        <v>0</v>
      </c>
    </row>
    <row r="330" spans="1:23" hidden="1">
      <c r="A3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0" t="s">
        <v>23367</v>
      </c>
      <c r="C330" t="s">
        <v>24429</v>
      </c>
      <c r="D330" s="1" t="s">
        <v>24430</v>
      </c>
      <c r="E330" t="s">
        <v>24431</v>
      </c>
      <c r="F330" t="s">
        <v>24432</v>
      </c>
      <c r="G330">
        <v>18</v>
      </c>
      <c r="H330">
        <v>2</v>
      </c>
      <c r="I330">
        <v>1.3</v>
      </c>
      <c r="K330" t="str" cm="1">
        <f t="array" ref="K3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Schneverdingen</v>
      </c>
      <c r="L330" t="str">
        <f>IFERROR(LEFT(TRIM(Lose[[#This Row],[Google Koordinaten]]),9),"")</f>
        <v>53.112660</v>
      </c>
      <c r="M330" t="str">
        <f>IFERROR(MID(TRIM(Lose[[#This Row],[Google Koordinaten]]),
FIND(",",TRIM(Lose[[#This Row],[Google Koordinaten]])) + 2,9),"")</f>
        <v>9.7863295</v>
      </c>
      <c r="N330">
        <f>IF(Lose[[#This Row],[Bahn-hofs-zeit]]=0,0,MROUND(30*25^((Lose[[#This Row],[Bahn-hofs-zeit]]-_xlfn.MINIFS(Lose[Bahn-hofs-zeit],Lose[Bahn-hofs-zeit],"&gt;0"))/(MAX(Lose[Bahn-hofs-zeit])-_xlfn.MINIFS(Lose[Bahn-hofs-zeit],Lose[Bahn-hofs-zeit],"&gt;0"))),5))</f>
        <v>125</v>
      </c>
      <c r="O330">
        <f>IF(Lose[[#This Row],[Gehzeit (min)]]="",0,CEILING(3*(Lose[[#This Row],[Gehzeit (min)]]+Lose[[#This Row],[Aufgaben-zeit (min)]]),5))</f>
        <v>60</v>
      </c>
      <c r="P330">
        <v>8.25</v>
      </c>
      <c r="Q330">
        <f>IFERROR(ROUND(Lose[[#This Row],[Distanz (km)]]*60/Lose[[#This Row],[Gehzeit (min)]],1),"")</f>
        <v>4.3</v>
      </c>
      <c r="R3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30">
        <f>IFERROR(Lose[[#This Row],[Distanz (km)]]-Lose[[#This Row],[Check Distanz]],"")</f>
        <v>0.43000000000000005</v>
      </c>
      <c r="T330" s="60">
        <f>IFERROR(Lose[[#This Row],[Check Umweg]]/Lose[[#This Row],[Check Distanz]],"")</f>
        <v>0.49425287356321845</v>
      </c>
      <c r="U330">
        <f ca="1">IF(RIGHT(Lose[[#This Row],[LosID]],1)="b",_xlfn.XLOOKUP(REPLACE(Lose[[#This Row],[LosID]],LEN(Lose[[#This Row],[LosID]]),1,"a"),Lose[LosID],Lose[Zufallszahl],"",0),RAND())</f>
        <v>0.65881899230865226</v>
      </c>
      <c r="V330" t="b" cm="1">
        <f t="array" aca="1" ref="V330" ca="1">Lose[[#This Row],[Zufallszahl]]&gt;=IFERROR(LARGE((LEFT(Lose[LosID],FIND("-",Lose[LosID])-1)=LEFT(Lose[[#This Row],[LosID]],FIND("-",Lose[[#This Row],[LosID]])-1))*Lose[Zufallszahl],_xlfn.XLOOKUP(LEFT(Lose[[#This Row],[LosID]],FIND("-",Lose[[#This Row],[LosID]])-1),Ziehungsanzahl[Kürzel],Ziehungsanzahl[Kontingent],FALSE,0)),9999)</f>
        <v>0</v>
      </c>
    </row>
    <row r="331" spans="1:23" ht="120" hidden="1">
      <c r="A3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1" t="s">
        <v>23372</v>
      </c>
      <c r="C331" t="s">
        <v>1337</v>
      </c>
      <c r="D331" s="1" t="s">
        <v>24433</v>
      </c>
      <c r="E331" t="s">
        <v>24434</v>
      </c>
      <c r="F331" t="s">
        <v>24435</v>
      </c>
      <c r="G331">
        <v>23</v>
      </c>
      <c r="H331">
        <v>1</v>
      </c>
      <c r="I331">
        <v>1.7</v>
      </c>
      <c r="J331">
        <v>10</v>
      </c>
      <c r="K331" t="str" cm="1">
        <f t="array" ref="K3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Willingen</v>
      </c>
      <c r="L331" t="str">
        <f>IFERROR(LEFT(TRIM(Lose[[#This Row],[Google Koordinaten]]),9),"")</f>
        <v>51.289291</v>
      </c>
      <c r="M331" t="str">
        <f>IFERROR(MID(TRIM(Lose[[#This Row],[Google Koordinaten]]),
FIND(",",TRIM(Lose[[#This Row],[Google Koordinaten]])) + 2,9),"")</f>
        <v>8.6170257</v>
      </c>
      <c r="N331">
        <f>IF(Lose[[#This Row],[Bahn-hofs-zeit]]=0,0,MROUND(30*25^((Lose[[#This Row],[Bahn-hofs-zeit]]-_xlfn.MINIFS(Lose[Bahn-hofs-zeit],Lose[Bahn-hofs-zeit],"&gt;0"))/(MAX(Lose[Bahn-hofs-zeit])-_xlfn.MINIFS(Lose[Bahn-hofs-zeit],Lose[Bahn-hofs-zeit],"&gt;0"))),5))</f>
        <v>60</v>
      </c>
      <c r="O331">
        <f>IF(Lose[[#This Row],[Gehzeit (min)]]="",0,CEILING(3*(Lose[[#This Row],[Gehzeit (min)]]+Lose[[#This Row],[Aufgaben-zeit (min)]]),5))</f>
        <v>75</v>
      </c>
      <c r="P331">
        <v>5.75</v>
      </c>
      <c r="Q331">
        <f>IFERROR(ROUND(Lose[[#This Row],[Distanz (km)]]*60/Lose[[#This Row],[Gehzeit (min)]],1),"")</f>
        <v>4.4000000000000004</v>
      </c>
      <c r="R3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331">
        <f>IFERROR(Lose[[#This Row],[Distanz (km)]]-Lose[[#This Row],[Check Distanz]],"")</f>
        <v>0.66999999999999993</v>
      </c>
      <c r="T331" s="60">
        <f>IFERROR(Lose[[#This Row],[Check Umweg]]/Lose[[#This Row],[Check Distanz]],"")</f>
        <v>0.65048543689320382</v>
      </c>
      <c r="U331">
        <f ca="1">IF(RIGHT(Lose[[#This Row],[LosID]],1)="b",_xlfn.XLOOKUP(REPLACE(Lose[[#This Row],[LosID]],LEN(Lose[[#This Row],[LosID]]),1,"a"),Lose[LosID],Lose[Zufallszahl],"",0),RAND())</f>
        <v>0.983899644032036</v>
      </c>
      <c r="V331" t="b" cm="1">
        <f t="array" aca="1" ref="V331" ca="1">Lose[[#This Row],[Zufallszahl]]&gt;=IFERROR(LARGE((LEFT(Lose[LosID],FIND("-",Lose[LosID])-1)=LEFT(Lose[[#This Row],[LosID]],FIND("-",Lose[[#This Row],[LosID]])-1))*Lose[Zufallszahl],_xlfn.XLOOKUP(LEFT(Lose[[#This Row],[LosID]],FIND("-",Lose[[#This Row],[LosID]])-1),Ziehungsanzahl[Kürzel],Ziehungsanzahl[Kontingent],FALSE,0)),9999)</f>
        <v>0</v>
      </c>
    </row>
    <row r="332" spans="1:23" ht="45" hidden="1">
      <c r="A3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2" t="s">
        <v>23357</v>
      </c>
      <c r="C332" t="s">
        <v>1360</v>
      </c>
      <c r="D332" s="1" t="s">
        <v>1363</v>
      </c>
      <c r="E332" t="s">
        <v>1361</v>
      </c>
      <c r="F332" t="s">
        <v>24436</v>
      </c>
      <c r="G332">
        <v>8</v>
      </c>
      <c r="H332">
        <v>1</v>
      </c>
      <c r="I332">
        <v>0.5</v>
      </c>
      <c r="K332" t="str" cm="1">
        <f t="array" ref="K3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Seebrugg</v>
      </c>
      <c r="L332" t="str">
        <f>IFERROR(LEFT(TRIM(Lose[[#This Row],[Google Koordinaten]]),9),"")</f>
        <v>47.801429</v>
      </c>
      <c r="M332" t="str">
        <f>IFERROR(MID(TRIM(Lose[[#This Row],[Google Koordinaten]]),
FIND(",",TRIM(Lose[[#This Row],[Google Koordinaten]])) + 2,9),"")</f>
        <v>8.1961876</v>
      </c>
      <c r="N332">
        <f>IF(Lose[[#This Row],[Bahn-hofs-zeit]]=0,0,MROUND(30*25^((Lose[[#This Row],[Bahn-hofs-zeit]]-_xlfn.MINIFS(Lose[Bahn-hofs-zeit],Lose[Bahn-hofs-zeit],"&gt;0"))/(MAX(Lose[Bahn-hofs-zeit])-_xlfn.MINIFS(Lose[Bahn-hofs-zeit],Lose[Bahn-hofs-zeit],"&gt;0"))),5))</f>
        <v>255</v>
      </c>
      <c r="O332">
        <f>IF(Lose[[#This Row],[Gehzeit (min)]]="",0,CEILING(3*(Lose[[#This Row],[Gehzeit (min)]]+Lose[[#This Row],[Aufgaben-zeit (min)]]),5))</f>
        <v>30</v>
      </c>
      <c r="P332">
        <v>10.75</v>
      </c>
      <c r="Q332">
        <f>IFERROR(ROUND(Lose[[#This Row],[Distanz (km)]]*60/Lose[[#This Row],[Gehzeit (min)]],1),"")</f>
        <v>3.8</v>
      </c>
      <c r="R3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0.44</v>
      </c>
      <c r="S332">
        <f>IFERROR(Lose[[#This Row],[Distanz (km)]]-Lose[[#This Row],[Check Distanz]],"")</f>
        <v>0.06</v>
      </c>
      <c r="T332" s="60">
        <f>IFERROR(Lose[[#This Row],[Check Umweg]]/Lose[[#This Row],[Check Distanz]],"")</f>
        <v>0.13636363636363635</v>
      </c>
      <c r="U332">
        <f ca="1">IF(RIGHT(Lose[[#This Row],[LosID]],1)="b",_xlfn.XLOOKUP(REPLACE(Lose[[#This Row],[LosID]],LEN(Lose[[#This Row],[LosID]]),1,"a"),Lose[LosID],Lose[Zufallszahl],"",0),RAND())</f>
        <v>0.55987960626947575</v>
      </c>
      <c r="V332" t="b" cm="1">
        <f t="array" aca="1" ref="V332" ca="1">Lose[[#This Row],[Zufallszahl]]&gt;=IFERROR(LARGE((LEFT(Lose[LosID],FIND("-",Lose[LosID])-1)=LEFT(Lose[[#This Row],[LosID]],FIND("-",Lose[[#This Row],[LosID]])-1))*Lose[Zufallszahl],_xlfn.XLOOKUP(LEFT(Lose[[#This Row],[LosID]],FIND("-",Lose[[#This Row],[LosID]])-1),Ziehungsanzahl[Kürzel],Ziehungsanzahl[Kontingent],FALSE,0)),9999)</f>
        <v>0</v>
      </c>
    </row>
    <row r="333" spans="1:23" ht="30" hidden="1">
      <c r="A3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3" t="s">
        <v>23394</v>
      </c>
      <c r="C333" t="s">
        <v>1390</v>
      </c>
      <c r="D333" s="1" t="s">
        <v>1393</v>
      </c>
      <c r="E333" t="s">
        <v>1391</v>
      </c>
      <c r="F333" t="s">
        <v>24437</v>
      </c>
      <c r="G333">
        <v>8</v>
      </c>
      <c r="H333">
        <v>1</v>
      </c>
      <c r="I333">
        <v>0.6</v>
      </c>
      <c r="K333" t="str" cm="1">
        <f t="array" ref="K3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Donaueschingen</v>
      </c>
      <c r="L333" t="str">
        <f>IFERROR(LEFT(TRIM(Lose[[#This Row],[Google Koordinaten]]),9),"")</f>
        <v>47.951845</v>
      </c>
      <c r="M333" t="str">
        <f>IFERROR(MID(TRIM(Lose[[#This Row],[Google Koordinaten]]),
FIND(",",TRIM(Lose[[#This Row],[Google Koordinaten]])) + 2,9),"")</f>
        <v>8.5025062</v>
      </c>
      <c r="N333">
        <f>IF(Lose[[#This Row],[Bahn-hofs-zeit]]=0,0,MROUND(30*25^((Lose[[#This Row],[Bahn-hofs-zeit]]-_xlfn.MINIFS(Lose[Bahn-hofs-zeit],Lose[Bahn-hofs-zeit],"&gt;0"))/(MAX(Lose[Bahn-hofs-zeit])-_xlfn.MINIFS(Lose[Bahn-hofs-zeit],Lose[Bahn-hofs-zeit],"&gt;0"))),5))</f>
        <v>220</v>
      </c>
      <c r="O333">
        <f>IF(Lose[[#This Row],[Gehzeit (min)]]="",0,CEILING(3*(Lose[[#This Row],[Gehzeit (min)]]+Lose[[#This Row],[Aufgaben-zeit (min)]]),5))</f>
        <v>30</v>
      </c>
      <c r="P333">
        <v>10.25</v>
      </c>
      <c r="Q333">
        <f>IFERROR(ROUND(Lose[[#This Row],[Distanz (km)]]*60/Lose[[#This Row],[Gehzeit (min)]],1),"")</f>
        <v>4.5</v>
      </c>
      <c r="R3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333">
        <f>IFERROR(Lose[[#This Row],[Distanz (km)]]-Lose[[#This Row],[Check Distanz]],"")</f>
        <v>7.999999999999996E-2</v>
      </c>
      <c r="T333" s="60">
        <f>IFERROR(Lose[[#This Row],[Check Umweg]]/Lose[[#This Row],[Check Distanz]],"")</f>
        <v>0.15384615384615377</v>
      </c>
      <c r="U333">
        <f ca="1">IF(RIGHT(Lose[[#This Row],[LosID]],1)="b",_xlfn.XLOOKUP(REPLACE(Lose[[#This Row],[LosID]],LEN(Lose[[#This Row],[LosID]]),1,"a"),Lose[LosID],Lose[Zufallszahl],"",0),RAND())</f>
        <v>0.44785683025790313</v>
      </c>
      <c r="V333" t="b" cm="1">
        <f t="array" aca="1" ref="V333" ca="1">Lose[[#This Row],[Zufallszahl]]&gt;=IFERROR(LARGE((LEFT(Lose[LosID],FIND("-",Lose[LosID])-1)=LEFT(Lose[[#This Row],[LosID]],FIND("-",Lose[[#This Row],[LosID]])-1))*Lose[Zufallszahl],_xlfn.XLOOKUP(LEFT(Lose[[#This Row],[LosID]],FIND("-",Lose[[#This Row],[LosID]])-1),Ziehungsanzahl[Kürzel],Ziehungsanzahl[Kontingent],FALSE,0)),9999)</f>
        <v>0</v>
      </c>
    </row>
    <row r="334" spans="1:23" ht="30" hidden="1">
      <c r="A3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4" t="s">
        <v>23403</v>
      </c>
      <c r="C334" s="83" t="s">
        <v>24438</v>
      </c>
      <c r="D334" s="1" t="s">
        <v>24439</v>
      </c>
      <c r="E334" t="s">
        <v>24440</v>
      </c>
      <c r="F334" t="s">
        <v>24441</v>
      </c>
      <c r="G334">
        <v>6</v>
      </c>
      <c r="H334">
        <v>1</v>
      </c>
      <c r="I334">
        <v>0.4</v>
      </c>
      <c r="K334" t="str" cm="1">
        <f t="array" ref="K3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Wernigerode Westerntor</v>
      </c>
      <c r="L334" t="str">
        <f>IFERROR(LEFT(TRIM(Lose[[#This Row],[Google Koordinaten]]),9),"")</f>
        <v>51.833593</v>
      </c>
      <c r="M334" t="str">
        <f>IFERROR(MID(TRIM(Lose[[#This Row],[Google Koordinaten]]),
FIND(",",TRIM(Lose[[#This Row],[Google Koordinaten]])) + 2,9),"")</f>
        <v>10.784566</v>
      </c>
      <c r="N334">
        <f>IF(Lose[[#This Row],[Bahn-hofs-zeit]]=0,0,MROUND(30*25^((Lose[[#This Row],[Bahn-hofs-zeit]]-_xlfn.MINIFS(Lose[Bahn-hofs-zeit],Lose[Bahn-hofs-zeit],"&gt;0"))/(MAX(Lose[Bahn-hofs-zeit])-_xlfn.MINIFS(Lose[Bahn-hofs-zeit],Lose[Bahn-hofs-zeit],"&gt;0"))),5))</f>
        <v>220</v>
      </c>
      <c r="O334">
        <f>IF(Lose[[#This Row],[Gehzeit (min)]]="",0,CEILING(3*(Lose[[#This Row],[Gehzeit (min)]]+Lose[[#This Row],[Aufgaben-zeit (min)]]),5))</f>
        <v>25</v>
      </c>
      <c r="P334">
        <v>10.25</v>
      </c>
      <c r="Q334">
        <f>IFERROR(ROUND(Lose[[#This Row],[Distanz (km)]]*60/Lose[[#This Row],[Gehzeit (min)]],1),"")</f>
        <v>4</v>
      </c>
      <c r="R3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v>
      </c>
      <c r="S334">
        <f>IFERROR(Lose[[#This Row],[Distanz (km)]]-Lose[[#This Row],[Check Distanz]],"")</f>
        <v>0.10000000000000003</v>
      </c>
      <c r="T334" s="60">
        <f>IFERROR(Lose[[#This Row],[Check Umweg]]/Lose[[#This Row],[Check Distanz]],"")</f>
        <v>0.33333333333333348</v>
      </c>
      <c r="U334">
        <f ca="1">IF(RIGHT(Lose[[#This Row],[LosID]],1)="b",_xlfn.XLOOKUP(REPLACE(Lose[[#This Row],[LosID]],LEN(Lose[[#This Row],[LosID]]),1,"a"),Lose[LosID],Lose[Zufallszahl],"",0),RAND())</f>
        <v>0.1801052444947755</v>
      </c>
      <c r="V334" t="b" cm="1">
        <f t="array" aca="1" ref="V334" ca="1">Lose[[#This Row],[Zufallszahl]]&gt;=IFERROR(LARGE((LEFT(Lose[LosID],FIND("-",Lose[LosID])-1)=LEFT(Lose[[#This Row],[LosID]],FIND("-",Lose[[#This Row],[LosID]])-1))*Lose[Zufallszahl],_xlfn.XLOOKUP(LEFT(Lose[[#This Row],[LosID]],FIND("-",Lose[[#This Row],[LosID]])-1),Ziehungsanzahl[Kürzel],Ziehungsanzahl[Kontingent],FALSE,0)),9999)</f>
        <v>0</v>
      </c>
    </row>
    <row r="335" spans="1:23" ht="45" hidden="1">
      <c r="A3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335" t="s">
        <v>23408</v>
      </c>
      <c r="C335" t="s">
        <v>24442</v>
      </c>
      <c r="D335" s="1" t="s">
        <v>24443</v>
      </c>
      <c r="E335" t="s">
        <v>24444</v>
      </c>
      <c r="F335" t="s">
        <v>24445</v>
      </c>
      <c r="G335">
        <v>9</v>
      </c>
      <c r="H335">
        <v>3</v>
      </c>
      <c r="I335">
        <v>0.7</v>
      </c>
      <c r="K335" t="str" cm="1">
        <f t="array" ref="K3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Husum</v>
      </c>
      <c r="L335" t="str">
        <f>IFERROR(LEFT(TRIM(Lose[[#This Row],[Google Koordinaten]]),9),"")</f>
        <v>54.474928</v>
      </c>
      <c r="M335" t="str">
        <f>IFERROR(MID(TRIM(Lose[[#This Row],[Google Koordinaten]]),
FIND(",",TRIM(Lose[[#This Row],[Google Koordinaten]])) + 2,9),"")</f>
        <v>9.0461853</v>
      </c>
      <c r="N335">
        <f>IF(Lose[[#This Row],[Bahn-hofs-zeit]]=0,0,MROUND(30*25^((Lose[[#This Row],[Bahn-hofs-zeit]]-_xlfn.MINIFS(Lose[Bahn-hofs-zeit],Lose[Bahn-hofs-zeit],"&gt;0"))/(MAX(Lose[Bahn-hofs-zeit])-_xlfn.MINIFS(Lose[Bahn-hofs-zeit],Lose[Bahn-hofs-zeit],"&gt;0"))),5))</f>
        <v>295</v>
      </c>
      <c r="O335">
        <f>IF(Lose[[#This Row],[Gehzeit (min)]]="",0,CEILING(3*(Lose[[#This Row],[Gehzeit (min)]]+Lose[[#This Row],[Aufgaben-zeit (min)]]),5))</f>
        <v>40</v>
      </c>
      <c r="P335">
        <v>11.25</v>
      </c>
      <c r="Q335">
        <f>IFERROR(ROUND(Lose[[#This Row],[Distanz (km)]]*60/Lose[[#This Row],[Gehzeit (min)]],1),"")</f>
        <v>4.7</v>
      </c>
      <c r="R3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335">
        <f>IFERROR(Lose[[#This Row],[Distanz (km)]]-Lose[[#This Row],[Check Distanz]],"")</f>
        <v>-1.0000000000000009E-2</v>
      </c>
      <c r="T335" s="60">
        <f>IFERROR(Lose[[#This Row],[Check Umweg]]/Lose[[#This Row],[Check Distanz]],"")</f>
        <v>-1.4084507042253534E-2</v>
      </c>
      <c r="U335">
        <f ca="1">IF(RIGHT(Lose[[#This Row],[LosID]],1)="b",_xlfn.XLOOKUP(REPLACE(Lose[[#This Row],[LosID]],LEN(Lose[[#This Row],[LosID]]),1,"a"),Lose[LosID],Lose[Zufallszahl],"",0),RAND())</f>
        <v>0.54413125984723765</v>
      </c>
      <c r="V335" t="b" cm="1">
        <f t="array" aca="1" ref="V335" ca="1">Lose[[#This Row],[Zufallszahl]]&gt;=IFERROR(LARGE((LEFT(Lose[LosID],FIND("-",Lose[LosID])-1)=LEFT(Lose[[#This Row],[LosID]],FIND("-",Lose[[#This Row],[LosID]])-1))*Lose[Zufallszahl],_xlfn.XLOOKUP(LEFT(Lose[[#This Row],[LosID]],FIND("-",Lose[[#This Row],[LosID]])-1),Ziehungsanzahl[Kürzel],Ziehungsanzahl[Kontingent],FALSE,0)),9999)</f>
        <v>0</v>
      </c>
    </row>
    <row r="336" spans="1:23" ht="75" hidden="1">
      <c r="A3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36" t="s">
        <v>23412</v>
      </c>
      <c r="C336" t="s">
        <v>24446</v>
      </c>
      <c r="D336" s="1" t="s">
        <v>24447</v>
      </c>
      <c r="E336" t="s">
        <v>24448</v>
      </c>
      <c r="F336" t="s">
        <v>24449</v>
      </c>
      <c r="G336">
        <v>13</v>
      </c>
      <c r="H336">
        <v>1</v>
      </c>
      <c r="I336">
        <v>0.75</v>
      </c>
      <c r="K336" t="str" cm="1">
        <f t="array" ref="K3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Kaub</v>
      </c>
      <c r="L336" t="str">
        <f>IFERROR(LEFT(TRIM(Lose[[#This Row],[Google Koordinaten]]),9),"")</f>
        <v>50.085445</v>
      </c>
      <c r="M336" t="str">
        <f>IFERROR(MID(TRIM(Lose[[#This Row],[Google Koordinaten]]),
FIND(",",TRIM(Lose[[#This Row],[Google Koordinaten]])) + 2,9),"")</f>
        <v>7.7696847</v>
      </c>
      <c r="N336">
        <f>IF(Lose[[#This Row],[Bahn-hofs-zeit]]=0,0,MROUND(30*25^((Lose[[#This Row],[Bahn-hofs-zeit]]-_xlfn.MINIFS(Lose[Bahn-hofs-zeit],Lose[Bahn-hofs-zeit],"&gt;0"))/(MAX(Lose[Bahn-hofs-zeit])-_xlfn.MINIFS(Lose[Bahn-hofs-zeit],Lose[Bahn-hofs-zeit],"&gt;0"))),5))</f>
        <v>80</v>
      </c>
      <c r="O336">
        <f>IF(Lose[[#This Row],[Gehzeit (min)]]="",0,CEILING(3*(Lose[[#This Row],[Gehzeit (min)]]+Lose[[#This Row],[Aufgaben-zeit (min)]]),5))</f>
        <v>45</v>
      </c>
      <c r="P336">
        <v>6.75</v>
      </c>
      <c r="Q336">
        <f>IFERROR(ROUND(Lose[[#This Row],[Distanz (km)]]*60/Lose[[#This Row],[Gehzeit (min)]],1),"")</f>
        <v>3.5</v>
      </c>
      <c r="R3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336">
        <f>IFERROR(Lose[[#This Row],[Distanz (km)]]-Lose[[#This Row],[Check Distanz]],"")</f>
        <v>0.49</v>
      </c>
      <c r="T336" s="60">
        <f>IFERROR(Lose[[#This Row],[Check Umweg]]/Lose[[#This Row],[Check Distanz]],"")</f>
        <v>1.8846153846153846</v>
      </c>
      <c r="U336">
        <f ca="1">IF(RIGHT(Lose[[#This Row],[LosID]],1)="b",_xlfn.XLOOKUP(REPLACE(Lose[[#This Row],[LosID]],LEN(Lose[[#This Row],[LosID]]),1,"a"),Lose[LosID],Lose[Zufallszahl],"",0),RAND())</f>
        <v>0.13445469163574997</v>
      </c>
      <c r="V336" t="b" cm="1">
        <f t="array" aca="1" ref="V336" ca="1">Lose[[#This Row],[Zufallszahl]]&gt;=IFERROR(LARGE((LEFT(Lose[LosID],FIND("-",Lose[LosID])-1)=LEFT(Lose[[#This Row],[LosID]],FIND("-",Lose[[#This Row],[LosID]])-1))*Lose[Zufallszahl],_xlfn.XLOOKUP(LEFT(Lose[[#This Row],[LosID]],FIND("-",Lose[[#This Row],[LosID]])-1),Ziehungsanzahl[Kürzel],Ziehungsanzahl[Kontingent],FALSE,0)),9999)</f>
        <v>0</v>
      </c>
      <c r="W336" s="1" t="s">
        <v>23362</v>
      </c>
    </row>
    <row r="337" spans="1:23" ht="30" hidden="1">
      <c r="A3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7" t="s">
        <v>23416</v>
      </c>
      <c r="C337" t="s">
        <v>24450</v>
      </c>
      <c r="D337" s="1" t="s">
        <v>24451</v>
      </c>
      <c r="E337" t="s">
        <v>24452</v>
      </c>
      <c r="F337" t="s">
        <v>24453</v>
      </c>
      <c r="G337">
        <v>13</v>
      </c>
      <c r="H337">
        <v>1</v>
      </c>
      <c r="I337">
        <v>0.85</v>
      </c>
      <c r="K337" t="str" cm="1">
        <f t="array" ref="K3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Happurg</v>
      </c>
      <c r="L337" t="str">
        <f>IFERROR(LEFT(TRIM(Lose[[#This Row],[Google Koordinaten]]),9),"")</f>
        <v>49.503028</v>
      </c>
      <c r="M337" t="str">
        <f>IFERROR(MID(TRIM(Lose[[#This Row],[Google Koordinaten]]),
FIND(",",TRIM(Lose[[#This Row],[Google Koordinaten]])) + 2,9),"")</f>
        <v>11.462278</v>
      </c>
      <c r="N337">
        <f>IF(Lose[[#This Row],[Bahn-hofs-zeit]]=0,0,MROUND(30*25^((Lose[[#This Row],[Bahn-hofs-zeit]]-_xlfn.MINIFS(Lose[Bahn-hofs-zeit],Lose[Bahn-hofs-zeit],"&gt;0"))/(MAX(Lose[Bahn-hofs-zeit])-_xlfn.MINIFS(Lose[Bahn-hofs-zeit],Lose[Bahn-hofs-zeit],"&gt;0"))),5))</f>
        <v>165</v>
      </c>
      <c r="O337">
        <f>IF(Lose[[#This Row],[Gehzeit (min)]]="",0,CEILING(3*(Lose[[#This Row],[Gehzeit (min)]]+Lose[[#This Row],[Aufgaben-zeit (min)]]),5))</f>
        <v>45</v>
      </c>
      <c r="P337">
        <v>9.25</v>
      </c>
      <c r="Q337">
        <f>IFERROR(ROUND(Lose[[#This Row],[Distanz (km)]]*60/Lose[[#This Row],[Gehzeit (min)]],1),"")</f>
        <v>3.9</v>
      </c>
      <c r="R3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0.55000000000000004</v>
      </c>
      <c r="S337">
        <f>IFERROR(Lose[[#This Row],[Distanz (km)]]-Lose[[#This Row],[Check Distanz]],"")</f>
        <v>0.29999999999999993</v>
      </c>
      <c r="T337" s="60">
        <f>IFERROR(Lose[[#This Row],[Check Umweg]]/Lose[[#This Row],[Check Distanz]],"")</f>
        <v>0.5454545454545453</v>
      </c>
      <c r="U337">
        <f ca="1">IF(RIGHT(Lose[[#This Row],[LosID]],1)="b",_xlfn.XLOOKUP(REPLACE(Lose[[#This Row],[LosID]],LEN(Lose[[#This Row],[LosID]]),1,"a"),Lose[LosID],Lose[Zufallszahl],"",0),RAND())</f>
        <v>0.1816803240778494</v>
      </c>
      <c r="V337" t="b" cm="1">
        <f t="array" aca="1" ref="V337" ca="1">Lose[[#This Row],[Zufallszahl]]&gt;=IFERROR(LARGE((LEFT(Lose[LosID],FIND("-",Lose[LosID])-1)=LEFT(Lose[[#This Row],[LosID]],FIND("-",Lose[[#This Row],[LosID]])-1))*Lose[Zufallszahl],_xlfn.XLOOKUP(LEFT(Lose[[#This Row],[LosID]],FIND("-",Lose[[#This Row],[LosID]])-1),Ziehungsanzahl[Kürzel],Ziehungsanzahl[Kontingent],FALSE,0)),9999)</f>
        <v>0</v>
      </c>
    </row>
    <row r="338" spans="1:23" ht="30" hidden="1">
      <c r="A3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8" t="s">
        <v>23357</v>
      </c>
      <c r="C338" t="s">
        <v>24454</v>
      </c>
      <c r="D338" s="1" t="s">
        <v>24455</v>
      </c>
      <c r="E338" t="s">
        <v>24456</v>
      </c>
      <c r="F338" t="s">
        <v>24457</v>
      </c>
      <c r="G338">
        <v>3</v>
      </c>
      <c r="H338">
        <v>1</v>
      </c>
      <c r="I338">
        <v>0.2</v>
      </c>
      <c r="K338" t="str" cm="1">
        <f t="array" ref="K3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Eiswoog</v>
      </c>
      <c r="L338" t="str">
        <f>IFERROR(LEFT(TRIM(Lose[[#This Row],[Google Koordinaten]]),9),"")</f>
        <v>49.515089</v>
      </c>
      <c r="M338" t="str">
        <f>IFERROR(MID(TRIM(Lose[[#This Row],[Google Koordinaten]]),
FIND(",",TRIM(Lose[[#This Row],[Google Koordinaten]])) + 2,9),"")</f>
        <v>7.9824070</v>
      </c>
      <c r="N338">
        <f>IF(Lose[[#This Row],[Bahn-hofs-zeit]]=0,0,MROUND(30*25^((Lose[[#This Row],[Bahn-hofs-zeit]]-_xlfn.MINIFS(Lose[Bahn-hofs-zeit],Lose[Bahn-hofs-zeit],"&gt;0"))/(MAX(Lose[Bahn-hofs-zeit])-_xlfn.MINIFS(Lose[Bahn-hofs-zeit],Lose[Bahn-hofs-zeit],"&gt;0"))),5))</f>
        <v>145</v>
      </c>
      <c r="O338">
        <f>IF(Lose[[#This Row],[Gehzeit (min)]]="",0,CEILING(3*(Lose[[#This Row],[Gehzeit (min)]]+Lose[[#This Row],[Aufgaben-zeit (min)]]),5))</f>
        <v>15</v>
      </c>
      <c r="P338">
        <v>8.75</v>
      </c>
      <c r="Q338">
        <f>IFERROR(ROUND(Lose[[#This Row],[Distanz (km)]]*60/Lose[[#This Row],[Gehzeit (min)]],1),"")</f>
        <v>4</v>
      </c>
      <c r="R3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338">
        <f>IFERROR(Lose[[#This Row],[Distanz (km)]]-Lose[[#This Row],[Check Distanz]],"")</f>
        <v>1.0000000000000009E-2</v>
      </c>
      <c r="T338" s="60">
        <f>IFERROR(Lose[[#This Row],[Check Umweg]]/Lose[[#This Row],[Check Distanz]],"")</f>
        <v>5.2631578947368467E-2</v>
      </c>
      <c r="U338">
        <f ca="1">IF(RIGHT(Lose[[#This Row],[LosID]],1)="b",_xlfn.XLOOKUP(REPLACE(Lose[[#This Row],[LosID]],LEN(Lose[[#This Row],[LosID]]),1,"a"),Lose[LosID],Lose[Zufallszahl],"",0),RAND())</f>
        <v>0.79181541559165625</v>
      </c>
      <c r="V338" t="b" cm="1">
        <f t="array" aca="1" ref="V338" ca="1">Lose[[#This Row],[Zufallszahl]]&gt;=IFERROR(LARGE((LEFT(Lose[LosID],FIND("-",Lose[LosID])-1)=LEFT(Lose[[#This Row],[LosID]],FIND("-",Lose[[#This Row],[LosID]])-1))*Lose[Zufallszahl],_xlfn.XLOOKUP(LEFT(Lose[[#This Row],[LosID]],FIND("-",Lose[[#This Row],[LosID]])-1),Ziehungsanzahl[Kürzel],Ziehungsanzahl[Kontingent],FALSE,0)),9999)</f>
        <v>0</v>
      </c>
    </row>
    <row r="339" spans="1:23" ht="90" hidden="1">
      <c r="A3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9" t="s">
        <v>23363</v>
      </c>
      <c r="C339" t="s">
        <v>24458</v>
      </c>
      <c r="D339" s="1" t="s">
        <v>24459</v>
      </c>
      <c r="E339" t="s">
        <v>24460</v>
      </c>
      <c r="F339" t="s">
        <v>24461</v>
      </c>
      <c r="G339">
        <v>18</v>
      </c>
      <c r="H339">
        <v>3</v>
      </c>
      <c r="I339">
        <v>1</v>
      </c>
      <c r="J339">
        <v>20</v>
      </c>
      <c r="K339" t="str" cm="1">
        <f t="array" ref="K3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Oberstdorf</v>
      </c>
      <c r="L339" t="str">
        <f>IFERROR(LEFT(TRIM(Lose[[#This Row],[Google Koordinaten]]),9),"")</f>
        <v>47.404730</v>
      </c>
      <c r="M339" t="str">
        <f>IFERROR(MID(TRIM(Lose[[#This Row],[Google Koordinaten]]),
FIND(",",TRIM(Lose[[#This Row],[Google Koordinaten]])) + 2,9),"")</f>
        <v>10.285427</v>
      </c>
      <c r="N339" s="91">
        <f>IF(Lose[[#This Row],[Bahn-hofs-zeit]]=0,0,MROUND(30*25^((Lose[[#This Row],[Bahn-hofs-zeit]]-_xlfn.MINIFS(Lose[Bahn-hofs-zeit],Lose[Bahn-hofs-zeit],"&gt;0"))/(MAX(Lose[Bahn-hofs-zeit])-_xlfn.MINIFS(Lose[Bahn-hofs-zeit],Lose[Bahn-hofs-zeit],"&gt;0"))),5))</f>
        <v>0</v>
      </c>
      <c r="O339">
        <f>IF(Lose[[#This Row],[Gehzeit (min)]]="",0,CEILING(3*(Lose[[#This Row],[Gehzeit (min)]]+Lose[[#This Row],[Aufgaben-zeit (min)]]),5))</f>
        <v>65</v>
      </c>
      <c r="Q339">
        <f>IFERROR(ROUND(Lose[[#This Row],[Distanz (km)]]*60/Lose[[#This Row],[Gehzeit (min)]],1),"")</f>
        <v>3.3</v>
      </c>
      <c r="R3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339">
        <f>IFERROR(Lose[[#This Row],[Distanz (km)]]-Lose[[#This Row],[Check Distanz]],"")</f>
        <v>0.10999999999999999</v>
      </c>
      <c r="T339" s="60">
        <f>IFERROR(Lose[[#This Row],[Check Umweg]]/Lose[[#This Row],[Check Distanz]],"")</f>
        <v>0.12359550561797751</v>
      </c>
      <c r="U339">
        <f ca="1">IF(RIGHT(Lose[[#This Row],[LosID]],1)="b",_xlfn.XLOOKUP(REPLACE(Lose[[#This Row],[LosID]],LEN(Lose[[#This Row],[LosID]]),1,"a"),Lose[LosID],Lose[Zufallszahl],"",0),RAND())</f>
        <v>0.72310546881888205</v>
      </c>
      <c r="V339" t="b" cm="1">
        <f t="array" aca="1" ref="V339" ca="1">Lose[[#This Row],[Zufallszahl]]&gt;=IFERROR(LARGE((LEFT(Lose[LosID],FIND("-",Lose[LosID])-1)=LEFT(Lose[[#This Row],[LosID]],FIND("-",Lose[[#This Row],[LosID]])-1))*Lose[Zufallszahl],_xlfn.XLOOKUP(LEFT(Lose[[#This Row],[LosID]],FIND("-",Lose[[#This Row],[LosID]])-1),Ziehungsanzahl[Kürzel],Ziehungsanzahl[Kontingent],FALSE,0)),9999)</f>
        <v>0</v>
      </c>
      <c r="W339" t="s">
        <v>23398</v>
      </c>
    </row>
    <row r="340" spans="1:23" hidden="1">
      <c r="A3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0" t="s">
        <v>23367</v>
      </c>
      <c r="C340" t="s">
        <v>1395</v>
      </c>
      <c r="D340" s="1" t="s">
        <v>24462</v>
      </c>
      <c r="E340" t="s">
        <v>24463</v>
      </c>
      <c r="F340" t="s">
        <v>24464</v>
      </c>
      <c r="G340">
        <v>11</v>
      </c>
      <c r="H340">
        <v>2</v>
      </c>
      <c r="I340">
        <v>0.85</v>
      </c>
      <c r="K340" t="str" cm="1">
        <f t="array" ref="K3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Ebstorf(Uelzen)</v>
      </c>
      <c r="L340" t="str">
        <f>IFERROR(LEFT(TRIM(Lose[[#This Row],[Google Koordinaten]]),9),"")</f>
        <v>53.015700</v>
      </c>
      <c r="M340" t="str">
        <f>IFERROR(MID(TRIM(Lose[[#This Row],[Google Koordinaten]]),
FIND(",",TRIM(Lose[[#This Row],[Google Koordinaten]])) + 2,9),"")</f>
        <v>10.426253</v>
      </c>
      <c r="N340">
        <f>IF(Lose[[#This Row],[Bahn-hofs-zeit]]=0,0,MROUND(30*25^((Lose[[#This Row],[Bahn-hofs-zeit]]-_xlfn.MINIFS(Lose[Bahn-hofs-zeit],Lose[Bahn-hofs-zeit],"&gt;0"))/(MAX(Lose[Bahn-hofs-zeit])-_xlfn.MINIFS(Lose[Bahn-hofs-zeit],Lose[Bahn-hofs-zeit],"&gt;0"))),5))</f>
        <v>135</v>
      </c>
      <c r="O340">
        <f>IF(Lose[[#This Row],[Gehzeit (min)]]="",0,CEILING(3*(Lose[[#This Row],[Gehzeit (min)]]+Lose[[#This Row],[Aufgaben-zeit (min)]]),5))</f>
        <v>40</v>
      </c>
      <c r="P340">
        <v>8.5</v>
      </c>
      <c r="Q340">
        <f>IFERROR(ROUND(Lose[[#This Row],[Distanz (km)]]*60/Lose[[#This Row],[Gehzeit (min)]],1),"")</f>
        <v>4.5999999999999996</v>
      </c>
      <c r="R3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340">
        <f>IFERROR(Lose[[#This Row],[Distanz (km)]]-Lose[[#This Row],[Check Distanz]],"")</f>
        <v>0.20999999999999996</v>
      </c>
      <c r="T340" s="60">
        <f>IFERROR(Lose[[#This Row],[Check Umweg]]/Lose[[#This Row],[Check Distanz]],"")</f>
        <v>0.32812499999999994</v>
      </c>
      <c r="U340">
        <f ca="1">IF(RIGHT(Lose[[#This Row],[LosID]],1)="b",_xlfn.XLOOKUP(REPLACE(Lose[[#This Row],[LosID]],LEN(Lose[[#This Row],[LosID]]),1,"a"),Lose[LosID],Lose[Zufallszahl],"",0),RAND())</f>
        <v>0.11934281213771403</v>
      </c>
      <c r="V340" t="b" cm="1">
        <f t="array" aca="1" ref="V340" ca="1">Lose[[#This Row],[Zufallszahl]]&gt;=IFERROR(LARGE((LEFT(Lose[LosID],FIND("-",Lose[LosID])-1)=LEFT(Lose[[#This Row],[LosID]],FIND("-",Lose[[#This Row],[LosID]])-1))*Lose[Zufallszahl],_xlfn.XLOOKUP(LEFT(Lose[[#This Row],[LosID]],FIND("-",Lose[[#This Row],[LosID]])-1),Ziehungsanzahl[Kürzel],Ziehungsanzahl[Kontingent],FALSE,0)),9999)</f>
        <v>0</v>
      </c>
    </row>
    <row r="341" spans="1:23" ht="105" hidden="1">
      <c r="A3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1" t="s">
        <v>23372</v>
      </c>
      <c r="C341" t="s">
        <v>24465</v>
      </c>
      <c r="D341" s="1" t="s">
        <v>24466</v>
      </c>
      <c r="E341" t="s">
        <v>24467</v>
      </c>
      <c r="F341" t="s">
        <v>24468</v>
      </c>
      <c r="G341">
        <v>26</v>
      </c>
      <c r="H341">
        <v>3</v>
      </c>
      <c r="I341">
        <v>1.8</v>
      </c>
      <c r="K341" t="str" cm="1">
        <f t="array" ref="K3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Detmold</v>
      </c>
      <c r="L341" t="str">
        <f>IFERROR(LEFT(TRIM(Lose[[#This Row],[Google Koordinaten]]),9),"")</f>
        <v>51.929278</v>
      </c>
      <c r="M341" t="str">
        <f>IFERROR(MID(TRIM(Lose[[#This Row],[Google Koordinaten]]),
FIND(",",TRIM(Lose[[#This Row],[Google Koordinaten]])) + 2,9),"")</f>
        <v>8.8766921</v>
      </c>
      <c r="N341">
        <f>IF(Lose[[#This Row],[Bahn-hofs-zeit]]=0,0,MROUND(30*25^((Lose[[#This Row],[Bahn-hofs-zeit]]-_xlfn.MINIFS(Lose[Bahn-hofs-zeit],Lose[Bahn-hofs-zeit],"&gt;0"))/(MAX(Lose[Bahn-hofs-zeit])-_xlfn.MINIFS(Lose[Bahn-hofs-zeit],Lose[Bahn-hofs-zeit],"&gt;0"))),5))</f>
        <v>60</v>
      </c>
      <c r="O341">
        <f>IF(Lose[[#This Row],[Gehzeit (min)]]="",0,CEILING(3*(Lose[[#This Row],[Gehzeit (min)]]+Lose[[#This Row],[Aufgaben-zeit (min)]]),5))</f>
        <v>90</v>
      </c>
      <c r="P341">
        <v>5.75</v>
      </c>
      <c r="Q341">
        <f>IFERROR(ROUND(Lose[[#This Row],[Distanz (km)]]*60/Lose[[#This Row],[Gehzeit (min)]],1),"")</f>
        <v>4.2</v>
      </c>
      <c r="R3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341">
        <f>IFERROR(Lose[[#This Row],[Distanz (km)]]-Lose[[#This Row],[Check Distanz]],"")</f>
        <v>0.5</v>
      </c>
      <c r="T341" s="60">
        <f>IFERROR(Lose[[#This Row],[Check Umweg]]/Lose[[#This Row],[Check Distanz]],"")</f>
        <v>0.38461538461538458</v>
      </c>
      <c r="U341">
        <f ca="1">IF(RIGHT(Lose[[#This Row],[LosID]],1)="b",_xlfn.XLOOKUP(REPLACE(Lose[[#This Row],[LosID]],LEN(Lose[[#This Row],[LosID]]),1,"a"),Lose[LosID],Lose[Zufallszahl],"",0),RAND())</f>
        <v>0.16713477047333025</v>
      </c>
      <c r="V341" t="b" cm="1">
        <f t="array" aca="1" ref="V341" ca="1">Lose[[#This Row],[Zufallszahl]]&gt;=IFERROR(LARGE((LEFT(Lose[LosID],FIND("-",Lose[LosID])-1)=LEFT(Lose[[#This Row],[LosID]],FIND("-",Lose[[#This Row],[LosID]])-1))*Lose[Zufallszahl],_xlfn.XLOOKUP(LEFT(Lose[[#This Row],[LosID]],FIND("-",Lose[[#This Row],[LosID]])-1),Ziehungsanzahl[Kürzel],Ziehungsanzahl[Kontingent],FALSE,0)),9999)</f>
        <v>0</v>
      </c>
    </row>
    <row r="342" spans="1:23" ht="150" hidden="1">
      <c r="A3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2" t="s">
        <v>4</v>
      </c>
      <c r="C342" t="s">
        <v>24469</v>
      </c>
      <c r="D342" s="1" t="s">
        <v>24470</v>
      </c>
      <c r="E342" t="s">
        <v>24471</v>
      </c>
      <c r="F342" t="s">
        <v>24472</v>
      </c>
      <c r="G342">
        <v>7</v>
      </c>
      <c r="H342">
        <v>7</v>
      </c>
      <c r="I342">
        <v>0.4</v>
      </c>
      <c r="J342">
        <v>20</v>
      </c>
      <c r="K342" t="str" cm="1">
        <f t="array" ref="K3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Georgen(Schwarzw)</v>
      </c>
      <c r="L342" t="str">
        <f>IFERROR(LEFT(TRIM(Lose[[#This Row],[Google Koordinaten]]),9),"")</f>
        <v>48.121236</v>
      </c>
      <c r="M342" t="str">
        <f>IFERROR(MID(TRIM(Lose[[#This Row],[Google Koordinaten]]),
FIND(",",TRIM(Lose[[#This Row],[Google Koordinaten]])) + 2,9),"")</f>
        <v>8.3435968</v>
      </c>
      <c r="N342">
        <f>IF(Lose[[#This Row],[Bahn-hofs-zeit]]=0,0,MROUND(30*25^((Lose[[#This Row],[Bahn-hofs-zeit]]-_xlfn.MINIFS(Lose[Bahn-hofs-zeit],Lose[Bahn-hofs-zeit],"&gt;0"))/(MAX(Lose[Bahn-hofs-zeit])-_xlfn.MINIFS(Lose[Bahn-hofs-zeit],Lose[Bahn-hofs-zeit],"&gt;0"))),5))</f>
        <v>165</v>
      </c>
      <c r="O342">
        <f>IF(Lose[[#This Row],[Gehzeit (min)]]="",0,CEILING(3*(Lose[[#This Row],[Gehzeit (min)]]+Lose[[#This Row],[Aufgaben-zeit (min)]]),5))</f>
        <v>45</v>
      </c>
      <c r="P342">
        <v>9.25</v>
      </c>
      <c r="Q342">
        <f>IFERROR(ROUND(Lose[[#This Row],[Distanz (km)]]*60/Lose[[#This Row],[Gehzeit (min)]],1),"")</f>
        <v>3.4</v>
      </c>
      <c r="R3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342">
        <f>IFERROR(Lose[[#This Row],[Distanz (km)]]-Lose[[#This Row],[Check Distanz]],"")</f>
        <v>9.0000000000000024E-2</v>
      </c>
      <c r="T342" s="60">
        <f>IFERROR(Lose[[#This Row],[Check Umweg]]/Lose[[#This Row],[Check Distanz]],"")</f>
        <v>0.29032258064516137</v>
      </c>
      <c r="U342">
        <f ca="1">IF(RIGHT(Lose[[#This Row],[LosID]],1)="b",_xlfn.XLOOKUP(REPLACE(Lose[[#This Row],[LosID]],LEN(Lose[[#This Row],[LosID]]),1,"a"),Lose[LosID],Lose[Zufallszahl],"",0),RAND())</f>
        <v>8.9692024439720908E-2</v>
      </c>
      <c r="V342" t="b" cm="1">
        <f t="array" aca="1" ref="V342" ca="1">Lose[[#This Row],[Zufallszahl]]&gt;=IFERROR(LARGE((LEFT(Lose[LosID],FIND("-",Lose[LosID])-1)=LEFT(Lose[[#This Row],[LosID]],FIND("-",Lose[[#This Row],[LosID]])-1))*Lose[Zufallszahl],_xlfn.XLOOKUP(LEFT(Lose[[#This Row],[LosID]],FIND("-",Lose[[#This Row],[LosID]])-1),Ziehungsanzahl[Kürzel],Ziehungsanzahl[Kontingent],FALSE,0)),9999)</f>
        <v>0</v>
      </c>
    </row>
    <row r="343" spans="1:23" ht="105" hidden="1">
      <c r="A3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3" t="s">
        <v>23363</v>
      </c>
      <c r="C343" t="s">
        <v>24473</v>
      </c>
      <c r="D343" s="1" t="s">
        <v>24474</v>
      </c>
      <c r="E343" t="s">
        <v>24475</v>
      </c>
      <c r="F343" t="s">
        <v>24476</v>
      </c>
      <c r="G343">
        <v>8</v>
      </c>
      <c r="H343">
        <v>1</v>
      </c>
      <c r="I343">
        <v>0.5</v>
      </c>
      <c r="J343">
        <v>10</v>
      </c>
      <c r="K343" t="str" cm="1">
        <f t="array" ref="K3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Baiersbronn Bf</v>
      </c>
      <c r="L343" t="str">
        <f>IFERROR(LEFT(TRIM(Lose[[#This Row],[Google Koordinaten]]),9),"")</f>
        <v>48.501834</v>
      </c>
      <c r="M343" t="str">
        <f>IFERROR(MID(TRIM(Lose[[#This Row],[Google Koordinaten]]),
FIND(",",TRIM(Lose[[#This Row],[Google Koordinaten]])) + 2,9),"")</f>
        <v>8.3692394</v>
      </c>
      <c r="N343">
        <f>IF(Lose[[#This Row],[Bahn-hofs-zeit]]=0,0,MROUND(30*25^((Lose[[#This Row],[Bahn-hofs-zeit]]-_xlfn.MINIFS(Lose[Bahn-hofs-zeit],Lose[Bahn-hofs-zeit],"&gt;0"))/(MAX(Lose[Bahn-hofs-zeit])-_xlfn.MINIFS(Lose[Bahn-hofs-zeit],Lose[Bahn-hofs-zeit],"&gt;0"))),5))</f>
        <v>155</v>
      </c>
      <c r="O343">
        <f>IF(Lose[[#This Row],[Gehzeit (min)]]="",0,CEILING(3*(Lose[[#This Row],[Gehzeit (min)]]+Lose[[#This Row],[Aufgaben-zeit (min)]]),5))</f>
        <v>30</v>
      </c>
      <c r="P343">
        <v>9</v>
      </c>
      <c r="Q343">
        <f>IFERROR(ROUND(Lose[[#This Row],[Distanz (km)]]*60/Lose[[#This Row],[Gehzeit (min)]],1),"")</f>
        <v>3.8</v>
      </c>
      <c r="R3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343">
        <f>IFERROR(Lose[[#This Row],[Distanz (km)]]-Lose[[#This Row],[Check Distanz]],"")</f>
        <v>0.21999999999999997</v>
      </c>
      <c r="T343" s="60">
        <f>IFERROR(Lose[[#This Row],[Check Umweg]]/Lose[[#This Row],[Check Distanz]],"")</f>
        <v>0.78571428571428559</v>
      </c>
      <c r="U343">
        <f ca="1">IF(RIGHT(Lose[[#This Row],[LosID]],1)="b",_xlfn.XLOOKUP(REPLACE(Lose[[#This Row],[LosID]],LEN(Lose[[#This Row],[LosID]]),1,"a"),Lose[LosID],Lose[Zufallszahl],"",0),RAND())</f>
        <v>0.60469125495672338</v>
      </c>
      <c r="V343" t="b" cm="1">
        <f t="array" aca="1" ref="V343" ca="1">Lose[[#This Row],[Zufallszahl]]&gt;=IFERROR(LARGE((LEFT(Lose[LosID],FIND("-",Lose[LosID])-1)=LEFT(Lose[[#This Row],[LosID]],FIND("-",Lose[[#This Row],[LosID]])-1))*Lose[Zufallszahl],_xlfn.XLOOKUP(LEFT(Lose[[#This Row],[LosID]],FIND("-",Lose[[#This Row],[LosID]])-1),Ziehungsanzahl[Kürzel],Ziehungsanzahl[Kontingent],FALSE,0)),9999)</f>
        <v>0</v>
      </c>
    </row>
    <row r="344" spans="1:23" ht="75" hidden="1">
      <c r="A3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4" t="s">
        <v>23352</v>
      </c>
      <c r="C344" t="s">
        <v>1396</v>
      </c>
      <c r="D344" s="1" t="s">
        <v>24477</v>
      </c>
      <c r="E344" t="s">
        <v>24478</v>
      </c>
      <c r="F344" t="s">
        <v>24479</v>
      </c>
      <c r="G344">
        <v>10</v>
      </c>
      <c r="H344">
        <v>10</v>
      </c>
      <c r="I344">
        <v>0.8</v>
      </c>
      <c r="J344">
        <v>50</v>
      </c>
      <c r="K344" t="str" cm="1">
        <f t="array" ref="K3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Pforzheim Hbf</v>
      </c>
      <c r="L344" t="str">
        <f>IFERROR(LEFT(TRIM(Lose[[#This Row],[Google Koordinaten]]),9),"")</f>
        <v>48.888583</v>
      </c>
      <c r="M344" t="str">
        <f>IFERROR(MID(TRIM(Lose[[#This Row],[Google Koordinaten]]),
FIND(",",TRIM(Lose[[#This Row],[Google Koordinaten]])) + 2,9),"")</f>
        <v>8.703743</v>
      </c>
      <c r="N344">
        <f>IF(Lose[[#This Row],[Bahn-hofs-zeit]]=0,0,MROUND(30*25^((Lose[[#This Row],[Bahn-hofs-zeit]]-_xlfn.MINIFS(Lose[Bahn-hofs-zeit],Lose[Bahn-hofs-zeit],"&gt;0"))/(MAX(Lose[Bahn-hofs-zeit])-_xlfn.MINIFS(Lose[Bahn-hofs-zeit],Lose[Bahn-hofs-zeit],"&gt;0"))),5))</f>
        <v>70</v>
      </c>
      <c r="O344">
        <f>IF(Lose[[#This Row],[Gehzeit (min)]]="",0,CEILING(3*(Lose[[#This Row],[Gehzeit (min)]]+Lose[[#This Row],[Aufgaben-zeit (min)]]),5))</f>
        <v>60</v>
      </c>
      <c r="P344">
        <v>6.25</v>
      </c>
      <c r="Q344">
        <f>IFERROR(ROUND(Lose[[#This Row],[Distanz (km)]]*60/Lose[[#This Row],[Gehzeit (min)]],1),"")</f>
        <v>4.8</v>
      </c>
      <c r="R3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344">
        <f>IFERROR(Lose[[#This Row],[Distanz (km)]]-Lose[[#This Row],[Check Distanz]],"")</f>
        <v>0.18000000000000005</v>
      </c>
      <c r="T344" s="60">
        <f>IFERROR(Lose[[#This Row],[Check Umweg]]/Lose[[#This Row],[Check Distanz]],"")</f>
        <v>0.29032258064516137</v>
      </c>
      <c r="U344">
        <f ca="1">IF(RIGHT(Lose[[#This Row],[LosID]],1)="b",_xlfn.XLOOKUP(REPLACE(Lose[[#This Row],[LosID]],LEN(Lose[[#This Row],[LosID]]),1,"a"),Lose[LosID],Lose[Zufallszahl],"",0),RAND())</f>
        <v>0.80557725000484126</v>
      </c>
      <c r="V344" t="b" cm="1">
        <f t="array" aca="1" ref="V344" ca="1">Lose[[#This Row],[Zufallszahl]]&gt;=IFERROR(LARGE((LEFT(Lose[LosID],FIND("-",Lose[LosID])-1)=LEFT(Lose[[#This Row],[LosID]],FIND("-",Lose[[#This Row],[LosID]])-1))*Lose[Zufallszahl],_xlfn.XLOOKUP(LEFT(Lose[[#This Row],[LosID]],FIND("-",Lose[[#This Row],[LosID]])-1),Ziehungsanzahl[Kürzel],Ziehungsanzahl[Kontingent],FALSE,0)),9999)</f>
        <v>0</v>
      </c>
    </row>
    <row r="345" spans="1:23" ht="75" hidden="1">
      <c r="A3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5" t="s">
        <v>23380</v>
      </c>
      <c r="C345" t="s">
        <v>24480</v>
      </c>
      <c r="D345" s="1" t="s">
        <v>24481</v>
      </c>
      <c r="E345" t="s">
        <v>24482</v>
      </c>
      <c r="F345" t="s">
        <v>24483</v>
      </c>
      <c r="G345">
        <v>15</v>
      </c>
      <c r="H345">
        <v>15</v>
      </c>
      <c r="I345">
        <v>0.65</v>
      </c>
      <c r="K345" t="str" cm="1">
        <f t="array" ref="K3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Frankenstein(Pfalz)</v>
      </c>
      <c r="L345" t="str">
        <f>IFERROR(LEFT(TRIM(Lose[[#This Row],[Google Koordinaten]]),9),"")</f>
        <v>49.438835</v>
      </c>
      <c r="M345" t="str">
        <f>IFERROR(MID(TRIM(Lose[[#This Row],[Google Koordinaten]]),
FIND(",",TRIM(Lose[[#This Row],[Google Koordinaten]])) + 2,9),"")</f>
        <v>7.9746384</v>
      </c>
      <c r="N345">
        <f>IF(Lose[[#This Row],[Bahn-hofs-zeit]]=0,0,MROUND(30*25^((Lose[[#This Row],[Bahn-hofs-zeit]]-_xlfn.MINIFS(Lose[Bahn-hofs-zeit],Lose[Bahn-hofs-zeit],"&gt;0"))/(MAX(Lose[Bahn-hofs-zeit])-_xlfn.MINIFS(Lose[Bahn-hofs-zeit],Lose[Bahn-hofs-zeit],"&gt;0"))),5))</f>
        <v>70</v>
      </c>
      <c r="O345">
        <f>IF(Lose[[#This Row],[Gehzeit (min)]]="",0,CEILING(3*(Lose[[#This Row],[Gehzeit (min)]]+Lose[[#This Row],[Aufgaben-zeit (min)]]),5))</f>
        <v>90</v>
      </c>
      <c r="P345">
        <v>6.25</v>
      </c>
      <c r="Q345">
        <f>IFERROR(ROUND(Lose[[#This Row],[Distanz (km)]]*60/Lose[[#This Row],[Gehzeit (min)]],1),"")</f>
        <v>2.6</v>
      </c>
      <c r="R3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0.35</v>
      </c>
      <c r="S345">
        <f>IFERROR(Lose[[#This Row],[Distanz (km)]]-Lose[[#This Row],[Check Distanz]],"")</f>
        <v>0.30000000000000004</v>
      </c>
      <c r="T345" s="60">
        <f>IFERROR(Lose[[#This Row],[Check Umweg]]/Lose[[#This Row],[Check Distanz]],"")</f>
        <v>0.85714285714285732</v>
      </c>
      <c r="U345">
        <f ca="1">IF(RIGHT(Lose[[#This Row],[LosID]],1)="b",_xlfn.XLOOKUP(REPLACE(Lose[[#This Row],[LosID]],LEN(Lose[[#This Row],[LosID]]),1,"a"),Lose[LosID],Lose[Zufallszahl],"",0),RAND())</f>
        <v>0.99397196976166258</v>
      </c>
      <c r="V345" t="b" cm="1">
        <f t="array" aca="1" ref="V345" ca="1">Lose[[#This Row],[Zufallszahl]]&gt;=IFERROR(LARGE((LEFT(Lose[LosID],FIND("-",Lose[LosID])-1)=LEFT(Lose[[#This Row],[LosID]],FIND("-",Lose[[#This Row],[LosID]])-1))*Lose[Zufallszahl],_xlfn.XLOOKUP(LEFT(Lose[[#This Row],[LosID]],FIND("-",Lose[[#This Row],[LosID]])-1),Ziehungsanzahl[Kürzel],Ziehungsanzahl[Kontingent],FALSE,0)),9999)</f>
        <v>0</v>
      </c>
    </row>
    <row r="346" spans="1:23" ht="105">
      <c r="A3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6" t="s">
        <v>23385</v>
      </c>
      <c r="C346" t="s">
        <v>24484</v>
      </c>
      <c r="D346" s="98" t="s">
        <v>24485</v>
      </c>
      <c r="E346" t="s">
        <v>24486</v>
      </c>
      <c r="F346" t="s">
        <v>24487</v>
      </c>
      <c r="G346">
        <v>10</v>
      </c>
      <c r="H346">
        <v>5</v>
      </c>
      <c r="I346">
        <v>0.6</v>
      </c>
      <c r="J346">
        <v>10</v>
      </c>
      <c r="K346" t="str" cm="1">
        <f t="array" ref="K3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Zwingenberg(Bergstr)</v>
      </c>
      <c r="L346" t="str">
        <f>IFERROR(LEFT(TRIM(Lose[[#This Row],[Google Koordinaten]]),9),"")</f>
        <v>49.724078</v>
      </c>
      <c r="M346" t="str">
        <f>IFERROR(MID(TRIM(Lose[[#This Row],[Google Koordinaten]]),
FIND(",",TRIM(Lose[[#This Row],[Google Koordinaten]])) + 2,9),"")</f>
        <v>8.616342</v>
      </c>
      <c r="N346">
        <f>IF(Lose[[#This Row],[Bahn-hofs-zeit]]=0,0,MROUND(30*25^((Lose[[#This Row],[Bahn-hofs-zeit]]-_xlfn.MINIFS(Lose[Bahn-hofs-zeit],Lose[Bahn-hofs-zeit],"&gt;0"))/(MAX(Lose[Bahn-hofs-zeit])-_xlfn.MINIFS(Lose[Bahn-hofs-zeit],Lose[Bahn-hofs-zeit],"&gt;0"))),5))</f>
        <v>45</v>
      </c>
      <c r="O346">
        <f>IF(Lose[[#This Row],[Gehzeit (min)]]="",0,CEILING(3*(Lose[[#This Row],[Gehzeit (min)]]+Lose[[#This Row],[Aufgaben-zeit (min)]]),5))</f>
        <v>45</v>
      </c>
      <c r="P346">
        <v>4.75</v>
      </c>
      <c r="Q346">
        <f>IFERROR(ROUND(Lose[[#This Row],[Distanz (km)]]*60/Lose[[#This Row],[Gehzeit (min)]],1),"")</f>
        <v>3.6</v>
      </c>
      <c r="R3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346">
        <f>IFERROR(Lose[[#This Row],[Distanz (km)]]-Lose[[#This Row],[Check Distanz]],"")</f>
        <v>3.9999999999999925E-2</v>
      </c>
      <c r="T346" s="60">
        <f>IFERROR(Lose[[#This Row],[Check Umweg]]/Lose[[#This Row],[Check Distanz]],"")</f>
        <v>7.1428571428571286E-2</v>
      </c>
      <c r="U346">
        <f ca="1">IF(RIGHT(Lose[[#This Row],[LosID]],1)="b",_xlfn.XLOOKUP(REPLACE(Lose[[#This Row],[LosID]],LEN(Lose[[#This Row],[LosID]]),1,"a"),Lose[LosID],Lose[Zufallszahl],"",0),RAND())</f>
        <v>0.9243091226734127</v>
      </c>
      <c r="V346" t="b" cm="1">
        <f t="array" aca="1" ref="V346" ca="1">Lose[[#This Row],[Zufallszahl]]&gt;=IFERROR(LARGE((LEFT(Lose[LosID],FIND("-",Lose[LosID])-1)=LEFT(Lose[[#This Row],[LosID]],FIND("-",Lose[[#This Row],[LosID]])-1))*Lose[Zufallszahl],_xlfn.XLOOKUP(LEFT(Lose[[#This Row],[LosID]],FIND("-",Lose[[#This Row],[LosID]])-1),Ziehungsanzahl[Kürzel],Ziehungsanzahl[Kontingent],FALSE,0)),9999)</f>
        <v>0</v>
      </c>
    </row>
    <row r="347" spans="1:23" ht="30" hidden="1">
      <c r="A3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7" t="s">
        <v>23390</v>
      </c>
      <c r="C347" t="s">
        <v>24488</v>
      </c>
      <c r="D347" s="1" t="s">
        <v>24489</v>
      </c>
      <c r="E347" t="s">
        <v>24490</v>
      </c>
      <c r="F347" t="s">
        <v>24491</v>
      </c>
      <c r="G347">
        <v>17</v>
      </c>
      <c r="H347">
        <v>2</v>
      </c>
      <c r="I347">
        <v>1.2</v>
      </c>
      <c r="K347" t="str" cm="1">
        <f t="array" ref="K3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Waren(Müritz)</v>
      </c>
      <c r="L347" t="str">
        <f>IFERROR(LEFT(TRIM(Lose[[#This Row],[Google Koordinaten]]),9),"")</f>
        <v>53.513668</v>
      </c>
      <c r="M347" t="str">
        <f>IFERROR(MID(TRIM(Lose[[#This Row],[Google Koordinaten]]),
FIND(",",TRIM(Lose[[#This Row],[Google Koordinaten]])) + 2,9),"")</f>
        <v>12.679713</v>
      </c>
      <c r="N347">
        <f>IF(Lose[[#This Row],[Bahn-hofs-zeit]]=0,0,MROUND(30*25^((Lose[[#This Row],[Bahn-hofs-zeit]]-_xlfn.MINIFS(Lose[Bahn-hofs-zeit],Lose[Bahn-hofs-zeit],"&gt;0"))/(MAX(Lose[Bahn-hofs-zeit])-_xlfn.MINIFS(Lose[Bahn-hofs-zeit],Lose[Bahn-hofs-zeit],"&gt;0"))),5))</f>
        <v>365</v>
      </c>
      <c r="O347">
        <f>IF(Lose[[#This Row],[Gehzeit (min)]]="",0,CEILING(3*(Lose[[#This Row],[Gehzeit (min)]]+Lose[[#This Row],[Aufgaben-zeit (min)]]),5))</f>
        <v>60</v>
      </c>
      <c r="P347">
        <v>12</v>
      </c>
      <c r="Q347">
        <f>IFERROR(ROUND(Lose[[#This Row],[Distanz (km)]]*60/Lose[[#This Row],[Gehzeit (min)]],1),"")</f>
        <v>4.2</v>
      </c>
      <c r="R3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47">
        <f>IFERROR(Lose[[#This Row],[Distanz (km)]]-Lose[[#This Row],[Check Distanz]],"")</f>
        <v>0.32999999999999996</v>
      </c>
      <c r="T347" s="60">
        <f>IFERROR(Lose[[#This Row],[Check Umweg]]/Lose[[#This Row],[Check Distanz]],"")</f>
        <v>0.37931034482758619</v>
      </c>
      <c r="U347">
        <f ca="1">IF(RIGHT(Lose[[#This Row],[LosID]],1)="b",_xlfn.XLOOKUP(REPLACE(Lose[[#This Row],[LosID]],LEN(Lose[[#This Row],[LosID]]),1,"a"),Lose[LosID],Lose[Zufallszahl],"",0),RAND())</f>
        <v>0.9168006381971936</v>
      </c>
      <c r="V347" t="b" cm="1">
        <f t="array" aca="1" ref="V347" ca="1">Lose[[#This Row],[Zufallszahl]]&gt;=IFERROR(LARGE((LEFT(Lose[LosID],FIND("-",Lose[LosID])-1)=LEFT(Lose[[#This Row],[LosID]],FIND("-",Lose[[#This Row],[LosID]])-1))*Lose[Zufallszahl],_xlfn.XLOOKUP(LEFT(Lose[[#This Row],[LosID]],FIND("-",Lose[[#This Row],[LosID]])-1),Ziehungsanzahl[Kürzel],Ziehungsanzahl[Kontingent],FALSE,0)),9999)</f>
        <v>0</v>
      </c>
    </row>
    <row r="348" spans="1:23" ht="60" hidden="1">
      <c r="A3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8" t="s">
        <v>23394</v>
      </c>
      <c r="C348" t="s">
        <v>1397</v>
      </c>
      <c r="D348" s="64" t="s">
        <v>24492</v>
      </c>
      <c r="E348" t="s">
        <v>24493</v>
      </c>
      <c r="F348" t="s">
        <v>24494</v>
      </c>
      <c r="G348">
        <v>26</v>
      </c>
      <c r="H348">
        <v>2</v>
      </c>
      <c r="I348">
        <v>1.6</v>
      </c>
      <c r="K348" t="str" cm="1">
        <f t="array" ref="K3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Heimbach (Eifel)</v>
      </c>
      <c r="L348" t="str">
        <f>IFERROR(LEFT(TRIM(Lose[[#This Row],[Google Koordinaten]]),9),"")</f>
        <v>50.631987</v>
      </c>
      <c r="M348" t="str">
        <f>IFERROR(MID(TRIM(Lose[[#This Row],[Google Koordinaten]]),
FIND(",",TRIM(Lose[[#This Row],[Google Koordinaten]])) + 2,9),"")</f>
        <v>6.4617426</v>
      </c>
      <c r="N348">
        <f>IF(Lose[[#This Row],[Bahn-hofs-zeit]]=0,0,MROUND(30*25^((Lose[[#This Row],[Bahn-hofs-zeit]]-_xlfn.MINIFS(Lose[Bahn-hofs-zeit],Lose[Bahn-hofs-zeit],"&gt;0"))/(MAX(Lose[Bahn-hofs-zeit])-_xlfn.MINIFS(Lose[Bahn-hofs-zeit],Lose[Bahn-hofs-zeit],"&gt;0"))),5))</f>
        <v>75</v>
      </c>
      <c r="O348">
        <f>IF(Lose[[#This Row],[Gehzeit (min)]]="",0,CEILING(3*(Lose[[#This Row],[Gehzeit (min)]]+Lose[[#This Row],[Aufgaben-zeit (min)]]),5))</f>
        <v>85</v>
      </c>
      <c r="P348">
        <v>6.5</v>
      </c>
      <c r="Q348">
        <f>IFERROR(ROUND(Lose[[#This Row],[Distanz (km)]]*60/Lose[[#This Row],[Gehzeit (min)]],1),"")</f>
        <v>3.7</v>
      </c>
      <c r="R3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348">
        <f>IFERROR(Lose[[#This Row],[Distanz (km)]]-Lose[[#This Row],[Check Distanz]],"")</f>
        <v>0.63000000000000012</v>
      </c>
      <c r="T348" s="60">
        <f>IFERROR(Lose[[#This Row],[Check Umweg]]/Lose[[#This Row],[Check Distanz]],"")</f>
        <v>0.64948453608247436</v>
      </c>
      <c r="U348">
        <f ca="1">IF(RIGHT(Lose[[#This Row],[LosID]],1)="b",_xlfn.XLOOKUP(REPLACE(Lose[[#This Row],[LosID]],LEN(Lose[[#This Row],[LosID]]),1,"a"),Lose[LosID],Lose[Zufallszahl],"",0),RAND())</f>
        <v>0.38324945436824442</v>
      </c>
      <c r="V348" t="b" cm="1">
        <f t="array" aca="1" ref="V348" ca="1">Lose[[#This Row],[Zufallszahl]]&gt;=IFERROR(LARGE((LEFT(Lose[LosID],FIND("-",Lose[LosID])-1)=LEFT(Lose[[#This Row],[LosID]],FIND("-",Lose[[#This Row],[LosID]])-1))*Lose[Zufallszahl],_xlfn.XLOOKUP(LEFT(Lose[[#This Row],[LosID]],FIND("-",Lose[[#This Row],[LosID]])-1),Ziehungsanzahl[Kürzel],Ziehungsanzahl[Kontingent],FALSE,0)),9999)</f>
        <v>0</v>
      </c>
    </row>
    <row r="349" spans="1:23" ht="135" hidden="1">
      <c r="A3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9" t="s">
        <v>23403</v>
      </c>
      <c r="C349" s="73" t="s">
        <v>24495</v>
      </c>
      <c r="D349" s="1" t="s">
        <v>24496</v>
      </c>
      <c r="E349" t="s">
        <v>24497</v>
      </c>
      <c r="F349" t="s">
        <v>24498</v>
      </c>
      <c r="G349">
        <v>29</v>
      </c>
      <c r="H349">
        <v>2</v>
      </c>
      <c r="I349">
        <v>2.1</v>
      </c>
      <c r="J349">
        <v>5</v>
      </c>
      <c r="K349" t="str" cm="1">
        <f t="array" ref="K3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Wilhelmshaven</v>
      </c>
      <c r="L349" t="str">
        <f>IFERROR(LEFT(TRIM(Lose[[#This Row],[Google Koordinaten]]),9),"")</f>
        <v>53.512442</v>
      </c>
      <c r="M349" t="str">
        <f>IFERROR(MID(TRIM(Lose[[#This Row],[Google Koordinaten]]),
FIND(",",TRIM(Lose[[#This Row],[Google Koordinaten]])) + 2,9),"")</f>
        <v>8.1389853</v>
      </c>
      <c r="N349">
        <f>IF(Lose[[#This Row],[Bahn-hofs-zeit]]=0,0,MROUND(30*25^((Lose[[#This Row],[Bahn-hofs-zeit]]-_xlfn.MINIFS(Lose[Bahn-hofs-zeit],Lose[Bahn-hofs-zeit],"&gt;0"))/(MAX(Lose[Bahn-hofs-zeit])-_xlfn.MINIFS(Lose[Bahn-hofs-zeit],Lose[Bahn-hofs-zeit],"&gt;0"))),5))</f>
        <v>145</v>
      </c>
      <c r="O349">
        <f>IF(Lose[[#This Row],[Gehzeit (min)]]="",0,CEILING(3*(Lose[[#This Row],[Gehzeit (min)]]+Lose[[#This Row],[Aufgaben-zeit (min)]]),5))</f>
        <v>95</v>
      </c>
      <c r="P349">
        <v>8.75</v>
      </c>
      <c r="Q349">
        <f>IFERROR(ROUND(Lose[[#This Row],[Distanz (km)]]*60/Lose[[#This Row],[Gehzeit (min)]],1),"")</f>
        <v>4.3</v>
      </c>
      <c r="R3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1.74</v>
      </c>
      <c r="S349">
        <f>IFERROR(Lose[[#This Row],[Distanz (km)]]-Lose[[#This Row],[Check Distanz]],"")</f>
        <v>0.3600000000000001</v>
      </c>
      <c r="T349" s="60">
        <f>IFERROR(Lose[[#This Row],[Check Umweg]]/Lose[[#This Row],[Check Distanz]],"")</f>
        <v>0.20689655172413798</v>
      </c>
      <c r="U349">
        <f ca="1">IF(RIGHT(Lose[[#This Row],[LosID]],1)="b",_xlfn.XLOOKUP(REPLACE(Lose[[#This Row],[LosID]],LEN(Lose[[#This Row],[LosID]]),1,"a"),Lose[LosID],Lose[Zufallszahl],"",0),RAND())</f>
        <v>0.57104035528967201</v>
      </c>
      <c r="V349" t="b" cm="1">
        <f t="array" aca="1" ref="V349" ca="1">Lose[[#This Row],[Zufallszahl]]&gt;=IFERROR(LARGE((LEFT(Lose[LosID],FIND("-",Lose[LosID])-1)=LEFT(Lose[[#This Row],[LosID]],FIND("-",Lose[[#This Row],[LosID]])-1))*Lose[Zufallszahl],_xlfn.XLOOKUP(LEFT(Lose[[#This Row],[LosID]],FIND("-",Lose[[#This Row],[LosID]])-1),Ziehungsanzahl[Kürzel],Ziehungsanzahl[Kontingent],FALSE,0)),9999)</f>
        <v>0</v>
      </c>
    </row>
    <row r="350" spans="1:23" ht="45" hidden="1">
      <c r="A3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0" t="s">
        <v>23367</v>
      </c>
      <c r="C350" t="s">
        <v>1365</v>
      </c>
      <c r="D350" s="1" t="s">
        <v>24499</v>
      </c>
      <c r="E350" t="s">
        <v>1366</v>
      </c>
      <c r="F350" t="s">
        <v>24500</v>
      </c>
      <c r="G350">
        <v>15</v>
      </c>
      <c r="H350">
        <v>1</v>
      </c>
      <c r="I350">
        <v>1.1000000000000001</v>
      </c>
      <c r="J350">
        <v>10</v>
      </c>
      <c r="K350" t="str" cm="1">
        <f t="array" ref="K3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Waltershausen Schnepfenthal</v>
      </c>
      <c r="L350" t="str">
        <f>IFERROR(LEFT(TRIM(Lose[[#This Row],[Google Koordinaten]]),9),"")</f>
        <v>50.889766</v>
      </c>
      <c r="M350" t="str">
        <f>IFERROR(MID(TRIM(Lose[[#This Row],[Google Koordinaten]]),
FIND(",",TRIM(Lose[[#This Row],[Google Koordinaten]])) + 2,9),"")</f>
        <v>10.577837</v>
      </c>
      <c r="N350">
        <f>IF(Lose[[#This Row],[Bahn-hofs-zeit]]=0,0,MROUND(30*25^((Lose[[#This Row],[Bahn-hofs-zeit]]-_xlfn.MINIFS(Lose[Bahn-hofs-zeit],Lose[Bahn-hofs-zeit],"&gt;0"))/(MAX(Lose[Bahn-hofs-zeit])-_xlfn.MINIFS(Lose[Bahn-hofs-zeit],Lose[Bahn-hofs-zeit],"&gt;0"))),5))</f>
        <v>95</v>
      </c>
      <c r="O350">
        <f>IF(Lose[[#This Row],[Gehzeit (min)]]="",0,CEILING(3*(Lose[[#This Row],[Gehzeit (min)]]+Lose[[#This Row],[Aufgaben-zeit (min)]]),5))</f>
        <v>50</v>
      </c>
      <c r="P350">
        <v>7.25</v>
      </c>
      <c r="Q350">
        <f>IFERROR(ROUND(Lose[[#This Row],[Distanz (km)]]*60/Lose[[#This Row],[Gehzeit (min)]],1),"")</f>
        <v>4.4000000000000004</v>
      </c>
      <c r="R3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350">
        <f>IFERROR(Lose[[#This Row],[Distanz (km)]]-Lose[[#This Row],[Check Distanz]],"")</f>
        <v>0.45000000000000007</v>
      </c>
      <c r="T350" s="60">
        <f>IFERROR(Lose[[#This Row],[Check Umweg]]/Lose[[#This Row],[Check Distanz]],"")</f>
        <v>0.6923076923076924</v>
      </c>
      <c r="U350">
        <f ca="1">IF(RIGHT(Lose[[#This Row],[LosID]],1)="b",_xlfn.XLOOKUP(REPLACE(Lose[[#This Row],[LosID]],LEN(Lose[[#This Row],[LosID]]),1,"a"),Lose[LosID],Lose[Zufallszahl],"",0),RAND())</f>
        <v>0.43402896929477719</v>
      </c>
      <c r="V350" t="b" cm="1">
        <f t="array" aca="1" ref="V350" ca="1">Lose[[#This Row],[Zufallszahl]]&gt;=IFERROR(LARGE((LEFT(Lose[LosID],FIND("-",Lose[LosID])-1)=LEFT(Lose[[#This Row],[LosID]],FIND("-",Lose[[#This Row],[LosID]])-1))*Lose[Zufallszahl],_xlfn.XLOOKUP(LEFT(Lose[[#This Row],[LosID]],FIND("-",Lose[[#This Row],[LosID]])-1),Ziehungsanzahl[Kürzel],Ziehungsanzahl[Kontingent],FALSE,0)),9999)</f>
        <v>0</v>
      </c>
    </row>
    <row r="351" spans="1:23" ht="30" hidden="1">
      <c r="A3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1" t="s">
        <v>23372</v>
      </c>
      <c r="C351" t="s">
        <v>24501</v>
      </c>
      <c r="D351" s="1" t="s">
        <v>24502</v>
      </c>
      <c r="E351" t="s">
        <v>24503</v>
      </c>
      <c r="F351" t="s">
        <v>24504</v>
      </c>
      <c r="G351">
        <v>29</v>
      </c>
      <c r="H351">
        <v>1</v>
      </c>
      <c r="I351">
        <v>2.1</v>
      </c>
      <c r="K351" t="str" cm="1">
        <f t="array" ref="K3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Garmisch-Partenkirchen</v>
      </c>
      <c r="L351" t="str">
        <f>IFERROR(LEFT(TRIM(Lose[[#This Row],[Google Koordinaten]]),9),"")</f>
        <v>47.481788</v>
      </c>
      <c r="M351" t="str">
        <f>IFERROR(MID(TRIM(Lose[[#This Row],[Google Koordinaten]]),
FIND(",",TRIM(Lose[[#This Row],[Google Koordinaten]])) + 2,9),"")</f>
        <v>11.117389</v>
      </c>
      <c r="N351" s="91">
        <f>IF(Lose[[#This Row],[Bahn-hofs-zeit]]=0,0,MROUND(30*25^((Lose[[#This Row],[Bahn-hofs-zeit]]-_xlfn.MINIFS(Lose[Bahn-hofs-zeit],Lose[Bahn-hofs-zeit],"&gt;0"))/(MAX(Lose[Bahn-hofs-zeit])-_xlfn.MINIFS(Lose[Bahn-hofs-zeit],Lose[Bahn-hofs-zeit],"&gt;0"))),5))</f>
        <v>0</v>
      </c>
      <c r="O351">
        <f>IF(Lose[[#This Row],[Gehzeit (min)]]="",0,CEILING(3*(Lose[[#This Row],[Gehzeit (min)]]+Lose[[#This Row],[Aufgaben-zeit (min)]]),5))</f>
        <v>90</v>
      </c>
      <c r="Q351">
        <f>IFERROR(ROUND(Lose[[#This Row],[Distanz (km)]]*60/Lose[[#This Row],[Gehzeit (min)]],1),"")</f>
        <v>4.3</v>
      </c>
      <c r="R3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1.87</v>
      </c>
      <c r="S351">
        <f>IFERROR(Lose[[#This Row],[Distanz (km)]]-Lose[[#This Row],[Check Distanz]],"")</f>
        <v>0.22999999999999998</v>
      </c>
      <c r="T351" s="60">
        <f>IFERROR(Lose[[#This Row],[Check Umweg]]/Lose[[#This Row],[Check Distanz]],"")</f>
        <v>0.12299465240641709</v>
      </c>
      <c r="U351">
        <f ca="1">IF(RIGHT(Lose[[#This Row],[LosID]],1)="b",_xlfn.XLOOKUP(REPLACE(Lose[[#This Row],[LosID]],LEN(Lose[[#This Row],[LosID]]),1,"a"),Lose[LosID],Lose[Zufallszahl],"",0),RAND())</f>
        <v>0.42162799234554271</v>
      </c>
      <c r="V351" t="b" cm="1">
        <f t="array" aca="1" ref="V351" ca="1">Lose[[#This Row],[Zufallszahl]]&gt;=IFERROR(LARGE((LEFT(Lose[LosID],FIND("-",Lose[LosID])-1)=LEFT(Lose[[#This Row],[LosID]],FIND("-",Lose[[#This Row],[LosID]])-1))*Lose[Zufallszahl],_xlfn.XLOOKUP(LEFT(Lose[[#This Row],[LosID]],FIND("-",Lose[[#This Row],[LosID]])-1),Ziehungsanzahl[Kürzel],Ziehungsanzahl[Kontingent],FALSE,0)),9999)</f>
        <v>0</v>
      </c>
      <c r="W351" t="s">
        <v>23398</v>
      </c>
    </row>
    <row r="352" spans="1:23" ht="45" hidden="1">
      <c r="A3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2" t="s">
        <v>4</v>
      </c>
      <c r="C352" t="s">
        <v>1370</v>
      </c>
      <c r="D352" s="1" t="s">
        <v>1373</v>
      </c>
      <c r="E352" t="s">
        <v>1371</v>
      </c>
      <c r="F352" t="s">
        <v>24505</v>
      </c>
      <c r="G352">
        <v>20</v>
      </c>
      <c r="H352">
        <v>1</v>
      </c>
      <c r="I352">
        <v>1.3</v>
      </c>
      <c r="K352" t="str" cm="1">
        <f t="array" ref="K3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Füssen</v>
      </c>
      <c r="L352" t="str">
        <f>IFERROR(LEFT(TRIM(Lose[[#This Row],[Google Koordinaten]]),9),"")</f>
        <v>47.561817</v>
      </c>
      <c r="M352" t="str">
        <f>IFERROR(MID(TRIM(Lose[[#This Row],[Google Koordinaten]]),
FIND(",",TRIM(Lose[[#This Row],[Google Koordinaten]])) + 2,9),"")</f>
        <v>10.694816</v>
      </c>
      <c r="N352" s="91">
        <f>IF(Lose[[#This Row],[Bahn-hofs-zeit]]=0,0,MROUND(30*25^((Lose[[#This Row],[Bahn-hofs-zeit]]-_xlfn.MINIFS(Lose[Bahn-hofs-zeit],Lose[Bahn-hofs-zeit],"&gt;0"))/(MAX(Lose[Bahn-hofs-zeit])-_xlfn.MINIFS(Lose[Bahn-hofs-zeit],Lose[Bahn-hofs-zeit],"&gt;0"))),5))</f>
        <v>0</v>
      </c>
      <c r="O352">
        <f>IF(Lose[[#This Row],[Gehzeit (min)]]="",0,CEILING(3*(Lose[[#This Row],[Gehzeit (min)]]+Lose[[#This Row],[Aufgaben-zeit (min)]]),5))</f>
        <v>65</v>
      </c>
      <c r="Q352">
        <f>IFERROR(ROUND(Lose[[#This Row],[Distanz (km)]]*60/Lose[[#This Row],[Gehzeit (min)]],1),"")</f>
        <v>3.9</v>
      </c>
      <c r="R3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352">
        <f>IFERROR(Lose[[#This Row],[Distanz (km)]]-Lose[[#This Row],[Check Distanz]],"")</f>
        <v>0.30000000000000004</v>
      </c>
      <c r="T352" s="60">
        <f>IFERROR(Lose[[#This Row],[Check Umweg]]/Lose[[#This Row],[Check Distanz]],"")</f>
        <v>0.30000000000000004</v>
      </c>
      <c r="U352">
        <f ca="1">IF(RIGHT(Lose[[#This Row],[LosID]],1)="b",_xlfn.XLOOKUP(REPLACE(Lose[[#This Row],[LosID]],LEN(Lose[[#This Row],[LosID]]),1,"a"),Lose[LosID],Lose[Zufallszahl],"",0),RAND())</f>
        <v>0.33433496285450437</v>
      </c>
      <c r="V352" t="b" cm="1">
        <f t="array" aca="1" ref="V352" ca="1">Lose[[#This Row],[Zufallszahl]]&gt;=IFERROR(LARGE((LEFT(Lose[LosID],FIND("-",Lose[LosID])-1)=LEFT(Lose[[#This Row],[LosID]],FIND("-",Lose[[#This Row],[LosID]])-1))*Lose[Zufallszahl],_xlfn.XLOOKUP(LEFT(Lose[[#This Row],[LosID]],FIND("-",Lose[[#This Row],[LosID]])-1),Ziehungsanzahl[Kürzel],Ziehungsanzahl[Kontingent],FALSE,0)),9999)</f>
        <v>0</v>
      </c>
      <c r="W352" t="s">
        <v>23398</v>
      </c>
    </row>
    <row r="353" spans="1:23" ht="90" hidden="1">
      <c r="A3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3" t="s">
        <v>23352</v>
      </c>
      <c r="C353" t="s">
        <v>24506</v>
      </c>
      <c r="D353" s="1" t="s">
        <v>24507</v>
      </c>
      <c r="E353" t="s">
        <v>24508</v>
      </c>
      <c r="F353" t="s">
        <v>24509</v>
      </c>
      <c r="G353">
        <v>23</v>
      </c>
      <c r="H353">
        <v>5</v>
      </c>
      <c r="I353">
        <v>1.7</v>
      </c>
      <c r="J353">
        <v>10</v>
      </c>
      <c r="K353" t="str" cm="1">
        <f t="array" ref="K3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Hochschule</v>
      </c>
      <c r="L353" t="str">
        <f>IFERROR(LEFT(TRIM(Lose[[#This Row],[Google Koordinaten]]),9),"")</f>
        <v>49.976918</v>
      </c>
      <c r="M353" t="str">
        <f>IFERROR(MID(TRIM(Lose[[#This Row],[Google Koordinaten]]),
FIND(",",TRIM(Lose[[#This Row],[Google Koordinaten]])) + 2,9),"")</f>
        <v>9.1757468</v>
      </c>
      <c r="N353">
        <f>IF(Lose[[#This Row],[Bahn-hofs-zeit]]=0,0,MROUND(30*25^((Lose[[#This Row],[Bahn-hofs-zeit]]-_xlfn.MINIFS(Lose[Bahn-hofs-zeit],Lose[Bahn-hofs-zeit],"&gt;0"))/(MAX(Lose[Bahn-hofs-zeit])-_xlfn.MINIFS(Lose[Bahn-hofs-zeit],Lose[Bahn-hofs-zeit],"&gt;0"))),5))</f>
        <v>55</v>
      </c>
      <c r="O353">
        <f>IF(Lose[[#This Row],[Gehzeit (min)]]="",0,CEILING(3*(Lose[[#This Row],[Gehzeit (min)]]+Lose[[#This Row],[Aufgaben-zeit (min)]]),5))</f>
        <v>85</v>
      </c>
      <c r="P353">
        <v>5.5</v>
      </c>
      <c r="Q353">
        <f>IFERROR(ROUND(Lose[[#This Row],[Distanz (km)]]*60/Lose[[#This Row],[Gehzeit (min)]],1),"")</f>
        <v>4.4000000000000004</v>
      </c>
      <c r="R3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353">
        <f>IFERROR(Lose[[#This Row],[Distanz (km)]]-Lose[[#This Row],[Check Distanz]],"")</f>
        <v>0.57000000000000006</v>
      </c>
      <c r="T353" s="60">
        <f>IFERROR(Lose[[#This Row],[Check Umweg]]/Lose[[#This Row],[Check Distanz]],"")</f>
        <v>0.50442477876106206</v>
      </c>
      <c r="U353">
        <f ca="1">IF(RIGHT(Lose[[#This Row],[LosID]],1)="b",_xlfn.XLOOKUP(REPLACE(Lose[[#This Row],[LosID]],LEN(Lose[[#This Row],[LosID]]),1,"a"),Lose[LosID],Lose[Zufallszahl],"",0),RAND())</f>
        <v>0.75895125080449388</v>
      </c>
      <c r="V353" t="b" cm="1">
        <f t="array" aca="1" ref="V353" ca="1">Lose[[#This Row],[Zufallszahl]]&gt;=IFERROR(LARGE((LEFT(Lose[LosID],FIND("-",Lose[LosID])-1)=LEFT(Lose[[#This Row],[LosID]],FIND("-",Lose[[#This Row],[LosID]])-1))*Lose[Zufallszahl],_xlfn.XLOOKUP(LEFT(Lose[[#This Row],[LosID]],FIND("-",Lose[[#This Row],[LosID]])-1),Ziehungsanzahl[Kürzel],Ziehungsanzahl[Kontingent],FALSE,0)),9999)</f>
        <v>0</v>
      </c>
    </row>
    <row r="354" spans="1:23" ht="45" hidden="1">
      <c r="A3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4" t="s">
        <v>23380</v>
      </c>
      <c r="C354" t="s">
        <v>1375</v>
      </c>
      <c r="D354" s="33" t="s">
        <v>24510</v>
      </c>
      <c r="E354" t="s">
        <v>1376</v>
      </c>
      <c r="F354" t="s">
        <v>24511</v>
      </c>
      <c r="G354">
        <v>15</v>
      </c>
      <c r="H354">
        <v>1</v>
      </c>
      <c r="I354">
        <v>1</v>
      </c>
      <c r="J354">
        <v>10</v>
      </c>
      <c r="K354" t="str" cm="1">
        <f t="array" ref="K3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Ronneburg(Thür)</v>
      </c>
      <c r="L354" t="str">
        <f>IFERROR(LEFT(TRIM(Lose[[#This Row],[Google Koordinaten]]),9),"")</f>
        <v>50.857474</v>
      </c>
      <c r="M354" t="str">
        <f>IFERROR(MID(TRIM(Lose[[#This Row],[Google Koordinaten]]),
FIND(",",TRIM(Lose[[#This Row],[Google Koordinaten]])) + 2,9),"")</f>
        <v>12.169759</v>
      </c>
      <c r="N354">
        <f>IF(Lose[[#This Row],[Bahn-hofs-zeit]]=0,0,MROUND(30*25^((Lose[[#This Row],[Bahn-hofs-zeit]]-_xlfn.MINIFS(Lose[Bahn-hofs-zeit],Lose[Bahn-hofs-zeit],"&gt;0"))/(MAX(Lose[Bahn-hofs-zeit])-_xlfn.MINIFS(Lose[Bahn-hofs-zeit],Lose[Bahn-hofs-zeit],"&gt;0"))),5))</f>
        <v>295</v>
      </c>
      <c r="O354">
        <f>IF(Lose[[#This Row],[Gehzeit (min)]]="",0,CEILING(3*(Lose[[#This Row],[Gehzeit (min)]]+Lose[[#This Row],[Aufgaben-zeit (min)]]),5))</f>
        <v>50</v>
      </c>
      <c r="P354">
        <v>11.25</v>
      </c>
      <c r="Q354">
        <f>IFERROR(ROUND(Lose[[#This Row],[Distanz (km)]]*60/Lose[[#This Row],[Gehzeit (min)]],1),"")</f>
        <v>4</v>
      </c>
      <c r="R3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54">
        <f>IFERROR(Lose[[#This Row],[Distanz (km)]]-Lose[[#This Row],[Check Distanz]],"")</f>
        <v>0.13</v>
      </c>
      <c r="T354" s="60">
        <f>IFERROR(Lose[[#This Row],[Check Umweg]]/Lose[[#This Row],[Check Distanz]],"")</f>
        <v>0.14942528735632185</v>
      </c>
      <c r="U354">
        <f ca="1">IF(RIGHT(Lose[[#This Row],[LosID]],1)="b",_xlfn.XLOOKUP(REPLACE(Lose[[#This Row],[LosID]],LEN(Lose[[#This Row],[LosID]]),1,"a"),Lose[LosID],Lose[Zufallszahl],"",0),RAND())</f>
        <v>0.34588627953500684</v>
      </c>
      <c r="V354" t="b" cm="1">
        <f t="array" aca="1" ref="V354" ca="1">Lose[[#This Row],[Zufallszahl]]&gt;=IFERROR(LARGE((LEFT(Lose[LosID],FIND("-",Lose[LosID])-1)=LEFT(Lose[[#This Row],[LosID]],FIND("-",Lose[[#This Row],[LosID]])-1))*Lose[Zufallszahl],_xlfn.XLOOKUP(LEFT(Lose[[#This Row],[LosID]],FIND("-",Lose[[#This Row],[LosID]])-1),Ziehungsanzahl[Kürzel],Ziehungsanzahl[Kontingent],FALSE,0)),9999)</f>
        <v>0</v>
      </c>
    </row>
    <row r="355" spans="1:23" ht="135">
      <c r="A3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5" t="s">
        <v>23385</v>
      </c>
      <c r="C355" t="s">
        <v>1380</v>
      </c>
      <c r="D355" s="1" t="s">
        <v>24512</v>
      </c>
      <c r="E355" t="s">
        <v>24513</v>
      </c>
      <c r="F355" t="s">
        <v>24514</v>
      </c>
      <c r="G355">
        <v>25</v>
      </c>
      <c r="H355">
        <v>10</v>
      </c>
      <c r="I355">
        <v>1.8</v>
      </c>
      <c r="J355">
        <v>15</v>
      </c>
      <c r="K355" t="str" cm="1">
        <f t="array" ref="K3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Bensheim</v>
      </c>
      <c r="L355" t="str">
        <f>IFERROR(LEFT(TRIM(Lose[[#This Row],[Google Koordinaten]]),9),"")</f>
        <v>49.687662</v>
      </c>
      <c r="M355" t="str">
        <f>IFERROR(MID(TRIM(Lose[[#This Row],[Google Koordinaten]]),
FIND(",",TRIM(Lose[[#This Row],[Google Koordinaten]])) + 2,9),"")</f>
        <v>8.6265773</v>
      </c>
      <c r="N355">
        <f>IF(Lose[[#This Row],[Bahn-hofs-zeit]]=0,0,MROUND(30*25^((Lose[[#This Row],[Bahn-hofs-zeit]]-_xlfn.MINIFS(Lose[Bahn-hofs-zeit],Lose[Bahn-hofs-zeit],"&gt;0"))/(MAX(Lose[Bahn-hofs-zeit])-_xlfn.MINIFS(Lose[Bahn-hofs-zeit],Lose[Bahn-hofs-zeit],"&gt;0"))),5))</f>
        <v>45</v>
      </c>
      <c r="O355">
        <f>IF(Lose[[#This Row],[Gehzeit (min)]]="",0,CEILING(3*(Lose[[#This Row],[Gehzeit (min)]]+Lose[[#This Row],[Aufgaben-zeit (min)]]),5))</f>
        <v>105</v>
      </c>
      <c r="P355">
        <v>4.75</v>
      </c>
      <c r="Q355">
        <f>IFERROR(ROUND(Lose[[#This Row],[Distanz (km)]]*60/Lose[[#This Row],[Gehzeit (min)]],1),"")</f>
        <v>4.3</v>
      </c>
      <c r="R3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355">
        <f>IFERROR(Lose[[#This Row],[Distanz (km)]]-Lose[[#This Row],[Check Distanz]],"")</f>
        <v>0.8</v>
      </c>
      <c r="T355" s="60">
        <f>IFERROR(Lose[[#This Row],[Check Umweg]]/Lose[[#This Row],[Check Distanz]],"")</f>
        <v>0.8</v>
      </c>
      <c r="U355">
        <f ca="1">IF(RIGHT(Lose[[#This Row],[LosID]],1)="b",_xlfn.XLOOKUP(REPLACE(Lose[[#This Row],[LosID]],LEN(Lose[[#This Row],[LosID]]),1,"a"),Lose[LosID],Lose[Zufallszahl],"",0),RAND())</f>
        <v>0.42871397289655588</v>
      </c>
      <c r="V355" t="b" cm="1">
        <f t="array" aca="1" ref="V355" ca="1">Lose[[#This Row],[Zufallszahl]]&gt;=IFERROR(LARGE((LEFT(Lose[LosID],FIND("-",Lose[LosID])-1)=LEFT(Lose[[#This Row],[LosID]],FIND("-",Lose[[#This Row],[LosID]])-1))*Lose[Zufallszahl],_xlfn.XLOOKUP(LEFT(Lose[[#This Row],[LosID]],FIND("-",Lose[[#This Row],[LosID]])-1),Ziehungsanzahl[Kürzel],Ziehungsanzahl[Kontingent],FALSE,0)),9999)</f>
        <v>0</v>
      </c>
    </row>
    <row r="356" spans="1:23" ht="90" hidden="1">
      <c r="A3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 Aufgabe länger als 1h</v>
      </c>
      <c r="B356" t="s">
        <v>23390</v>
      </c>
      <c r="C356" t="s">
        <v>1385</v>
      </c>
      <c r="D356" s="1" t="s">
        <v>1388</v>
      </c>
      <c r="E356" t="s">
        <v>1386</v>
      </c>
      <c r="F356" t="s">
        <v>24515</v>
      </c>
      <c r="G356">
        <v>30</v>
      </c>
      <c r="H356">
        <v>1</v>
      </c>
      <c r="I356">
        <v>1.6</v>
      </c>
      <c r="K356" t="str" cm="1">
        <f t="array" ref="K3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Berchtesgaden Hbf</v>
      </c>
      <c r="L356" t="str">
        <f>IFERROR(LEFT(TRIM(Lose[[#This Row],[Google Koordinaten]]),9),"")</f>
        <v>47.626569</v>
      </c>
      <c r="M356" t="str">
        <f>IFERROR(MID(TRIM(Lose[[#This Row],[Google Koordinaten]]),
FIND(",",TRIM(Lose[[#This Row],[Google Koordinaten]])) + 2,9),"")</f>
        <v>13.007641</v>
      </c>
      <c r="N356" s="91">
        <f>IF(Lose[[#This Row],[Bahn-hofs-zeit]]=0,0,MROUND(30*25^((Lose[[#This Row],[Bahn-hofs-zeit]]-_xlfn.MINIFS(Lose[Bahn-hofs-zeit],Lose[Bahn-hofs-zeit],"&gt;0"))/(MAX(Lose[Bahn-hofs-zeit])-_xlfn.MINIFS(Lose[Bahn-hofs-zeit],Lose[Bahn-hofs-zeit],"&gt;0"))),5))</f>
        <v>0</v>
      </c>
      <c r="O356">
        <f>IF(Lose[[#This Row],[Gehzeit (min)]]="",0,CEILING(3*(Lose[[#This Row],[Gehzeit (min)]]+Lose[[#This Row],[Aufgaben-zeit (min)]]),5))</f>
        <v>95</v>
      </c>
      <c r="Q356">
        <f>IFERROR(ROUND(Lose[[#This Row],[Distanz (km)]]*60/Lose[[#This Row],[Gehzeit (min)]],1),"")</f>
        <v>3.2</v>
      </c>
      <c r="R3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356">
        <f>IFERROR(Lose[[#This Row],[Distanz (km)]]-Lose[[#This Row],[Check Distanz]],"")</f>
        <v>0.96000000000000008</v>
      </c>
      <c r="T356" s="60">
        <f>IFERROR(Lose[[#This Row],[Check Umweg]]/Lose[[#This Row],[Check Distanz]],"")</f>
        <v>1.5</v>
      </c>
      <c r="U356">
        <f ca="1">IF(RIGHT(Lose[[#This Row],[LosID]],1)="b",_xlfn.XLOOKUP(REPLACE(Lose[[#This Row],[LosID]],LEN(Lose[[#This Row],[LosID]]),1,"a"),Lose[LosID],Lose[Zufallszahl],"",0),RAND())</f>
        <v>0.81832291870239915</v>
      </c>
      <c r="V356" t="b" cm="1">
        <f t="array" aca="1" ref="V356" ca="1">Lose[[#This Row],[Zufallszahl]]&gt;=IFERROR(LARGE((LEFT(Lose[LosID],FIND("-",Lose[LosID])-1)=LEFT(Lose[[#This Row],[LosID]],FIND("-",Lose[[#This Row],[LosID]])-1))*Lose[Zufallszahl],_xlfn.XLOOKUP(LEFT(Lose[[#This Row],[LosID]],FIND("-",Lose[[#This Row],[LosID]])-1),Ziehungsanzahl[Kürzel],Ziehungsanzahl[Kontingent],FALSE,0)),9999)</f>
        <v>0</v>
      </c>
      <c r="W356" t="s">
        <v>23398</v>
      </c>
    </row>
    <row r="357" spans="1:23" ht="45" hidden="1">
      <c r="A3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7" t="s">
        <v>23394</v>
      </c>
      <c r="C357" t="s">
        <v>1246</v>
      </c>
      <c r="D357" s="1" t="s">
        <v>24516</v>
      </c>
      <c r="E357" t="s">
        <v>24517</v>
      </c>
      <c r="F357" t="s">
        <v>24518</v>
      </c>
      <c r="G357">
        <v>21</v>
      </c>
      <c r="H357">
        <v>2</v>
      </c>
      <c r="I357">
        <v>1.5</v>
      </c>
      <c r="J357">
        <v>30</v>
      </c>
      <c r="K357" t="s">
        <v>94</v>
      </c>
      <c r="L357" t="str">
        <f>IFERROR(LEFT(TRIM(Lose[[#This Row],[Google Koordinaten]]),9),"")</f>
        <v>49.454213</v>
      </c>
      <c r="M357" t="str">
        <f>IFERROR(MID(TRIM(Lose[[#This Row],[Google Koordinaten]]),
FIND(",",TRIM(Lose[[#This Row],[Google Koordinaten]])) + 2,9),"")</f>
        <v>11.070849</v>
      </c>
      <c r="N357">
        <f>IF(Lose[[#This Row],[Bahn-hofs-zeit]]=0,0,MROUND(30*25^((Lose[[#This Row],[Bahn-hofs-zeit]]-_xlfn.MINIFS(Lose[Bahn-hofs-zeit],Lose[Bahn-hofs-zeit],"&gt;0"))/(MAX(Lose[Bahn-hofs-zeit])-_xlfn.MINIFS(Lose[Bahn-hofs-zeit],Lose[Bahn-hofs-zeit],"&gt;0"))),5))</f>
        <v>95</v>
      </c>
      <c r="O357">
        <f>IF(Lose[[#This Row],[Gehzeit (min)]]="",0,CEILING(3*(Lose[[#This Row],[Gehzeit (min)]]+Lose[[#This Row],[Aufgaben-zeit (min)]]),5))</f>
        <v>70</v>
      </c>
      <c r="P357">
        <v>7.25</v>
      </c>
      <c r="Q357">
        <f>IFERROR(ROUND(Lose[[#This Row],[Distanz (km)]]*60/Lose[[#This Row],[Gehzeit (min)]],1),"")</f>
        <v>4.3</v>
      </c>
      <c r="R3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357">
        <f>IFERROR(Lose[[#This Row],[Distanz (km)]]-Lose[[#This Row],[Check Distanz]],"")</f>
        <v>0.19999999999999996</v>
      </c>
      <c r="T357" s="60">
        <f>IFERROR(Lose[[#This Row],[Check Umweg]]/Lose[[#This Row],[Check Distanz]],"")</f>
        <v>0.1538461538461538</v>
      </c>
      <c r="U357">
        <f ca="1">IF(RIGHT(Lose[[#This Row],[LosID]],1)="b",_xlfn.XLOOKUP(REPLACE(Lose[[#This Row],[LosID]],LEN(Lose[[#This Row],[LosID]]),1,"a"),Lose[LosID],Lose[Zufallszahl],"",0),RAND())</f>
        <v>0.57309421164163532</v>
      </c>
      <c r="V357" t="b" cm="1">
        <f t="array" aca="1" ref="V357" ca="1">Lose[[#This Row],[Zufallszahl]]&gt;=IFERROR(LARGE((LEFT(Lose[LosID],FIND("-",Lose[LosID])-1)=LEFT(Lose[[#This Row],[LosID]],FIND("-",Lose[[#This Row],[LosID]])-1))*Lose[Zufallszahl],_xlfn.XLOOKUP(LEFT(Lose[[#This Row],[LosID]],FIND("-",Lose[[#This Row],[LosID]])-1),Ziehungsanzahl[Kürzel],Ziehungsanzahl[Kontingent],FALSE,0)),9999)</f>
        <v>0</v>
      </c>
    </row>
    <row r="358" spans="1:23" ht="30" hidden="1">
      <c r="A3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8" t="s">
        <v>23394</v>
      </c>
      <c r="C358" t="s">
        <v>1247</v>
      </c>
      <c r="D358" s="1" t="s">
        <v>24519</v>
      </c>
      <c r="E358" t="s">
        <v>24520</v>
      </c>
      <c r="F358" t="s">
        <v>24521</v>
      </c>
      <c r="G358">
        <v>29</v>
      </c>
      <c r="H358">
        <v>2</v>
      </c>
      <c r="I358">
        <v>1.9</v>
      </c>
      <c r="J358">
        <v>10</v>
      </c>
      <c r="K358" t="str" cm="1">
        <f t="array" ref="K3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Gera Hbf</v>
      </c>
      <c r="L358" t="str">
        <f>IFERROR(LEFT(TRIM(Lose[[#This Row],[Google Koordinaten]]),9),"")</f>
        <v>50.883063</v>
      </c>
      <c r="M358" t="str">
        <f>IFERROR(MID(TRIM(Lose[[#This Row],[Google Koordinaten]]),
FIND(",",TRIM(Lose[[#This Row],[Google Koordinaten]])) + 2,9),"")</f>
        <v>12.057639</v>
      </c>
      <c r="N358">
        <f>IF(Lose[[#This Row],[Bahn-hofs-zeit]]=0,0,MROUND(30*25^((Lose[[#This Row],[Bahn-hofs-zeit]]-_xlfn.MINIFS(Lose[Bahn-hofs-zeit],Lose[Bahn-hofs-zeit],"&gt;0"))/(MAX(Lose[Bahn-hofs-zeit])-_xlfn.MINIFS(Lose[Bahn-hofs-zeit],Lose[Bahn-hofs-zeit],"&gt;0"))),5))</f>
        <v>220</v>
      </c>
      <c r="O358">
        <f>IF(Lose[[#This Row],[Gehzeit (min)]]="",0,CEILING(3*(Lose[[#This Row],[Gehzeit (min)]]+Lose[[#This Row],[Aufgaben-zeit (min)]]),5))</f>
        <v>95</v>
      </c>
      <c r="P358">
        <v>10.25</v>
      </c>
      <c r="Q358">
        <f>IFERROR(ROUND(Lose[[#This Row],[Distanz (km)]]*60/Lose[[#This Row],[Gehzeit (min)]],1),"")</f>
        <v>3.9</v>
      </c>
      <c r="R3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1.37</v>
      </c>
      <c r="S358">
        <f>IFERROR(Lose[[#This Row],[Distanz (km)]]-Lose[[#This Row],[Check Distanz]],"")</f>
        <v>0.5299999999999998</v>
      </c>
      <c r="T358" s="60">
        <f>IFERROR(Lose[[#This Row],[Check Umweg]]/Lose[[#This Row],[Check Distanz]],"")</f>
        <v>0.38686131386861294</v>
      </c>
      <c r="U358">
        <f ca="1">IF(RIGHT(Lose[[#This Row],[LosID]],1)="b",_xlfn.XLOOKUP(REPLACE(Lose[[#This Row],[LosID]],LEN(Lose[[#This Row],[LosID]]),1,"a"),Lose[LosID],Lose[Zufallszahl],"",0),RAND())</f>
        <v>0.57309421164163532</v>
      </c>
      <c r="V358" t="b" cm="1">
        <f t="array" aca="1" ref="V358" ca="1">Lose[[#This Row],[Zufallszahl]]&gt;=IFERROR(LARGE((LEFT(Lose[LosID],FIND("-",Lose[LosID])-1)=LEFT(Lose[[#This Row],[LosID]],FIND("-",Lose[[#This Row],[LosID]])-1))*Lose[Zufallszahl],_xlfn.XLOOKUP(LEFT(Lose[[#This Row],[LosID]],FIND("-",Lose[[#This Row],[LosID]])-1),Ziehungsanzahl[Kürzel],Ziehungsanzahl[Kontingent],FALSE,0)),9999)</f>
        <v>0</v>
      </c>
    </row>
    <row r="359" spans="1:23" ht="75" hidden="1">
      <c r="A3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9" t="s">
        <v>23403</v>
      </c>
      <c r="C359" s="73" t="s">
        <v>24522</v>
      </c>
      <c r="D359" s="1" t="s">
        <v>24523</v>
      </c>
      <c r="E359" t="s">
        <v>24524</v>
      </c>
      <c r="F359" t="s">
        <v>24525</v>
      </c>
      <c r="J359">
        <v>15</v>
      </c>
      <c r="K359" t="str" cm="1">
        <f t="array" ref="K3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Meiningen</v>
      </c>
      <c r="L359" t="str">
        <f>IFERROR(LEFT(TRIM(Lose[[#This Row],[Google Koordinaten]]),9),"")</f>
        <v>50.581686</v>
      </c>
      <c r="M359" t="str">
        <f>IFERROR(MID(TRIM(Lose[[#This Row],[Google Koordinaten]]),
FIND(",",TRIM(Lose[[#This Row],[Google Koordinaten]])) + 2,9),"")</f>
        <v>10.420848</v>
      </c>
      <c r="N359">
        <f>IF(Lose[[#This Row],[Bahn-hofs-zeit]]=0,0,MROUND(30*25^((Lose[[#This Row],[Bahn-hofs-zeit]]-_xlfn.MINIFS(Lose[Bahn-hofs-zeit],Lose[Bahn-hofs-zeit],"&gt;0"))/(MAX(Lose[Bahn-hofs-zeit])-_xlfn.MINIFS(Lose[Bahn-hofs-zeit],Lose[Bahn-hofs-zeit],"&gt;0"))),5))</f>
        <v>165</v>
      </c>
      <c r="O359">
        <f>IF(Lose[[#This Row],[Gehzeit (min)]]="",0,CEILING(3*(Lose[[#This Row],[Gehzeit (min)]]+Lose[[#This Row],[Aufgaben-zeit (min)]]),5))</f>
        <v>0</v>
      </c>
      <c r="P359">
        <v>9.25</v>
      </c>
      <c r="Q359" t="str">
        <f>IFERROR(ROUND(Lose[[#This Row],[Distanz (km)]]*60/Lose[[#This Row],[Gehzeit (min)]],1),"")</f>
        <v/>
      </c>
      <c r="R3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359">
        <f>IFERROR(Lose[[#This Row],[Distanz (km)]]-Lose[[#This Row],[Check Distanz]],"")</f>
        <v>-0.85</v>
      </c>
      <c r="T359" s="60">
        <f>IFERROR(Lose[[#This Row],[Check Umweg]]/Lose[[#This Row],[Check Distanz]],"")</f>
        <v>-1</v>
      </c>
      <c r="U359">
        <f ca="1">IF(RIGHT(Lose[[#This Row],[LosID]],1)="b",_xlfn.XLOOKUP(REPLACE(Lose[[#This Row],[LosID]],LEN(Lose[[#This Row],[LosID]]),1,"a"),Lose[LosID],Lose[Zufallszahl],"",0),RAND())</f>
        <v>0.82238341058410869</v>
      </c>
      <c r="V359" t="b" cm="1">
        <f t="array" aca="1" ref="V359" ca="1">Lose[[#This Row],[Zufallszahl]]&gt;=IFERROR(LARGE((LEFT(Lose[LosID],FIND("-",Lose[LosID])-1)=LEFT(Lose[[#This Row],[LosID]],FIND("-",Lose[[#This Row],[LosID]])-1))*Lose[Zufallszahl],_xlfn.XLOOKUP(LEFT(Lose[[#This Row],[LosID]],FIND("-",Lose[[#This Row],[LosID]])-1),Ziehungsanzahl[Kürzel],Ziehungsanzahl[Kontingent],FALSE,0)),9999)</f>
        <v>0</v>
      </c>
    </row>
    <row r="360" spans="1:23" ht="75" hidden="1">
      <c r="A3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0" t="s">
        <v>23403</v>
      </c>
      <c r="C360" s="73" t="s">
        <v>24526</v>
      </c>
      <c r="D360" s="1" t="s">
        <v>24527</v>
      </c>
      <c r="E360" t="s">
        <v>24528</v>
      </c>
      <c r="F360" t="s">
        <v>24529</v>
      </c>
      <c r="J360">
        <v>15</v>
      </c>
      <c r="K360" t="str" cm="1">
        <f t="array" ref="K3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Neu-Ulm</v>
      </c>
      <c r="L360" t="str">
        <f>IFERROR(LEFT(TRIM(Lose[[#This Row],[Google Koordinaten]]),9),"")</f>
        <v>48.394797</v>
      </c>
      <c r="M360" t="str">
        <f>IFERROR(MID(TRIM(Lose[[#This Row],[Google Koordinaten]]),
FIND(",",TRIM(Lose[[#This Row],[Google Koordinaten]])) + 2,9),"")</f>
        <v>9.9939167</v>
      </c>
      <c r="N360">
        <f>IF(Lose[[#This Row],[Bahn-hofs-zeit]]=0,0,MROUND(30*25^((Lose[[#This Row],[Bahn-hofs-zeit]]-_xlfn.MINIFS(Lose[Bahn-hofs-zeit],Lose[Bahn-hofs-zeit],"&gt;0"))/(MAX(Lose[Bahn-hofs-zeit])-_xlfn.MINIFS(Lose[Bahn-hofs-zeit],Lose[Bahn-hofs-zeit],"&gt;0"))),5))</f>
        <v>125</v>
      </c>
      <c r="O360">
        <f>IF(Lose[[#This Row],[Gehzeit (min)]]="",0,CEILING(3*(Lose[[#This Row],[Gehzeit (min)]]+Lose[[#This Row],[Aufgaben-zeit (min)]]),5))</f>
        <v>0</v>
      </c>
      <c r="P360">
        <v>8.25</v>
      </c>
      <c r="Q360" t="str">
        <f>IFERROR(ROUND(Lose[[#This Row],[Distanz (km)]]*60/Lose[[#This Row],[Gehzeit (min)]],1),"")</f>
        <v/>
      </c>
      <c r="R3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360">
        <f>IFERROR(Lose[[#This Row],[Distanz (km)]]-Lose[[#This Row],[Check Distanz]],"")</f>
        <v>-0.89</v>
      </c>
      <c r="T360" s="60">
        <f>IFERROR(Lose[[#This Row],[Check Umweg]]/Lose[[#This Row],[Check Distanz]],"")</f>
        <v>-1</v>
      </c>
      <c r="U360">
        <f ca="1">IF(RIGHT(Lose[[#This Row],[LosID]],1)="b",_xlfn.XLOOKUP(REPLACE(Lose[[#This Row],[LosID]],LEN(Lose[[#This Row],[LosID]]),1,"a"),Lose[LosID],Lose[Zufallszahl],"",0),RAND())</f>
        <v>0.82238341058410869</v>
      </c>
      <c r="V360" t="b" cm="1">
        <f t="array" aca="1" ref="V360" ca="1">Lose[[#This Row],[Zufallszahl]]&gt;=IFERROR(LARGE((LEFT(Lose[LosID],FIND("-",Lose[LosID])-1)=LEFT(Lose[[#This Row],[LosID]],FIND("-",Lose[[#This Row],[LosID]])-1))*Lose[Zufallszahl],_xlfn.XLOOKUP(LEFT(Lose[[#This Row],[LosID]],FIND("-",Lose[[#This Row],[LosID]])-1),Ziehungsanzahl[Kürzel],Ziehungsanzahl[Kontingent],FALSE,0)),9999)</f>
        <v>0</v>
      </c>
    </row>
    <row r="361" spans="1:23" ht="30" hidden="1">
      <c r="A3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1" t="s">
        <v>23408</v>
      </c>
      <c r="C361" t="s">
        <v>24530</v>
      </c>
      <c r="D361" s="1" t="s">
        <v>24531</v>
      </c>
      <c r="E361" t="s">
        <v>24532</v>
      </c>
      <c r="F361" t="s">
        <v>24533</v>
      </c>
      <c r="G361">
        <v>15</v>
      </c>
      <c r="H361">
        <v>1</v>
      </c>
      <c r="I361">
        <v>1.1000000000000001</v>
      </c>
      <c r="K361" s="95" t="str" cm="1">
        <f t="array" ref="K3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Düsseldorf-Bilk</v>
      </c>
      <c r="L361" t="str">
        <f>IFERROR(LEFT(TRIM(Lose[[#This Row],[Google Koordinaten]]),9),"")</f>
        <v>51.217341</v>
      </c>
      <c r="M361" t="str">
        <f>IFERROR(MID(TRIM(Lose[[#This Row],[Google Koordinaten]]),
FIND(",",TRIM(Lose[[#This Row],[Google Koordinaten]])) + 2,9),"")</f>
        <v>6.7744046</v>
      </c>
      <c r="N361">
        <f>IF(Lose[[#This Row],[Bahn-hofs-zeit]]=0,0,MROUND(30*25^((Lose[[#This Row],[Bahn-hofs-zeit]]-_xlfn.MINIFS(Lose[Bahn-hofs-zeit],Lose[Bahn-hofs-zeit],"&gt;0"))/(MAX(Lose[Bahn-hofs-zeit])-_xlfn.MINIFS(Lose[Bahn-hofs-zeit],Lose[Bahn-hofs-zeit],"&gt;0"))),5))</f>
        <v>35</v>
      </c>
      <c r="O361">
        <f>IF(Lose[[#This Row],[Gehzeit (min)]]="",0,CEILING(3*(Lose[[#This Row],[Gehzeit (min)]]+Lose[[#This Row],[Aufgaben-zeit (min)]]),5))</f>
        <v>50</v>
      </c>
      <c r="P361">
        <v>4</v>
      </c>
      <c r="Q361">
        <f>IFERROR(ROUND(Lose[[#This Row],[Distanz (km)]]*60/Lose[[#This Row],[Gehzeit (min)]],1),"")</f>
        <v>4.4000000000000004</v>
      </c>
      <c r="R3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1.04</v>
      </c>
      <c r="S361">
        <f>IFERROR(Lose[[#This Row],[Distanz (km)]]-Lose[[#This Row],[Check Distanz]],"")</f>
        <v>6.0000000000000053E-2</v>
      </c>
      <c r="T361" s="60">
        <f>IFERROR(Lose[[#This Row],[Check Umweg]]/Lose[[#This Row],[Check Distanz]],"")</f>
        <v>5.7692307692307744E-2</v>
      </c>
      <c r="U361">
        <f ca="1">IF(RIGHT(Lose[[#This Row],[LosID]],1)="b",_xlfn.XLOOKUP(REPLACE(Lose[[#This Row],[LosID]],LEN(Lose[[#This Row],[LosID]]),1,"a"),Lose[LosID],Lose[Zufallszahl],"",0),RAND())</f>
        <v>0.5499350557786975</v>
      </c>
      <c r="V361" t="b" cm="1">
        <f t="array" aca="1" ref="V361" ca="1">Lose[[#This Row],[Zufallszahl]]&gt;=IFERROR(LARGE((LEFT(Lose[LosID],FIND("-",Lose[LosID])-1)=LEFT(Lose[[#This Row],[LosID]],FIND("-",Lose[[#This Row],[LosID]])-1))*Lose[Zufallszahl],_xlfn.XLOOKUP(LEFT(Lose[[#This Row],[LosID]],FIND("-",Lose[[#This Row],[LosID]])-1),Ziehungsanzahl[Kürzel],Ziehungsanzahl[Kontingent],FALSE,0)),9999)</f>
        <v>0</v>
      </c>
    </row>
    <row r="362" spans="1:23" ht="30" hidden="1">
      <c r="A3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2" t="s">
        <v>23408</v>
      </c>
      <c r="C362" t="s">
        <v>24534</v>
      </c>
      <c r="D362" s="1" t="s">
        <v>24535</v>
      </c>
      <c r="E362" t="s">
        <v>24536</v>
      </c>
      <c r="F362" t="s">
        <v>24537</v>
      </c>
      <c r="G362">
        <v>9</v>
      </c>
      <c r="H362">
        <v>1</v>
      </c>
      <c r="I362">
        <v>0.65</v>
      </c>
      <c r="K362" t="str" cm="1">
        <f t="array" ref="K3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Chemnitz Hbf</v>
      </c>
      <c r="L362" t="str">
        <f>IFERROR(LEFT(TRIM(Lose[[#This Row],[Google Koordinaten]]),9),"")</f>
        <v>50.836199</v>
      </c>
      <c r="M362" t="str">
        <f>IFERROR(MID(TRIM(Lose[[#This Row],[Google Koordinaten]]),
FIND(",",TRIM(Lose[[#This Row],[Google Koordinaten]])) + 2,9),"")</f>
        <v>12.924454</v>
      </c>
      <c r="N362">
        <f>IF(Lose[[#This Row],[Bahn-hofs-zeit]]=0,0,MROUND(30*25^((Lose[[#This Row],[Bahn-hofs-zeit]]-_xlfn.MINIFS(Lose[Bahn-hofs-zeit],Lose[Bahn-hofs-zeit],"&gt;0"))/(MAX(Lose[Bahn-hofs-zeit])-_xlfn.MINIFS(Lose[Bahn-hofs-zeit],Lose[Bahn-hofs-zeit],"&gt;0"))),5))</f>
        <v>255</v>
      </c>
      <c r="O362">
        <f>IF(Lose[[#This Row],[Gehzeit (min)]]="",0,CEILING(3*(Lose[[#This Row],[Gehzeit (min)]]+Lose[[#This Row],[Aufgaben-zeit (min)]]),5))</f>
        <v>30</v>
      </c>
      <c r="P362">
        <v>10.75</v>
      </c>
      <c r="Q362">
        <f>IFERROR(ROUND(Lose[[#This Row],[Distanz (km)]]*60/Lose[[#This Row],[Gehzeit (min)]],1),"")</f>
        <v>4.3</v>
      </c>
      <c r="R3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362">
        <f>IFERROR(Lose[[#This Row],[Distanz (km)]]-Lose[[#This Row],[Check Distanz]],"")</f>
        <v>5.0000000000000044E-2</v>
      </c>
      <c r="T362" s="60">
        <f>IFERROR(Lose[[#This Row],[Check Umweg]]/Lose[[#This Row],[Check Distanz]],"")</f>
        <v>8.3333333333333412E-2</v>
      </c>
      <c r="U362">
        <f ca="1">IF(RIGHT(Lose[[#This Row],[LosID]],1)="b",_xlfn.XLOOKUP(REPLACE(Lose[[#This Row],[LosID]],LEN(Lose[[#This Row],[LosID]]),1,"a"),Lose[LosID],Lose[Zufallszahl],"",0),RAND())</f>
        <v>0.5499350557786975</v>
      </c>
      <c r="V362" t="b" cm="1">
        <f t="array" aca="1" ref="V362" ca="1">Lose[[#This Row],[Zufallszahl]]&gt;=IFERROR(LARGE((LEFT(Lose[LosID],FIND("-",Lose[LosID])-1)=LEFT(Lose[[#This Row],[LosID]],FIND("-",Lose[[#This Row],[LosID]])-1))*Lose[Zufallszahl],_xlfn.XLOOKUP(LEFT(Lose[[#This Row],[LosID]],FIND("-",Lose[[#This Row],[LosID]])-1),Ziehungsanzahl[Kürzel],Ziehungsanzahl[Kontingent],FALSE,0)),9999)</f>
        <v>0</v>
      </c>
    </row>
    <row r="363" spans="1:23" hidden="1">
      <c r="A3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3" t="s">
        <v>23412</v>
      </c>
      <c r="C363" t="s">
        <v>24538</v>
      </c>
      <c r="D363" s="1" t="s">
        <v>24539</v>
      </c>
      <c r="F363" t="s">
        <v>24540</v>
      </c>
      <c r="H363">
        <v>1</v>
      </c>
      <c r="K363" t="str" cm="1">
        <f t="array" ref="K3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Hannover Hbf</v>
      </c>
      <c r="L363" t="str">
        <f>IFERROR(LEFT(TRIM(Lose[[#This Row],[Google Koordinaten]]),9),"")</f>
        <v>52.377821</v>
      </c>
      <c r="M363" t="str">
        <f>IFERROR(MID(TRIM(Lose[[#This Row],[Google Koordinaten]]),
FIND(",",TRIM(Lose[[#This Row],[Google Koordinaten]])) + 2,9),"")</f>
        <v>9.7403231</v>
      </c>
      <c r="N363">
        <f>IF(Lose[[#This Row],[Bahn-hofs-zeit]]=0,0,MROUND(30*25^((Lose[[#This Row],[Bahn-hofs-zeit]]-_xlfn.MINIFS(Lose[Bahn-hofs-zeit],Lose[Bahn-hofs-zeit],"&gt;0"))/(MAX(Lose[Bahn-hofs-zeit])-_xlfn.MINIFS(Lose[Bahn-hofs-zeit],Lose[Bahn-hofs-zeit],"&gt;0"))),5))</f>
        <v>45</v>
      </c>
      <c r="O363">
        <f>IF(Lose[[#This Row],[Gehzeit (min)]]="",0,CEILING(3*(Lose[[#This Row],[Gehzeit (min)]]+Lose[[#This Row],[Aufgaben-zeit (min)]]),5))</f>
        <v>0</v>
      </c>
      <c r="P363">
        <v>4.75</v>
      </c>
      <c r="Q363" t="str">
        <f>IFERROR(ROUND(Lose[[#This Row],[Distanz (km)]]*60/Lose[[#This Row],[Gehzeit (min)]],1),"")</f>
        <v/>
      </c>
      <c r="R3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363">
        <f>IFERROR(Lose[[#This Row],[Distanz (km)]]-Lose[[#This Row],[Check Distanz]],"")</f>
        <v>-0.13</v>
      </c>
      <c r="T363" s="60">
        <f>IFERROR(Lose[[#This Row],[Check Umweg]]/Lose[[#This Row],[Check Distanz]],"")</f>
        <v>-1</v>
      </c>
      <c r="U363">
        <f ca="1">IF(RIGHT(Lose[[#This Row],[LosID]],1)="b",_xlfn.XLOOKUP(REPLACE(Lose[[#This Row],[LosID]],LEN(Lose[[#This Row],[LosID]]),1,"a"),Lose[LosID],Lose[Zufallszahl],"",0),RAND())</f>
        <v>0.78498374232229717</v>
      </c>
      <c r="V363" t="b" cm="1">
        <f t="array" aca="1" ref="V363" ca="1">Lose[[#This Row],[Zufallszahl]]&gt;=IFERROR(LARGE((LEFT(Lose[LosID],FIND("-",Lose[LosID])-1)=LEFT(Lose[[#This Row],[LosID]],FIND("-",Lose[[#This Row],[LosID]])-1))*Lose[Zufallszahl],_xlfn.XLOOKUP(LEFT(Lose[[#This Row],[LosID]],FIND("-",Lose[[#This Row],[LosID]])-1),Ziehungsanzahl[Kürzel],Ziehungsanzahl[Kontingent],FALSE,0)),9999)</f>
        <v>0</v>
      </c>
    </row>
    <row r="364" spans="1:23" hidden="1">
      <c r="A3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4" t="s">
        <v>23412</v>
      </c>
      <c r="C364" t="s">
        <v>24541</v>
      </c>
      <c r="D364" s="1" t="s">
        <v>24542</v>
      </c>
      <c r="F364" t="s">
        <v>24543</v>
      </c>
      <c r="H364">
        <v>1</v>
      </c>
      <c r="K364" t="str" cm="1">
        <f t="array" ref="K3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Hbf</v>
      </c>
      <c r="L364" t="str">
        <f>IFERROR(LEFT(TRIM(Lose[[#This Row],[Google Koordinaten]]),9),"")</f>
        <v>51.345449</v>
      </c>
      <c r="M364" t="str">
        <f>IFERROR(MID(TRIM(Lose[[#This Row],[Google Koordinaten]]),
FIND(",",TRIM(Lose[[#This Row],[Google Koordinaten]])) + 2,9),"")</f>
        <v>12.381943</v>
      </c>
      <c r="N364">
        <f>IF(Lose[[#This Row],[Bahn-hofs-zeit]]=0,0,MROUND(30*25^((Lose[[#This Row],[Bahn-hofs-zeit]]-_xlfn.MINIFS(Lose[Bahn-hofs-zeit],Lose[Bahn-hofs-zeit],"&gt;0"))/(MAX(Lose[Bahn-hofs-zeit])-_xlfn.MINIFS(Lose[Bahn-hofs-zeit],Lose[Bahn-hofs-zeit],"&gt;0"))),5))</f>
        <v>125</v>
      </c>
      <c r="O364">
        <f>IF(Lose[[#This Row],[Gehzeit (min)]]="",0,CEILING(3*(Lose[[#This Row],[Gehzeit (min)]]+Lose[[#This Row],[Aufgaben-zeit (min)]]),5))</f>
        <v>0</v>
      </c>
      <c r="P364">
        <v>8.25</v>
      </c>
      <c r="Q364" t="str">
        <f>IFERROR(ROUND(Lose[[#This Row],[Distanz (km)]]*60/Lose[[#This Row],[Gehzeit (min)]],1),"")</f>
        <v/>
      </c>
      <c r="R3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364">
        <f>IFERROR(Lose[[#This Row],[Distanz (km)]]-Lose[[#This Row],[Check Distanz]],"")</f>
        <v>-0.01</v>
      </c>
      <c r="T364" s="60">
        <f>IFERROR(Lose[[#This Row],[Check Umweg]]/Lose[[#This Row],[Check Distanz]],"")</f>
        <v>-1</v>
      </c>
      <c r="U364">
        <f ca="1">IF(RIGHT(Lose[[#This Row],[LosID]],1)="b",_xlfn.XLOOKUP(REPLACE(Lose[[#This Row],[LosID]],LEN(Lose[[#This Row],[LosID]]),1,"a"),Lose[LosID],Lose[Zufallszahl],"",0),RAND())</f>
        <v>0.78498374232229717</v>
      </c>
      <c r="V364" t="b" cm="1">
        <f t="array" aca="1" ref="V364" ca="1">Lose[[#This Row],[Zufallszahl]]&gt;=IFERROR(LARGE((LEFT(Lose[LosID],FIND("-",Lose[LosID])-1)=LEFT(Lose[[#This Row],[LosID]],FIND("-",Lose[[#This Row],[LosID]])-1))*Lose[Zufallszahl],_xlfn.XLOOKUP(LEFT(Lose[[#This Row],[LosID]],FIND("-",Lose[[#This Row],[LosID]])-1),Ziehungsanzahl[Kürzel],Ziehungsanzahl[Kontingent],FALSE,0)),9999)</f>
        <v>0</v>
      </c>
    </row>
    <row r="365" spans="1:23" ht="105" hidden="1">
      <c r="A3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5" t="s">
        <v>23416</v>
      </c>
      <c r="C365" t="s">
        <v>24544</v>
      </c>
      <c r="D365" s="1" t="s">
        <v>24545</v>
      </c>
      <c r="E365" t="s">
        <v>24546</v>
      </c>
      <c r="F365" t="s">
        <v>24547</v>
      </c>
      <c r="G365">
        <v>6</v>
      </c>
      <c r="H365">
        <v>10</v>
      </c>
      <c r="I365">
        <v>0.4</v>
      </c>
      <c r="J365">
        <v>15</v>
      </c>
      <c r="K365" t="str" cm="1">
        <f t="array" ref="K3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Marburg(Lahn)</v>
      </c>
      <c r="L365" t="str">
        <f>IFERROR(LEFT(TRIM(Lose[[#This Row],[Google Koordinaten]]),9),"")</f>
        <v>50.822272</v>
      </c>
      <c r="M365" t="str">
        <f>IFERROR(MID(TRIM(Lose[[#This Row],[Google Koordinaten]]),
FIND(",",TRIM(Lose[[#This Row],[Google Koordinaten]])) + 2,9),"")</f>
        <v>8.776014</v>
      </c>
      <c r="N365">
        <f>IF(Lose[[#This Row],[Bahn-hofs-zeit]]=0,0,MROUND(30*25^((Lose[[#This Row],[Bahn-hofs-zeit]]-_xlfn.MINIFS(Lose[Bahn-hofs-zeit],Lose[Bahn-hofs-zeit],"&gt;0"))/(MAX(Lose[Bahn-hofs-zeit])-_xlfn.MINIFS(Lose[Bahn-hofs-zeit],Lose[Bahn-hofs-zeit],"&gt;0"))),5))</f>
        <v>55</v>
      </c>
      <c r="O365">
        <f>IF(Lose[[#This Row],[Gehzeit (min)]]="",0,CEILING(3*(Lose[[#This Row],[Gehzeit (min)]]+Lose[[#This Row],[Aufgaben-zeit (min)]]),5))</f>
        <v>50</v>
      </c>
      <c r="P365">
        <v>5.25</v>
      </c>
      <c r="Q365">
        <f>IFERROR(ROUND(Lose[[#This Row],[Distanz (km)]]*60/Lose[[#This Row],[Gehzeit (min)]],1),"")</f>
        <v>4</v>
      </c>
      <c r="R3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365">
        <f>IFERROR(Lose[[#This Row],[Distanz (km)]]-Lose[[#This Row],[Check Distanz]],"")</f>
        <v>0.06</v>
      </c>
      <c r="T365" s="60">
        <f>IFERROR(Lose[[#This Row],[Check Umweg]]/Lose[[#This Row],[Check Distanz]],"")</f>
        <v>0.1764705882352941</v>
      </c>
      <c r="U365">
        <f ca="1">IF(RIGHT(Lose[[#This Row],[LosID]],1)="b",_xlfn.XLOOKUP(REPLACE(Lose[[#This Row],[LosID]],LEN(Lose[[#This Row],[LosID]]),1,"a"),Lose[LosID],Lose[Zufallszahl],"",0),RAND())</f>
        <v>0.11320386341264266</v>
      </c>
      <c r="V365" t="b" cm="1">
        <f t="array" aca="1" ref="V365" ca="1">Lose[[#This Row],[Zufallszahl]]&gt;=IFERROR(LARGE((LEFT(Lose[LosID],FIND("-",Lose[LosID])-1)=LEFT(Lose[[#This Row],[LosID]],FIND("-",Lose[[#This Row],[LosID]])-1))*Lose[Zufallszahl],_xlfn.XLOOKUP(LEFT(Lose[[#This Row],[LosID]],FIND("-",Lose[[#This Row],[LosID]])-1),Ziehungsanzahl[Kürzel],Ziehungsanzahl[Kontingent],FALSE,0)),9999)</f>
        <v>0</v>
      </c>
    </row>
    <row r="366" spans="1:23" ht="105" hidden="1">
      <c r="A3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6" t="s">
        <v>23416</v>
      </c>
      <c r="C366" t="s">
        <v>24548</v>
      </c>
      <c r="D366" s="1" t="s">
        <v>24549</v>
      </c>
      <c r="E366" t="s">
        <v>24550</v>
      </c>
      <c r="F366" t="s">
        <v>24551</v>
      </c>
      <c r="G366">
        <v>6</v>
      </c>
      <c r="H366">
        <v>10</v>
      </c>
      <c r="I366">
        <v>0.4</v>
      </c>
      <c r="J366">
        <v>15</v>
      </c>
      <c r="K366" t="str" cm="1">
        <f t="array" ref="K3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Eisenach Hbf</v>
      </c>
      <c r="L366" t="str">
        <f>IFERROR(LEFT(TRIM(Lose[[#This Row],[Google Koordinaten]]),9),"")</f>
        <v>50.979922</v>
      </c>
      <c r="M366" t="str">
        <f>IFERROR(MID(TRIM(Lose[[#This Row],[Google Koordinaten]]),
FIND(",",TRIM(Lose[[#This Row],[Google Koordinaten]])) + 2,9),"")</f>
        <v>10.332986</v>
      </c>
      <c r="N366">
        <f>IF(Lose[[#This Row],[Bahn-hofs-zeit]]=0,0,MROUND(30*25^((Lose[[#This Row],[Bahn-hofs-zeit]]-_xlfn.MINIFS(Lose[Bahn-hofs-zeit],Lose[Bahn-hofs-zeit],"&gt;0"))/(MAX(Lose[Bahn-hofs-zeit])-_xlfn.MINIFS(Lose[Bahn-hofs-zeit],Lose[Bahn-hofs-zeit],"&gt;0"))),5))</f>
        <v>70</v>
      </c>
      <c r="O366">
        <f>IF(Lose[[#This Row],[Gehzeit (min)]]="",0,CEILING(3*(Lose[[#This Row],[Gehzeit (min)]]+Lose[[#This Row],[Aufgaben-zeit (min)]]),5))</f>
        <v>50</v>
      </c>
      <c r="P366">
        <v>6.25</v>
      </c>
      <c r="Q366">
        <f>IFERROR(ROUND(Lose[[#This Row],[Distanz (km)]]*60/Lose[[#This Row],[Gehzeit (min)]],1),"")</f>
        <v>4</v>
      </c>
      <c r="R3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366">
        <f>IFERROR(Lose[[#This Row],[Distanz (km)]]-Lose[[#This Row],[Check Distanz]],"")</f>
        <v>0.06</v>
      </c>
      <c r="T366" s="60">
        <f>IFERROR(Lose[[#This Row],[Check Umweg]]/Lose[[#This Row],[Check Distanz]],"")</f>
        <v>0.1764705882352941</v>
      </c>
      <c r="U366">
        <f ca="1">IF(RIGHT(Lose[[#This Row],[LosID]],1)="b",_xlfn.XLOOKUP(REPLACE(Lose[[#This Row],[LosID]],LEN(Lose[[#This Row],[LosID]]),1,"a"),Lose[LosID],Lose[Zufallszahl],"",0),RAND())</f>
        <v>0.11320386341264266</v>
      </c>
      <c r="V366" t="b" cm="1">
        <f t="array" aca="1" ref="V366" ca="1">Lose[[#This Row],[Zufallszahl]]&gt;=IFERROR(LARGE((LEFT(Lose[LosID],FIND("-",Lose[LosID])-1)=LEFT(Lose[[#This Row],[LosID]],FIND("-",Lose[[#This Row],[LosID]])-1))*Lose[Zufallszahl],_xlfn.XLOOKUP(LEFT(Lose[[#This Row],[LosID]],FIND("-",Lose[[#This Row],[LosID]])-1),Ziehungsanzahl[Kürzel],Ziehungsanzahl[Kontingent],FALSE,0)),9999)</f>
        <v>0</v>
      </c>
    </row>
    <row r="367" spans="1:23" hidden="1">
      <c r="A3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7" t="s">
        <v>23363</v>
      </c>
      <c r="C367" t="s">
        <v>24552</v>
      </c>
      <c r="D367" s="1" t="s">
        <v>24553</v>
      </c>
      <c r="F367" t="s">
        <v>24554</v>
      </c>
      <c r="K367" t="str" cm="1">
        <f t="array" ref="K3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367" t="str">
        <f>IFERROR(LEFT(TRIM(Lose[[#This Row],[Google Koordinaten]]),9),"")</f>
        <v>52.252555</v>
      </c>
      <c r="M367" t="str">
        <f>IFERROR(MID(TRIM(Lose[[#This Row],[Google Koordinaten]]),
FIND(",",TRIM(Lose[[#This Row],[Google Koordinaten]])) + 2,9),"")</f>
        <v>10.539467</v>
      </c>
      <c r="N367">
        <f>IF(Lose[[#This Row],[Bahn-hofs-zeit]]=0,0,MROUND(30*25^((Lose[[#This Row],[Bahn-hofs-zeit]]-_xlfn.MINIFS(Lose[Bahn-hofs-zeit],Lose[Bahn-hofs-zeit],"&gt;0"))/(MAX(Lose[Bahn-hofs-zeit])-_xlfn.MINIFS(Lose[Bahn-hofs-zeit],Lose[Bahn-hofs-zeit],"&gt;0"))),5))</f>
        <v>70</v>
      </c>
      <c r="O367">
        <f>IF(Lose[[#This Row],[Gehzeit (min)]]="",0,CEILING(3*(Lose[[#This Row],[Gehzeit (min)]]+Lose[[#This Row],[Aufgaben-zeit (min)]]),5))</f>
        <v>0</v>
      </c>
      <c r="P367">
        <v>6.25</v>
      </c>
      <c r="Q367" t="str">
        <f>IFERROR(ROUND(Lose[[#This Row],[Distanz (km)]]*60/Lose[[#This Row],[Gehzeit (min)]],1),"")</f>
        <v/>
      </c>
      <c r="R3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367">
        <f>IFERROR(Lose[[#This Row],[Distanz (km)]]-Lose[[#This Row],[Check Distanz]],"")</f>
        <v>-7.0000000000000007E-2</v>
      </c>
      <c r="T367" s="60">
        <f>IFERROR(Lose[[#This Row],[Check Umweg]]/Lose[[#This Row],[Check Distanz]],"")</f>
        <v>-1</v>
      </c>
      <c r="U367">
        <f ca="1">IF(RIGHT(Lose[[#This Row],[LosID]],1)="b",_xlfn.XLOOKUP(REPLACE(Lose[[#This Row],[LosID]],LEN(Lose[[#This Row],[LosID]]),1,"a"),Lose[LosID],Lose[Zufallszahl],"",0),RAND())</f>
        <v>4.4433012763151591E-2</v>
      </c>
      <c r="V367" t="b" cm="1">
        <f t="array" aca="1" ref="V367" ca="1">Lose[[#This Row],[Zufallszahl]]&gt;=IFERROR(LARGE((LEFT(Lose[LosID],FIND("-",Lose[LosID])-1)=LEFT(Lose[[#This Row],[LosID]],FIND("-",Lose[[#This Row],[LosID]])-1))*Lose[Zufallszahl],_xlfn.XLOOKUP(LEFT(Lose[[#This Row],[LosID]],FIND("-",Lose[[#This Row],[LosID]])-1),Ziehungsanzahl[Kürzel],Ziehungsanzahl[Kontingent],FALSE,0)),9999)</f>
        <v>0</v>
      </c>
    </row>
    <row r="368" spans="1:23" hidden="1">
      <c r="A3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8" t="s">
        <v>23363</v>
      </c>
      <c r="C368" t="s">
        <v>24555</v>
      </c>
      <c r="D368" s="1" t="s">
        <v>24556</v>
      </c>
      <c r="F368" t="s">
        <v>24557</v>
      </c>
      <c r="K368" t="str" cm="1">
        <f t="array" ref="K3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368" t="str">
        <f>IFERROR(LEFT(TRIM(Lose[[#This Row],[Google Koordinaten]]),9),"")</f>
        <v>52.130439</v>
      </c>
      <c r="M368" t="str">
        <f>IFERROR(MID(TRIM(Lose[[#This Row],[Google Koordinaten]]),
FIND(",",TRIM(Lose[[#This Row],[Google Koordinaten]])) + 2,9),"")</f>
        <v>11.627638</v>
      </c>
      <c r="N368">
        <f>IF(Lose[[#This Row],[Bahn-hofs-zeit]]=0,0,MROUND(30*25^((Lose[[#This Row],[Bahn-hofs-zeit]]-_xlfn.MINIFS(Lose[Bahn-hofs-zeit],Lose[Bahn-hofs-zeit],"&gt;0"))/(MAX(Lose[Bahn-hofs-zeit])-_xlfn.MINIFS(Lose[Bahn-hofs-zeit],Lose[Bahn-hofs-zeit],"&gt;0"))),5))</f>
        <v>145</v>
      </c>
      <c r="O368">
        <f>IF(Lose[[#This Row],[Gehzeit (min)]]="",0,CEILING(3*(Lose[[#This Row],[Gehzeit (min)]]+Lose[[#This Row],[Aufgaben-zeit (min)]]),5))</f>
        <v>0</v>
      </c>
      <c r="P368">
        <v>8.75</v>
      </c>
      <c r="Q368" t="str">
        <f>IFERROR(ROUND(Lose[[#This Row],[Distanz (km)]]*60/Lose[[#This Row],[Gehzeit (min)]],1),"")</f>
        <v/>
      </c>
      <c r="R3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368">
        <f>IFERROR(Lose[[#This Row],[Distanz (km)]]-Lose[[#This Row],[Check Distanz]],"")</f>
        <v>-0.05</v>
      </c>
      <c r="T368" s="60">
        <f>IFERROR(Lose[[#This Row],[Check Umweg]]/Lose[[#This Row],[Check Distanz]],"")</f>
        <v>-1</v>
      </c>
      <c r="U368">
        <f ca="1">IF(RIGHT(Lose[[#This Row],[LosID]],1)="b",_xlfn.XLOOKUP(REPLACE(Lose[[#This Row],[LosID]],LEN(Lose[[#This Row],[LosID]]),1,"a"),Lose[LosID],Lose[Zufallszahl],"",0),RAND())</f>
        <v>4.4433012763151591E-2</v>
      </c>
      <c r="V368" t="b" cm="1">
        <f t="array" aca="1" ref="V368" ca="1">Lose[[#This Row],[Zufallszahl]]&gt;=IFERROR(LARGE((LEFT(Lose[LosID],FIND("-",Lose[LosID])-1)=LEFT(Lose[[#This Row],[LosID]],FIND("-",Lose[[#This Row],[LosID]])-1))*Lose[Zufallszahl],_xlfn.XLOOKUP(LEFT(Lose[[#This Row],[LosID]],FIND("-",Lose[[#This Row],[LosID]])-1),Ziehungsanzahl[Kürzel],Ziehungsanzahl[Kontingent],FALSE,0)),9999)</f>
        <v>0</v>
      </c>
    </row>
    <row r="369" spans="1:23" hidden="1">
      <c r="A3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9" t="s">
        <v>23367</v>
      </c>
      <c r="C369" t="s">
        <v>1248</v>
      </c>
      <c r="D369" s="1" t="s">
        <v>24558</v>
      </c>
      <c r="F369" t="s">
        <v>24559</v>
      </c>
      <c r="K369" t="str" cm="1">
        <f t="array" ref="K3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Heide(Holst)</v>
      </c>
      <c r="L369" t="str">
        <f>IFERROR(LEFT(TRIM(Lose[[#This Row],[Google Koordinaten]]),9),"")</f>
        <v>54.193438</v>
      </c>
      <c r="M369" t="str">
        <f>IFERROR(MID(TRIM(Lose[[#This Row],[Google Koordinaten]]),
FIND(",",TRIM(Lose[[#This Row],[Google Koordinaten]])) + 2,9),"")</f>
        <v>9.1009301</v>
      </c>
      <c r="N369">
        <f>IF(Lose[[#This Row],[Bahn-hofs-zeit]]=0,0,MROUND(30*25^((Lose[[#This Row],[Bahn-hofs-zeit]]-_xlfn.MINIFS(Lose[Bahn-hofs-zeit],Lose[Bahn-hofs-zeit],"&gt;0"))/(MAX(Lose[Bahn-hofs-zeit])-_xlfn.MINIFS(Lose[Bahn-hofs-zeit],Lose[Bahn-hofs-zeit],"&gt;0"))),5))</f>
        <v>240</v>
      </c>
      <c r="O369">
        <f>IF(Lose[[#This Row],[Gehzeit (min)]]="",0,CEILING(3*(Lose[[#This Row],[Gehzeit (min)]]+Lose[[#This Row],[Aufgaben-zeit (min)]]),5))</f>
        <v>0</v>
      </c>
      <c r="P369">
        <v>10.5</v>
      </c>
      <c r="Q369" t="str">
        <f>IFERROR(ROUND(Lose[[#This Row],[Distanz (km)]]*60/Lose[[#This Row],[Gehzeit (min)]],1),"")</f>
        <v/>
      </c>
      <c r="R3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369">
        <f>IFERROR(Lose[[#This Row],[Distanz (km)]]-Lose[[#This Row],[Check Distanz]],"")</f>
        <v>-0.02</v>
      </c>
      <c r="T369" s="60">
        <f>IFERROR(Lose[[#This Row],[Check Umweg]]/Lose[[#This Row],[Check Distanz]],"")</f>
        <v>-1</v>
      </c>
      <c r="U369">
        <f ca="1">IF(RIGHT(Lose[[#This Row],[LosID]],1)="b",_xlfn.XLOOKUP(REPLACE(Lose[[#This Row],[LosID]],LEN(Lose[[#This Row],[LosID]]),1,"a"),Lose[LosID],Lose[Zufallszahl],"",0),RAND())</f>
        <v>0.95130847552937181</v>
      </c>
      <c r="V369" t="b" cm="1">
        <f t="array" aca="1" ref="V369" ca="1">Lose[[#This Row],[Zufallszahl]]&gt;=IFERROR(LARGE((LEFT(Lose[LosID],FIND("-",Lose[LosID])-1)=LEFT(Lose[[#This Row],[LosID]],FIND("-",Lose[[#This Row],[LosID]])-1))*Lose[Zufallszahl],_xlfn.XLOOKUP(LEFT(Lose[[#This Row],[LosID]],FIND("-",Lose[[#This Row],[LosID]])-1),Ziehungsanzahl[Kürzel],Ziehungsanzahl[Kontingent],FALSE,0)),9999)</f>
        <v>0</v>
      </c>
    </row>
    <row r="370" spans="1:23" hidden="1">
      <c r="A3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0" t="s">
        <v>23367</v>
      </c>
      <c r="C370" t="s">
        <v>1249</v>
      </c>
      <c r="D370" s="1" t="s">
        <v>24560</v>
      </c>
      <c r="F370" t="s">
        <v>24561</v>
      </c>
      <c r="K370" t="str" cm="1">
        <f t="array" ref="K3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Anklam</v>
      </c>
      <c r="L370" t="str">
        <f>IFERROR(LEFT(TRIM(Lose[[#This Row],[Google Koordinaten]]),9),"")</f>
        <v>53.856027</v>
      </c>
      <c r="M370" t="str">
        <f>IFERROR(MID(TRIM(Lose[[#This Row],[Google Koordinaten]]),
FIND(",",TRIM(Lose[[#This Row],[Google Koordinaten]])) + 2,9),"")</f>
        <v>13.701789</v>
      </c>
      <c r="N370" s="91">
        <f>IF(Lose[[#This Row],[Bahn-hofs-zeit]]=0,0,MROUND(30*25^((Lose[[#This Row],[Bahn-hofs-zeit]]-_xlfn.MINIFS(Lose[Bahn-hofs-zeit],Lose[Bahn-hofs-zeit],"&gt;0"))/(MAX(Lose[Bahn-hofs-zeit])-_xlfn.MINIFS(Lose[Bahn-hofs-zeit],Lose[Bahn-hofs-zeit],"&gt;0"))),5))</f>
        <v>0</v>
      </c>
      <c r="O370">
        <f>IF(Lose[[#This Row],[Gehzeit (min)]]="",0,CEILING(3*(Lose[[#This Row],[Gehzeit (min)]]+Lose[[#This Row],[Aufgaben-zeit (min)]]),5))</f>
        <v>0</v>
      </c>
      <c r="Q370" t="str">
        <f>IFERROR(ROUND(Lose[[#This Row],[Distanz (km)]]*60/Lose[[#This Row],[Gehzeit (min)]],1),"")</f>
        <v/>
      </c>
      <c r="R3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370">
        <f>IFERROR(Lose[[#This Row],[Distanz (km)]]-Lose[[#This Row],[Check Distanz]],"")</f>
        <v>-0.01</v>
      </c>
      <c r="T370" s="60">
        <f>IFERROR(Lose[[#This Row],[Check Umweg]]/Lose[[#This Row],[Check Distanz]],"")</f>
        <v>-1</v>
      </c>
      <c r="U370">
        <f ca="1">IF(RIGHT(Lose[[#This Row],[LosID]],1)="b",_xlfn.XLOOKUP(REPLACE(Lose[[#This Row],[LosID]],LEN(Lose[[#This Row],[LosID]]),1,"a"),Lose[LosID],Lose[Zufallszahl],"",0),RAND())</f>
        <v>0.95130847552937181</v>
      </c>
      <c r="V370" t="b" cm="1">
        <f t="array" aca="1" ref="V370" ca="1">Lose[[#This Row],[Zufallszahl]]&gt;=IFERROR(LARGE((LEFT(Lose[LosID],FIND("-",Lose[LosID])-1)=LEFT(Lose[[#This Row],[LosID]],FIND("-",Lose[[#This Row],[LosID]])-1))*Lose[Zufallszahl],_xlfn.XLOOKUP(LEFT(Lose[[#This Row],[LosID]],FIND("-",Lose[[#This Row],[LosID]])-1),Ziehungsanzahl[Kürzel],Ziehungsanzahl[Kontingent],FALSE,0)),9999)</f>
        <v>0</v>
      </c>
      <c r="W370" t="s">
        <v>23398</v>
      </c>
    </row>
    <row r="371" spans="1:23" ht="105" hidden="1">
      <c r="A3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1" t="s">
        <v>23372</v>
      </c>
      <c r="C371" t="s">
        <v>24562</v>
      </c>
      <c r="D371" s="78" t="s">
        <v>24563</v>
      </c>
      <c r="E371" t="s">
        <v>24564</v>
      </c>
      <c r="F371" t="s">
        <v>24565</v>
      </c>
      <c r="G371">
        <v>13</v>
      </c>
      <c r="H371">
        <v>1</v>
      </c>
      <c r="I371">
        <v>1</v>
      </c>
      <c r="K371" t="str" cm="1">
        <f t="array" ref="K3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Eisenach Hbf</v>
      </c>
      <c r="L371" t="str">
        <f>IFERROR(LEFT(TRIM(Lose[[#This Row],[Google Koordinaten]]),9),"")</f>
        <v>50.976412</v>
      </c>
      <c r="M371" t="str">
        <f>IFERROR(MID(TRIM(Lose[[#This Row],[Google Koordinaten]]),
FIND(",",TRIM(Lose[[#This Row],[Google Koordinaten]])) + 2,9),"")</f>
        <v>10.320575</v>
      </c>
      <c r="N371">
        <f>IF(Lose[[#This Row],[Bahn-hofs-zeit]]=0,0,MROUND(30*25^((Lose[[#This Row],[Bahn-hofs-zeit]]-_xlfn.MINIFS(Lose[Bahn-hofs-zeit],Lose[Bahn-hofs-zeit],"&gt;0"))/(MAX(Lose[Bahn-hofs-zeit])-_xlfn.MINIFS(Lose[Bahn-hofs-zeit],Lose[Bahn-hofs-zeit],"&gt;0"))),5))</f>
        <v>70</v>
      </c>
      <c r="O371">
        <f>IF(Lose[[#This Row],[Gehzeit (min)]]="",0,CEILING(3*(Lose[[#This Row],[Gehzeit (min)]]+Lose[[#This Row],[Aufgaben-zeit (min)]]),5))</f>
        <v>45</v>
      </c>
      <c r="P371">
        <v>6.25</v>
      </c>
      <c r="Q371">
        <f>IFERROR(ROUND(Lose[[#This Row],[Distanz (km)]]*60/Lose[[#This Row],[Gehzeit (min)]],1),"")</f>
        <v>4.5999999999999996</v>
      </c>
      <c r="R3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371">
        <f>IFERROR(Lose[[#This Row],[Distanz (km)]]-Lose[[#This Row],[Check Distanz]],"")</f>
        <v>0.19999999999999996</v>
      </c>
      <c r="T371" s="60">
        <f>IFERROR(Lose[[#This Row],[Check Umweg]]/Lose[[#This Row],[Check Distanz]],"")</f>
        <v>0.24999999999999994</v>
      </c>
      <c r="U371">
        <f ca="1">IF(RIGHT(Lose[[#This Row],[LosID]],1)="b",_xlfn.XLOOKUP(REPLACE(Lose[[#This Row],[LosID]],LEN(Lose[[#This Row],[LosID]]),1,"a"),Lose[LosID],Lose[Zufallszahl],"",0),RAND())</f>
        <v>0.45124409123447129</v>
      </c>
      <c r="V371" t="b" cm="1">
        <f t="array" aca="1" ref="V371" ca="1">Lose[[#This Row],[Zufallszahl]]&gt;=IFERROR(LARGE((LEFT(Lose[LosID],FIND("-",Lose[LosID])-1)=LEFT(Lose[[#This Row],[LosID]],FIND("-",Lose[[#This Row],[LosID]])-1))*Lose[Zufallszahl],_xlfn.XLOOKUP(LEFT(Lose[[#This Row],[LosID]],FIND("-",Lose[[#This Row],[LosID]])-1),Ziehungsanzahl[Kürzel],Ziehungsanzahl[Kontingent],FALSE,0)),9999)</f>
        <v>0</v>
      </c>
    </row>
    <row r="372" spans="1:23" ht="60" hidden="1">
      <c r="A3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2" t="s">
        <v>23372</v>
      </c>
      <c r="C372" t="s">
        <v>24566</v>
      </c>
      <c r="D372" s="89" t="s">
        <v>24567</v>
      </c>
      <c r="E372" t="s">
        <v>24568</v>
      </c>
      <c r="F372" t="s">
        <v>24569</v>
      </c>
      <c r="G372">
        <v>10</v>
      </c>
      <c r="H372">
        <v>1</v>
      </c>
      <c r="I372">
        <v>0.65</v>
      </c>
      <c r="K372" t="str" cm="1">
        <f t="array" ref="K3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Marburg(Lahn)</v>
      </c>
      <c r="L372" t="str">
        <f>IFERROR(LEFT(TRIM(Lose[[#This Row],[Google Koordinaten]]),9),"")</f>
        <v>50.814880</v>
      </c>
      <c r="M372" t="str">
        <f>IFERROR(MID(TRIM(Lose[[#This Row],[Google Koordinaten]]),
FIND(",",TRIM(Lose[[#This Row],[Google Koordinaten]])) + 2,9),"")</f>
        <v>8.7693615</v>
      </c>
      <c r="N372">
        <f>IF(Lose[[#This Row],[Bahn-hofs-zeit]]=0,0,MROUND(30*25^((Lose[[#This Row],[Bahn-hofs-zeit]]-_xlfn.MINIFS(Lose[Bahn-hofs-zeit],Lose[Bahn-hofs-zeit],"&gt;0"))/(MAX(Lose[Bahn-hofs-zeit])-_xlfn.MINIFS(Lose[Bahn-hofs-zeit],Lose[Bahn-hofs-zeit],"&gt;0"))),5))</f>
        <v>55</v>
      </c>
      <c r="O372">
        <f>IF(Lose[[#This Row],[Gehzeit (min)]]="",0,CEILING(3*(Lose[[#This Row],[Gehzeit (min)]]+Lose[[#This Row],[Aufgaben-zeit (min)]]),5))</f>
        <v>35</v>
      </c>
      <c r="P372">
        <v>5.25</v>
      </c>
      <c r="Q372">
        <f>IFERROR(ROUND(Lose[[#This Row],[Distanz (km)]]*60/Lose[[#This Row],[Gehzeit (min)]],1),"")</f>
        <v>3.9</v>
      </c>
      <c r="R3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372">
        <f>IFERROR(Lose[[#This Row],[Distanz (km)]]-Lose[[#This Row],[Check Distanz]],"")</f>
        <v>2.0000000000000018E-2</v>
      </c>
      <c r="T372" s="60">
        <f>IFERROR(Lose[[#This Row],[Check Umweg]]/Lose[[#This Row],[Check Distanz]],"")</f>
        <v>3.1746031746031772E-2</v>
      </c>
      <c r="U372">
        <f ca="1">IF(RIGHT(Lose[[#This Row],[LosID]],1)="b",_xlfn.XLOOKUP(REPLACE(Lose[[#This Row],[LosID]],LEN(Lose[[#This Row],[LosID]]),1,"a"),Lose[LosID],Lose[Zufallszahl],"",0),RAND())</f>
        <v>0.45124409123447129</v>
      </c>
      <c r="V372" t="b" cm="1">
        <f t="array" aca="1" ref="V372" ca="1">Lose[[#This Row],[Zufallszahl]]&gt;=IFERROR(LARGE((LEFT(Lose[LosID],FIND("-",Lose[LosID])-1)=LEFT(Lose[[#This Row],[LosID]],FIND("-",Lose[[#This Row],[LosID]])-1))*Lose[Zufallszahl],_xlfn.XLOOKUP(LEFT(Lose[[#This Row],[LosID]],FIND("-",Lose[[#This Row],[LosID]])-1),Ziehungsanzahl[Kürzel],Ziehungsanzahl[Kontingent],FALSE,0)),9999)</f>
        <v>0</v>
      </c>
    </row>
    <row r="373" spans="1:23" ht="30" hidden="1">
      <c r="A3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3" t="s">
        <v>4</v>
      </c>
      <c r="C373" t="s">
        <v>24570</v>
      </c>
      <c r="D373" s="1" t="s">
        <v>24571</v>
      </c>
      <c r="H373">
        <v>1</v>
      </c>
      <c r="K373" t="s">
        <v>135</v>
      </c>
      <c r="L373" t="str">
        <f>IFERROR(LEFT(TRIM(Lose[[#This Row],[Google Koordinaten]]),9),"")</f>
        <v/>
      </c>
      <c r="M373" t="str">
        <f>IFERROR(MID(TRIM(Lose[[#This Row],[Google Koordinaten]]),
FIND(",",TRIM(Lose[[#This Row],[Google Koordinaten]])) + 2,9),"")</f>
        <v/>
      </c>
      <c r="N373">
        <f>IF(Lose[[#This Row],[Bahn-hofs-zeit]]=0,0,MROUND(30*25^((Lose[[#This Row],[Bahn-hofs-zeit]]-_xlfn.MINIFS(Lose[Bahn-hofs-zeit],Lose[Bahn-hofs-zeit],"&gt;0"))/(MAX(Lose[Bahn-hofs-zeit])-_xlfn.MINIFS(Lose[Bahn-hofs-zeit],Lose[Bahn-hofs-zeit],"&gt;0"))),5))</f>
        <v>220</v>
      </c>
      <c r="O373">
        <f>IF(Lose[[#This Row],[Gehzeit (min)]]="",0,CEILING(3*(Lose[[#This Row],[Gehzeit (min)]]+Lose[[#This Row],[Aufgaben-zeit (min)]]),5))</f>
        <v>0</v>
      </c>
      <c r="P373">
        <v>10.25</v>
      </c>
      <c r="Q373" t="str">
        <f>IFERROR(ROUND(Lose[[#This Row],[Distanz (km)]]*60/Lose[[#This Row],[Gehzeit (min)]],1),"")</f>
        <v/>
      </c>
      <c r="R373"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3" t="str">
        <f>IFERROR(Lose[[#This Row],[Distanz (km)]]-Lose[[#This Row],[Check Distanz]],"")</f>
        <v/>
      </c>
      <c r="T373" s="60" t="str">
        <f>IFERROR(Lose[[#This Row],[Check Umweg]]/Lose[[#This Row],[Check Distanz]],"")</f>
        <v/>
      </c>
      <c r="U373">
        <f ca="1">IF(RIGHT(Lose[[#This Row],[LosID]],1)="b",_xlfn.XLOOKUP(REPLACE(Lose[[#This Row],[LosID]],LEN(Lose[[#This Row],[LosID]]),1,"a"),Lose[LosID],Lose[Zufallszahl],"",0),RAND())</f>
        <v>0.37428003873926396</v>
      </c>
      <c r="V373" t="b" cm="1">
        <f t="array" aca="1" ref="V373" ca="1">Lose[[#This Row],[Zufallszahl]]&gt;=IFERROR(LARGE((LEFT(Lose[LosID],FIND("-",Lose[LosID])-1)=LEFT(Lose[[#This Row],[LosID]],FIND("-",Lose[[#This Row],[LosID]])-1))*Lose[Zufallszahl],_xlfn.XLOOKUP(LEFT(Lose[[#This Row],[LosID]],FIND("-",Lose[[#This Row],[LosID]])-1),Ziehungsanzahl[Kürzel],Ziehungsanzahl[Kontingent],FALSE,0)),9999)</f>
        <v>0</v>
      </c>
    </row>
    <row r="374" spans="1:23" ht="30" hidden="1">
      <c r="A3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4" t="s">
        <v>4</v>
      </c>
      <c r="C374" t="s">
        <v>24572</v>
      </c>
      <c r="D374" s="1" t="s">
        <v>24573</v>
      </c>
      <c r="H374">
        <v>1</v>
      </c>
      <c r="K374" t="s">
        <v>16630</v>
      </c>
      <c r="L374" t="str">
        <f>IFERROR(LEFT(TRIM(Lose[[#This Row],[Google Koordinaten]]),9),"")</f>
        <v/>
      </c>
      <c r="M374" t="str">
        <f>IFERROR(MID(TRIM(Lose[[#This Row],[Google Koordinaten]]),
FIND(",",TRIM(Lose[[#This Row],[Google Koordinaten]])) + 2,9),"")</f>
        <v/>
      </c>
      <c r="N374">
        <f>IF(Lose[[#This Row],[Bahn-hofs-zeit]]=0,0,MROUND(30*25^((Lose[[#This Row],[Bahn-hofs-zeit]]-_xlfn.MINIFS(Lose[Bahn-hofs-zeit],Lose[Bahn-hofs-zeit],"&gt;0"))/(MAX(Lose[Bahn-hofs-zeit])-_xlfn.MINIFS(Lose[Bahn-hofs-zeit],Lose[Bahn-hofs-zeit],"&gt;0"))),5))</f>
        <v>80</v>
      </c>
      <c r="O374">
        <f>IF(Lose[[#This Row],[Gehzeit (min)]]="",0,CEILING(3*(Lose[[#This Row],[Gehzeit (min)]]+Lose[[#This Row],[Aufgaben-zeit (min)]]),5))</f>
        <v>0</v>
      </c>
      <c r="P374">
        <v>6.75</v>
      </c>
      <c r="Q374" t="str">
        <f>IFERROR(ROUND(Lose[[#This Row],[Distanz (km)]]*60/Lose[[#This Row],[Gehzeit (min)]],1),"")</f>
        <v/>
      </c>
      <c r="R37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4" t="str">
        <f>IFERROR(Lose[[#This Row],[Distanz (km)]]-Lose[[#This Row],[Check Distanz]],"")</f>
        <v/>
      </c>
      <c r="T374" s="60" t="str">
        <f>IFERROR(Lose[[#This Row],[Check Umweg]]/Lose[[#This Row],[Check Distanz]],"")</f>
        <v/>
      </c>
      <c r="U374">
        <f ca="1">IF(RIGHT(Lose[[#This Row],[LosID]],1)="b",_xlfn.XLOOKUP(REPLACE(Lose[[#This Row],[LosID]],LEN(Lose[[#This Row],[LosID]]),1,"a"),Lose[LosID],Lose[Zufallszahl],"",0),RAND())</f>
        <v>0.37428003873926396</v>
      </c>
      <c r="V374" t="b" cm="1">
        <f t="array" aca="1" ref="V374" ca="1">Lose[[#This Row],[Zufallszahl]]&gt;=IFERROR(LARGE((LEFT(Lose[LosID],FIND("-",Lose[LosID])-1)=LEFT(Lose[[#This Row],[LosID]],FIND("-",Lose[[#This Row],[LosID]])-1))*Lose[Zufallszahl],_xlfn.XLOOKUP(LEFT(Lose[[#This Row],[LosID]],FIND("-",Lose[[#This Row],[LosID]])-1),Ziehungsanzahl[Kürzel],Ziehungsanzahl[Kontingent],FALSE,0)),9999)</f>
        <v>0</v>
      </c>
    </row>
    <row r="375" spans="1:23" hidden="1">
      <c r="A3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5" t="s">
        <v>23357</v>
      </c>
      <c r="C375" t="s">
        <v>24574</v>
      </c>
      <c r="D375" s="1" t="s">
        <v>24575</v>
      </c>
      <c r="F375" t="s">
        <v>24576</v>
      </c>
      <c r="K375" t="str" cm="1">
        <f t="array" ref="K3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375" t="str">
        <f>IFERROR(LEFT(TRIM(Lose[[#This Row],[Google Koordinaten]]),9),"")</f>
        <v>51.435857</v>
      </c>
      <c r="M375" t="str">
        <f>IFERROR(MID(TRIM(Lose[[#This Row],[Google Koordinaten]]),
FIND(",",TRIM(Lose[[#This Row],[Google Koordinaten]])) + 2,9),"")</f>
        <v>7.3300037</v>
      </c>
      <c r="N375">
        <f>IF(Lose[[#This Row],[Bahn-hofs-zeit]]=0,0,MROUND(30*25^((Lose[[#This Row],[Bahn-hofs-zeit]]-_xlfn.MINIFS(Lose[Bahn-hofs-zeit],Lose[Bahn-hofs-zeit],"&gt;0"))/(MAX(Lose[Bahn-hofs-zeit])-_xlfn.MINIFS(Lose[Bahn-hofs-zeit],Lose[Bahn-hofs-zeit],"&gt;0"))),5))</f>
        <v>40</v>
      </c>
      <c r="O375">
        <f>IF(Lose[[#This Row],[Gehzeit (min)]]="",0,CEILING(3*(Lose[[#This Row],[Gehzeit (min)]]+Lose[[#This Row],[Aufgaben-zeit (min)]]),5))</f>
        <v>0</v>
      </c>
      <c r="P375">
        <v>4.25</v>
      </c>
      <c r="Q375" t="str">
        <f>IFERROR(ROUND(Lose[[#This Row],[Distanz (km)]]*60/Lose[[#This Row],[Gehzeit (min)]],1),"")</f>
        <v/>
      </c>
      <c r="R3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375">
        <f>IFERROR(Lose[[#This Row],[Distanz (km)]]-Lose[[#This Row],[Check Distanz]],"")</f>
        <v>-0.05</v>
      </c>
      <c r="T375" s="60">
        <f>IFERROR(Lose[[#This Row],[Check Umweg]]/Lose[[#This Row],[Check Distanz]],"")</f>
        <v>-1</v>
      </c>
      <c r="U375">
        <f ca="1">IF(RIGHT(Lose[[#This Row],[LosID]],1)="b",_xlfn.XLOOKUP(REPLACE(Lose[[#This Row],[LosID]],LEN(Lose[[#This Row],[LosID]]),1,"a"),Lose[LosID],Lose[Zufallszahl],"",0),RAND())</f>
        <v>5.6702649205849998E-2</v>
      </c>
      <c r="V375" t="b" cm="1">
        <f t="array" aca="1" ref="V375" ca="1">Lose[[#This Row],[Zufallszahl]]&gt;=IFERROR(LARGE((LEFT(Lose[LosID],FIND("-",Lose[LosID])-1)=LEFT(Lose[[#This Row],[LosID]],FIND("-",Lose[[#This Row],[LosID]])-1))*Lose[Zufallszahl],_xlfn.XLOOKUP(LEFT(Lose[[#This Row],[LosID]],FIND("-",Lose[[#This Row],[LosID]])-1),Ziehungsanzahl[Kürzel],Ziehungsanzahl[Kontingent],FALSE,0)),9999)</f>
        <v>0</v>
      </c>
    </row>
    <row r="376" spans="1:23" ht="30" hidden="1">
      <c r="A3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6" t="s">
        <v>23357</v>
      </c>
      <c r="C376" t="s">
        <v>24577</v>
      </c>
      <c r="D376" s="1" t="s">
        <v>24578</v>
      </c>
      <c r="F376" t="s">
        <v>24579</v>
      </c>
      <c r="K376" t="str" cm="1">
        <f t="array" ref="K3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Bitterfeld</v>
      </c>
      <c r="L376" t="str">
        <f>IFERROR(LEFT(TRIM(Lose[[#This Row],[Google Koordinaten]]),9),"")</f>
        <v>51.622941</v>
      </c>
      <c r="M376" t="str">
        <f>IFERROR(MID(TRIM(Lose[[#This Row],[Google Koordinaten]]),
FIND(",",TRIM(Lose[[#This Row],[Google Koordinaten]])) + 2,9),"")</f>
        <v>12.316953</v>
      </c>
      <c r="N376">
        <f>IF(Lose[[#This Row],[Bahn-hofs-zeit]]=0,0,MROUND(30*25^((Lose[[#This Row],[Bahn-hofs-zeit]]-_xlfn.MINIFS(Lose[Bahn-hofs-zeit],Lose[Bahn-hofs-zeit],"&gt;0"))/(MAX(Lose[Bahn-hofs-zeit])-_xlfn.MINIFS(Lose[Bahn-hofs-zeit],Lose[Bahn-hofs-zeit],"&gt;0"))),5))</f>
        <v>135</v>
      </c>
      <c r="O376">
        <f>IF(Lose[[#This Row],[Gehzeit (min)]]="",0,CEILING(3*(Lose[[#This Row],[Gehzeit (min)]]+Lose[[#This Row],[Aufgaben-zeit (min)]]),5))</f>
        <v>0</v>
      </c>
      <c r="P376">
        <v>8.5</v>
      </c>
      <c r="Q376" t="str">
        <f>IFERROR(ROUND(Lose[[#This Row],[Distanz (km)]]*60/Lose[[#This Row],[Gehzeit (min)]],1),"")</f>
        <v/>
      </c>
      <c r="R3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376">
        <f>IFERROR(Lose[[#This Row],[Distanz (km)]]-Lose[[#This Row],[Check Distanz]],"")</f>
        <v>-0.01</v>
      </c>
      <c r="T376" s="60">
        <f>IFERROR(Lose[[#This Row],[Check Umweg]]/Lose[[#This Row],[Check Distanz]],"")</f>
        <v>-1</v>
      </c>
      <c r="U376">
        <f ca="1">IF(RIGHT(Lose[[#This Row],[LosID]],1)="b",_xlfn.XLOOKUP(REPLACE(Lose[[#This Row],[LosID]],LEN(Lose[[#This Row],[LosID]]),1,"a"),Lose[LosID],Lose[Zufallszahl],"",0),RAND())</f>
        <v>5.6702649205849998E-2</v>
      </c>
      <c r="V376" t="b" cm="1">
        <f t="array" aca="1" ref="V376" ca="1">Lose[[#This Row],[Zufallszahl]]&gt;=IFERROR(LARGE((LEFT(Lose[LosID],FIND("-",Lose[LosID])-1)=LEFT(Lose[[#This Row],[LosID]],FIND("-",Lose[[#This Row],[LosID]])-1))*Lose[Zufallszahl],_xlfn.XLOOKUP(LEFT(Lose[[#This Row],[LosID]],FIND("-",Lose[[#This Row],[LosID]])-1),Ziehungsanzahl[Kürzel],Ziehungsanzahl[Kontingent],FALSE,0)),9999)</f>
        <v>0</v>
      </c>
    </row>
    <row r="377" spans="1:23" ht="75" hidden="1">
      <c r="A3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7" t="s">
        <v>23363</v>
      </c>
      <c r="C377" t="s">
        <v>24580</v>
      </c>
      <c r="D377" s="1" t="s">
        <v>24581</v>
      </c>
      <c r="E377" t="s">
        <v>24582</v>
      </c>
      <c r="F377" t="s">
        <v>24583</v>
      </c>
      <c r="G377">
        <v>9</v>
      </c>
      <c r="H377">
        <v>2</v>
      </c>
      <c r="I377">
        <v>0.7</v>
      </c>
      <c r="J377">
        <v>20</v>
      </c>
      <c r="K377" t="str" cm="1">
        <f t="array" ref="K3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Hermsdorf-Klosterlausnitz</v>
      </c>
      <c r="L377" t="str">
        <f>IFERROR(LEFT(TRIM(Lose[[#This Row],[Google Koordinaten]]),9),"")</f>
        <v>50.901508</v>
      </c>
      <c r="M377" t="str">
        <f>IFERROR(MID(TRIM(Lose[[#This Row],[Google Koordinaten]]),
FIND(",",TRIM(Lose[[#This Row],[Google Koordinaten]])) + 2,9),"")</f>
        <v>11.863169</v>
      </c>
      <c r="N377">
        <f>IF(Lose[[#This Row],[Bahn-hofs-zeit]]=0,0,MROUND(30*25^((Lose[[#This Row],[Bahn-hofs-zeit]]-_xlfn.MINIFS(Lose[Bahn-hofs-zeit],Lose[Bahn-hofs-zeit],"&gt;0"))/(MAX(Lose[Bahn-hofs-zeit])-_xlfn.MINIFS(Lose[Bahn-hofs-zeit],Lose[Bahn-hofs-zeit],"&gt;0"))),5))</f>
        <v>220</v>
      </c>
      <c r="O377">
        <f>IF(Lose[[#This Row],[Gehzeit (min)]]="",0,CEILING(3*(Lose[[#This Row],[Gehzeit (min)]]+Lose[[#This Row],[Aufgaben-zeit (min)]]),5))</f>
        <v>35</v>
      </c>
      <c r="P377">
        <v>10.25</v>
      </c>
      <c r="Q377">
        <f>IFERROR(ROUND(Lose[[#This Row],[Distanz (km)]]*60/Lose[[#This Row],[Gehzeit (min)]],1),"")</f>
        <v>4.7</v>
      </c>
      <c r="R3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377">
        <f>IFERROR(Lose[[#This Row],[Distanz (km)]]-Lose[[#This Row],[Check Distanz]],"")</f>
        <v>0.28999999999999998</v>
      </c>
      <c r="T377" s="60">
        <f>IFERROR(Lose[[#This Row],[Check Umweg]]/Lose[[#This Row],[Check Distanz]],"")</f>
        <v>0.70731707317073167</v>
      </c>
      <c r="U377">
        <f ca="1">IF(RIGHT(Lose[[#This Row],[LosID]],1)="b",_xlfn.XLOOKUP(REPLACE(Lose[[#This Row],[LosID]],LEN(Lose[[#This Row],[LosID]]),1,"a"),Lose[LosID],Lose[Zufallszahl],"",0),RAND())</f>
        <v>0.45187680689317644</v>
      </c>
      <c r="V377" t="b" cm="1">
        <f t="array" aca="1" ref="V377" ca="1">Lose[[#This Row],[Zufallszahl]]&gt;=IFERROR(LARGE((LEFT(Lose[LosID],FIND("-",Lose[LosID])-1)=LEFT(Lose[[#This Row],[LosID]],FIND("-",Lose[[#This Row],[LosID]])-1))*Lose[Zufallszahl],_xlfn.XLOOKUP(LEFT(Lose[[#This Row],[LosID]],FIND("-",Lose[[#This Row],[LosID]])-1),Ziehungsanzahl[Kürzel],Ziehungsanzahl[Kontingent],FALSE,0)),9999)</f>
        <v>0</v>
      </c>
    </row>
    <row r="378" spans="1:23" ht="60" hidden="1">
      <c r="A3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8" t="s">
        <v>23363</v>
      </c>
      <c r="C378" t="s">
        <v>24584</v>
      </c>
      <c r="D378" s="1" t="s">
        <v>24585</v>
      </c>
      <c r="E378" t="s">
        <v>24586</v>
      </c>
      <c r="F378" t="s">
        <v>24587</v>
      </c>
      <c r="G378">
        <v>14</v>
      </c>
      <c r="H378">
        <v>1</v>
      </c>
      <c r="I378">
        <v>1</v>
      </c>
      <c r="J378">
        <v>20</v>
      </c>
      <c r="K378" t="str" cm="1">
        <f t="array" ref="K3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Oberlahnstein</v>
      </c>
      <c r="L378" t="str">
        <f>IFERROR(LEFT(TRIM(Lose[[#This Row],[Google Koordinaten]]),9),"")</f>
        <v>50.308170</v>
      </c>
      <c r="M378" t="str">
        <f>IFERROR(MID(TRIM(Lose[[#This Row],[Google Koordinaten]]),
FIND(",",TRIM(Lose[[#This Row],[Google Koordinaten]])) + 2,9),"")</f>
        <v>7.6019998</v>
      </c>
      <c r="N378">
        <f>IF(Lose[[#This Row],[Bahn-hofs-zeit]]=0,0,MROUND(30*25^((Lose[[#This Row],[Bahn-hofs-zeit]]-_xlfn.MINIFS(Lose[Bahn-hofs-zeit],Lose[Bahn-hofs-zeit],"&gt;0"))/(MAX(Lose[Bahn-hofs-zeit])-_xlfn.MINIFS(Lose[Bahn-hofs-zeit],Lose[Bahn-hofs-zeit],"&gt;0"))),5))</f>
        <v>95</v>
      </c>
      <c r="O378">
        <f>IF(Lose[[#This Row],[Gehzeit (min)]]="",0,CEILING(3*(Lose[[#This Row],[Gehzeit (min)]]+Lose[[#This Row],[Aufgaben-zeit (min)]]),5))</f>
        <v>45</v>
      </c>
      <c r="P378">
        <v>7.25</v>
      </c>
      <c r="Q378">
        <f>IFERROR(ROUND(Lose[[#This Row],[Distanz (km)]]*60/Lose[[#This Row],[Gehzeit (min)]],1),"")</f>
        <v>4.3</v>
      </c>
      <c r="R3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378">
        <f>IFERROR(Lose[[#This Row],[Distanz (km)]]-Lose[[#This Row],[Check Distanz]],"")</f>
        <v>6.9999999999999951E-2</v>
      </c>
      <c r="T378" s="60">
        <f>IFERROR(Lose[[#This Row],[Check Umweg]]/Lose[[#This Row],[Check Distanz]],"")</f>
        <v>7.5268817204301022E-2</v>
      </c>
      <c r="U378">
        <f ca="1">IF(RIGHT(Lose[[#This Row],[LosID]],1)="b",_xlfn.XLOOKUP(REPLACE(Lose[[#This Row],[LosID]],LEN(Lose[[#This Row],[LosID]]),1,"a"),Lose[LosID],Lose[Zufallszahl],"",0),RAND())</f>
        <v>0.45187680689317644</v>
      </c>
      <c r="V378" t="b" cm="1">
        <f t="array" aca="1" ref="V378" ca="1">Lose[[#This Row],[Zufallszahl]]&gt;=IFERROR(LARGE((LEFT(Lose[LosID],FIND("-",Lose[LosID])-1)=LEFT(Lose[[#This Row],[LosID]],FIND("-",Lose[[#This Row],[LosID]])-1))*Lose[Zufallszahl],_xlfn.XLOOKUP(LEFT(Lose[[#This Row],[LosID]],FIND("-",Lose[[#This Row],[LosID]])-1),Ziehungsanzahl[Kürzel],Ziehungsanzahl[Kontingent],FALSE,0)),9999)</f>
        <v>0</v>
      </c>
    </row>
    <row r="379" spans="1:23" hidden="1">
      <c r="A3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9" t="s">
        <v>23352</v>
      </c>
      <c r="C379" t="s">
        <v>24588</v>
      </c>
      <c r="D379" s="1" t="s">
        <v>24589</v>
      </c>
      <c r="H379">
        <v>1</v>
      </c>
      <c r="K379" t="s">
        <v>18177</v>
      </c>
      <c r="L379" t="str">
        <f>IFERROR(LEFT(TRIM(Lose[[#This Row],[Google Koordinaten]]),9),"")</f>
        <v/>
      </c>
      <c r="M379" t="str">
        <f>IFERROR(MID(TRIM(Lose[[#This Row],[Google Koordinaten]]),
FIND(",",TRIM(Lose[[#This Row],[Google Koordinaten]])) + 2,9),"")</f>
        <v/>
      </c>
      <c r="N379">
        <f>IF(Lose[[#This Row],[Bahn-hofs-zeit]]=0,0,MROUND(30*25^((Lose[[#This Row],[Bahn-hofs-zeit]]-_xlfn.MINIFS(Lose[Bahn-hofs-zeit],Lose[Bahn-hofs-zeit],"&gt;0"))/(MAX(Lose[Bahn-hofs-zeit])-_xlfn.MINIFS(Lose[Bahn-hofs-zeit],Lose[Bahn-hofs-zeit],"&gt;0"))),5))</f>
        <v>220</v>
      </c>
      <c r="O379">
        <f>IF(Lose[[#This Row],[Gehzeit (min)]]="",0,CEILING(3*(Lose[[#This Row],[Gehzeit (min)]]+Lose[[#This Row],[Aufgaben-zeit (min)]]),5))</f>
        <v>0</v>
      </c>
      <c r="P379">
        <v>10.25</v>
      </c>
      <c r="Q379" t="str">
        <f>IFERROR(ROUND(Lose[[#This Row],[Distanz (km)]]*60/Lose[[#This Row],[Gehzeit (min)]],1),"")</f>
        <v/>
      </c>
      <c r="R37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9" t="str">
        <f>IFERROR(Lose[[#This Row],[Distanz (km)]]-Lose[[#This Row],[Check Distanz]],"")</f>
        <v/>
      </c>
      <c r="T379" s="60" t="str">
        <f>IFERROR(Lose[[#This Row],[Check Umweg]]/Lose[[#This Row],[Check Distanz]],"")</f>
        <v/>
      </c>
      <c r="U379">
        <f ca="1">IF(RIGHT(Lose[[#This Row],[LosID]],1)="b",_xlfn.XLOOKUP(REPLACE(Lose[[#This Row],[LosID]],LEN(Lose[[#This Row],[LosID]]),1,"a"),Lose[LosID],Lose[Zufallszahl],"",0),RAND())</f>
        <v>0.37644809536930324</v>
      </c>
      <c r="V379" t="b" cm="1">
        <f t="array" aca="1" ref="V379" ca="1">Lose[[#This Row],[Zufallszahl]]&gt;=IFERROR(LARGE((LEFT(Lose[LosID],FIND("-",Lose[LosID])-1)=LEFT(Lose[[#This Row],[LosID]],FIND("-",Lose[[#This Row],[LosID]])-1))*Lose[Zufallszahl],_xlfn.XLOOKUP(LEFT(Lose[[#This Row],[LosID]],FIND("-",Lose[[#This Row],[LosID]])-1),Ziehungsanzahl[Kürzel],Ziehungsanzahl[Kontingent],FALSE,0)),9999)</f>
        <v>0</v>
      </c>
    </row>
    <row r="380" spans="1:23" hidden="1">
      <c r="A3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0" t="s">
        <v>23352</v>
      </c>
      <c r="C380" t="s">
        <v>24590</v>
      </c>
      <c r="D380" s="1" t="s">
        <v>24591</v>
      </c>
      <c r="H380">
        <v>1</v>
      </c>
      <c r="K380" t="s">
        <v>14037</v>
      </c>
      <c r="L380" t="str">
        <f>IFERROR(LEFT(TRIM(Lose[[#This Row],[Google Koordinaten]]),9),"")</f>
        <v/>
      </c>
      <c r="M380" t="str">
        <f>IFERROR(MID(TRIM(Lose[[#This Row],[Google Koordinaten]]),
FIND(",",TRIM(Lose[[#This Row],[Google Koordinaten]])) + 2,9),"")</f>
        <v/>
      </c>
      <c r="N380">
        <f>IF(Lose[[#This Row],[Bahn-hofs-zeit]]=0,0,MROUND(30*25^((Lose[[#This Row],[Bahn-hofs-zeit]]-_xlfn.MINIFS(Lose[Bahn-hofs-zeit],Lose[Bahn-hofs-zeit],"&gt;0"))/(MAX(Lose[Bahn-hofs-zeit])-_xlfn.MINIFS(Lose[Bahn-hofs-zeit],Lose[Bahn-hofs-zeit],"&gt;0"))),5))</f>
        <v>40</v>
      </c>
      <c r="O380">
        <f>IF(Lose[[#This Row],[Gehzeit (min)]]="",0,CEILING(3*(Lose[[#This Row],[Gehzeit (min)]]+Lose[[#This Row],[Aufgaben-zeit (min)]]),5))</f>
        <v>0</v>
      </c>
      <c r="P380">
        <v>4.25</v>
      </c>
      <c r="Q380" t="str">
        <f>IFERROR(ROUND(Lose[[#This Row],[Distanz (km)]]*60/Lose[[#This Row],[Gehzeit (min)]],1),"")</f>
        <v/>
      </c>
      <c r="R38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80" t="str">
        <f>IFERROR(Lose[[#This Row],[Distanz (km)]]-Lose[[#This Row],[Check Distanz]],"")</f>
        <v/>
      </c>
      <c r="T380" s="60" t="str">
        <f>IFERROR(Lose[[#This Row],[Check Umweg]]/Lose[[#This Row],[Check Distanz]],"")</f>
        <v/>
      </c>
      <c r="U380">
        <f ca="1">IF(RIGHT(Lose[[#This Row],[LosID]],1)="b",_xlfn.XLOOKUP(REPLACE(Lose[[#This Row],[LosID]],LEN(Lose[[#This Row],[LosID]]),1,"a"),Lose[LosID],Lose[Zufallszahl],"",0),RAND())</f>
        <v>0.37644809536930324</v>
      </c>
      <c r="V380" t="b" cm="1">
        <f t="array" aca="1" ref="V380" ca="1">Lose[[#This Row],[Zufallszahl]]&gt;=IFERROR(LARGE((LEFT(Lose[LosID],FIND("-",Lose[LosID])-1)=LEFT(Lose[[#This Row],[LosID]],FIND("-",Lose[[#This Row],[LosID]])-1))*Lose[Zufallszahl],_xlfn.XLOOKUP(LEFT(Lose[[#This Row],[LosID]],FIND("-",Lose[[#This Row],[LosID]])-1),Ziehungsanzahl[Kürzel],Ziehungsanzahl[Kontingent],FALSE,0)),9999)</f>
        <v>0</v>
      </c>
    </row>
    <row r="381" spans="1:23" ht="45" hidden="1">
      <c r="A3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1" t="s">
        <v>23380</v>
      </c>
      <c r="C381" t="s">
        <v>24592</v>
      </c>
      <c r="D381" s="1" t="s">
        <v>24593</v>
      </c>
      <c r="E381" t="s">
        <v>24594</v>
      </c>
      <c r="F381" t="s">
        <v>24595</v>
      </c>
      <c r="G381">
        <v>1</v>
      </c>
      <c r="H381">
        <v>2</v>
      </c>
      <c r="I381">
        <v>0.05</v>
      </c>
      <c r="K381" t="s">
        <v>5879</v>
      </c>
      <c r="L381" t="str">
        <f>IFERROR(LEFT(TRIM(Lose[[#This Row],[Google Koordinaten]]),9),"")</f>
        <v>51.517781</v>
      </c>
      <c r="M381" t="str">
        <f>IFERROR(MID(TRIM(Lose[[#This Row],[Google Koordinaten]]),
FIND(",",TRIM(Lose[[#This Row],[Google Koordinaten]])) + 2,9),"")</f>
        <v>7.4596604</v>
      </c>
      <c r="N381">
        <f>IF(Lose[[#This Row],[Bahn-hofs-zeit]]=0,0,MROUND(30*25^((Lose[[#This Row],[Bahn-hofs-zeit]]-_xlfn.MINIFS(Lose[Bahn-hofs-zeit],Lose[Bahn-hofs-zeit],"&gt;0"))/(MAX(Lose[Bahn-hofs-zeit])-_xlfn.MINIFS(Lose[Bahn-hofs-zeit],Lose[Bahn-hofs-zeit],"&gt;0"))),5))</f>
        <v>30</v>
      </c>
      <c r="O381">
        <f>IF(Lose[[#This Row],[Gehzeit (min)]]="",0,CEILING(3*(Lose[[#This Row],[Gehzeit (min)]]+Lose[[#This Row],[Aufgaben-zeit (min)]]),5))</f>
        <v>10</v>
      </c>
      <c r="P381">
        <v>3.5</v>
      </c>
      <c r="Q381">
        <f>IFERROR(ROUND(Lose[[#This Row],[Distanz (km)]]*60/Lose[[#This Row],[Gehzeit (min)]],1),"")</f>
        <v>3</v>
      </c>
      <c r="R3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381">
        <f>IFERROR(Lose[[#This Row],[Distanz (km)]]-Lose[[#This Row],[Check Distanz]],"")</f>
        <v>2.0000000000000004E-2</v>
      </c>
      <c r="T381" s="60">
        <f>IFERROR(Lose[[#This Row],[Check Umweg]]/Lose[[#This Row],[Check Distanz]],"")</f>
        <v>0.66666666666666685</v>
      </c>
      <c r="U381">
        <f ca="1">IF(RIGHT(Lose[[#This Row],[LosID]],1)="b",_xlfn.XLOOKUP(REPLACE(Lose[[#This Row],[LosID]],LEN(Lose[[#This Row],[LosID]]),1,"a"),Lose[LosID],Lose[Zufallszahl],"",0),RAND())</f>
        <v>0.27192783463964099</v>
      </c>
      <c r="V381" t="b" cm="1">
        <f t="array" aca="1" ref="V381" ca="1">Lose[[#This Row],[Zufallszahl]]&gt;=IFERROR(LARGE((LEFT(Lose[LosID],FIND("-",Lose[LosID])-1)=LEFT(Lose[[#This Row],[LosID]],FIND("-",Lose[[#This Row],[LosID]])-1))*Lose[Zufallszahl],_xlfn.XLOOKUP(LEFT(Lose[[#This Row],[LosID]],FIND("-",Lose[[#This Row],[LosID]])-1),Ziehungsanzahl[Kürzel],Ziehungsanzahl[Kontingent],FALSE,0)),9999)</f>
        <v>0</v>
      </c>
    </row>
    <row r="382" spans="1:23" ht="45" hidden="1">
      <c r="A3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2" t="s">
        <v>23380</v>
      </c>
      <c r="C382" t="s">
        <v>24596</v>
      </c>
      <c r="D382" s="1" t="s">
        <v>24597</v>
      </c>
      <c r="E382" t="s">
        <v>24598</v>
      </c>
      <c r="F382" t="s">
        <v>24599</v>
      </c>
      <c r="G382">
        <v>2</v>
      </c>
      <c r="H382">
        <v>2</v>
      </c>
      <c r="I382">
        <v>0.1</v>
      </c>
      <c r="K382" t="s">
        <v>125</v>
      </c>
      <c r="L382" t="str">
        <f>IFERROR(LEFT(TRIM(Lose[[#This Row],[Google Koordinaten]]),9),"")</f>
        <v>50.715001</v>
      </c>
      <c r="M382" t="str">
        <f>IFERROR(MID(TRIM(Lose[[#This Row],[Google Koordinaten]]),
FIND(",",TRIM(Lose[[#This Row],[Google Koordinaten]])) + 2,9),"")</f>
        <v>12.475824</v>
      </c>
      <c r="N382" s="91">
        <f>IF(Lose[[#This Row],[Bahn-hofs-zeit]]=0,0,MROUND(30*25^((Lose[[#This Row],[Bahn-hofs-zeit]]-_xlfn.MINIFS(Lose[Bahn-hofs-zeit],Lose[Bahn-hofs-zeit],"&gt;0"))/(MAX(Lose[Bahn-hofs-zeit])-_xlfn.MINIFS(Lose[Bahn-hofs-zeit],Lose[Bahn-hofs-zeit],"&gt;0"))),5))</f>
        <v>0</v>
      </c>
      <c r="O382">
        <f>IF(Lose[[#This Row],[Gehzeit (min)]]="",0,CEILING(3*(Lose[[#This Row],[Gehzeit (min)]]+Lose[[#This Row],[Aufgaben-zeit (min)]]),5))</f>
        <v>15</v>
      </c>
      <c r="Q382">
        <f>IFERROR(ROUND(Lose[[#This Row],[Distanz (km)]]*60/Lose[[#This Row],[Gehzeit (min)]],1),"")</f>
        <v>3</v>
      </c>
      <c r="R3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382">
        <f>IFERROR(Lose[[#This Row],[Distanz (km)]]-Lose[[#This Row],[Check Distanz]],"")</f>
        <v>1.0000000000000009E-2</v>
      </c>
      <c r="T382" s="60">
        <f>IFERROR(Lose[[#This Row],[Check Umweg]]/Lose[[#This Row],[Check Distanz]],"")</f>
        <v>0.11111111111111122</v>
      </c>
      <c r="U382">
        <f ca="1">IF(RIGHT(Lose[[#This Row],[LosID]],1)="b",_xlfn.XLOOKUP(REPLACE(Lose[[#This Row],[LosID]],LEN(Lose[[#This Row],[LosID]]),1,"a"),Lose[LosID],Lose[Zufallszahl],"",0),RAND())</f>
        <v>0.27192783463964099</v>
      </c>
      <c r="V382" t="b" cm="1">
        <f t="array" aca="1" ref="V382" ca="1">Lose[[#This Row],[Zufallszahl]]&gt;=IFERROR(LARGE((LEFT(Lose[LosID],FIND("-",Lose[LosID])-1)=LEFT(Lose[[#This Row],[LosID]],FIND("-",Lose[[#This Row],[LosID]])-1))*Lose[Zufallszahl],_xlfn.XLOOKUP(LEFT(Lose[[#This Row],[LosID]],FIND("-",Lose[[#This Row],[LosID]])-1),Ziehungsanzahl[Kürzel],Ziehungsanzahl[Kontingent],FALSE,0)),9999)</f>
        <v>0</v>
      </c>
      <c r="W382" t="s">
        <v>23398</v>
      </c>
    </row>
    <row r="383" spans="1:23">
      <c r="A3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3" t="s">
        <v>23385</v>
      </c>
      <c r="C383" t="s">
        <v>24600</v>
      </c>
      <c r="D383" s="1" t="s">
        <v>25362</v>
      </c>
      <c r="E383" t="s">
        <v>25367</v>
      </c>
      <c r="F383" t="s">
        <v>25366</v>
      </c>
      <c r="K383" t="str" cm="1">
        <f t="array" ref="K3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Schmalkalden</v>
      </c>
      <c r="L383" t="str">
        <f>IFERROR(LEFT(TRIM(Lose[[#This Row],[Google Koordinaten]]),9),"")</f>
        <v>50.720366</v>
      </c>
      <c r="M383" t="str">
        <f>IFERROR(MID(TRIM(Lose[[#This Row],[Google Koordinaten]]),
FIND(",",TRIM(Lose[[#This Row],[Google Koordinaten]])) + 2,9),"")</f>
        <v>10.441338</v>
      </c>
      <c r="N383">
        <f>IF(Lose[[#This Row],[Bahn-hofs-zeit]]=0,0,MROUND(30*25^((Lose[[#This Row],[Bahn-hofs-zeit]]-_xlfn.MINIFS(Lose[Bahn-hofs-zeit],Lose[Bahn-hofs-zeit],"&gt;0"))/(MAX(Lose[Bahn-hofs-zeit])-_xlfn.MINIFS(Lose[Bahn-hofs-zeit],Lose[Bahn-hofs-zeit],"&gt;0"))),5))</f>
        <v>0</v>
      </c>
      <c r="O383">
        <f>IF(Lose[[#This Row],[Gehzeit (min)]]="",0,CEILING(3*(Lose[[#This Row],[Gehzeit (min)]]+Lose[[#This Row],[Aufgaben-zeit (min)]]),5))</f>
        <v>0</v>
      </c>
      <c r="Q383" t="str">
        <f>IFERROR(ROUND(Lose[[#This Row],[Distanz (km)]]*60/Lose[[#This Row],[Gehzeit (min)]],1),"")</f>
        <v/>
      </c>
      <c r="R3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383">
        <f>IFERROR(Lose[[#This Row],[Distanz (km)]]-Lose[[#This Row],[Check Distanz]],"")</f>
        <v>-0.06</v>
      </c>
      <c r="T383" s="60">
        <f>IFERROR(Lose[[#This Row],[Check Umweg]]/Lose[[#This Row],[Check Distanz]],"")</f>
        <v>-1</v>
      </c>
      <c r="U383">
        <f ca="1">IF(RIGHT(Lose[[#This Row],[LosID]],1)="b",_xlfn.XLOOKUP(REPLACE(Lose[[#This Row],[LosID]],LEN(Lose[[#This Row],[LosID]]),1,"a"),Lose[LosID],Lose[Zufallszahl],"",0),RAND())</f>
        <v>0.26889776962455181</v>
      </c>
      <c r="V383" t="b" cm="1">
        <f t="array" aca="1" ref="V383" ca="1">Lose[[#This Row],[Zufallszahl]]&gt;=IFERROR(LARGE((LEFT(Lose[LosID],FIND("-",Lose[LosID])-1)=LEFT(Lose[[#This Row],[LosID]],FIND("-",Lose[[#This Row],[LosID]])-1))*Lose[Zufallszahl],_xlfn.XLOOKUP(LEFT(Lose[[#This Row],[LosID]],FIND("-",Lose[[#This Row],[LosID]])-1),Ziehungsanzahl[Kürzel],Ziehungsanzahl[Kontingent],FALSE,0)),9999)</f>
        <v>0</v>
      </c>
    </row>
    <row r="384" spans="1:23">
      <c r="A3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4" t="s">
        <v>23385</v>
      </c>
      <c r="C384" t="s">
        <v>24601</v>
      </c>
      <c r="D384" s="1" t="s">
        <v>25363</v>
      </c>
      <c r="E384" t="s">
        <v>25365</v>
      </c>
      <c r="F384" t="s">
        <v>25364</v>
      </c>
      <c r="K384" t="str" cm="1">
        <f t="array" ref="K3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Recklinghausen Hbf</v>
      </c>
      <c r="L384" t="str">
        <f>IFERROR(LEFT(TRIM(Lose[[#This Row],[Google Koordinaten]]),9),"")</f>
        <v>51.616183</v>
      </c>
      <c r="M384" t="str">
        <f>IFERROR(MID(TRIM(Lose[[#This Row],[Google Koordinaten]]),
FIND(",",TRIM(Lose[[#This Row],[Google Koordinaten]])) + 2,9),"")</f>
        <v>7.2020268</v>
      </c>
      <c r="N384">
        <f>IF(Lose[[#This Row],[Bahn-hofs-zeit]]=0,0,MROUND(30*25^((Lose[[#This Row],[Bahn-hofs-zeit]]-_xlfn.MINIFS(Lose[Bahn-hofs-zeit],Lose[Bahn-hofs-zeit],"&gt;0"))/(MAX(Lose[Bahn-hofs-zeit])-_xlfn.MINIFS(Lose[Bahn-hofs-zeit],Lose[Bahn-hofs-zeit],"&gt;0"))),5))</f>
        <v>0</v>
      </c>
      <c r="O384">
        <f>IF(Lose[[#This Row],[Gehzeit (min)]]="",0,CEILING(3*(Lose[[#This Row],[Gehzeit (min)]]+Lose[[#This Row],[Aufgaben-zeit (min)]]),5))</f>
        <v>0</v>
      </c>
      <c r="Q384" t="str">
        <f>IFERROR(ROUND(Lose[[#This Row],[Distanz (km)]]*60/Lose[[#This Row],[Gehzeit (min)]],1),"")</f>
        <v/>
      </c>
      <c r="R3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v>
      </c>
      <c r="S384">
        <f>IFERROR(Lose[[#This Row],[Distanz (km)]]-Lose[[#This Row],[Check Distanz]],"")</f>
        <v>-0.1</v>
      </c>
      <c r="T384" s="60">
        <f>IFERROR(Lose[[#This Row],[Check Umweg]]/Lose[[#This Row],[Check Distanz]],"")</f>
        <v>-1</v>
      </c>
      <c r="U384">
        <f ca="1">IF(RIGHT(Lose[[#This Row],[LosID]],1)="b",_xlfn.XLOOKUP(REPLACE(Lose[[#This Row],[LosID]],LEN(Lose[[#This Row],[LosID]]),1,"a"),Lose[LosID],Lose[Zufallszahl],"",0),RAND())</f>
        <v>0.26889776962455181</v>
      </c>
      <c r="V384" t="b" cm="1">
        <f t="array" aca="1" ref="V384" ca="1">Lose[[#This Row],[Zufallszahl]]&gt;=IFERROR(LARGE((LEFT(Lose[LosID],FIND("-",Lose[LosID])-1)=LEFT(Lose[[#This Row],[LosID]],FIND("-",Lose[[#This Row],[LosID]])-1))*Lose[Zufallszahl],_xlfn.XLOOKUP(LEFT(Lose[[#This Row],[LosID]],FIND("-",Lose[[#This Row],[LosID]])-1),Ziehungsanzahl[Kürzel],Ziehungsanzahl[Kontingent],FALSE,0)),9999)</f>
        <v>0</v>
      </c>
    </row>
    <row r="385" spans="1:23" ht="45" hidden="1">
      <c r="A3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5" t="s">
        <v>23390</v>
      </c>
      <c r="C385" t="s">
        <v>1250</v>
      </c>
      <c r="D385" s="1" t="s">
        <v>24602</v>
      </c>
      <c r="K385" t="s">
        <v>18702</v>
      </c>
      <c r="L385" t="str">
        <f>IFERROR(LEFT(TRIM(Lose[[#This Row],[Google Koordinaten]]),9),"")</f>
        <v/>
      </c>
      <c r="M385" t="str">
        <f>IFERROR(MID(TRIM(Lose[[#This Row],[Google Koordinaten]]),
FIND(",",TRIM(Lose[[#This Row],[Google Koordinaten]])) + 2,9),"")</f>
        <v/>
      </c>
      <c r="N385">
        <f>IF(Lose[[#This Row],[Bahn-hofs-zeit]]=0,0,MROUND(30*25^((Lose[[#This Row],[Bahn-hofs-zeit]]-_xlfn.MINIFS(Lose[Bahn-hofs-zeit],Lose[Bahn-hofs-zeit],"&gt;0"))/(MAX(Lose[Bahn-hofs-zeit])-_xlfn.MINIFS(Lose[Bahn-hofs-zeit],Lose[Bahn-hofs-zeit],"&gt;0"))),5))</f>
        <v>165</v>
      </c>
      <c r="O385">
        <f>IF(Lose[[#This Row],[Gehzeit (min)]]="",0,CEILING(3*(Lose[[#This Row],[Gehzeit (min)]]+Lose[[#This Row],[Aufgaben-zeit (min)]]),5))</f>
        <v>0</v>
      </c>
      <c r="P385">
        <v>9.25</v>
      </c>
      <c r="Q385" t="str">
        <f>IFERROR(ROUND(Lose[[#This Row],[Distanz (km)]]*60/Lose[[#This Row],[Gehzeit (min)]],1),"")</f>
        <v/>
      </c>
      <c r="R38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85" t="str">
        <f>IFERROR(Lose[[#This Row],[Distanz (km)]]-Lose[[#This Row],[Check Distanz]],"")</f>
        <v/>
      </c>
      <c r="T385" s="60" t="str">
        <f>IFERROR(Lose[[#This Row],[Check Umweg]]/Lose[[#This Row],[Check Distanz]],"")</f>
        <v/>
      </c>
      <c r="U385">
        <f ca="1">IF(RIGHT(Lose[[#This Row],[LosID]],1)="b",_xlfn.XLOOKUP(REPLACE(Lose[[#This Row],[LosID]],LEN(Lose[[#This Row],[LosID]]),1,"a"),Lose[LosID],Lose[Zufallszahl],"",0),RAND())</f>
        <v>0.80628546037795867</v>
      </c>
      <c r="V385" t="b" cm="1">
        <f t="array" aca="1" ref="V385" ca="1">Lose[[#This Row],[Zufallszahl]]&gt;=IFERROR(LARGE((LEFT(Lose[LosID],FIND("-",Lose[LosID])-1)=LEFT(Lose[[#This Row],[LosID]],FIND("-",Lose[[#This Row],[LosID]])-1))*Lose[Zufallszahl],_xlfn.XLOOKUP(LEFT(Lose[[#This Row],[LosID]],FIND("-",Lose[[#This Row],[LosID]])-1),Ziehungsanzahl[Kürzel],Ziehungsanzahl[Kontingent],FALSE,0)),9999)</f>
        <v>0</v>
      </c>
    </row>
    <row r="386" spans="1:23" ht="45" hidden="1">
      <c r="A3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6" t="s">
        <v>23390</v>
      </c>
      <c r="C386" t="s">
        <v>1251</v>
      </c>
      <c r="D386" s="1" t="s">
        <v>24603</v>
      </c>
      <c r="K386" t="s">
        <v>6658</v>
      </c>
      <c r="L386" t="str">
        <f>IFERROR(LEFT(TRIM(Lose[[#This Row],[Google Koordinaten]]),9),"")</f>
        <v/>
      </c>
      <c r="M386" t="str">
        <f>IFERROR(MID(TRIM(Lose[[#This Row],[Google Koordinaten]]),
FIND(",",TRIM(Lose[[#This Row],[Google Koordinaten]])) + 2,9),"")</f>
        <v/>
      </c>
      <c r="N386" s="91">
        <f>IF(Lose[[#This Row],[Bahn-hofs-zeit]]=0,0,MROUND(30*25^((Lose[[#This Row],[Bahn-hofs-zeit]]-_xlfn.MINIFS(Lose[Bahn-hofs-zeit],Lose[Bahn-hofs-zeit],"&gt;0"))/(MAX(Lose[Bahn-hofs-zeit])-_xlfn.MINIFS(Lose[Bahn-hofs-zeit],Lose[Bahn-hofs-zeit],"&gt;0"))),5))</f>
        <v>0</v>
      </c>
      <c r="O386">
        <f>IF(Lose[[#This Row],[Gehzeit (min)]]="",0,CEILING(3*(Lose[[#This Row],[Gehzeit (min)]]+Lose[[#This Row],[Aufgaben-zeit (min)]]),5))</f>
        <v>0</v>
      </c>
      <c r="Q386" t="str">
        <f>IFERROR(ROUND(Lose[[#This Row],[Distanz (km)]]*60/Lose[[#This Row],[Gehzeit (min)]],1),"")</f>
        <v/>
      </c>
      <c r="R38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86" t="str">
        <f>IFERROR(Lose[[#This Row],[Distanz (km)]]-Lose[[#This Row],[Check Distanz]],"")</f>
        <v/>
      </c>
      <c r="T386" s="60" t="str">
        <f>IFERROR(Lose[[#This Row],[Check Umweg]]/Lose[[#This Row],[Check Distanz]],"")</f>
        <v/>
      </c>
      <c r="U386">
        <f ca="1">IF(RIGHT(Lose[[#This Row],[LosID]],1)="b",_xlfn.XLOOKUP(REPLACE(Lose[[#This Row],[LosID]],LEN(Lose[[#This Row],[LosID]]),1,"a"),Lose[LosID],Lose[Zufallszahl],"",0),RAND())</f>
        <v>0.80628546037795867</v>
      </c>
      <c r="V386" t="b" cm="1">
        <f t="array" aca="1" ref="V386" ca="1">Lose[[#This Row],[Zufallszahl]]&gt;=IFERROR(LARGE((LEFT(Lose[LosID],FIND("-",Lose[LosID])-1)=LEFT(Lose[[#This Row],[LosID]],FIND("-",Lose[[#This Row],[LosID]])-1))*Lose[Zufallszahl],_xlfn.XLOOKUP(LEFT(Lose[[#This Row],[LosID]],FIND("-",Lose[[#This Row],[LosID]])-1),Ziehungsanzahl[Kürzel],Ziehungsanzahl[Kontingent],FALSE,0)),9999)</f>
        <v>0</v>
      </c>
      <c r="W386" t="s">
        <v>23398</v>
      </c>
    </row>
    <row r="387" spans="1:23" ht="30" hidden="1">
      <c r="A3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7" t="s">
        <v>23394</v>
      </c>
      <c r="C387" t="s">
        <v>24604</v>
      </c>
      <c r="D387" s="1" t="s">
        <v>24605</v>
      </c>
      <c r="E387" t="s">
        <v>24606</v>
      </c>
      <c r="F387" t="s">
        <v>24607</v>
      </c>
      <c r="G387">
        <v>16</v>
      </c>
      <c r="H387">
        <v>10</v>
      </c>
      <c r="I387">
        <v>1.2</v>
      </c>
      <c r="J387">
        <v>5</v>
      </c>
      <c r="K387" s="95" t="str" cm="1">
        <f t="array" ref="K3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Leverkusen Chempark</v>
      </c>
      <c r="L387" t="str">
        <f>IFERROR(LEFT(TRIM(Lose[[#This Row],[Google Koordinaten]]),9),"")</f>
        <v>51.011507</v>
      </c>
      <c r="M387" t="str">
        <f>IFERROR(MID(TRIM(Lose[[#This Row],[Google Koordinaten]]),
FIND(",",TRIM(Lose[[#This Row],[Google Koordinaten]])) + 2,9),"")</f>
        <v>6.9817071</v>
      </c>
      <c r="N387">
        <f>IF(Lose[[#This Row],[Bahn-hofs-zeit]]=0,0,MROUND(30*25^((Lose[[#This Row],[Bahn-hofs-zeit]]-_xlfn.MINIFS(Lose[Bahn-hofs-zeit],Lose[Bahn-hofs-zeit],"&gt;0"))/(MAX(Lose[Bahn-hofs-zeit])-_xlfn.MINIFS(Lose[Bahn-hofs-zeit],Lose[Bahn-hofs-zeit],"&gt;0"))),5))</f>
        <v>50</v>
      </c>
      <c r="O387">
        <f>IF(Lose[[#This Row],[Gehzeit (min)]]="",0,CEILING(3*(Lose[[#This Row],[Gehzeit (min)]]+Lose[[#This Row],[Aufgaben-zeit (min)]]),5))</f>
        <v>80</v>
      </c>
      <c r="P387">
        <v>5</v>
      </c>
      <c r="Q387">
        <f>IFERROR(ROUND(Lose[[#This Row],[Distanz (km)]]*60/Lose[[#This Row],[Gehzeit (min)]],1),"")</f>
        <v>4.5</v>
      </c>
      <c r="R3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1.05</v>
      </c>
      <c r="S387">
        <f>IFERROR(Lose[[#This Row],[Distanz (km)]]-Lose[[#This Row],[Check Distanz]],"")</f>
        <v>0.14999999999999991</v>
      </c>
      <c r="T387" s="60">
        <f>IFERROR(Lose[[#This Row],[Check Umweg]]/Lose[[#This Row],[Check Distanz]],"")</f>
        <v>0.14285714285714277</v>
      </c>
      <c r="U387">
        <f ca="1">IF(RIGHT(Lose[[#This Row],[LosID]],1)="b",_xlfn.XLOOKUP(REPLACE(Lose[[#This Row],[LosID]],LEN(Lose[[#This Row],[LosID]]),1,"a"),Lose[LosID],Lose[Zufallszahl],"",0),RAND())</f>
        <v>0.91749049463036014</v>
      </c>
      <c r="V387" t="b" cm="1">
        <f t="array" aca="1" ref="V387" ca="1">Lose[[#This Row],[Zufallszahl]]&gt;=IFERROR(LARGE((LEFT(Lose[LosID],FIND("-",Lose[LosID])-1)=LEFT(Lose[[#This Row],[LosID]],FIND("-",Lose[[#This Row],[LosID]])-1))*Lose[Zufallszahl],_xlfn.XLOOKUP(LEFT(Lose[[#This Row],[LosID]],FIND("-",Lose[[#This Row],[LosID]])-1),Ziehungsanzahl[Kürzel],Ziehungsanzahl[Kontingent],FALSE,0)),9999)</f>
        <v>0</v>
      </c>
    </row>
    <row r="388" spans="1:23" ht="45" hidden="1">
      <c r="A3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8" t="s">
        <v>23394</v>
      </c>
      <c r="C388" t="s">
        <v>24608</v>
      </c>
      <c r="D388" s="1" t="s">
        <v>24609</v>
      </c>
      <c r="E388" t="s">
        <v>24610</v>
      </c>
      <c r="F388" t="s">
        <v>24611</v>
      </c>
      <c r="G388">
        <v>16</v>
      </c>
      <c r="H388">
        <v>10</v>
      </c>
      <c r="I388">
        <v>1.2</v>
      </c>
      <c r="J388">
        <v>5</v>
      </c>
      <c r="K388" s="95" t="str" cm="1">
        <f t="array" ref="K3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Schwedt(Oder)Mitte</v>
      </c>
      <c r="L388" t="str">
        <f>IFERROR(LEFT(TRIM(Lose[[#This Row],[Google Koordinaten]]),9),"")</f>
        <v>53.068486</v>
      </c>
      <c r="M388" t="str">
        <f>IFERROR(MID(TRIM(Lose[[#This Row],[Google Koordinaten]]),
FIND(",",TRIM(Lose[[#This Row],[Google Koordinaten]])) + 2,9),"")</f>
        <v>14.257926</v>
      </c>
      <c r="N388">
        <f>IF(Lose[[#This Row],[Bahn-hofs-zeit]]=0,0,MROUND(30*25^((Lose[[#This Row],[Bahn-hofs-zeit]]-_xlfn.MINIFS(Lose[Bahn-hofs-zeit],Lose[Bahn-hofs-zeit],"&gt;0"))/(MAX(Lose[Bahn-hofs-zeit])-_xlfn.MINIFS(Lose[Bahn-hofs-zeit],Lose[Bahn-hofs-zeit],"&gt;0"))),5))</f>
        <v>295</v>
      </c>
      <c r="O388">
        <f>IF(Lose[[#This Row],[Gehzeit (min)]]="",0,CEILING(3*(Lose[[#This Row],[Gehzeit (min)]]+Lose[[#This Row],[Aufgaben-zeit (min)]]),5))</f>
        <v>80</v>
      </c>
      <c r="P388">
        <v>11.25</v>
      </c>
      <c r="Q388">
        <f>IFERROR(ROUND(Lose[[#This Row],[Distanz (km)]]*60/Lose[[#This Row],[Gehzeit (min)]],1),"")</f>
        <v>4.5</v>
      </c>
      <c r="R3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0.91</v>
      </c>
      <c r="S388">
        <f>IFERROR(Lose[[#This Row],[Distanz (km)]]-Lose[[#This Row],[Check Distanz]],"")</f>
        <v>0.28999999999999992</v>
      </c>
      <c r="T388" s="60">
        <f>IFERROR(Lose[[#This Row],[Check Umweg]]/Lose[[#This Row],[Check Distanz]],"")</f>
        <v>0.3186813186813186</v>
      </c>
      <c r="U388">
        <f ca="1">IF(RIGHT(Lose[[#This Row],[LosID]],1)="b",_xlfn.XLOOKUP(REPLACE(Lose[[#This Row],[LosID]],LEN(Lose[[#This Row],[LosID]]),1,"a"),Lose[LosID],Lose[Zufallszahl],"",0),RAND())</f>
        <v>0.91749049463036014</v>
      </c>
      <c r="V388" t="b" cm="1">
        <f t="array" aca="1" ref="V388" ca="1">Lose[[#This Row],[Zufallszahl]]&gt;=IFERROR(LARGE((LEFT(Lose[LosID],FIND("-",Lose[LosID])-1)=LEFT(Lose[[#This Row],[LosID]],FIND("-",Lose[[#This Row],[LosID]])-1))*Lose[Zufallszahl],_xlfn.XLOOKUP(LEFT(Lose[[#This Row],[LosID]],FIND("-",Lose[[#This Row],[LosID]])-1),Ziehungsanzahl[Kürzel],Ziehungsanzahl[Kontingent],FALSE,0)),9999)</f>
        <v>0</v>
      </c>
    </row>
    <row r="389" spans="1:23" hidden="1">
      <c r="A3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9" t="s">
        <v>23403</v>
      </c>
      <c r="C389" s="74" t="s">
        <v>24612</v>
      </c>
      <c r="D389" s="1" t="s">
        <v>24613</v>
      </c>
      <c r="K389" t="s">
        <v>14499</v>
      </c>
      <c r="L389" t="str">
        <f>IFERROR(LEFT(TRIM(Lose[[#This Row],[Google Koordinaten]]),9),"")</f>
        <v/>
      </c>
      <c r="M389" t="str">
        <f>IFERROR(MID(TRIM(Lose[[#This Row],[Google Koordinaten]]),
FIND(",",TRIM(Lose[[#This Row],[Google Koordinaten]])) + 2,9),"")</f>
        <v/>
      </c>
      <c r="N389">
        <f>IF(Lose[[#This Row],[Bahn-hofs-zeit]]=0,0,MROUND(30*25^((Lose[[#This Row],[Bahn-hofs-zeit]]-_xlfn.MINIFS(Lose[Bahn-hofs-zeit],Lose[Bahn-hofs-zeit],"&gt;0"))/(MAX(Lose[Bahn-hofs-zeit])-_xlfn.MINIFS(Lose[Bahn-hofs-zeit],Lose[Bahn-hofs-zeit],"&gt;0"))),5))</f>
        <v>155</v>
      </c>
      <c r="O389">
        <f>IF(Lose[[#This Row],[Gehzeit (min)]]="",0,CEILING(3*(Lose[[#This Row],[Gehzeit (min)]]+Lose[[#This Row],[Aufgaben-zeit (min)]]),5))</f>
        <v>0</v>
      </c>
      <c r="P389">
        <v>9</v>
      </c>
      <c r="Q389" t="str">
        <f>IFERROR(ROUND(Lose[[#This Row],[Distanz (km)]]*60/Lose[[#This Row],[Gehzeit (min)]],1),"")</f>
        <v/>
      </c>
      <c r="R38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89" t="str">
        <f>IFERROR(Lose[[#This Row],[Distanz (km)]]-Lose[[#This Row],[Check Distanz]],"")</f>
        <v/>
      </c>
      <c r="T389" s="60" t="str">
        <f>IFERROR(Lose[[#This Row],[Check Umweg]]/Lose[[#This Row],[Check Distanz]],"")</f>
        <v/>
      </c>
      <c r="U389">
        <f ca="1">IF(RIGHT(Lose[[#This Row],[LosID]],1)="b",_xlfn.XLOOKUP(REPLACE(Lose[[#This Row],[LosID]],LEN(Lose[[#This Row],[LosID]]),1,"a"),Lose[LosID],Lose[Zufallszahl],"",0),RAND())</f>
        <v>0.98765555801093752</v>
      </c>
      <c r="V389" t="b" cm="1">
        <f t="array" aca="1" ref="V389" ca="1">Lose[[#This Row],[Zufallszahl]]&gt;=IFERROR(LARGE((LEFT(Lose[LosID],FIND("-",Lose[LosID])-1)=LEFT(Lose[[#This Row],[LosID]],FIND("-",Lose[[#This Row],[LosID]])-1))*Lose[Zufallszahl],_xlfn.XLOOKUP(LEFT(Lose[[#This Row],[LosID]],FIND("-",Lose[[#This Row],[LosID]])-1),Ziehungsanzahl[Kürzel],Ziehungsanzahl[Kontingent],FALSE,0)),9999)</f>
        <v>0</v>
      </c>
    </row>
    <row r="390" spans="1:23" hidden="1">
      <c r="A3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0" t="s">
        <v>23403</v>
      </c>
      <c r="C390" s="74" t="s">
        <v>24614</v>
      </c>
      <c r="D390" s="1" t="s">
        <v>24615</v>
      </c>
      <c r="K390" t="s">
        <v>4417</v>
      </c>
      <c r="L390" t="str">
        <f>IFERROR(LEFT(TRIM(Lose[[#This Row],[Google Koordinaten]]),9),"")</f>
        <v/>
      </c>
      <c r="M390" t="str">
        <f>IFERROR(MID(TRIM(Lose[[#This Row],[Google Koordinaten]]),
FIND(",",TRIM(Lose[[#This Row],[Google Koordinaten]])) + 2,9),"")</f>
        <v/>
      </c>
      <c r="N390">
        <f>IF(Lose[[#This Row],[Bahn-hofs-zeit]]=0,0,MROUND(30*25^((Lose[[#This Row],[Bahn-hofs-zeit]]-_xlfn.MINIFS(Lose[Bahn-hofs-zeit],Lose[Bahn-hofs-zeit],"&gt;0"))/(MAX(Lose[Bahn-hofs-zeit])-_xlfn.MINIFS(Lose[Bahn-hofs-zeit],Lose[Bahn-hofs-zeit],"&gt;0"))),5))</f>
        <v>40</v>
      </c>
      <c r="O390">
        <f>IF(Lose[[#This Row],[Gehzeit (min)]]="",0,CEILING(3*(Lose[[#This Row],[Gehzeit (min)]]+Lose[[#This Row],[Aufgaben-zeit (min)]]),5))</f>
        <v>0</v>
      </c>
      <c r="P390">
        <v>4.25</v>
      </c>
      <c r="Q390" t="str">
        <f>IFERROR(ROUND(Lose[[#This Row],[Distanz (km)]]*60/Lose[[#This Row],[Gehzeit (min)]],1),"")</f>
        <v/>
      </c>
      <c r="R39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90" t="str">
        <f>IFERROR(Lose[[#This Row],[Distanz (km)]]-Lose[[#This Row],[Check Distanz]],"")</f>
        <v/>
      </c>
      <c r="T390" s="60" t="str">
        <f>IFERROR(Lose[[#This Row],[Check Umweg]]/Lose[[#This Row],[Check Distanz]],"")</f>
        <v/>
      </c>
      <c r="U390">
        <f ca="1">IF(RIGHT(Lose[[#This Row],[LosID]],1)="b",_xlfn.XLOOKUP(REPLACE(Lose[[#This Row],[LosID]],LEN(Lose[[#This Row],[LosID]]),1,"a"),Lose[LosID],Lose[Zufallszahl],"",0),RAND())</f>
        <v>0.98765555801093752</v>
      </c>
      <c r="V390" t="b" cm="1">
        <f t="array" aca="1" ref="V390" ca="1">Lose[[#This Row],[Zufallszahl]]&gt;=IFERROR(LARGE((LEFT(Lose[LosID],FIND("-",Lose[LosID])-1)=LEFT(Lose[[#This Row],[LosID]],FIND("-",Lose[[#This Row],[LosID]])-1))*Lose[Zufallszahl],_xlfn.XLOOKUP(LEFT(Lose[[#This Row],[LosID]],FIND("-",Lose[[#This Row],[LosID]])-1),Ziehungsanzahl[Kürzel],Ziehungsanzahl[Kontingent],FALSE,0)),9999)</f>
        <v>0</v>
      </c>
    </row>
    <row r="391" spans="1:23" ht="30" hidden="1">
      <c r="A3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1" t="s">
        <v>23408</v>
      </c>
      <c r="C391" t="s">
        <v>24616</v>
      </c>
      <c r="D391" s="1" t="s">
        <v>24617</v>
      </c>
      <c r="E391" t="s">
        <v>24618</v>
      </c>
      <c r="F391" t="s">
        <v>24619</v>
      </c>
      <c r="G391">
        <v>12</v>
      </c>
      <c r="H391">
        <v>1</v>
      </c>
      <c r="I391">
        <v>0.9</v>
      </c>
      <c r="K391" t="str" cm="1">
        <f t="array" ref="K3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Plauen(Vogtl) ob Bf</v>
      </c>
      <c r="L391" t="str">
        <f>IFERROR(LEFT(TRIM(Lose[[#This Row],[Google Koordinaten]]),9),"")</f>
        <v>50.499213</v>
      </c>
      <c r="M391" t="str">
        <f>IFERROR(MID(TRIM(Lose[[#This Row],[Google Koordinaten]]),
FIND(",",TRIM(Lose[[#This Row],[Google Koordinaten]])) + 2,9),"")</f>
        <v>12.127291</v>
      </c>
      <c r="N391" s="91">
        <f>IF(Lose[[#This Row],[Bahn-hofs-zeit]]=0,0,MROUND(30*25^((Lose[[#This Row],[Bahn-hofs-zeit]]-_xlfn.MINIFS(Lose[Bahn-hofs-zeit],Lose[Bahn-hofs-zeit],"&gt;0"))/(MAX(Lose[Bahn-hofs-zeit])-_xlfn.MINIFS(Lose[Bahn-hofs-zeit],Lose[Bahn-hofs-zeit],"&gt;0"))),5))</f>
        <v>0</v>
      </c>
      <c r="O391">
        <f>IF(Lose[[#This Row],[Gehzeit (min)]]="",0,CEILING(3*(Lose[[#This Row],[Gehzeit (min)]]+Lose[[#This Row],[Aufgaben-zeit (min)]]),5))</f>
        <v>40</v>
      </c>
      <c r="Q391">
        <f>IFERROR(ROUND(Lose[[#This Row],[Distanz (km)]]*60/Lose[[#This Row],[Gehzeit (min)]],1),"")</f>
        <v>4.5</v>
      </c>
      <c r="R3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391">
        <f>IFERROR(Lose[[#This Row],[Distanz (km)]]-Lose[[#This Row],[Check Distanz]],"")</f>
        <v>0.10999999999999999</v>
      </c>
      <c r="T391" s="60">
        <f>IFERROR(Lose[[#This Row],[Check Umweg]]/Lose[[#This Row],[Check Distanz]],"")</f>
        <v>0.13924050632911389</v>
      </c>
      <c r="U391">
        <f ca="1">IF(RIGHT(Lose[[#This Row],[LosID]],1)="b",_xlfn.XLOOKUP(REPLACE(Lose[[#This Row],[LosID]],LEN(Lose[[#This Row],[LosID]]),1,"a"),Lose[LosID],Lose[Zufallszahl],"",0),RAND())</f>
        <v>0.94785193088571529</v>
      </c>
      <c r="V391" t="b" cm="1">
        <f t="array" aca="1" ref="V391" ca="1">Lose[[#This Row],[Zufallszahl]]&gt;=IFERROR(LARGE((LEFT(Lose[LosID],FIND("-",Lose[LosID])-1)=LEFT(Lose[[#This Row],[LosID]],FIND("-",Lose[[#This Row],[LosID]])-1))*Lose[Zufallszahl],_xlfn.XLOOKUP(LEFT(Lose[[#This Row],[LosID]],FIND("-",Lose[[#This Row],[LosID]])-1),Ziehungsanzahl[Kürzel],Ziehungsanzahl[Kontingent],FALSE,0)),9999)</f>
        <v>0</v>
      </c>
      <c r="W391" t="s">
        <v>23398</v>
      </c>
    </row>
    <row r="392" spans="1:23" ht="30" hidden="1">
      <c r="A3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2" t="s">
        <v>23408</v>
      </c>
      <c r="C392" t="s">
        <v>24620</v>
      </c>
      <c r="D392" s="1" t="s">
        <v>24621</v>
      </c>
      <c r="E392" t="s">
        <v>24622</v>
      </c>
      <c r="F392" t="s">
        <v>24623</v>
      </c>
      <c r="G392">
        <v>13</v>
      </c>
      <c r="H392">
        <v>1</v>
      </c>
      <c r="I392">
        <v>1</v>
      </c>
      <c r="K392" t="str" cm="1">
        <f t="array" ref="K3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Hof Hbf</v>
      </c>
      <c r="L392" t="str">
        <f>IFERROR(LEFT(TRIM(Lose[[#This Row],[Google Koordinaten]]),9),"")</f>
        <v>50.316187</v>
      </c>
      <c r="M392" t="str">
        <f>IFERROR(MID(TRIM(Lose[[#This Row],[Google Koordinaten]]),
FIND(",",TRIM(Lose[[#This Row],[Google Koordinaten]])) + 2,9),"")</f>
        <v>11.919328</v>
      </c>
      <c r="N392">
        <f>IF(Lose[[#This Row],[Bahn-hofs-zeit]]=0,0,MROUND(30*25^((Lose[[#This Row],[Bahn-hofs-zeit]]-_xlfn.MINIFS(Lose[Bahn-hofs-zeit],Lose[Bahn-hofs-zeit],"&gt;0"))/(MAX(Lose[Bahn-hofs-zeit])-_xlfn.MINIFS(Lose[Bahn-hofs-zeit],Lose[Bahn-hofs-zeit],"&gt;0"))),5))</f>
        <v>295</v>
      </c>
      <c r="O392">
        <f>IF(Lose[[#This Row],[Gehzeit (min)]]="",0,CEILING(3*(Lose[[#This Row],[Gehzeit (min)]]+Lose[[#This Row],[Aufgaben-zeit (min)]]),5))</f>
        <v>45</v>
      </c>
      <c r="P392">
        <v>11.25</v>
      </c>
      <c r="Q392">
        <f>IFERROR(ROUND(Lose[[#This Row],[Distanz (km)]]*60/Lose[[#This Row],[Gehzeit (min)]],1),"")</f>
        <v>4.5999999999999996</v>
      </c>
      <c r="R3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0.98</v>
      </c>
      <c r="S392">
        <f>IFERROR(Lose[[#This Row],[Distanz (km)]]-Lose[[#This Row],[Check Distanz]],"")</f>
        <v>2.0000000000000018E-2</v>
      </c>
      <c r="T392" s="60">
        <f>IFERROR(Lose[[#This Row],[Check Umweg]]/Lose[[#This Row],[Check Distanz]],"")</f>
        <v>2.0408163265306142E-2</v>
      </c>
      <c r="U392">
        <f ca="1">IF(RIGHT(Lose[[#This Row],[LosID]],1)="b",_xlfn.XLOOKUP(REPLACE(Lose[[#This Row],[LosID]],LEN(Lose[[#This Row],[LosID]]),1,"a"),Lose[LosID],Lose[Zufallszahl],"",0),RAND())</f>
        <v>0.94785193088571529</v>
      </c>
      <c r="V392" t="b" cm="1">
        <f t="array" aca="1" ref="V392" ca="1">Lose[[#This Row],[Zufallszahl]]&gt;=IFERROR(LARGE((LEFT(Lose[LosID],FIND("-",Lose[LosID])-1)=LEFT(Lose[[#This Row],[LosID]],FIND("-",Lose[[#This Row],[LosID]])-1))*Lose[Zufallszahl],_xlfn.XLOOKUP(LEFT(Lose[[#This Row],[LosID]],FIND("-",Lose[[#This Row],[LosID]])-1),Ziehungsanzahl[Kürzel],Ziehungsanzahl[Kontingent],FALSE,0)),9999)</f>
        <v>0</v>
      </c>
    </row>
    <row r="393" spans="1:23" hidden="1">
      <c r="A3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3" t="s">
        <v>23412</v>
      </c>
      <c r="C393" t="s">
        <v>24624</v>
      </c>
      <c r="D393" s="1" t="s">
        <v>24625</v>
      </c>
      <c r="F393" t="s">
        <v>24626</v>
      </c>
      <c r="H393">
        <v>1</v>
      </c>
      <c r="K393" t="str" cm="1">
        <f t="array" ref="K3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Erlangen</v>
      </c>
      <c r="L393" t="str">
        <f>IFERROR(LEFT(TRIM(Lose[[#This Row],[Google Koordinaten]]),9),"")</f>
        <v>49.595979</v>
      </c>
      <c r="M393" t="str">
        <f>IFERROR(MID(TRIM(Lose[[#This Row],[Google Koordinaten]]),
FIND(",",TRIM(Lose[[#This Row],[Google Koordinaten]])) + 2,9),"")</f>
        <v>11.001955</v>
      </c>
      <c r="N393">
        <f>IF(Lose[[#This Row],[Bahn-hofs-zeit]]=0,0,MROUND(30*25^((Lose[[#This Row],[Bahn-hofs-zeit]]-_xlfn.MINIFS(Lose[Bahn-hofs-zeit],Lose[Bahn-hofs-zeit],"&gt;0"))/(MAX(Lose[Bahn-hofs-zeit])-_xlfn.MINIFS(Lose[Bahn-hofs-zeit],Lose[Bahn-hofs-zeit],"&gt;0"))),5))</f>
        <v>125</v>
      </c>
      <c r="O393">
        <f>IF(Lose[[#This Row],[Gehzeit (min)]]="",0,CEILING(3*(Lose[[#This Row],[Gehzeit (min)]]+Lose[[#This Row],[Aufgaben-zeit (min)]]),5))</f>
        <v>0</v>
      </c>
      <c r="P393">
        <v>8.25</v>
      </c>
      <c r="Q393" t="str">
        <f>IFERROR(ROUND(Lose[[#This Row],[Distanz (km)]]*60/Lose[[#This Row],[Gehzeit (min)]],1),"")</f>
        <v/>
      </c>
      <c r="R3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393">
        <f>IFERROR(Lose[[#This Row],[Distanz (km)]]-Lose[[#This Row],[Check Distanz]],"")</f>
        <v>-0.03</v>
      </c>
      <c r="T393" s="60">
        <f>IFERROR(Lose[[#This Row],[Check Umweg]]/Lose[[#This Row],[Check Distanz]],"")</f>
        <v>-1</v>
      </c>
      <c r="U393">
        <f ca="1">IF(RIGHT(Lose[[#This Row],[LosID]],1)="b",_xlfn.XLOOKUP(REPLACE(Lose[[#This Row],[LosID]],LEN(Lose[[#This Row],[LosID]]),1,"a"),Lose[LosID],Lose[Zufallszahl],"",0),RAND())</f>
        <v>0.67353938767868871</v>
      </c>
      <c r="V393" t="b" cm="1">
        <f t="array" aca="1" ref="V393" ca="1">Lose[[#This Row],[Zufallszahl]]&gt;=IFERROR(LARGE((LEFT(Lose[LosID],FIND("-",Lose[LosID])-1)=LEFT(Lose[[#This Row],[LosID]],FIND("-",Lose[[#This Row],[LosID]])-1))*Lose[Zufallszahl],_xlfn.XLOOKUP(LEFT(Lose[[#This Row],[LosID]],FIND("-",Lose[[#This Row],[LosID]])-1),Ziehungsanzahl[Kürzel],Ziehungsanzahl[Kontingent],FALSE,0)),9999)</f>
        <v>0</v>
      </c>
    </row>
    <row r="394" spans="1:23" hidden="1">
      <c r="A3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4" t="s">
        <v>23412</v>
      </c>
      <c r="C394" t="s">
        <v>24627</v>
      </c>
      <c r="D394" s="1" t="s">
        <v>24628</v>
      </c>
      <c r="F394" t="s">
        <v>24629</v>
      </c>
      <c r="H394">
        <v>1</v>
      </c>
      <c r="K394" t="str" cm="1">
        <f t="array" ref="K3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Jena West</v>
      </c>
      <c r="L394" t="str">
        <f>IFERROR(LEFT(TRIM(Lose[[#This Row],[Google Koordinaten]]),9),"")</f>
        <v>50.923143</v>
      </c>
      <c r="M394" t="str">
        <f>IFERROR(MID(TRIM(Lose[[#This Row],[Google Koordinaten]]),
FIND(",",TRIM(Lose[[#This Row],[Google Koordinaten]])) + 2,9),"")</f>
        <v>11.577866</v>
      </c>
      <c r="N394">
        <f>IF(Lose[[#This Row],[Bahn-hofs-zeit]]=0,0,MROUND(30*25^((Lose[[#This Row],[Bahn-hofs-zeit]]-_xlfn.MINIFS(Lose[Bahn-hofs-zeit],Lose[Bahn-hofs-zeit],"&gt;0"))/(MAX(Lose[Bahn-hofs-zeit])-_xlfn.MINIFS(Lose[Bahn-hofs-zeit],Lose[Bahn-hofs-zeit],"&gt;0"))),5))</f>
        <v>165</v>
      </c>
      <c r="O394">
        <f>IF(Lose[[#This Row],[Gehzeit (min)]]="",0,CEILING(3*(Lose[[#This Row],[Gehzeit (min)]]+Lose[[#This Row],[Aufgaben-zeit (min)]]),5))</f>
        <v>0</v>
      </c>
      <c r="P394">
        <v>9.25</v>
      </c>
      <c r="Q394" t="str">
        <f>IFERROR(ROUND(Lose[[#This Row],[Distanz (km)]]*60/Lose[[#This Row],[Gehzeit (min)]],1),"")</f>
        <v/>
      </c>
      <c r="R3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394">
        <f>IFERROR(Lose[[#This Row],[Distanz (km)]]-Lose[[#This Row],[Check Distanz]],"")</f>
        <v>-0.02</v>
      </c>
      <c r="T394" s="60">
        <f>IFERROR(Lose[[#This Row],[Check Umweg]]/Lose[[#This Row],[Check Distanz]],"")</f>
        <v>-1</v>
      </c>
      <c r="U394">
        <f ca="1">IF(RIGHT(Lose[[#This Row],[LosID]],1)="b",_xlfn.XLOOKUP(REPLACE(Lose[[#This Row],[LosID]],LEN(Lose[[#This Row],[LosID]]),1,"a"),Lose[LosID],Lose[Zufallszahl],"",0),RAND())</f>
        <v>0.67353938767868871</v>
      </c>
      <c r="V394" t="b" cm="1">
        <f t="array" aca="1" ref="V394" ca="1">Lose[[#This Row],[Zufallszahl]]&gt;=IFERROR(LARGE((LEFT(Lose[LosID],FIND("-",Lose[LosID])-1)=LEFT(Lose[[#This Row],[LosID]],FIND("-",Lose[[#This Row],[LosID]])-1))*Lose[Zufallszahl],_xlfn.XLOOKUP(LEFT(Lose[[#This Row],[LosID]],FIND("-",Lose[[#This Row],[LosID]])-1),Ziehungsanzahl[Kürzel],Ziehungsanzahl[Kontingent],FALSE,0)),9999)</f>
        <v>0</v>
      </c>
    </row>
    <row r="395" spans="1:23" ht="90" hidden="1">
      <c r="A3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5" t="s">
        <v>23416</v>
      </c>
      <c r="C395" t="s">
        <v>24630</v>
      </c>
      <c r="D395" s="1" t="s">
        <v>24631</v>
      </c>
      <c r="E395" t="s">
        <v>24632</v>
      </c>
      <c r="F395" t="s">
        <v>24633</v>
      </c>
      <c r="G395">
        <v>6</v>
      </c>
      <c r="H395">
        <v>10</v>
      </c>
      <c r="I395">
        <v>0.4</v>
      </c>
      <c r="J395">
        <v>15</v>
      </c>
      <c r="K395" t="str" cm="1">
        <f t="array" ref="K3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395" t="str">
        <f>IFERROR(LEFT(TRIM(Lose[[#This Row],[Google Koordinaten]]),9),"")</f>
        <v>50.004117</v>
      </c>
      <c r="M395" t="str">
        <f>IFERROR(MID(TRIM(Lose[[#This Row],[Google Koordinaten]]),
FIND(",",TRIM(Lose[[#This Row],[Google Koordinaten]])) + 2,9),"")</f>
        <v>8.259720</v>
      </c>
      <c r="N395">
        <f>IF(Lose[[#This Row],[Bahn-hofs-zeit]]=0,0,MROUND(30*25^((Lose[[#This Row],[Bahn-hofs-zeit]]-_xlfn.MINIFS(Lose[Bahn-hofs-zeit],Lose[Bahn-hofs-zeit],"&gt;0"))/(MAX(Lose[Bahn-hofs-zeit])-_xlfn.MINIFS(Lose[Bahn-hofs-zeit],Lose[Bahn-hofs-zeit],"&gt;0"))),5))</f>
        <v>45</v>
      </c>
      <c r="O395">
        <f>IF(Lose[[#This Row],[Gehzeit (min)]]="",0,CEILING(3*(Lose[[#This Row],[Gehzeit (min)]]+Lose[[#This Row],[Aufgaben-zeit (min)]]),5))</f>
        <v>50</v>
      </c>
      <c r="P395">
        <v>4.5</v>
      </c>
      <c r="Q395">
        <f>IFERROR(ROUND(Lose[[#This Row],[Distanz (km)]]*60/Lose[[#This Row],[Gehzeit (min)]],1),"")</f>
        <v>4</v>
      </c>
      <c r="R3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395">
        <f>IFERROR(Lose[[#This Row],[Distanz (km)]]-Lose[[#This Row],[Check Distanz]],"")</f>
        <v>0.06</v>
      </c>
      <c r="T395" s="60">
        <f>IFERROR(Lose[[#This Row],[Check Umweg]]/Lose[[#This Row],[Check Distanz]],"")</f>
        <v>0.1764705882352941</v>
      </c>
      <c r="U395">
        <f ca="1">IF(RIGHT(Lose[[#This Row],[LosID]],1)="b",_xlfn.XLOOKUP(REPLACE(Lose[[#This Row],[LosID]],LEN(Lose[[#This Row],[LosID]]),1,"a"),Lose[LosID],Lose[Zufallszahl],"",0),RAND())</f>
        <v>0.94732580238774788</v>
      </c>
      <c r="V395" t="b" cm="1">
        <f t="array" aca="1" ref="V395" ca="1">Lose[[#This Row],[Zufallszahl]]&gt;=IFERROR(LARGE((LEFT(Lose[LosID],FIND("-",Lose[LosID])-1)=LEFT(Lose[[#This Row],[LosID]],FIND("-",Lose[[#This Row],[LosID]])-1))*Lose[Zufallszahl],_xlfn.XLOOKUP(LEFT(Lose[[#This Row],[LosID]],FIND("-",Lose[[#This Row],[LosID]])-1),Ziehungsanzahl[Kürzel],Ziehungsanzahl[Kontingent],FALSE,0)),9999)</f>
        <v>0</v>
      </c>
    </row>
    <row r="396" spans="1:23" ht="90" hidden="1">
      <c r="A3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6" t="s">
        <v>23416</v>
      </c>
      <c r="C396" t="s">
        <v>24634</v>
      </c>
      <c r="D396" s="1" t="s">
        <v>24635</v>
      </c>
      <c r="E396" t="s">
        <v>24636</v>
      </c>
      <c r="F396" t="s">
        <v>24637</v>
      </c>
      <c r="G396">
        <v>6</v>
      </c>
      <c r="H396">
        <v>10</v>
      </c>
      <c r="I396">
        <v>0.48</v>
      </c>
      <c r="J396">
        <v>15</v>
      </c>
      <c r="K396" t="str" cm="1">
        <f t="array" ref="K3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396" t="str">
        <f>IFERROR(LEFT(TRIM(Lose[[#This Row],[Google Koordinaten]]),9),"")</f>
        <v>50.976500</v>
      </c>
      <c r="M396" t="str">
        <f>IFERROR(MID(TRIM(Lose[[#This Row],[Google Koordinaten]]),
FIND(",",TRIM(Lose[[#This Row],[Google Koordinaten]])) + 2,9),"")</f>
        <v>11.036500</v>
      </c>
      <c r="N396">
        <f>IF(Lose[[#This Row],[Bahn-hofs-zeit]]=0,0,MROUND(30*25^((Lose[[#This Row],[Bahn-hofs-zeit]]-_xlfn.MINIFS(Lose[Bahn-hofs-zeit],Lose[Bahn-hofs-zeit],"&gt;0"))/(MAX(Lose[Bahn-hofs-zeit])-_xlfn.MINIFS(Lose[Bahn-hofs-zeit],Lose[Bahn-hofs-zeit],"&gt;0"))),5))</f>
        <v>75</v>
      </c>
      <c r="O396">
        <f>IF(Lose[[#This Row],[Gehzeit (min)]]="",0,CEILING(3*(Lose[[#This Row],[Gehzeit (min)]]+Lose[[#This Row],[Aufgaben-zeit (min)]]),5))</f>
        <v>50</v>
      </c>
      <c r="P396">
        <v>6.5</v>
      </c>
      <c r="Q396">
        <f>IFERROR(ROUND(Lose[[#This Row],[Distanz (km)]]*60/Lose[[#This Row],[Gehzeit (min)]],1),"")</f>
        <v>4.8</v>
      </c>
      <c r="R3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0.47</v>
      </c>
      <c r="S396">
        <f>IFERROR(Lose[[#This Row],[Distanz (km)]]-Lose[[#This Row],[Check Distanz]],"")</f>
        <v>1.0000000000000009E-2</v>
      </c>
      <c r="T396" s="60">
        <f>IFERROR(Lose[[#This Row],[Check Umweg]]/Lose[[#This Row],[Check Distanz]],"")</f>
        <v>2.1276595744680871E-2</v>
      </c>
      <c r="U396">
        <f ca="1">IF(RIGHT(Lose[[#This Row],[LosID]],1)="b",_xlfn.XLOOKUP(REPLACE(Lose[[#This Row],[LosID]],LEN(Lose[[#This Row],[LosID]]),1,"a"),Lose[LosID],Lose[Zufallszahl],"",0),RAND())</f>
        <v>0.94732580238774788</v>
      </c>
      <c r="V396" t="b" cm="1">
        <f t="array" aca="1" ref="V396" ca="1">Lose[[#This Row],[Zufallszahl]]&gt;=IFERROR(LARGE((LEFT(Lose[LosID],FIND("-",Lose[LosID])-1)=LEFT(Lose[[#This Row],[LosID]],FIND("-",Lose[[#This Row],[LosID]])-1))*Lose[Zufallszahl],_xlfn.XLOOKUP(LEFT(Lose[[#This Row],[LosID]],FIND("-",Lose[[#This Row],[LosID]])-1),Ziehungsanzahl[Kürzel],Ziehungsanzahl[Kontingent],FALSE,0)),9999)</f>
        <v>0</v>
      </c>
    </row>
    <row r="397" spans="1:23" ht="60" hidden="1">
      <c r="A3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7" t="s">
        <v>23363</v>
      </c>
      <c r="C397" t="s">
        <v>24638</v>
      </c>
      <c r="D397" s="1" t="s">
        <v>24639</v>
      </c>
      <c r="E397" t="s">
        <v>24640</v>
      </c>
      <c r="F397" t="s">
        <v>24641</v>
      </c>
      <c r="J397">
        <v>30</v>
      </c>
      <c r="K397" t="str" cm="1">
        <f t="array" ref="K3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397" t="str">
        <f>IFERROR(LEFT(TRIM(Lose[[#This Row],[Google Koordinaten]]),9),"")</f>
        <v>49.436323</v>
      </c>
      <c r="M397" t="str">
        <f>IFERROR(MID(TRIM(Lose[[#This Row],[Google Koordinaten]]),
FIND(",",TRIM(Lose[[#This Row],[Google Koordinaten]])) + 2,9),"")</f>
        <v>7.7726360</v>
      </c>
      <c r="N397">
        <f>IF(Lose[[#This Row],[Bahn-hofs-zeit]]=0,0,MROUND(30*25^((Lose[[#This Row],[Bahn-hofs-zeit]]-_xlfn.MINIFS(Lose[Bahn-hofs-zeit],Lose[Bahn-hofs-zeit],"&gt;0"))/(MAX(Lose[Bahn-hofs-zeit])-_xlfn.MINIFS(Lose[Bahn-hofs-zeit],Lose[Bahn-hofs-zeit],"&gt;0"))),5))</f>
        <v>70</v>
      </c>
      <c r="O397">
        <f>IF(Lose[[#This Row],[Gehzeit (min)]]="",0,CEILING(3*(Lose[[#This Row],[Gehzeit (min)]]+Lose[[#This Row],[Aufgaben-zeit (min)]]),5))</f>
        <v>0</v>
      </c>
      <c r="P397">
        <v>6.25</v>
      </c>
      <c r="Q397" t="str">
        <f>IFERROR(ROUND(Lose[[#This Row],[Distanz (km)]]*60/Lose[[#This Row],[Gehzeit (min)]],1),"")</f>
        <v/>
      </c>
      <c r="R3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0.28999999999999998</v>
      </c>
      <c r="S397">
        <f>IFERROR(Lose[[#This Row],[Distanz (km)]]-Lose[[#This Row],[Check Distanz]],"")</f>
        <v>-0.28999999999999998</v>
      </c>
      <c r="T397" s="60">
        <f>IFERROR(Lose[[#This Row],[Check Umweg]]/Lose[[#This Row],[Check Distanz]],"")</f>
        <v>-1</v>
      </c>
      <c r="U397">
        <f ca="1">IF(RIGHT(Lose[[#This Row],[LosID]],1)="b",_xlfn.XLOOKUP(REPLACE(Lose[[#This Row],[LosID]],LEN(Lose[[#This Row],[LosID]]),1,"a"),Lose[LosID],Lose[Zufallszahl],"",0),RAND())</f>
        <v>0.5885171452238499</v>
      </c>
      <c r="V397" t="b" cm="1">
        <f t="array" aca="1" ref="V397" ca="1">Lose[[#This Row],[Zufallszahl]]&gt;=IFERROR(LARGE((LEFT(Lose[LosID],FIND("-",Lose[LosID])-1)=LEFT(Lose[[#This Row],[LosID]],FIND("-",Lose[[#This Row],[LosID]])-1))*Lose[Zufallszahl],_xlfn.XLOOKUP(LEFT(Lose[[#This Row],[LosID]],FIND("-",Lose[[#This Row],[LosID]])-1),Ziehungsanzahl[Kürzel],Ziehungsanzahl[Kontingent],FALSE,0)),9999)</f>
        <v>0</v>
      </c>
    </row>
    <row r="398" spans="1:23" ht="60" hidden="1">
      <c r="A3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8" t="s">
        <v>23363</v>
      </c>
      <c r="C398" t="s">
        <v>24642</v>
      </c>
      <c r="D398" s="1" t="s">
        <v>24643</v>
      </c>
      <c r="E398" t="s">
        <v>24644</v>
      </c>
      <c r="F398" t="s">
        <v>24645</v>
      </c>
      <c r="J398">
        <v>80</v>
      </c>
      <c r="K398" t="str" cm="1">
        <f t="array" ref="K3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Brandenburg Hbf</v>
      </c>
      <c r="L398" t="str">
        <f>IFERROR(LEFT(TRIM(Lose[[#This Row],[Google Koordinaten]]),9),"")</f>
        <v>52.414997</v>
      </c>
      <c r="M398" t="str">
        <f>IFERROR(MID(TRIM(Lose[[#This Row],[Google Koordinaten]]),
FIND(",",TRIM(Lose[[#This Row],[Google Koordinaten]])) + 2,9),"")</f>
        <v>12.566838</v>
      </c>
      <c r="N398">
        <f>IF(Lose[[#This Row],[Bahn-hofs-zeit]]=0,0,MROUND(30*25^((Lose[[#This Row],[Bahn-hofs-zeit]]-_xlfn.MINIFS(Lose[Bahn-hofs-zeit],Lose[Bahn-hofs-zeit],"&gt;0"))/(MAX(Lose[Bahn-hofs-zeit])-_xlfn.MINIFS(Lose[Bahn-hofs-zeit],Lose[Bahn-hofs-zeit],"&gt;0"))),5))</f>
        <v>240</v>
      </c>
      <c r="O398">
        <f>IF(Lose[[#This Row],[Gehzeit (min)]]="",0,CEILING(3*(Lose[[#This Row],[Gehzeit (min)]]+Lose[[#This Row],[Aufgaben-zeit (min)]]),5))</f>
        <v>0</v>
      </c>
      <c r="P398">
        <v>10.5</v>
      </c>
      <c r="Q398" t="str">
        <f>IFERROR(ROUND(Lose[[#This Row],[Distanz (km)]]*60/Lose[[#This Row],[Gehzeit (min)]],1),"")</f>
        <v/>
      </c>
      <c r="R3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1.61</v>
      </c>
      <c r="S398">
        <f>IFERROR(Lose[[#This Row],[Distanz (km)]]-Lose[[#This Row],[Check Distanz]],"")</f>
        <v>-1.61</v>
      </c>
      <c r="T398" s="60">
        <f>IFERROR(Lose[[#This Row],[Check Umweg]]/Lose[[#This Row],[Check Distanz]],"")</f>
        <v>-1</v>
      </c>
      <c r="U398">
        <f ca="1">IF(RIGHT(Lose[[#This Row],[LosID]],1)="b",_xlfn.XLOOKUP(REPLACE(Lose[[#This Row],[LosID]],LEN(Lose[[#This Row],[LosID]]),1,"a"),Lose[LosID],Lose[Zufallszahl],"",0),RAND())</f>
        <v>0.5885171452238499</v>
      </c>
      <c r="V398" t="b" cm="1">
        <f t="array" aca="1" ref="V398" ca="1">Lose[[#This Row],[Zufallszahl]]&gt;=IFERROR(LARGE((LEFT(Lose[LosID],FIND("-",Lose[LosID])-1)=LEFT(Lose[[#This Row],[LosID]],FIND("-",Lose[[#This Row],[LosID]])-1))*Lose[Zufallszahl],_xlfn.XLOOKUP(LEFT(Lose[[#This Row],[LosID]],FIND("-",Lose[[#This Row],[LosID]])-1),Ziehungsanzahl[Kürzel],Ziehungsanzahl[Kontingent],FALSE,0)),9999)</f>
        <v>0</v>
      </c>
    </row>
    <row r="399" spans="1:23" ht="45" hidden="1">
      <c r="A3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9" t="s">
        <v>23390</v>
      </c>
      <c r="C399" t="s">
        <v>24646</v>
      </c>
      <c r="D399" s="1" t="s">
        <v>24647</v>
      </c>
      <c r="K399" t="s">
        <v>19445</v>
      </c>
      <c r="L399" t="str">
        <f>IFERROR(LEFT(TRIM(Lose[[#This Row],[Google Koordinaten]]),9),"")</f>
        <v/>
      </c>
      <c r="M399" t="str">
        <f>IFERROR(MID(TRIM(Lose[[#This Row],[Google Koordinaten]]),
FIND(",",TRIM(Lose[[#This Row],[Google Koordinaten]])) + 2,9),"")</f>
        <v/>
      </c>
      <c r="N399">
        <f>IF(Lose[[#This Row],[Bahn-hofs-zeit]]=0,0,MROUND(30*25^((Lose[[#This Row],[Bahn-hofs-zeit]]-_xlfn.MINIFS(Lose[Bahn-hofs-zeit],Lose[Bahn-hofs-zeit],"&gt;0"))/(MAX(Lose[Bahn-hofs-zeit])-_xlfn.MINIFS(Lose[Bahn-hofs-zeit],Lose[Bahn-hofs-zeit],"&gt;0"))),5))</f>
        <v>165</v>
      </c>
      <c r="O399">
        <f>IF(Lose[[#This Row],[Gehzeit (min)]]="",0,CEILING(3*(Lose[[#This Row],[Gehzeit (min)]]+Lose[[#This Row],[Aufgaben-zeit (min)]]),5))</f>
        <v>0</v>
      </c>
      <c r="P399">
        <v>9.25</v>
      </c>
      <c r="Q399" t="str">
        <f>IFERROR(ROUND(Lose[[#This Row],[Distanz (km)]]*60/Lose[[#This Row],[Gehzeit (min)]],1),"")</f>
        <v/>
      </c>
      <c r="R39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99" t="str">
        <f>IFERROR(Lose[[#This Row],[Distanz (km)]]-Lose[[#This Row],[Check Distanz]],"")</f>
        <v/>
      </c>
      <c r="T399" s="60" t="str">
        <f>IFERROR(Lose[[#This Row],[Check Umweg]]/Lose[[#This Row],[Check Distanz]],"")</f>
        <v/>
      </c>
      <c r="U399">
        <f ca="1">IF(RIGHT(Lose[[#This Row],[LosID]],1)="b",_xlfn.XLOOKUP(REPLACE(Lose[[#This Row],[LosID]],LEN(Lose[[#This Row],[LosID]]),1,"a"),Lose[LosID],Lose[Zufallszahl],"",0),RAND())</f>
        <v>0.43613548427736193</v>
      </c>
      <c r="V399" t="b" cm="1">
        <f t="array" aca="1" ref="V399" ca="1">Lose[[#This Row],[Zufallszahl]]&gt;=IFERROR(LARGE((LEFT(Lose[LosID],FIND("-",Lose[LosID])-1)=LEFT(Lose[[#This Row],[LosID]],FIND("-",Lose[[#This Row],[LosID]])-1))*Lose[Zufallszahl],_xlfn.XLOOKUP(LEFT(Lose[[#This Row],[LosID]],FIND("-",Lose[[#This Row],[LosID]])-1),Ziehungsanzahl[Kürzel],Ziehungsanzahl[Kontingent],FALSE,0)),9999)</f>
        <v>0</v>
      </c>
    </row>
    <row r="400" spans="1:23" ht="45" hidden="1">
      <c r="A4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0" t="s">
        <v>23390</v>
      </c>
      <c r="C400" t="s">
        <v>24648</v>
      </c>
      <c r="D400" s="1" t="s">
        <v>24649</v>
      </c>
      <c r="K400" t="s">
        <v>996</v>
      </c>
      <c r="L400" t="str">
        <f>IFERROR(LEFT(TRIM(Lose[[#This Row],[Google Koordinaten]]),9),"")</f>
        <v/>
      </c>
      <c r="M400" t="str">
        <f>IFERROR(MID(TRIM(Lose[[#This Row],[Google Koordinaten]]),
FIND(",",TRIM(Lose[[#This Row],[Google Koordinaten]])) + 2,9),"")</f>
        <v/>
      </c>
      <c r="N400">
        <f>IF(Lose[[#This Row],[Bahn-hofs-zeit]]=0,0,MROUND(30*25^((Lose[[#This Row],[Bahn-hofs-zeit]]-_xlfn.MINIFS(Lose[Bahn-hofs-zeit],Lose[Bahn-hofs-zeit],"&gt;0"))/(MAX(Lose[Bahn-hofs-zeit])-_xlfn.MINIFS(Lose[Bahn-hofs-zeit],Lose[Bahn-hofs-zeit],"&gt;0"))),5))</f>
        <v>30</v>
      </c>
      <c r="O400">
        <f>IF(Lose[[#This Row],[Gehzeit (min)]]="",0,CEILING(3*(Lose[[#This Row],[Gehzeit (min)]]+Lose[[#This Row],[Aufgaben-zeit (min)]]),5))</f>
        <v>0</v>
      </c>
      <c r="P400">
        <v>3.5</v>
      </c>
      <c r="Q400" t="str">
        <f>IFERROR(ROUND(Lose[[#This Row],[Distanz (km)]]*60/Lose[[#This Row],[Gehzeit (min)]],1),"")</f>
        <v/>
      </c>
      <c r="R40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00" t="str">
        <f>IFERROR(Lose[[#This Row],[Distanz (km)]]-Lose[[#This Row],[Check Distanz]],"")</f>
        <v/>
      </c>
      <c r="T400" s="60" t="str">
        <f>IFERROR(Lose[[#This Row],[Check Umweg]]/Lose[[#This Row],[Check Distanz]],"")</f>
        <v/>
      </c>
      <c r="U400">
        <f ca="1">IF(RIGHT(Lose[[#This Row],[LosID]],1)="b",_xlfn.XLOOKUP(REPLACE(Lose[[#This Row],[LosID]],LEN(Lose[[#This Row],[LosID]]),1,"a"),Lose[LosID],Lose[Zufallszahl],"",0),RAND())</f>
        <v>0.43613548427736193</v>
      </c>
      <c r="V400" t="b" cm="1">
        <f t="array" aca="1" ref="V400" ca="1">Lose[[#This Row],[Zufallszahl]]&gt;=IFERROR(LARGE((LEFT(Lose[LosID],FIND("-",Lose[LosID])-1)=LEFT(Lose[[#This Row],[LosID]],FIND("-",Lose[[#This Row],[LosID]])-1))*Lose[Zufallszahl],_xlfn.XLOOKUP(LEFT(Lose[[#This Row],[LosID]],FIND("-",Lose[[#This Row],[LosID]])-1),Ziehungsanzahl[Kürzel],Ziehungsanzahl[Kontingent],FALSE,0)),9999)</f>
        <v>0</v>
      </c>
    </row>
    <row r="401" spans="1:23" ht="45" hidden="1">
      <c r="A4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1" t="s">
        <v>23390</v>
      </c>
      <c r="C401" t="s">
        <v>24650</v>
      </c>
      <c r="D401" s="1" t="s">
        <v>24651</v>
      </c>
      <c r="K401" t="s">
        <v>13612</v>
      </c>
      <c r="L401" t="str">
        <f>IFERROR(LEFT(TRIM(Lose[[#This Row],[Google Koordinaten]]),9),"")</f>
        <v/>
      </c>
      <c r="M401" t="str">
        <f>IFERROR(MID(TRIM(Lose[[#This Row],[Google Koordinaten]]),
FIND(",",TRIM(Lose[[#This Row],[Google Koordinaten]])) + 2,9),"")</f>
        <v/>
      </c>
      <c r="N401">
        <f>IF(Lose[[#This Row],[Bahn-hofs-zeit]]=0,0,MROUND(30*25^((Lose[[#This Row],[Bahn-hofs-zeit]]-_xlfn.MINIFS(Lose[Bahn-hofs-zeit],Lose[Bahn-hofs-zeit],"&gt;0"))/(MAX(Lose[Bahn-hofs-zeit])-_xlfn.MINIFS(Lose[Bahn-hofs-zeit],Lose[Bahn-hofs-zeit],"&gt;0"))),5))</f>
        <v>240</v>
      </c>
      <c r="O401">
        <f>IF(Lose[[#This Row],[Gehzeit (min)]]="",0,CEILING(3*(Lose[[#This Row],[Gehzeit (min)]]+Lose[[#This Row],[Aufgaben-zeit (min)]]),5))</f>
        <v>0</v>
      </c>
      <c r="P401">
        <v>10.5</v>
      </c>
      <c r="Q401" t="str">
        <f>IFERROR(ROUND(Lose[[#This Row],[Distanz (km)]]*60/Lose[[#This Row],[Gehzeit (min)]],1),"")</f>
        <v/>
      </c>
      <c r="R40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01" t="str">
        <f>IFERROR(Lose[[#This Row],[Distanz (km)]]-Lose[[#This Row],[Check Distanz]],"")</f>
        <v/>
      </c>
      <c r="T401" s="60" t="str">
        <f>IFERROR(Lose[[#This Row],[Check Umweg]]/Lose[[#This Row],[Check Distanz]],"")</f>
        <v/>
      </c>
      <c r="U401">
        <f ca="1">IF(RIGHT(Lose[[#This Row],[LosID]],1)="b",_xlfn.XLOOKUP(REPLACE(Lose[[#This Row],[LosID]],LEN(Lose[[#This Row],[LosID]]),1,"a"),Lose[LosID],Lose[Zufallszahl],"",0),RAND())</f>
        <v>0.77594272294794442</v>
      </c>
      <c r="V401" t="b" cm="1">
        <f t="array" aca="1" ref="V401" ca="1">Lose[[#This Row],[Zufallszahl]]&gt;=IFERROR(LARGE((LEFT(Lose[LosID],FIND("-",Lose[LosID])-1)=LEFT(Lose[[#This Row],[LosID]],FIND("-",Lose[[#This Row],[LosID]])-1))*Lose[Zufallszahl],_xlfn.XLOOKUP(LEFT(Lose[[#This Row],[LosID]],FIND("-",Lose[[#This Row],[LosID]])-1),Ziehungsanzahl[Kürzel],Ziehungsanzahl[Kontingent],FALSE,0)),9999)</f>
        <v>0</v>
      </c>
    </row>
    <row r="402" spans="1:23" ht="45" hidden="1">
      <c r="A4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2" t="s">
        <v>23390</v>
      </c>
      <c r="C402" t="s">
        <v>24652</v>
      </c>
      <c r="D402" s="1" t="s">
        <v>24653</v>
      </c>
      <c r="K402" t="s">
        <v>15630</v>
      </c>
      <c r="L402" t="str">
        <f>IFERROR(LEFT(TRIM(Lose[[#This Row],[Google Koordinaten]]),9),"")</f>
        <v/>
      </c>
      <c r="M402" t="str">
        <f>IFERROR(MID(TRIM(Lose[[#This Row],[Google Koordinaten]]),
FIND(",",TRIM(Lose[[#This Row],[Google Koordinaten]])) + 2,9),"")</f>
        <v/>
      </c>
      <c r="N402">
        <f>IF(Lose[[#This Row],[Bahn-hofs-zeit]]=0,0,MROUND(30*25^((Lose[[#This Row],[Bahn-hofs-zeit]]-_xlfn.MINIFS(Lose[Bahn-hofs-zeit],Lose[Bahn-hofs-zeit],"&gt;0"))/(MAX(Lose[Bahn-hofs-zeit])-_xlfn.MINIFS(Lose[Bahn-hofs-zeit],Lose[Bahn-hofs-zeit],"&gt;0"))),5))</f>
        <v>110</v>
      </c>
      <c r="O402">
        <f>IF(Lose[[#This Row],[Gehzeit (min)]]="",0,CEILING(3*(Lose[[#This Row],[Gehzeit (min)]]+Lose[[#This Row],[Aufgaben-zeit (min)]]),5))</f>
        <v>0</v>
      </c>
      <c r="P402">
        <v>7.75</v>
      </c>
      <c r="Q402" t="str">
        <f>IFERROR(ROUND(Lose[[#This Row],[Distanz (km)]]*60/Lose[[#This Row],[Gehzeit (min)]],1),"")</f>
        <v/>
      </c>
      <c r="R402"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02" t="str">
        <f>IFERROR(Lose[[#This Row],[Distanz (km)]]-Lose[[#This Row],[Check Distanz]],"")</f>
        <v/>
      </c>
      <c r="T402" s="60" t="str">
        <f>IFERROR(Lose[[#This Row],[Check Umweg]]/Lose[[#This Row],[Check Distanz]],"")</f>
        <v/>
      </c>
      <c r="U402">
        <f ca="1">IF(RIGHT(Lose[[#This Row],[LosID]],1)="b",_xlfn.XLOOKUP(REPLACE(Lose[[#This Row],[LosID]],LEN(Lose[[#This Row],[LosID]]),1,"a"),Lose[LosID],Lose[Zufallszahl],"",0),RAND())</f>
        <v>0.77594272294794442</v>
      </c>
      <c r="V402" t="b" cm="1">
        <f t="array" aca="1" ref="V402" ca="1">Lose[[#This Row],[Zufallszahl]]&gt;=IFERROR(LARGE((LEFT(Lose[LosID],FIND("-",Lose[LosID])-1)=LEFT(Lose[[#This Row],[LosID]],FIND("-",Lose[[#This Row],[LosID]])-1))*Lose[Zufallszahl],_xlfn.XLOOKUP(LEFT(Lose[[#This Row],[LosID]],FIND("-",Lose[[#This Row],[LosID]])-1),Ziehungsanzahl[Kürzel],Ziehungsanzahl[Kontingent],FALSE,0)),9999)</f>
        <v>0</v>
      </c>
    </row>
    <row r="403" spans="1:23" hidden="1">
      <c r="A4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3" t="s">
        <v>23372</v>
      </c>
      <c r="C403" t="s">
        <v>1252</v>
      </c>
      <c r="D403" s="1" t="s">
        <v>24654</v>
      </c>
      <c r="F403" t="s">
        <v>24655</v>
      </c>
      <c r="K403" t="str" cm="1">
        <f t="array" ref="K4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Frankenberg(Eder)</v>
      </c>
      <c r="L403" t="str">
        <f>IFERROR(LEFT(TRIM(Lose[[#This Row],[Google Koordinaten]]),9),"")</f>
        <v>51.054434</v>
      </c>
      <c r="M403" t="str">
        <f>IFERROR(MID(TRIM(Lose[[#This Row],[Google Koordinaten]]),
FIND(",",TRIM(Lose[[#This Row],[Google Koordinaten]])) + 2,9),"")</f>
        <v>8.7894202</v>
      </c>
      <c r="N403">
        <f>IF(Lose[[#This Row],[Bahn-hofs-zeit]]=0,0,MROUND(30*25^((Lose[[#This Row],[Bahn-hofs-zeit]]-_xlfn.MINIFS(Lose[Bahn-hofs-zeit],Lose[Bahn-hofs-zeit],"&gt;0"))/(MAX(Lose[Bahn-hofs-zeit])-_xlfn.MINIFS(Lose[Bahn-hofs-zeit],Lose[Bahn-hofs-zeit],"&gt;0"))),5))</f>
        <v>60</v>
      </c>
      <c r="O403">
        <f>IF(Lose[[#This Row],[Gehzeit (min)]]="",0,CEILING(3*(Lose[[#This Row],[Gehzeit (min)]]+Lose[[#This Row],[Aufgaben-zeit (min)]]),5))</f>
        <v>0</v>
      </c>
      <c r="P403">
        <v>5.75</v>
      </c>
      <c r="Q403" t="str">
        <f>IFERROR(ROUND(Lose[[#This Row],[Distanz (km)]]*60/Lose[[#This Row],[Gehzeit (min)]],1),"")</f>
        <v/>
      </c>
      <c r="R4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403">
        <f>IFERROR(Lose[[#This Row],[Distanz (km)]]-Lose[[#This Row],[Check Distanz]],"")</f>
        <v>-0.02</v>
      </c>
      <c r="T403" s="60">
        <f>IFERROR(Lose[[#This Row],[Check Umweg]]/Lose[[#This Row],[Check Distanz]],"")</f>
        <v>-1</v>
      </c>
      <c r="U403">
        <f ca="1">IF(RIGHT(Lose[[#This Row],[LosID]],1)="b",_xlfn.XLOOKUP(REPLACE(Lose[[#This Row],[LosID]],LEN(Lose[[#This Row],[LosID]]),1,"a"),Lose[LosID],Lose[Zufallszahl],"",0),RAND())</f>
        <v>0.85712716060914296</v>
      </c>
      <c r="V403" t="b" cm="1">
        <f t="array" aca="1" ref="V403" ca="1">Lose[[#This Row],[Zufallszahl]]&gt;=IFERROR(LARGE((LEFT(Lose[LosID],FIND("-",Lose[LosID])-1)=LEFT(Lose[[#This Row],[LosID]],FIND("-",Lose[[#This Row],[LosID]])-1))*Lose[Zufallszahl],_xlfn.XLOOKUP(LEFT(Lose[[#This Row],[LosID]],FIND("-",Lose[[#This Row],[LosID]])-1),Ziehungsanzahl[Kürzel],Ziehungsanzahl[Kontingent],FALSE,0)),9999)</f>
        <v>0</v>
      </c>
    </row>
    <row r="404" spans="1:23" hidden="1">
      <c r="A4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4" t="s">
        <v>23372</v>
      </c>
      <c r="C404" t="s">
        <v>1253</v>
      </c>
      <c r="D404" s="1" t="s">
        <v>24656</v>
      </c>
      <c r="F404" t="s">
        <v>24657</v>
      </c>
      <c r="K404" t="str" cm="1">
        <f t="array" ref="K4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Frankenberg(Sachs)</v>
      </c>
      <c r="L404" t="str">
        <f>IFERROR(LEFT(TRIM(Lose[[#This Row],[Google Koordinaten]]),9),"")</f>
        <v>50.911200</v>
      </c>
      <c r="M404" t="str">
        <f>IFERROR(MID(TRIM(Lose[[#This Row],[Google Koordinaten]]),
FIND(",",TRIM(Lose[[#This Row],[Google Koordinaten]])) + 2,9),"")</f>
        <v>13.043289</v>
      </c>
      <c r="N404" s="91">
        <f>IF(Lose[[#This Row],[Bahn-hofs-zeit]]=0,0,MROUND(30*25^((Lose[[#This Row],[Bahn-hofs-zeit]]-_xlfn.MINIFS(Lose[Bahn-hofs-zeit],Lose[Bahn-hofs-zeit],"&gt;0"))/(MAX(Lose[Bahn-hofs-zeit])-_xlfn.MINIFS(Lose[Bahn-hofs-zeit],Lose[Bahn-hofs-zeit],"&gt;0"))),5))</f>
        <v>0</v>
      </c>
      <c r="O404">
        <f>IF(Lose[[#This Row],[Gehzeit (min)]]="",0,CEILING(3*(Lose[[#This Row],[Gehzeit (min)]]+Lose[[#This Row],[Aufgaben-zeit (min)]]),5))</f>
        <v>0</v>
      </c>
      <c r="Q404" t="str">
        <f>IFERROR(ROUND(Lose[[#This Row],[Distanz (km)]]*60/Lose[[#This Row],[Gehzeit (min)]],1),"")</f>
        <v/>
      </c>
      <c r="R4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04">
        <f>IFERROR(Lose[[#This Row],[Distanz (km)]]-Lose[[#This Row],[Check Distanz]],"")</f>
        <v>-0.01</v>
      </c>
      <c r="T404" s="60">
        <f>IFERROR(Lose[[#This Row],[Check Umweg]]/Lose[[#This Row],[Check Distanz]],"")</f>
        <v>-1</v>
      </c>
      <c r="U404">
        <f ca="1">IF(RIGHT(Lose[[#This Row],[LosID]],1)="b",_xlfn.XLOOKUP(REPLACE(Lose[[#This Row],[LosID]],LEN(Lose[[#This Row],[LosID]]),1,"a"),Lose[LosID],Lose[Zufallszahl],"",0),RAND())</f>
        <v>0.85712716060914296</v>
      </c>
      <c r="V404" t="b" cm="1">
        <f t="array" aca="1" ref="V404" ca="1">Lose[[#This Row],[Zufallszahl]]&gt;=IFERROR(LARGE((LEFT(Lose[LosID],FIND("-",Lose[LosID])-1)=LEFT(Lose[[#This Row],[LosID]],FIND("-",Lose[[#This Row],[LosID]])-1))*Lose[Zufallszahl],_xlfn.XLOOKUP(LEFT(Lose[[#This Row],[LosID]],FIND("-",Lose[[#This Row],[LosID]])-1),Ziehungsanzahl[Kürzel],Ziehungsanzahl[Kontingent],FALSE,0)),9999)</f>
        <v>0</v>
      </c>
      <c r="W404" t="s">
        <v>23398</v>
      </c>
    </row>
    <row r="405" spans="1:23" hidden="1">
      <c r="A4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5" t="s">
        <v>4</v>
      </c>
      <c r="C405" t="s">
        <v>24658</v>
      </c>
      <c r="D405" s="1" t="s">
        <v>24659</v>
      </c>
      <c r="H405">
        <v>1</v>
      </c>
      <c r="K405" t="s">
        <v>15248</v>
      </c>
      <c r="L405" t="str">
        <f>IFERROR(LEFT(TRIM(Lose[[#This Row],[Google Koordinaten]]),9),"")</f>
        <v/>
      </c>
      <c r="M405" t="str">
        <f>IFERROR(MID(TRIM(Lose[[#This Row],[Google Koordinaten]]),
FIND(",",TRIM(Lose[[#This Row],[Google Koordinaten]])) + 2,9),"")</f>
        <v/>
      </c>
      <c r="N405">
        <f>IF(Lose[[#This Row],[Bahn-hofs-zeit]]=0,0,MROUND(30*25^((Lose[[#This Row],[Bahn-hofs-zeit]]-_xlfn.MINIFS(Lose[Bahn-hofs-zeit],Lose[Bahn-hofs-zeit],"&gt;0"))/(MAX(Lose[Bahn-hofs-zeit])-_xlfn.MINIFS(Lose[Bahn-hofs-zeit],Lose[Bahn-hofs-zeit],"&gt;0"))),5))</f>
        <v>165</v>
      </c>
      <c r="O405">
        <f>IF(Lose[[#This Row],[Gehzeit (min)]]="",0,CEILING(3*(Lose[[#This Row],[Gehzeit (min)]]+Lose[[#This Row],[Aufgaben-zeit (min)]]),5))</f>
        <v>0</v>
      </c>
      <c r="P405">
        <v>9.25</v>
      </c>
      <c r="Q405" t="str">
        <f>IFERROR(ROUND(Lose[[#This Row],[Distanz (km)]]*60/Lose[[#This Row],[Gehzeit (min)]],1),"")</f>
        <v/>
      </c>
      <c r="R40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05" t="str">
        <f>IFERROR(Lose[[#This Row],[Distanz (km)]]-Lose[[#This Row],[Check Distanz]],"")</f>
        <v/>
      </c>
      <c r="T405" s="60" t="str">
        <f>IFERROR(Lose[[#This Row],[Check Umweg]]/Lose[[#This Row],[Check Distanz]],"")</f>
        <v/>
      </c>
      <c r="U405">
        <f ca="1">IF(RIGHT(Lose[[#This Row],[LosID]],1)="b",_xlfn.XLOOKUP(REPLACE(Lose[[#This Row],[LosID]],LEN(Lose[[#This Row],[LosID]]),1,"a"),Lose[LosID],Lose[Zufallszahl],"",0),RAND())</f>
        <v>2.5894601876725876E-3</v>
      </c>
      <c r="V405" t="b" cm="1">
        <f t="array" aca="1" ref="V405" ca="1">Lose[[#This Row],[Zufallszahl]]&gt;=IFERROR(LARGE((LEFT(Lose[LosID],FIND("-",Lose[LosID])-1)=LEFT(Lose[[#This Row],[LosID]],FIND("-",Lose[[#This Row],[LosID]])-1))*Lose[Zufallszahl],_xlfn.XLOOKUP(LEFT(Lose[[#This Row],[LosID]],FIND("-",Lose[[#This Row],[LosID]])-1),Ziehungsanzahl[Kürzel],Ziehungsanzahl[Kontingent],FALSE,0)),9999)</f>
        <v>0</v>
      </c>
    </row>
    <row r="406" spans="1:23" hidden="1">
      <c r="A4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6" t="s">
        <v>4</v>
      </c>
      <c r="C406" t="s">
        <v>24660</v>
      </c>
      <c r="D406" s="1" t="s">
        <v>24661</v>
      </c>
      <c r="H406">
        <v>1</v>
      </c>
      <c r="K406" t="s">
        <v>1535</v>
      </c>
      <c r="L406" t="str">
        <f>IFERROR(LEFT(TRIM(Lose[[#This Row],[Google Koordinaten]]),9),"")</f>
        <v/>
      </c>
      <c r="M406" t="str">
        <f>IFERROR(MID(TRIM(Lose[[#This Row],[Google Koordinaten]]),
FIND(",",TRIM(Lose[[#This Row],[Google Koordinaten]])) + 2,9),"")</f>
        <v/>
      </c>
      <c r="N406">
        <f>IF(Lose[[#This Row],[Bahn-hofs-zeit]]=0,0,MROUND(30*25^((Lose[[#This Row],[Bahn-hofs-zeit]]-_xlfn.MINIFS(Lose[Bahn-hofs-zeit],Lose[Bahn-hofs-zeit],"&gt;0"))/(MAX(Lose[Bahn-hofs-zeit])-_xlfn.MINIFS(Lose[Bahn-hofs-zeit],Lose[Bahn-hofs-zeit],"&gt;0"))),5))</f>
        <v>55</v>
      </c>
      <c r="O406">
        <f>IF(Lose[[#This Row],[Gehzeit (min)]]="",0,CEILING(3*(Lose[[#This Row],[Gehzeit (min)]]+Lose[[#This Row],[Aufgaben-zeit (min)]]),5))</f>
        <v>0</v>
      </c>
      <c r="P406">
        <v>5.5</v>
      </c>
      <c r="Q406" t="str">
        <f>IFERROR(ROUND(Lose[[#This Row],[Distanz (km)]]*60/Lose[[#This Row],[Gehzeit (min)]],1),"")</f>
        <v/>
      </c>
      <c r="R40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06" t="str">
        <f>IFERROR(Lose[[#This Row],[Distanz (km)]]-Lose[[#This Row],[Check Distanz]],"")</f>
        <v/>
      </c>
      <c r="T406" s="60" t="str">
        <f>IFERROR(Lose[[#This Row],[Check Umweg]]/Lose[[#This Row],[Check Distanz]],"")</f>
        <v/>
      </c>
      <c r="U406">
        <f ca="1">IF(RIGHT(Lose[[#This Row],[LosID]],1)="b",_xlfn.XLOOKUP(REPLACE(Lose[[#This Row],[LosID]],LEN(Lose[[#This Row],[LosID]]),1,"a"),Lose[LosID],Lose[Zufallszahl],"",0),RAND())</f>
        <v>2.5894601876725876E-3</v>
      </c>
      <c r="V406" t="b" cm="1">
        <f t="array" aca="1" ref="V406" ca="1">Lose[[#This Row],[Zufallszahl]]&gt;=IFERROR(LARGE((LEFT(Lose[LosID],FIND("-",Lose[LosID])-1)=LEFT(Lose[[#This Row],[LosID]],FIND("-",Lose[[#This Row],[LosID]])-1))*Lose[Zufallszahl],_xlfn.XLOOKUP(LEFT(Lose[[#This Row],[LosID]],FIND("-",Lose[[#This Row],[LosID]])-1),Ziehungsanzahl[Kürzel],Ziehungsanzahl[Kontingent],FALSE,0)),9999)</f>
        <v>0</v>
      </c>
    </row>
    <row r="407" spans="1:23" ht="30" hidden="1">
      <c r="A4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7" t="s">
        <v>23357</v>
      </c>
      <c r="C407" t="s">
        <v>24662</v>
      </c>
      <c r="D407" s="1" t="s">
        <v>24663</v>
      </c>
      <c r="E407" t="s">
        <v>24664</v>
      </c>
      <c r="F407" t="s">
        <v>24665</v>
      </c>
      <c r="G407">
        <v>10</v>
      </c>
      <c r="H407">
        <v>2</v>
      </c>
      <c r="I407">
        <v>0.75</v>
      </c>
      <c r="K407" t="str" cm="1">
        <f t="array" ref="K4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Stendal Hbf</v>
      </c>
      <c r="L407" t="str">
        <f>IFERROR(LEFT(TRIM(Lose[[#This Row],[Google Koordinaten]]),9),"")</f>
        <v>52.596776</v>
      </c>
      <c r="M407" t="str">
        <f>IFERROR(MID(TRIM(Lose[[#This Row],[Google Koordinaten]]),
FIND(",",TRIM(Lose[[#This Row],[Google Koordinaten]])) + 2,9),"")</f>
        <v>11.848160</v>
      </c>
      <c r="N407">
        <f>IF(Lose[[#This Row],[Bahn-hofs-zeit]]=0,0,MROUND(30*25^((Lose[[#This Row],[Bahn-hofs-zeit]]-_xlfn.MINIFS(Lose[Bahn-hofs-zeit],Lose[Bahn-hofs-zeit],"&gt;0"))/(MAX(Lose[Bahn-hofs-zeit])-_xlfn.MINIFS(Lose[Bahn-hofs-zeit],Lose[Bahn-hofs-zeit],"&gt;0"))),5))</f>
        <v>95</v>
      </c>
      <c r="O407">
        <f>IF(Lose[[#This Row],[Gehzeit (min)]]="",0,CEILING(3*(Lose[[#This Row],[Gehzeit (min)]]+Lose[[#This Row],[Aufgaben-zeit (min)]]),5))</f>
        <v>40</v>
      </c>
      <c r="P407">
        <v>7.25</v>
      </c>
      <c r="Q407">
        <f>IFERROR(ROUND(Lose[[#This Row],[Distanz (km)]]*60/Lose[[#This Row],[Gehzeit (min)]],1),"")</f>
        <v>4.5</v>
      </c>
      <c r="R4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407">
        <f>IFERROR(Lose[[#This Row],[Distanz (km)]]-Lose[[#This Row],[Check Distanz]],"")</f>
        <v>0.27</v>
      </c>
      <c r="T407" s="60">
        <f>IFERROR(Lose[[#This Row],[Check Umweg]]/Lose[[#This Row],[Check Distanz]],"")</f>
        <v>0.56250000000000011</v>
      </c>
      <c r="U407">
        <f ca="1">IF(RIGHT(Lose[[#This Row],[LosID]],1)="b",_xlfn.XLOOKUP(REPLACE(Lose[[#This Row],[LosID]],LEN(Lose[[#This Row],[LosID]]),1,"a"),Lose[LosID],Lose[Zufallszahl],"",0),RAND())</f>
        <v>8.2603241563368623E-2</v>
      </c>
      <c r="V407" t="b" cm="1">
        <f t="array" aca="1" ref="V407" ca="1">Lose[[#This Row],[Zufallszahl]]&gt;=IFERROR(LARGE((LEFT(Lose[LosID],FIND("-",Lose[LosID])-1)=LEFT(Lose[[#This Row],[LosID]],FIND("-",Lose[[#This Row],[LosID]])-1))*Lose[Zufallszahl],_xlfn.XLOOKUP(LEFT(Lose[[#This Row],[LosID]],FIND("-",Lose[[#This Row],[LosID]])-1),Ziehungsanzahl[Kürzel],Ziehungsanzahl[Kontingent],FALSE,0)),9999)</f>
        <v>0</v>
      </c>
    </row>
    <row r="408" spans="1:23" ht="30" hidden="1">
      <c r="A4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8" t="s">
        <v>23357</v>
      </c>
      <c r="C408" t="s">
        <v>24666</v>
      </c>
      <c r="D408" s="1" t="s">
        <v>24667</v>
      </c>
      <c r="E408" t="s">
        <v>24668</v>
      </c>
      <c r="F408" t="s">
        <v>24669</v>
      </c>
      <c r="G408">
        <v>8</v>
      </c>
      <c r="H408">
        <v>1</v>
      </c>
      <c r="I408">
        <v>0.6</v>
      </c>
      <c r="K408" t="str" cm="1">
        <f t="array" ref="K4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Lemgo</v>
      </c>
      <c r="L408" t="str">
        <f>IFERROR(LEFT(TRIM(Lose[[#This Row],[Google Koordinaten]]),9),"")</f>
        <v>52.027651</v>
      </c>
      <c r="M408" t="str">
        <f>IFERROR(MID(TRIM(Lose[[#This Row],[Google Koordinaten]]),
FIND(",",TRIM(Lose[[#This Row],[Google Koordinaten]])) + 2,9),"")</f>
        <v>8.8937494</v>
      </c>
      <c r="N408">
        <f>IF(Lose[[#This Row],[Bahn-hofs-zeit]]=0,0,MROUND(30*25^((Lose[[#This Row],[Bahn-hofs-zeit]]-_xlfn.MINIFS(Lose[Bahn-hofs-zeit],Lose[Bahn-hofs-zeit],"&gt;0"))/(MAX(Lose[Bahn-hofs-zeit])-_xlfn.MINIFS(Lose[Bahn-hofs-zeit],Lose[Bahn-hofs-zeit],"&gt;0"))),5))</f>
        <v>95</v>
      </c>
      <c r="O408">
        <f>IF(Lose[[#This Row],[Gehzeit (min)]]="",0,CEILING(3*(Lose[[#This Row],[Gehzeit (min)]]+Lose[[#This Row],[Aufgaben-zeit (min)]]),5))</f>
        <v>30</v>
      </c>
      <c r="P408">
        <v>7.25</v>
      </c>
      <c r="Q408">
        <f>IFERROR(ROUND(Lose[[#This Row],[Distanz (km)]]*60/Lose[[#This Row],[Gehzeit (min)]],1),"")</f>
        <v>4.5</v>
      </c>
      <c r="R4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408">
        <f>IFERROR(Lose[[#This Row],[Distanz (km)]]-Lose[[#This Row],[Check Distanz]],"")</f>
        <v>1.0000000000000009E-2</v>
      </c>
      <c r="T408" s="60">
        <f>IFERROR(Lose[[#This Row],[Check Umweg]]/Lose[[#This Row],[Check Distanz]],"")</f>
        <v>1.6949152542372899E-2</v>
      </c>
      <c r="U408">
        <f ca="1">IF(RIGHT(Lose[[#This Row],[LosID]],1)="b",_xlfn.XLOOKUP(REPLACE(Lose[[#This Row],[LosID]],LEN(Lose[[#This Row],[LosID]]),1,"a"),Lose[LosID],Lose[Zufallszahl],"",0),RAND())</f>
        <v>8.2603241563368623E-2</v>
      </c>
      <c r="V408" t="b" cm="1">
        <f t="array" aca="1" ref="V408" ca="1">Lose[[#This Row],[Zufallszahl]]&gt;=IFERROR(LARGE((LEFT(Lose[LosID],FIND("-",Lose[LosID])-1)=LEFT(Lose[[#This Row],[LosID]],FIND("-",Lose[[#This Row],[LosID]])-1))*Lose[Zufallszahl],_xlfn.XLOOKUP(LEFT(Lose[[#This Row],[LosID]],FIND("-",Lose[[#This Row],[LosID]])-1),Ziehungsanzahl[Kürzel],Ziehungsanzahl[Kontingent],FALSE,0)),9999)</f>
        <v>0</v>
      </c>
    </row>
    <row r="409" spans="1:23" hidden="1">
      <c r="A4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9" t="s">
        <v>23352</v>
      </c>
      <c r="C409" t="s">
        <v>1254</v>
      </c>
      <c r="D409" s="1" t="s">
        <v>24670</v>
      </c>
      <c r="H409">
        <v>1</v>
      </c>
      <c r="K409" t="s">
        <v>22277</v>
      </c>
      <c r="L409" t="str">
        <f>IFERROR(LEFT(TRIM(Lose[[#This Row],[Google Koordinaten]]),9),"")</f>
        <v/>
      </c>
      <c r="M409" t="str">
        <f>IFERROR(MID(TRIM(Lose[[#This Row],[Google Koordinaten]]),
FIND(",",TRIM(Lose[[#This Row],[Google Koordinaten]])) + 2,9),"")</f>
        <v/>
      </c>
      <c r="N409">
        <f>IF(Lose[[#This Row],[Bahn-hofs-zeit]]=0,0,MROUND(30*25^((Lose[[#This Row],[Bahn-hofs-zeit]]-_xlfn.MINIFS(Lose[Bahn-hofs-zeit],Lose[Bahn-hofs-zeit],"&gt;0"))/(MAX(Lose[Bahn-hofs-zeit])-_xlfn.MINIFS(Lose[Bahn-hofs-zeit],Lose[Bahn-hofs-zeit],"&gt;0"))),5))</f>
        <v>145</v>
      </c>
      <c r="O409">
        <f>IF(Lose[[#This Row],[Gehzeit (min)]]="",0,CEILING(3*(Lose[[#This Row],[Gehzeit (min)]]+Lose[[#This Row],[Aufgaben-zeit (min)]]),5))</f>
        <v>0</v>
      </c>
      <c r="P409">
        <v>8.75</v>
      </c>
      <c r="Q409" t="str">
        <f>IFERROR(ROUND(Lose[[#This Row],[Distanz (km)]]*60/Lose[[#This Row],[Gehzeit (min)]],1),"")</f>
        <v/>
      </c>
      <c r="R40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09" t="str">
        <f>IFERROR(Lose[[#This Row],[Distanz (km)]]-Lose[[#This Row],[Check Distanz]],"")</f>
        <v/>
      </c>
      <c r="T409" s="60" t="str">
        <f>IFERROR(Lose[[#This Row],[Check Umweg]]/Lose[[#This Row],[Check Distanz]],"")</f>
        <v/>
      </c>
      <c r="U409">
        <f ca="1">IF(RIGHT(Lose[[#This Row],[LosID]],1)="b",_xlfn.XLOOKUP(REPLACE(Lose[[#This Row],[LosID]],LEN(Lose[[#This Row],[LosID]]),1,"a"),Lose[LosID],Lose[Zufallszahl],"",0),RAND())</f>
        <v>0.32712956324112663</v>
      </c>
      <c r="V409" t="b" cm="1">
        <f t="array" aca="1" ref="V409" ca="1">Lose[[#This Row],[Zufallszahl]]&gt;=IFERROR(LARGE((LEFT(Lose[LosID],FIND("-",Lose[LosID])-1)=LEFT(Lose[[#This Row],[LosID]],FIND("-",Lose[[#This Row],[LosID]])-1))*Lose[Zufallszahl],_xlfn.XLOOKUP(LEFT(Lose[[#This Row],[LosID]],FIND("-",Lose[[#This Row],[LosID]])-1),Ziehungsanzahl[Kürzel],Ziehungsanzahl[Kontingent],FALSE,0)),9999)</f>
        <v>0</v>
      </c>
    </row>
    <row r="410" spans="1:23" hidden="1">
      <c r="A4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0" t="s">
        <v>23352</v>
      </c>
      <c r="C410" t="s">
        <v>1255</v>
      </c>
      <c r="D410" s="1" t="s">
        <v>24671</v>
      </c>
      <c r="H410">
        <v>1</v>
      </c>
      <c r="K410" t="s">
        <v>15725</v>
      </c>
      <c r="L410" t="str">
        <f>IFERROR(LEFT(TRIM(Lose[[#This Row],[Google Koordinaten]]),9),"")</f>
        <v/>
      </c>
      <c r="M410" t="str">
        <f>IFERROR(MID(TRIM(Lose[[#This Row],[Google Koordinaten]]),
FIND(",",TRIM(Lose[[#This Row],[Google Koordinaten]])) + 2,9),"")</f>
        <v/>
      </c>
      <c r="N410">
        <f>IF(Lose[[#This Row],[Bahn-hofs-zeit]]=0,0,MROUND(30*25^((Lose[[#This Row],[Bahn-hofs-zeit]]-_xlfn.MINIFS(Lose[Bahn-hofs-zeit],Lose[Bahn-hofs-zeit],"&gt;0"))/(MAX(Lose[Bahn-hofs-zeit])-_xlfn.MINIFS(Lose[Bahn-hofs-zeit],Lose[Bahn-hofs-zeit],"&gt;0"))),5))</f>
        <v>60</v>
      </c>
      <c r="O410">
        <f>IF(Lose[[#This Row],[Gehzeit (min)]]="",0,CEILING(3*(Lose[[#This Row],[Gehzeit (min)]]+Lose[[#This Row],[Aufgaben-zeit (min)]]),5))</f>
        <v>0</v>
      </c>
      <c r="P410">
        <v>5.75</v>
      </c>
      <c r="Q410" t="str">
        <f>IFERROR(ROUND(Lose[[#This Row],[Distanz (km)]]*60/Lose[[#This Row],[Gehzeit (min)]],1),"")</f>
        <v/>
      </c>
      <c r="R41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10" t="str">
        <f>IFERROR(Lose[[#This Row],[Distanz (km)]]-Lose[[#This Row],[Check Distanz]],"")</f>
        <v/>
      </c>
      <c r="T410" s="60" t="str">
        <f>IFERROR(Lose[[#This Row],[Check Umweg]]/Lose[[#This Row],[Check Distanz]],"")</f>
        <v/>
      </c>
      <c r="U410">
        <f ca="1">IF(RIGHT(Lose[[#This Row],[LosID]],1)="b",_xlfn.XLOOKUP(REPLACE(Lose[[#This Row],[LosID]],LEN(Lose[[#This Row],[LosID]]),1,"a"),Lose[LosID],Lose[Zufallszahl],"",0),RAND())</f>
        <v>0.32712956324112663</v>
      </c>
      <c r="V410" t="b" cm="1">
        <f t="array" aca="1" ref="V410" ca="1">Lose[[#This Row],[Zufallszahl]]&gt;=IFERROR(LARGE((LEFT(Lose[LosID],FIND("-",Lose[LosID])-1)=LEFT(Lose[[#This Row],[LosID]],FIND("-",Lose[[#This Row],[LosID]])-1))*Lose[Zufallszahl],_xlfn.XLOOKUP(LEFT(Lose[[#This Row],[LosID]],FIND("-",Lose[[#This Row],[LosID]])-1),Ziehungsanzahl[Kürzel],Ziehungsanzahl[Kontingent],FALSE,0)),9999)</f>
        <v>0</v>
      </c>
    </row>
    <row r="411" spans="1:23" hidden="1">
      <c r="A4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1" t="s">
        <v>23380</v>
      </c>
      <c r="C411" t="s">
        <v>24672</v>
      </c>
      <c r="D411" s="1" t="s">
        <v>24673</v>
      </c>
      <c r="F411" t="s">
        <v>24674</v>
      </c>
      <c r="K411" t="str" cm="1">
        <f t="array" ref="K4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Kiel Hbf</v>
      </c>
      <c r="L411" t="str">
        <f>IFERROR(LEFT(TRIM(Lose[[#This Row],[Google Koordinaten]]),9),"")</f>
        <v>54.315612</v>
      </c>
      <c r="M411" t="str">
        <f>IFERROR(MID(TRIM(Lose[[#This Row],[Google Koordinaten]]),
FIND(",",TRIM(Lose[[#This Row],[Google Koordinaten]])) + 2,9),"")</f>
        <v>10.131347</v>
      </c>
      <c r="N411">
        <f>IF(Lose[[#This Row],[Bahn-hofs-zeit]]=0,0,MROUND(30*25^((Lose[[#This Row],[Bahn-hofs-zeit]]-_xlfn.MINIFS(Lose[Bahn-hofs-zeit],Lose[Bahn-hofs-zeit],"&gt;0"))/(MAX(Lose[Bahn-hofs-zeit])-_xlfn.MINIFS(Lose[Bahn-hofs-zeit],Lose[Bahn-hofs-zeit],"&gt;0"))),5))</f>
        <v>180</v>
      </c>
      <c r="O411">
        <f>IF(Lose[[#This Row],[Gehzeit (min)]]="",0,CEILING(3*(Lose[[#This Row],[Gehzeit (min)]]+Lose[[#This Row],[Aufgaben-zeit (min)]]),5))</f>
        <v>0</v>
      </c>
      <c r="P411">
        <v>9.5</v>
      </c>
      <c r="Q411" t="str">
        <f>IFERROR(ROUND(Lose[[#This Row],[Distanz (km)]]*60/Lose[[#This Row],[Gehzeit (min)]],1),"")</f>
        <v/>
      </c>
      <c r="R4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411">
        <f>IFERROR(Lose[[#This Row],[Distanz (km)]]-Lose[[#This Row],[Check Distanz]],"")</f>
        <v>-0.08</v>
      </c>
      <c r="T411" s="60">
        <f>IFERROR(Lose[[#This Row],[Check Umweg]]/Lose[[#This Row],[Check Distanz]],"")</f>
        <v>-1</v>
      </c>
      <c r="U411">
        <f ca="1">IF(RIGHT(Lose[[#This Row],[LosID]],1)="b",_xlfn.XLOOKUP(REPLACE(Lose[[#This Row],[LosID]],LEN(Lose[[#This Row],[LosID]]),1,"a"),Lose[LosID],Lose[Zufallszahl],"",0),RAND())</f>
        <v>0.1482065504397414</v>
      </c>
      <c r="V411" t="b" cm="1">
        <f t="array" aca="1" ref="V411" ca="1">Lose[[#This Row],[Zufallszahl]]&gt;=IFERROR(LARGE((LEFT(Lose[LosID],FIND("-",Lose[LosID])-1)=LEFT(Lose[[#This Row],[LosID]],FIND("-",Lose[[#This Row],[LosID]])-1))*Lose[Zufallszahl],_xlfn.XLOOKUP(LEFT(Lose[[#This Row],[LosID]],FIND("-",Lose[[#This Row],[LosID]])-1),Ziehungsanzahl[Kürzel],Ziehungsanzahl[Kontingent],FALSE,0)),9999)</f>
        <v>0</v>
      </c>
    </row>
    <row r="412" spans="1:23" hidden="1">
      <c r="A4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2" t="s">
        <v>23380</v>
      </c>
      <c r="C412" t="s">
        <v>24675</v>
      </c>
      <c r="D412" s="1" t="s">
        <v>24676</v>
      </c>
      <c r="E412" s="1"/>
      <c r="F412" t="s">
        <v>24677</v>
      </c>
      <c r="K412" t="str" cm="1">
        <f t="array" ref="K4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Stralsund Hbf</v>
      </c>
      <c r="L412" t="str">
        <f>IFERROR(LEFT(TRIM(Lose[[#This Row],[Google Koordinaten]]),9),"")</f>
        <v>54.308866</v>
      </c>
      <c r="M412" t="str">
        <f>IFERROR(MID(TRIM(Lose[[#This Row],[Google Koordinaten]]),
FIND(",",TRIM(Lose[[#This Row],[Google Koordinaten]])) + 2,9),"")</f>
        <v>13.077582</v>
      </c>
      <c r="N412" s="91">
        <f>IF(Lose[[#This Row],[Bahn-hofs-zeit]]=0,0,MROUND(30*25^((Lose[[#This Row],[Bahn-hofs-zeit]]-_xlfn.MINIFS(Lose[Bahn-hofs-zeit],Lose[Bahn-hofs-zeit],"&gt;0"))/(MAX(Lose[Bahn-hofs-zeit])-_xlfn.MINIFS(Lose[Bahn-hofs-zeit],Lose[Bahn-hofs-zeit],"&gt;0"))),5))</f>
        <v>0</v>
      </c>
      <c r="O412">
        <f>IF(Lose[[#This Row],[Gehzeit (min)]]="",0,CEILING(3*(Lose[[#This Row],[Gehzeit (min)]]+Lose[[#This Row],[Aufgaben-zeit (min)]]),5))</f>
        <v>0</v>
      </c>
      <c r="Q412" t="str">
        <f>IFERROR(ROUND(Lose[[#This Row],[Distanz (km)]]*60/Lose[[#This Row],[Gehzeit (min)]],1),"")</f>
        <v/>
      </c>
      <c r="R4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412">
        <f>IFERROR(Lose[[#This Row],[Distanz (km)]]-Lose[[#This Row],[Check Distanz]],"")</f>
        <v>-0.03</v>
      </c>
      <c r="T412" s="60">
        <f>IFERROR(Lose[[#This Row],[Check Umweg]]/Lose[[#This Row],[Check Distanz]],"")</f>
        <v>-1</v>
      </c>
      <c r="U412">
        <f ca="1">IF(RIGHT(Lose[[#This Row],[LosID]],1)="b",_xlfn.XLOOKUP(REPLACE(Lose[[#This Row],[LosID]],LEN(Lose[[#This Row],[LosID]]),1,"a"),Lose[LosID],Lose[Zufallszahl],"",0),RAND())</f>
        <v>0.1482065504397414</v>
      </c>
      <c r="V412" t="b" cm="1">
        <f t="array" aca="1" ref="V412" ca="1">Lose[[#This Row],[Zufallszahl]]&gt;=IFERROR(LARGE((LEFT(Lose[LosID],FIND("-",Lose[LosID])-1)=LEFT(Lose[[#This Row],[LosID]],FIND("-",Lose[[#This Row],[LosID]])-1))*Lose[Zufallszahl],_xlfn.XLOOKUP(LEFT(Lose[[#This Row],[LosID]],FIND("-",Lose[[#This Row],[LosID]])-1),Ziehungsanzahl[Kürzel],Ziehungsanzahl[Kontingent],FALSE,0)),9999)</f>
        <v>0</v>
      </c>
      <c r="W412" t="s">
        <v>23398</v>
      </c>
    </row>
    <row r="413" spans="1:23">
      <c r="A4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3" t="s">
        <v>23385</v>
      </c>
      <c r="C413" t="s">
        <v>1256</v>
      </c>
      <c r="D413" s="1" t="s">
        <v>25356</v>
      </c>
      <c r="E413" t="s">
        <v>25360</v>
      </c>
      <c r="F413" t="s">
        <v>25361</v>
      </c>
      <c r="K413" t="str" cm="1">
        <f t="array" ref="K4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Wittenberge</v>
      </c>
      <c r="L413" t="str">
        <f>IFERROR(LEFT(TRIM(Lose[[#This Row],[Google Koordinaten]]),9),"")</f>
        <v>53.002456</v>
      </c>
      <c r="M413" t="str">
        <f>IFERROR(MID(TRIM(Lose[[#This Row],[Google Koordinaten]]),
FIND(",",TRIM(Lose[[#This Row],[Google Koordinaten]])) + 2,9),"")</f>
        <v>11.762482</v>
      </c>
      <c r="N413">
        <f>IF(Lose[[#This Row],[Bahn-hofs-zeit]]=0,0,MROUND(30*25^((Lose[[#This Row],[Bahn-hofs-zeit]]-_xlfn.MINIFS(Lose[Bahn-hofs-zeit],Lose[Bahn-hofs-zeit],"&gt;0"))/(MAX(Lose[Bahn-hofs-zeit])-_xlfn.MINIFS(Lose[Bahn-hofs-zeit],Lose[Bahn-hofs-zeit],"&gt;0"))),5))</f>
        <v>0</v>
      </c>
      <c r="O413">
        <f>IF(Lose[[#This Row],[Gehzeit (min)]]="",0,CEILING(3*(Lose[[#This Row],[Gehzeit (min)]]+Lose[[#This Row],[Aufgaben-zeit (min)]]),5))</f>
        <v>0</v>
      </c>
      <c r="Q413" t="str">
        <f>IFERROR(ROUND(Lose[[#This Row],[Distanz (km)]]*60/Lose[[#This Row],[Gehzeit (min)]],1),"")</f>
        <v/>
      </c>
      <c r="R4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413">
        <f>IFERROR(Lose[[#This Row],[Distanz (km)]]-Lose[[#This Row],[Check Distanz]],"")</f>
        <v>-0.08</v>
      </c>
      <c r="T413" s="60">
        <f>IFERROR(Lose[[#This Row],[Check Umweg]]/Lose[[#This Row],[Check Distanz]],"")</f>
        <v>-1</v>
      </c>
      <c r="U413">
        <f ca="1">IF(RIGHT(Lose[[#This Row],[LosID]],1)="b",_xlfn.XLOOKUP(REPLACE(Lose[[#This Row],[LosID]],LEN(Lose[[#This Row],[LosID]]),1,"a"),Lose[LosID],Lose[Zufallszahl],"",0),RAND())</f>
        <v>0.24174169716373772</v>
      </c>
      <c r="V413" t="b" cm="1">
        <f t="array" aca="1" ref="V413" ca="1">Lose[[#This Row],[Zufallszahl]]&gt;=IFERROR(LARGE((LEFT(Lose[LosID],FIND("-",Lose[LosID])-1)=LEFT(Lose[[#This Row],[LosID]],FIND("-",Lose[[#This Row],[LosID]])-1))*Lose[Zufallszahl],_xlfn.XLOOKUP(LEFT(Lose[[#This Row],[LosID]],FIND("-",Lose[[#This Row],[LosID]])-1),Ziehungsanzahl[Kürzel],Ziehungsanzahl[Kontingent],FALSE,0)),9999)</f>
        <v>0</v>
      </c>
    </row>
    <row r="414" spans="1:23">
      <c r="A4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4" t="s">
        <v>23385</v>
      </c>
      <c r="C414" t="s">
        <v>1257</v>
      </c>
      <c r="D414" s="1" t="s">
        <v>25357</v>
      </c>
      <c r="E414" t="s">
        <v>25358</v>
      </c>
      <c r="F414" t="s">
        <v>25359</v>
      </c>
      <c r="K414" t="str" cm="1">
        <f t="array" ref="K4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Elmshorn</v>
      </c>
      <c r="L414" t="str">
        <f>IFERROR(LEFT(TRIM(Lose[[#This Row],[Google Koordinaten]]),9),"")</f>
        <v>53.754530</v>
      </c>
      <c r="M414" t="str">
        <f>IFERROR(MID(TRIM(Lose[[#This Row],[Google Koordinaten]]),
FIND(",",TRIM(Lose[[#This Row],[Google Koordinaten]])) + 2,9),"")</f>
        <v>9.6591515</v>
      </c>
      <c r="N414">
        <f>IF(Lose[[#This Row],[Bahn-hofs-zeit]]=0,0,MROUND(30*25^((Lose[[#This Row],[Bahn-hofs-zeit]]-_xlfn.MINIFS(Lose[Bahn-hofs-zeit],Lose[Bahn-hofs-zeit],"&gt;0"))/(MAX(Lose[Bahn-hofs-zeit])-_xlfn.MINIFS(Lose[Bahn-hofs-zeit],Lose[Bahn-hofs-zeit],"&gt;0"))),5))</f>
        <v>0</v>
      </c>
      <c r="O414">
        <f>IF(Lose[[#This Row],[Gehzeit (min)]]="",0,CEILING(3*(Lose[[#This Row],[Gehzeit (min)]]+Lose[[#This Row],[Aufgaben-zeit (min)]]),5))</f>
        <v>0</v>
      </c>
      <c r="Q414" t="str">
        <f>IFERROR(ROUND(Lose[[#This Row],[Distanz (km)]]*60/Lose[[#This Row],[Gehzeit (min)]],1),"")</f>
        <v/>
      </c>
      <c r="R4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414">
        <f>IFERROR(Lose[[#This Row],[Distanz (km)]]-Lose[[#This Row],[Check Distanz]],"")</f>
        <v>-0.06</v>
      </c>
      <c r="T414" s="60">
        <f>IFERROR(Lose[[#This Row],[Check Umweg]]/Lose[[#This Row],[Check Distanz]],"")</f>
        <v>-1</v>
      </c>
      <c r="U414">
        <f ca="1">IF(RIGHT(Lose[[#This Row],[LosID]],1)="b",_xlfn.XLOOKUP(REPLACE(Lose[[#This Row],[LosID]],LEN(Lose[[#This Row],[LosID]]),1,"a"),Lose[LosID],Lose[Zufallszahl],"",0),RAND())</f>
        <v>0.24174169716373772</v>
      </c>
      <c r="V414" t="b" cm="1">
        <f t="array" aca="1" ref="V414" ca="1">Lose[[#This Row],[Zufallszahl]]&gt;=IFERROR(LARGE((LEFT(Lose[LosID],FIND("-",Lose[LosID])-1)=LEFT(Lose[[#This Row],[LosID]],FIND("-",Lose[[#This Row],[LosID]])-1))*Lose[Zufallszahl],_xlfn.XLOOKUP(LEFT(Lose[[#This Row],[LosID]],FIND("-",Lose[[#This Row],[LosID]])-1),Ziehungsanzahl[Kürzel],Ziehungsanzahl[Kontingent],FALSE,0)),9999)</f>
        <v>0</v>
      </c>
    </row>
    <row r="415" spans="1:23" ht="45" hidden="1">
      <c r="A4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5" t="s">
        <v>23390</v>
      </c>
      <c r="C415" t="s">
        <v>24678</v>
      </c>
      <c r="D415" s="102" t="s">
        <v>24679</v>
      </c>
      <c r="K415" t="s">
        <v>960</v>
      </c>
      <c r="L415" t="str">
        <f>IFERROR(LEFT(TRIM(Lose[[#This Row],[Google Koordinaten]]),9),"")</f>
        <v/>
      </c>
      <c r="M415" t="str">
        <f>IFERROR(MID(TRIM(Lose[[#This Row],[Google Koordinaten]]),
FIND(",",TRIM(Lose[[#This Row],[Google Koordinaten]])) + 2,9),"")</f>
        <v/>
      </c>
      <c r="N415">
        <f>IF(Lose[[#This Row],[Bahn-hofs-zeit]]=0,0,MROUND(30*25^((Lose[[#This Row],[Bahn-hofs-zeit]]-_xlfn.MINIFS(Lose[Bahn-hofs-zeit],Lose[Bahn-hofs-zeit],"&gt;0"))/(MAX(Lose[Bahn-hofs-zeit])-_xlfn.MINIFS(Lose[Bahn-hofs-zeit],Lose[Bahn-hofs-zeit],"&gt;0"))),5))</f>
        <v>125</v>
      </c>
      <c r="O415">
        <f>IF(Lose[[#This Row],[Gehzeit (min)]]="",0,CEILING(3*(Lose[[#This Row],[Gehzeit (min)]]+Lose[[#This Row],[Aufgaben-zeit (min)]]),5))</f>
        <v>0</v>
      </c>
      <c r="P415">
        <v>8.25</v>
      </c>
      <c r="Q415" t="str">
        <f>IFERROR(ROUND(Lose[[#This Row],[Distanz (km)]]*60/Lose[[#This Row],[Gehzeit (min)]],1),"")</f>
        <v/>
      </c>
      <c r="R41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15" t="str">
        <f>IFERROR(Lose[[#This Row],[Distanz (km)]]-Lose[[#This Row],[Check Distanz]],"")</f>
        <v/>
      </c>
      <c r="T415" s="60" t="str">
        <f>IFERROR(Lose[[#This Row],[Check Umweg]]/Lose[[#This Row],[Check Distanz]],"")</f>
        <v/>
      </c>
      <c r="U415">
        <f ca="1">IF(RIGHT(Lose[[#This Row],[LosID]],1)="b",_xlfn.XLOOKUP(REPLACE(Lose[[#This Row],[LosID]],LEN(Lose[[#This Row],[LosID]]),1,"a"),Lose[LosID],Lose[Zufallszahl],"",0),RAND())</f>
        <v>0.35643646216069746</v>
      </c>
      <c r="V415" t="b" cm="1">
        <f t="array" aca="1" ref="V415" ca="1">Lose[[#This Row],[Zufallszahl]]&gt;=IFERROR(LARGE((LEFT(Lose[LosID],FIND("-",Lose[LosID])-1)=LEFT(Lose[[#This Row],[LosID]],FIND("-",Lose[[#This Row],[LosID]])-1))*Lose[Zufallszahl],_xlfn.XLOOKUP(LEFT(Lose[[#This Row],[LosID]],FIND("-",Lose[[#This Row],[LosID]])-1),Ziehungsanzahl[Kürzel],Ziehungsanzahl[Kontingent],FALSE,0)),9999)</f>
        <v>0</v>
      </c>
    </row>
    <row r="416" spans="1:23" ht="45" hidden="1">
      <c r="A4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6" t="s">
        <v>23390</v>
      </c>
      <c r="C416" t="s">
        <v>24680</v>
      </c>
      <c r="D416" s="104" t="s">
        <v>24681</v>
      </c>
      <c r="K416" t="s">
        <v>5329</v>
      </c>
      <c r="L416" t="str">
        <f>IFERROR(LEFT(TRIM(Lose[[#This Row],[Google Koordinaten]]),9),"")</f>
        <v/>
      </c>
      <c r="M416" t="str">
        <f>IFERROR(MID(TRIM(Lose[[#This Row],[Google Koordinaten]]),
FIND(",",TRIM(Lose[[#This Row],[Google Koordinaten]])) + 2,9),"")</f>
        <v/>
      </c>
      <c r="N416">
        <f>IF(Lose[[#This Row],[Bahn-hofs-zeit]]=0,0,MROUND(30*25^((Lose[[#This Row],[Bahn-hofs-zeit]]-_xlfn.MINIFS(Lose[Bahn-hofs-zeit],Lose[Bahn-hofs-zeit],"&gt;0"))/(MAX(Lose[Bahn-hofs-zeit])-_xlfn.MINIFS(Lose[Bahn-hofs-zeit],Lose[Bahn-hofs-zeit],"&gt;0"))),5))</f>
        <v>295</v>
      </c>
      <c r="O416">
        <f>IF(Lose[[#This Row],[Gehzeit (min)]]="",0,CEILING(3*(Lose[[#This Row],[Gehzeit (min)]]+Lose[[#This Row],[Aufgaben-zeit (min)]]),5))</f>
        <v>0</v>
      </c>
      <c r="P416">
        <v>11.25</v>
      </c>
      <c r="Q416" t="str">
        <f>IFERROR(ROUND(Lose[[#This Row],[Distanz (km)]]*60/Lose[[#This Row],[Gehzeit (min)]],1),"")</f>
        <v/>
      </c>
      <c r="R41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16" t="str">
        <f>IFERROR(Lose[[#This Row],[Distanz (km)]]-Lose[[#This Row],[Check Distanz]],"")</f>
        <v/>
      </c>
      <c r="T416" s="60" t="str">
        <f>IFERROR(Lose[[#This Row],[Check Umweg]]/Lose[[#This Row],[Check Distanz]],"")</f>
        <v/>
      </c>
      <c r="U416">
        <f ca="1">IF(RIGHT(Lose[[#This Row],[LosID]],1)="b",_xlfn.XLOOKUP(REPLACE(Lose[[#This Row],[LosID]],LEN(Lose[[#This Row],[LosID]]),1,"a"),Lose[LosID],Lose[Zufallszahl],"",0),RAND())</f>
        <v>0.35643646216069746</v>
      </c>
      <c r="V416" t="b" cm="1">
        <f t="array" aca="1" ref="V416" ca="1">Lose[[#This Row],[Zufallszahl]]&gt;=IFERROR(LARGE((LEFT(Lose[LosID],FIND("-",Lose[LosID])-1)=LEFT(Lose[[#This Row],[LosID]],FIND("-",Lose[[#This Row],[LosID]])-1))*Lose[Zufallszahl],_xlfn.XLOOKUP(LEFT(Lose[[#This Row],[LosID]],FIND("-",Lose[[#This Row],[LosID]])-1),Ziehungsanzahl[Kürzel],Ziehungsanzahl[Kontingent],FALSE,0)),9999)</f>
        <v>0</v>
      </c>
    </row>
    <row r="417" spans="1:23" hidden="1">
      <c r="A4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7" t="s">
        <v>23394</v>
      </c>
      <c r="C417" t="s">
        <v>24682</v>
      </c>
      <c r="D417" s="103" t="s">
        <v>24683</v>
      </c>
      <c r="E417" t="s">
        <v>24684</v>
      </c>
      <c r="F417" t="s">
        <v>24685</v>
      </c>
      <c r="K417" t="str" cm="1">
        <f t="array" ref="K4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Plauen(Vogtl) ob Bf</v>
      </c>
      <c r="L417" t="str">
        <f>IFERROR(LEFT(TRIM(Lose[[#This Row],[Google Koordinaten]]),9),"")</f>
        <v>50.506376</v>
      </c>
      <c r="M417" t="str">
        <f>IFERROR(MID(TRIM(Lose[[#This Row],[Google Koordinaten]]),
FIND(",",TRIM(Lose[[#This Row],[Google Koordinaten]])) + 2,9),"")</f>
        <v>12.128929</v>
      </c>
      <c r="N417" s="91">
        <f>IF(Lose[[#This Row],[Bahn-hofs-zeit]]=0,0,MROUND(30*25^((Lose[[#This Row],[Bahn-hofs-zeit]]-_xlfn.MINIFS(Lose[Bahn-hofs-zeit],Lose[Bahn-hofs-zeit],"&gt;0"))/(MAX(Lose[Bahn-hofs-zeit])-_xlfn.MINIFS(Lose[Bahn-hofs-zeit],Lose[Bahn-hofs-zeit],"&gt;0"))),5))</f>
        <v>0</v>
      </c>
      <c r="O417">
        <f>IF(Lose[[#This Row],[Gehzeit (min)]]="",0,CEILING(3*(Lose[[#This Row],[Gehzeit (min)]]+Lose[[#This Row],[Aufgaben-zeit (min)]]),5))</f>
        <v>0</v>
      </c>
      <c r="Q417" t="str">
        <f>IFERROR(ROUND(Lose[[#This Row],[Distanz (km)]]*60/Lose[[#This Row],[Gehzeit (min)]],1),"")</f>
        <v/>
      </c>
      <c r="R4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417">
        <f>IFERROR(Lose[[#This Row],[Distanz (km)]]-Lose[[#This Row],[Check Distanz]],"")</f>
        <v>-0.04</v>
      </c>
      <c r="T417" s="60">
        <f>IFERROR(Lose[[#This Row],[Check Umweg]]/Lose[[#This Row],[Check Distanz]],"")</f>
        <v>-1</v>
      </c>
      <c r="U417">
        <f ca="1">IF(RIGHT(Lose[[#This Row],[LosID]],1)="b",_xlfn.XLOOKUP(REPLACE(Lose[[#This Row],[LosID]],LEN(Lose[[#This Row],[LosID]]),1,"a"),Lose[LosID],Lose[Zufallszahl],"",0),RAND())</f>
        <v>0.18182078663364398</v>
      </c>
      <c r="V417" t="b" cm="1">
        <f t="array" aca="1" ref="V417" ca="1">Lose[[#This Row],[Zufallszahl]]&gt;=IFERROR(LARGE((LEFT(Lose[LosID],FIND("-",Lose[LosID])-1)=LEFT(Lose[[#This Row],[LosID]],FIND("-",Lose[[#This Row],[LosID]])-1))*Lose[Zufallszahl],_xlfn.XLOOKUP(LEFT(Lose[[#This Row],[LosID]],FIND("-",Lose[[#This Row],[LosID]])-1),Ziehungsanzahl[Kürzel],Ziehungsanzahl[Kontingent],FALSE,0)),9999)</f>
        <v>0</v>
      </c>
      <c r="W417" t="s">
        <v>23398</v>
      </c>
    </row>
    <row r="418" spans="1:23" hidden="1">
      <c r="A4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8" t="s">
        <v>23394</v>
      </c>
      <c r="C418" t="s">
        <v>24686</v>
      </c>
      <c r="D418" s="103" t="s">
        <v>24687</v>
      </c>
      <c r="E418" t="s">
        <v>24688</v>
      </c>
      <c r="F418" t="s">
        <v>24689</v>
      </c>
      <c r="K418" t="str" cm="1">
        <f t="array" ref="K4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418" t="str">
        <f>IFERROR(LEFT(TRIM(Lose[[#This Row],[Google Koordinaten]]),9),"")</f>
        <v>50.875451</v>
      </c>
      <c r="M418" t="str">
        <f>IFERROR(MID(TRIM(Lose[[#This Row],[Google Koordinaten]]),
FIND(",",TRIM(Lose[[#This Row],[Google Koordinaten]])) + 2,9),"")</f>
        <v>8.0160001</v>
      </c>
      <c r="N418">
        <f>IF(Lose[[#This Row],[Bahn-hofs-zeit]]=0,0,MROUND(30*25^((Lose[[#This Row],[Bahn-hofs-zeit]]-_xlfn.MINIFS(Lose[Bahn-hofs-zeit],Lose[Bahn-hofs-zeit],"&gt;0"))/(MAX(Lose[Bahn-hofs-zeit])-_xlfn.MINIFS(Lose[Bahn-hofs-zeit],Lose[Bahn-hofs-zeit],"&gt;0"))),5))</f>
        <v>55</v>
      </c>
      <c r="O418">
        <f>IF(Lose[[#This Row],[Gehzeit (min)]]="",0,CEILING(3*(Lose[[#This Row],[Gehzeit (min)]]+Lose[[#This Row],[Aufgaben-zeit (min)]]),5))</f>
        <v>0</v>
      </c>
      <c r="P418">
        <v>5.5</v>
      </c>
      <c r="Q418" t="str">
        <f>IFERROR(ROUND(Lose[[#This Row],[Distanz (km)]]*60/Lose[[#This Row],[Gehzeit (min)]],1),"")</f>
        <v/>
      </c>
      <c r="R4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418">
        <f>IFERROR(Lose[[#This Row],[Distanz (km)]]-Lose[[#This Row],[Check Distanz]],"")</f>
        <v>-0.06</v>
      </c>
      <c r="T418" s="60">
        <f>IFERROR(Lose[[#This Row],[Check Umweg]]/Lose[[#This Row],[Check Distanz]],"")</f>
        <v>-1</v>
      </c>
      <c r="U418">
        <f ca="1">IF(RIGHT(Lose[[#This Row],[LosID]],1)="b",_xlfn.XLOOKUP(REPLACE(Lose[[#This Row],[LosID]],LEN(Lose[[#This Row],[LosID]]),1,"a"),Lose[LosID],Lose[Zufallszahl],"",0),RAND())</f>
        <v>0.18182078663364398</v>
      </c>
      <c r="V418" t="b" cm="1">
        <f t="array" aca="1" ref="V418" ca="1">Lose[[#This Row],[Zufallszahl]]&gt;=IFERROR(LARGE((LEFT(Lose[LosID],FIND("-",Lose[LosID])-1)=LEFT(Lose[[#This Row],[LosID]],FIND("-",Lose[[#This Row],[LosID]])-1))*Lose[Zufallszahl],_xlfn.XLOOKUP(LEFT(Lose[[#This Row],[LosID]],FIND("-",Lose[[#This Row],[LosID]])-1),Ziehungsanzahl[Kürzel],Ziehungsanzahl[Kontingent],FALSE,0)),9999)</f>
        <v>0</v>
      </c>
    </row>
    <row r="419" spans="1:23" ht="45" hidden="1">
      <c r="A4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9" t="s">
        <v>23403</v>
      </c>
      <c r="C419" s="75" t="s">
        <v>1258</v>
      </c>
      <c r="D419" s="1" t="s">
        <v>24690</v>
      </c>
      <c r="F419" t="s">
        <v>24691</v>
      </c>
      <c r="J419">
        <v>10</v>
      </c>
      <c r="K419" s="95" t="str" cm="1">
        <f t="array" ref="K4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Arnstadt Süd</v>
      </c>
      <c r="L419" t="str">
        <f>IFERROR(LEFT(TRIM(Lose[[#This Row],[Google Koordinaten]]),9),"")</f>
        <v>50.835115</v>
      </c>
      <c r="M419" t="str">
        <f>IFERROR(MID(TRIM(Lose[[#This Row],[Google Koordinaten]]),
FIND(",",TRIM(Lose[[#This Row],[Google Koordinaten]])) + 2,9),"")</f>
        <v>10.951666</v>
      </c>
      <c r="N419">
        <f>IF(Lose[[#This Row],[Bahn-hofs-zeit]]=0,0,MROUND(30*25^((Lose[[#This Row],[Bahn-hofs-zeit]]-_xlfn.MINIFS(Lose[Bahn-hofs-zeit],Lose[Bahn-hofs-zeit],"&gt;0"))/(MAX(Lose[Bahn-hofs-zeit])-_xlfn.MINIFS(Lose[Bahn-hofs-zeit],Lose[Bahn-hofs-zeit],"&gt;0"))),5))</f>
        <v>125</v>
      </c>
      <c r="O419">
        <f>IF(Lose[[#This Row],[Gehzeit (min)]]="",0,CEILING(3*(Lose[[#This Row],[Gehzeit (min)]]+Lose[[#This Row],[Aufgaben-zeit (min)]]),5))</f>
        <v>0</v>
      </c>
      <c r="P419">
        <v>8.25</v>
      </c>
      <c r="Q419" t="str">
        <f>IFERROR(ROUND(Lose[[#This Row],[Distanz (km)]]*60/Lose[[#This Row],[Gehzeit (min)]],1),"")</f>
        <v/>
      </c>
      <c r="R4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v>
      </c>
      <c r="S419">
        <f>IFERROR(Lose[[#This Row],[Distanz (km)]]-Lose[[#This Row],[Check Distanz]],"")</f>
        <v>-0.5</v>
      </c>
      <c r="T419" s="60">
        <f>IFERROR(Lose[[#This Row],[Check Umweg]]/Lose[[#This Row],[Check Distanz]],"")</f>
        <v>-1</v>
      </c>
      <c r="U419">
        <f ca="1">IF(RIGHT(Lose[[#This Row],[LosID]],1)="b",_xlfn.XLOOKUP(REPLACE(Lose[[#This Row],[LosID]],LEN(Lose[[#This Row],[LosID]]),1,"a"),Lose[LosID],Lose[Zufallszahl],"",0),RAND())</f>
        <v>0.88093091668641699</v>
      </c>
      <c r="V419" t="b" cm="1">
        <f t="array" aca="1" ref="V419" ca="1">Lose[[#This Row],[Zufallszahl]]&gt;=IFERROR(LARGE((LEFT(Lose[LosID],FIND("-",Lose[LosID])-1)=LEFT(Lose[[#This Row],[LosID]],FIND("-",Lose[[#This Row],[LosID]])-1))*Lose[Zufallszahl],_xlfn.XLOOKUP(LEFT(Lose[[#This Row],[LosID]],FIND("-",Lose[[#This Row],[LosID]])-1),Ziehungsanzahl[Kürzel],Ziehungsanzahl[Kontingent],FALSE,0)),9999)</f>
        <v>0</v>
      </c>
    </row>
    <row r="420" spans="1:23" ht="45" hidden="1">
      <c r="A4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0" t="s">
        <v>23403</v>
      </c>
      <c r="C420" s="75" t="s">
        <v>1259</v>
      </c>
      <c r="D420" s="1" t="s">
        <v>24692</v>
      </c>
      <c r="F420" t="s">
        <v>24693</v>
      </c>
      <c r="J420">
        <v>5</v>
      </c>
      <c r="K420" t="str" cm="1">
        <f t="array" ref="K4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420" t="str">
        <f>IFERROR(LEFT(TRIM(Lose[[#This Row],[Google Koordinaten]]),9),"")</f>
        <v>51.311971</v>
      </c>
      <c r="M420" t="str">
        <f>IFERROR(MID(TRIM(Lose[[#This Row],[Google Koordinaten]]),
FIND(",",TRIM(Lose[[#This Row],[Google Koordinaten]])) + 2,9),"")</f>
        <v>9.4481292</v>
      </c>
      <c r="N420">
        <f>IF(Lose[[#This Row],[Bahn-hofs-zeit]]=0,0,MROUND(30*25^((Lose[[#This Row],[Bahn-hofs-zeit]]-_xlfn.MINIFS(Lose[Bahn-hofs-zeit],Lose[Bahn-hofs-zeit],"&gt;0"))/(MAX(Lose[Bahn-hofs-zeit])-_xlfn.MINIFS(Lose[Bahn-hofs-zeit],Lose[Bahn-hofs-zeit],"&gt;0"))),5))</f>
        <v>40</v>
      </c>
      <c r="O420">
        <f>IF(Lose[[#This Row],[Gehzeit (min)]]="",0,CEILING(3*(Lose[[#This Row],[Gehzeit (min)]]+Lose[[#This Row],[Aufgaben-zeit (min)]]),5))</f>
        <v>0</v>
      </c>
      <c r="P420">
        <v>4.25</v>
      </c>
      <c r="Q420" t="str">
        <f>IFERROR(ROUND(Lose[[#This Row],[Distanz (km)]]*60/Lose[[#This Row],[Gehzeit (min)]],1),"")</f>
        <v/>
      </c>
      <c r="R4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v>
      </c>
      <c r="S420">
        <f>IFERROR(Lose[[#This Row],[Distanz (km)]]-Lose[[#This Row],[Check Distanz]],"")</f>
        <v>-0.1</v>
      </c>
      <c r="T420" s="60">
        <f>IFERROR(Lose[[#This Row],[Check Umweg]]/Lose[[#This Row],[Check Distanz]],"")</f>
        <v>-1</v>
      </c>
      <c r="U420">
        <f ca="1">IF(RIGHT(Lose[[#This Row],[LosID]],1)="b",_xlfn.XLOOKUP(REPLACE(Lose[[#This Row],[LosID]],LEN(Lose[[#This Row],[LosID]]),1,"a"),Lose[LosID],Lose[Zufallszahl],"",0),RAND())</f>
        <v>0.88093091668641699</v>
      </c>
      <c r="V420" t="b" cm="1">
        <f t="array" aca="1" ref="V420" ca="1">Lose[[#This Row],[Zufallszahl]]&gt;=IFERROR(LARGE((LEFT(Lose[LosID],FIND("-",Lose[LosID])-1)=LEFT(Lose[[#This Row],[LosID]],FIND("-",Lose[[#This Row],[LosID]])-1))*Lose[Zufallszahl],_xlfn.XLOOKUP(LEFT(Lose[[#This Row],[LosID]],FIND("-",Lose[[#This Row],[LosID]])-1),Ziehungsanzahl[Kürzel],Ziehungsanzahl[Kontingent],FALSE,0)),9999)</f>
        <v>0</v>
      </c>
    </row>
    <row r="421" spans="1:23" ht="90" hidden="1">
      <c r="A4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1" t="s">
        <v>23372</v>
      </c>
      <c r="C421" t="s">
        <v>24694</v>
      </c>
      <c r="D421" s="1" t="s">
        <v>24695</v>
      </c>
      <c r="F421" t="s">
        <v>24696</v>
      </c>
      <c r="K421" t="str" cm="1">
        <f t="array" ref="K4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Neustadt(Kr Marburg)</v>
      </c>
      <c r="L421" t="str">
        <f>IFERROR(LEFT(TRIM(Lose[[#This Row],[Google Koordinaten]]),9),"")</f>
        <v>50.850469</v>
      </c>
      <c r="M421" t="str">
        <f>IFERROR(MID(TRIM(Lose[[#This Row],[Google Koordinaten]]),
FIND(",",TRIM(Lose[[#This Row],[Google Koordinaten]])) + 2,9),"")</f>
        <v>9.1204461</v>
      </c>
      <c r="N421">
        <f>IF(Lose[[#This Row],[Bahn-hofs-zeit]]=0,0,MROUND(30*25^((Lose[[#This Row],[Bahn-hofs-zeit]]-_xlfn.MINIFS(Lose[Bahn-hofs-zeit],Lose[Bahn-hofs-zeit],"&gt;0"))/(MAX(Lose[Bahn-hofs-zeit])-_xlfn.MINIFS(Lose[Bahn-hofs-zeit],Lose[Bahn-hofs-zeit],"&gt;0"))),5))</f>
        <v>65</v>
      </c>
      <c r="O421">
        <f>IF(Lose[[#This Row],[Gehzeit (min)]]="",0,CEILING(3*(Lose[[#This Row],[Gehzeit (min)]]+Lose[[#This Row],[Aufgaben-zeit (min)]]),5))</f>
        <v>0</v>
      </c>
      <c r="P421">
        <v>6</v>
      </c>
      <c r="Q421" t="str">
        <f>IFERROR(ROUND(Lose[[#This Row],[Distanz (km)]]*60/Lose[[#This Row],[Gehzeit (min)]],1),"")</f>
        <v/>
      </c>
      <c r="R4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21">
        <f>IFERROR(Lose[[#This Row],[Distanz (km)]]-Lose[[#This Row],[Check Distanz]],"")</f>
        <v>-0.01</v>
      </c>
      <c r="T421" s="60">
        <f>IFERROR(Lose[[#This Row],[Check Umweg]]/Lose[[#This Row],[Check Distanz]],"")</f>
        <v>-1</v>
      </c>
      <c r="U421">
        <f ca="1">IF(RIGHT(Lose[[#This Row],[LosID]],1)="b",_xlfn.XLOOKUP(REPLACE(Lose[[#This Row],[LosID]],LEN(Lose[[#This Row],[LosID]]),1,"a"),Lose[LosID],Lose[Zufallszahl],"",0),RAND())</f>
        <v>0.95530180712616997</v>
      </c>
      <c r="V421" t="b" cm="1">
        <f t="array" aca="1" ref="V421" ca="1">Lose[[#This Row],[Zufallszahl]]&gt;=IFERROR(LARGE((LEFT(Lose[LosID],FIND("-",Lose[LosID])-1)=LEFT(Lose[[#This Row],[LosID]],FIND("-",Lose[[#This Row],[LosID]])-1))*Lose[Zufallszahl],_xlfn.XLOOKUP(LEFT(Lose[[#This Row],[LosID]],FIND("-",Lose[[#This Row],[LosID]])-1),Ziehungsanzahl[Kürzel],Ziehungsanzahl[Kontingent],FALSE,0)),9999)</f>
        <v>0</v>
      </c>
    </row>
    <row r="422" spans="1:23" ht="90" hidden="1">
      <c r="A4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2" t="s">
        <v>23372</v>
      </c>
      <c r="C422" t="s">
        <v>24697</v>
      </c>
      <c r="D422" s="1" t="s">
        <v>24698</v>
      </c>
      <c r="F422" t="s">
        <v>24699</v>
      </c>
      <c r="K422" t="str" cm="1">
        <f t="array" ref="K4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 am Rübenberge</v>
      </c>
      <c r="L422" t="str">
        <f>IFERROR(LEFT(TRIM(Lose[[#This Row],[Google Koordinaten]]),9),"")</f>
        <v>52.503768</v>
      </c>
      <c r="M422" t="str">
        <f>IFERROR(MID(TRIM(Lose[[#This Row],[Google Koordinaten]]),
FIND(",",TRIM(Lose[[#This Row],[Google Koordinaten]])) + 2,9),"")</f>
        <v>9.4555362</v>
      </c>
      <c r="N422">
        <f>IF(Lose[[#This Row],[Bahn-hofs-zeit]]=0,0,MROUND(30*25^((Lose[[#This Row],[Bahn-hofs-zeit]]-_xlfn.MINIFS(Lose[Bahn-hofs-zeit],Lose[Bahn-hofs-zeit],"&gt;0"))/(MAX(Lose[Bahn-hofs-zeit])-_xlfn.MINIFS(Lose[Bahn-hofs-zeit],Lose[Bahn-hofs-zeit],"&gt;0"))),5))</f>
        <v>65</v>
      </c>
      <c r="O422">
        <f>IF(Lose[[#This Row],[Gehzeit (min)]]="",0,CEILING(3*(Lose[[#This Row],[Gehzeit (min)]]+Lose[[#This Row],[Aufgaben-zeit (min)]]),5))</f>
        <v>0</v>
      </c>
      <c r="P422">
        <v>6</v>
      </c>
      <c r="Q422" t="str">
        <f>IFERROR(ROUND(Lose[[#This Row],[Distanz (km)]]*60/Lose[[#This Row],[Gehzeit (min)]],1),"")</f>
        <v/>
      </c>
      <c r="R4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422">
        <f>IFERROR(Lose[[#This Row],[Distanz (km)]]-Lose[[#This Row],[Check Distanz]],"")</f>
        <v>-0.05</v>
      </c>
      <c r="T422" s="60">
        <f>IFERROR(Lose[[#This Row],[Check Umweg]]/Lose[[#This Row],[Check Distanz]],"")</f>
        <v>-1</v>
      </c>
      <c r="U422">
        <f ca="1">IF(RIGHT(Lose[[#This Row],[LosID]],1)="b",_xlfn.XLOOKUP(REPLACE(Lose[[#This Row],[LosID]],LEN(Lose[[#This Row],[LosID]]),1,"a"),Lose[LosID],Lose[Zufallszahl],"",0),RAND())</f>
        <v>0.95530180712616997</v>
      </c>
      <c r="V422" t="b" cm="1">
        <f t="array" aca="1" ref="V422" ca="1">Lose[[#This Row],[Zufallszahl]]&gt;=IFERROR(LARGE((LEFT(Lose[LosID],FIND("-",Lose[LosID])-1)=LEFT(Lose[[#This Row],[LosID]],FIND("-",Lose[[#This Row],[LosID]])-1))*Lose[Zufallszahl],_xlfn.XLOOKUP(LEFT(Lose[[#This Row],[LosID]],FIND("-",Lose[[#This Row],[LosID]])-1),Ziehungsanzahl[Kürzel],Ziehungsanzahl[Kontingent],FALSE,0)),9999)</f>
        <v>0</v>
      </c>
    </row>
    <row r="423" spans="1:23" ht="30" hidden="1">
      <c r="A4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3" t="s">
        <v>23408</v>
      </c>
      <c r="C423" t="s">
        <v>24700</v>
      </c>
      <c r="D423" s="1" t="s">
        <v>24701</v>
      </c>
      <c r="E423" t="s">
        <v>24702</v>
      </c>
      <c r="F423" t="s">
        <v>24703</v>
      </c>
      <c r="G423">
        <v>16</v>
      </c>
      <c r="H423">
        <v>1</v>
      </c>
      <c r="I423">
        <v>1.2</v>
      </c>
      <c r="K423" s="95" t="str" cm="1">
        <f t="array" ref="K4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Potsdam Charlottenhof</v>
      </c>
      <c r="L423" t="str">
        <f>IFERROR(LEFT(TRIM(Lose[[#This Row],[Google Koordinaten]]),9),"")</f>
        <v>52.399905</v>
      </c>
      <c r="M423" t="str">
        <f>IFERROR(MID(TRIM(Lose[[#This Row],[Google Koordinaten]]),
FIND(",",TRIM(Lose[[#This Row],[Google Koordinaten]])) + 2,9),"")</f>
        <v>13.048942</v>
      </c>
      <c r="N423">
        <f>IF(Lose[[#This Row],[Bahn-hofs-zeit]]=0,0,MROUND(30*25^((Lose[[#This Row],[Bahn-hofs-zeit]]-_xlfn.MINIFS(Lose[Bahn-hofs-zeit],Lose[Bahn-hofs-zeit],"&gt;0"))/(MAX(Lose[Bahn-hofs-zeit])-_xlfn.MINIFS(Lose[Bahn-hofs-zeit],Lose[Bahn-hofs-zeit],"&gt;0"))),5))</f>
        <v>195</v>
      </c>
      <c r="O423">
        <f>IF(Lose[[#This Row],[Gehzeit (min)]]="",0,CEILING(3*(Lose[[#This Row],[Gehzeit (min)]]+Lose[[#This Row],[Aufgaben-zeit (min)]]),5))</f>
        <v>55</v>
      </c>
      <c r="P423">
        <v>9.75</v>
      </c>
      <c r="Q423">
        <f>IFERROR(ROUND(Lose[[#This Row],[Distanz (km)]]*60/Lose[[#This Row],[Gehzeit (min)]],1),"")</f>
        <v>4.5</v>
      </c>
      <c r="R4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423">
        <f>IFERROR(Lose[[#This Row],[Distanz (km)]]-Lose[[#This Row],[Check Distanz]],"")</f>
        <v>4.0000000000000036E-2</v>
      </c>
      <c r="T423" s="60">
        <f>IFERROR(Lose[[#This Row],[Check Umweg]]/Lose[[#This Row],[Check Distanz]],"")</f>
        <v>3.4482758620689689E-2</v>
      </c>
      <c r="U423">
        <f ca="1">IF(RIGHT(Lose[[#This Row],[LosID]],1)="b",_xlfn.XLOOKUP(REPLACE(Lose[[#This Row],[LosID]],LEN(Lose[[#This Row],[LosID]]),1,"a"),Lose[LosID],Lose[Zufallszahl],"",0),RAND())</f>
        <v>0.87626247304846894</v>
      </c>
      <c r="V423" t="b" cm="1">
        <f t="array" aca="1" ref="V423" ca="1">Lose[[#This Row],[Zufallszahl]]&gt;=IFERROR(LARGE((LEFT(Lose[LosID],FIND("-",Lose[LosID])-1)=LEFT(Lose[[#This Row],[LosID]],FIND("-",Lose[[#This Row],[LosID]])-1))*Lose[Zufallszahl],_xlfn.XLOOKUP(LEFT(Lose[[#This Row],[LosID]],FIND("-",Lose[[#This Row],[LosID]])-1),Ziehungsanzahl[Kürzel],Ziehungsanzahl[Kontingent],FALSE,0)),9999)</f>
        <v>0</v>
      </c>
    </row>
    <row r="424" spans="1:23" ht="75.75" hidden="1" customHeight="1">
      <c r="A4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4" t="s">
        <v>23408</v>
      </c>
      <c r="C424" t="s">
        <v>24704</v>
      </c>
      <c r="D424" s="1" t="s">
        <v>24705</v>
      </c>
      <c r="E424" t="s">
        <v>24706</v>
      </c>
      <c r="F424" t="s">
        <v>24707</v>
      </c>
      <c r="G424">
        <v>13</v>
      </c>
      <c r="H424">
        <v>1</v>
      </c>
      <c r="I424">
        <v>0.9</v>
      </c>
      <c r="K424" s="95" t="str" cm="1">
        <f t="array" ref="K4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UN Campus</v>
      </c>
      <c r="L424" t="str">
        <f>IFERROR(LEFT(TRIM(Lose[[#This Row],[Google Koordinaten]]),9),"")</f>
        <v>50.720236</v>
      </c>
      <c r="M424" t="str">
        <f>IFERROR(MID(TRIM(Lose[[#This Row],[Google Koordinaten]]),
FIND(",",TRIM(Lose[[#This Row],[Google Koordinaten]])) + 2,9),"")</f>
        <v>7.1209902</v>
      </c>
      <c r="N424">
        <f>IF(Lose[[#This Row],[Bahn-hofs-zeit]]=0,0,MROUND(30*25^((Lose[[#This Row],[Bahn-hofs-zeit]]-_xlfn.MINIFS(Lose[Bahn-hofs-zeit],Lose[Bahn-hofs-zeit],"&gt;0"))/(MAX(Lose[Bahn-hofs-zeit])-_xlfn.MINIFS(Lose[Bahn-hofs-zeit],Lose[Bahn-hofs-zeit],"&gt;0"))),5))</f>
        <v>50</v>
      </c>
      <c r="O424">
        <f>IF(Lose[[#This Row],[Gehzeit (min)]]="",0,CEILING(3*(Lose[[#This Row],[Gehzeit (min)]]+Lose[[#This Row],[Aufgaben-zeit (min)]]),5))</f>
        <v>45</v>
      </c>
      <c r="P424">
        <v>5</v>
      </c>
      <c r="Q424">
        <f>IFERROR(ROUND(Lose[[#This Row],[Distanz (km)]]*60/Lose[[#This Row],[Gehzeit (min)]],1),"")</f>
        <v>4.2</v>
      </c>
      <c r="R4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24">
        <f>IFERROR(Lose[[#This Row],[Distanz (km)]]-Lose[[#This Row],[Check Distanz]],"")</f>
        <v>0.22999999999999998</v>
      </c>
      <c r="T424" s="60">
        <f>IFERROR(Lose[[#This Row],[Check Umweg]]/Lose[[#This Row],[Check Distanz]],"")</f>
        <v>0.34328358208955218</v>
      </c>
      <c r="U424">
        <f ca="1">IF(RIGHT(Lose[[#This Row],[LosID]],1)="b",_xlfn.XLOOKUP(REPLACE(Lose[[#This Row],[LosID]],LEN(Lose[[#This Row],[LosID]]),1,"a"),Lose[LosID],Lose[Zufallszahl],"",0),RAND())</f>
        <v>0.87626247304846894</v>
      </c>
      <c r="V424" t="b" cm="1">
        <f t="array" aca="1" ref="V424" ca="1">Lose[[#This Row],[Zufallszahl]]&gt;=IFERROR(LARGE((LEFT(Lose[LosID],FIND("-",Lose[LosID])-1)=LEFT(Lose[[#This Row],[LosID]],FIND("-",Lose[[#This Row],[LosID]])-1))*Lose[Zufallszahl],_xlfn.XLOOKUP(LEFT(Lose[[#This Row],[LosID]],FIND("-",Lose[[#This Row],[LosID]])-1),Ziehungsanzahl[Kürzel],Ziehungsanzahl[Kontingent],FALSE,0)),9999)</f>
        <v>0</v>
      </c>
    </row>
    <row r="425" spans="1:23" hidden="1">
      <c r="A4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5" t="s">
        <v>4</v>
      </c>
      <c r="C425" t="s">
        <v>1244</v>
      </c>
      <c r="D425" s="1" t="s">
        <v>24708</v>
      </c>
      <c r="H425">
        <v>1</v>
      </c>
      <c r="J425" s="85"/>
      <c r="K425" s="95" t="s">
        <v>18748</v>
      </c>
      <c r="N425">
        <f>IF(Lose[[#This Row],[Bahn-hofs-zeit]]=0,0,MROUND(30*25^((Lose[[#This Row],[Bahn-hofs-zeit]]-_xlfn.MINIFS(Lose[Bahn-hofs-zeit],Lose[Bahn-hofs-zeit],"&gt;0"))/(MAX(Lose[Bahn-hofs-zeit])-_xlfn.MINIFS(Lose[Bahn-hofs-zeit],Lose[Bahn-hofs-zeit],"&gt;0"))),5))</f>
        <v>95</v>
      </c>
      <c r="P425">
        <v>7.25</v>
      </c>
      <c r="Q425" t="str">
        <f>IFERROR(ROUND(Lose[[#This Row],[Distanz (km)]]*60/Lose[[#This Row],[Gehzeit (min)]],1),"")</f>
        <v/>
      </c>
      <c r="R42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25" t="str">
        <f>IFERROR(Lose[[#This Row],[Distanz (km)]]-Lose[[#This Row],[Check Distanz]],"")</f>
        <v/>
      </c>
      <c r="T425" s="60" t="str">
        <f>IFERROR(Lose[[#This Row],[Check Umweg]]/Lose[[#This Row],[Check Distanz]],"")</f>
        <v/>
      </c>
      <c r="U425">
        <f ca="1">IF(RIGHT(Lose[[#This Row],[LosID]],1)="b",_xlfn.XLOOKUP(REPLACE(Lose[[#This Row],[LosID]],LEN(Lose[[#This Row],[LosID]]),1,"a"),Lose[LosID],Lose[Zufallszahl],"",0),RAND())</f>
        <v>0.24481399563168849</v>
      </c>
      <c r="V425" t="b" cm="1">
        <f t="array" aca="1" ref="V425" ca="1">Lose[[#This Row],[Zufallszahl]]&gt;=IFERROR(LARGE((LEFT(Lose[LosID],FIND("-",Lose[LosID])-1)=LEFT(Lose[[#This Row],[LosID]],FIND("-",Lose[[#This Row],[LosID]])-1))*Lose[Zufallszahl],_xlfn.XLOOKUP(LEFT(Lose[[#This Row],[LosID]],FIND("-",Lose[[#This Row],[LosID]])-1),Ziehungsanzahl[Kürzel],Ziehungsanzahl[Kontingent],FALSE,0)),9999)</f>
        <v>0</v>
      </c>
    </row>
    <row r="426" spans="1:23" hidden="1">
      <c r="A4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6" t="s">
        <v>4</v>
      </c>
      <c r="C426" t="s">
        <v>1245</v>
      </c>
      <c r="D426" s="1" t="s">
        <v>24709</v>
      </c>
      <c r="H426">
        <v>1</v>
      </c>
      <c r="K426" t="s">
        <v>884</v>
      </c>
      <c r="N426">
        <f>IF(Lose[[#This Row],[Bahn-hofs-zeit]]=0,0,MROUND(30*25^((Lose[[#This Row],[Bahn-hofs-zeit]]-_xlfn.MINIFS(Lose[Bahn-hofs-zeit],Lose[Bahn-hofs-zeit],"&gt;0"))/(MAX(Lose[Bahn-hofs-zeit])-_xlfn.MINIFS(Lose[Bahn-hofs-zeit],Lose[Bahn-hofs-zeit],"&gt;0"))),5))</f>
        <v>70</v>
      </c>
      <c r="P426">
        <v>6.25</v>
      </c>
      <c r="Q426" t="str">
        <f>IFERROR(ROUND(Lose[[#This Row],[Distanz (km)]]*60/Lose[[#This Row],[Gehzeit (min)]],1),"")</f>
        <v/>
      </c>
      <c r="R42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26" t="str">
        <f>IFERROR(Lose[[#This Row],[Distanz (km)]]-Lose[[#This Row],[Check Distanz]],"")</f>
        <v/>
      </c>
      <c r="T426" s="60" t="str">
        <f>IFERROR(Lose[[#This Row],[Check Umweg]]/Lose[[#This Row],[Check Distanz]],"")</f>
        <v/>
      </c>
      <c r="U426">
        <f ca="1">IF(RIGHT(Lose[[#This Row],[LosID]],1)="b",_xlfn.XLOOKUP(REPLACE(Lose[[#This Row],[LosID]],LEN(Lose[[#This Row],[LosID]]),1,"a"),Lose[LosID],Lose[Zufallszahl],"",0),RAND())</f>
        <v>0.24481399563168849</v>
      </c>
      <c r="V426" t="b" cm="1">
        <f t="array" aca="1" ref="V426" ca="1">Lose[[#This Row],[Zufallszahl]]&gt;=IFERROR(LARGE((LEFT(Lose[LosID],FIND("-",Lose[LosID])-1)=LEFT(Lose[[#This Row],[LosID]],FIND("-",Lose[[#This Row],[LosID]])-1))*Lose[Zufallszahl],_xlfn.XLOOKUP(LEFT(Lose[[#This Row],[LosID]],FIND("-",Lose[[#This Row],[LosID]])-1),Ziehungsanzahl[Kürzel],Ziehungsanzahl[Kontingent],FALSE,0)),9999)</f>
        <v>0</v>
      </c>
    </row>
    <row r="427" spans="1:23" hidden="1">
      <c r="A4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7" t="s">
        <v>23357</v>
      </c>
      <c r="C427" t="s">
        <v>24710</v>
      </c>
      <c r="D427" s="97" t="s">
        <v>24711</v>
      </c>
      <c r="E427" s="80"/>
      <c r="F427" s="80" t="s">
        <v>24712</v>
      </c>
      <c r="G427" s="80"/>
      <c r="H427" s="80">
        <v>1</v>
      </c>
      <c r="I427" s="80"/>
      <c r="J427" s="80"/>
      <c r="K427" t="str" cm="1">
        <f t="array" ref="K4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Güstrow</v>
      </c>
      <c r="L427" t="str">
        <f>IFERROR(LEFT(TRIM(Lose[[#This Row],[Google Koordinaten]]),9),"")</f>
        <v>53.800609</v>
      </c>
      <c r="M427" t="str">
        <f>IFERROR(MID(TRIM(Lose[[#This Row],[Google Koordinaten]]),
FIND(",",TRIM(Lose[[#This Row],[Google Koordinaten]])) + 2,9),"")</f>
        <v>12.172664</v>
      </c>
      <c r="N427">
        <f>IF(Lose[[#This Row],[Bahn-hofs-zeit]]=0,0,MROUND(30*25^((Lose[[#This Row],[Bahn-hofs-zeit]]-_xlfn.MINIFS(Lose[Bahn-hofs-zeit],Lose[Bahn-hofs-zeit],"&gt;0"))/(MAX(Lose[Bahn-hofs-zeit])-_xlfn.MINIFS(Lose[Bahn-hofs-zeit],Lose[Bahn-hofs-zeit],"&gt;0"))),5))</f>
        <v>295</v>
      </c>
      <c r="O427">
        <f>IF(Lose[[#This Row],[Gehzeit (min)]]="",0,CEILING(3*(Lose[[#This Row],[Gehzeit (min)]]+Lose[[#This Row],[Aufgaben-zeit (min)]]),5))</f>
        <v>0</v>
      </c>
      <c r="P427">
        <v>11.25</v>
      </c>
      <c r="Q427" t="str">
        <f>IFERROR(ROUND(Lose[[#This Row],[Distanz (km)]]*60/Lose[[#This Row],[Gehzeit (min)]],1),"")</f>
        <v/>
      </c>
      <c r="R4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27">
        <f>IFERROR(Lose[[#This Row],[Distanz (km)]]-Lose[[#This Row],[Check Distanz]],"")</f>
        <v>-0.01</v>
      </c>
      <c r="T427" s="60">
        <f>IFERROR(Lose[[#This Row],[Check Umweg]]/Lose[[#This Row],[Check Distanz]],"")</f>
        <v>-1</v>
      </c>
      <c r="U427">
        <f ca="1">IF(RIGHT(Lose[[#This Row],[LosID]],1)="b",_xlfn.XLOOKUP(REPLACE(Lose[[#This Row],[LosID]],LEN(Lose[[#This Row],[LosID]]),1,"a"),Lose[LosID],Lose[Zufallszahl],"",0),RAND())</f>
        <v>5.152070000387865E-2</v>
      </c>
      <c r="V427" t="b" cm="1">
        <f t="array" aca="1" ref="V427" ca="1">Lose[[#This Row],[Zufallszahl]]&gt;=IFERROR(LARGE((LEFT(Lose[LosID],FIND("-",Lose[LosID])-1)=LEFT(Lose[[#This Row],[LosID]],FIND("-",Lose[[#This Row],[LosID]])-1))*Lose[Zufallszahl],_xlfn.XLOOKUP(LEFT(Lose[[#This Row],[LosID]],FIND("-",Lose[[#This Row],[LosID]])-1),Ziehungsanzahl[Kürzel],Ziehungsanzahl[Kontingent],FALSE,0)),9999)</f>
        <v>0</v>
      </c>
    </row>
    <row r="428" spans="1:23" hidden="1">
      <c r="A4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8" t="s">
        <v>23357</v>
      </c>
      <c r="C428" t="s">
        <v>24713</v>
      </c>
      <c r="D428" s="101" t="s">
        <v>24714</v>
      </c>
      <c r="E428" s="80"/>
      <c r="F428" s="80" t="s">
        <v>24715</v>
      </c>
      <c r="G428" s="80"/>
      <c r="H428" s="80">
        <v>1</v>
      </c>
      <c r="I428" s="80"/>
      <c r="J428" s="80"/>
      <c r="K428" s="96" t="s">
        <v>15752</v>
      </c>
      <c r="L428" t="str">
        <f>IFERROR(LEFT(TRIM(Lose[[#This Row],[Google Koordinaten]]),9),"")</f>
        <v>50.431322</v>
      </c>
      <c r="M428" t="str">
        <f>IFERROR(MID(TRIM(Lose[[#This Row],[Google Koordinaten]]),
FIND(",",TRIM(Lose[[#This Row],[Google Koordinaten]])) + 2,9),"")</f>
        <v>7.4730087</v>
      </c>
      <c r="N428">
        <f>IF(Lose[[#This Row],[Bahn-hofs-zeit]]=0,0,MROUND(30*25^((Lose[[#This Row],[Bahn-hofs-zeit]]-_xlfn.MINIFS(Lose[Bahn-hofs-zeit],Lose[Bahn-hofs-zeit],"&gt;0"))/(MAX(Lose[Bahn-hofs-zeit])-_xlfn.MINIFS(Lose[Bahn-hofs-zeit],Lose[Bahn-hofs-zeit],"&gt;0"))),5))</f>
        <v>60</v>
      </c>
      <c r="O428">
        <f>IF(Lose[[#This Row],[Gehzeit (min)]]="",0,CEILING(3*(Lose[[#This Row],[Gehzeit (min)]]+Lose[[#This Row],[Aufgaben-zeit (min)]]),5))</f>
        <v>0</v>
      </c>
      <c r="P428">
        <v>5.75</v>
      </c>
      <c r="Q428" t="str">
        <f>IFERROR(ROUND(Lose[[#This Row],[Distanz (km)]]*60/Lose[[#This Row],[Gehzeit (min)]],1),"")</f>
        <v/>
      </c>
      <c r="R4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428">
        <f>IFERROR(Lose[[#This Row],[Distanz (km)]]-Lose[[#This Row],[Check Distanz]],"")</f>
        <v>-0.02</v>
      </c>
      <c r="T428" s="60">
        <f>IFERROR(Lose[[#This Row],[Check Umweg]]/Lose[[#This Row],[Check Distanz]],"")</f>
        <v>-1</v>
      </c>
      <c r="U428">
        <f ca="1">IF(RIGHT(Lose[[#This Row],[LosID]],1)="b",_xlfn.XLOOKUP(REPLACE(Lose[[#This Row],[LosID]],LEN(Lose[[#This Row],[LosID]]),1,"a"),Lose[LosID],Lose[Zufallszahl],"",0),RAND())</f>
        <v>5.152070000387865E-2</v>
      </c>
      <c r="V428" t="b" cm="1">
        <f t="array" aca="1" ref="V428" ca="1">Lose[[#This Row],[Zufallszahl]]&gt;=IFERROR(LARGE((LEFT(Lose[LosID],FIND("-",Lose[LosID])-1)=LEFT(Lose[[#This Row],[LosID]],FIND("-",Lose[[#This Row],[LosID]])-1))*Lose[Zufallszahl],_xlfn.XLOOKUP(LEFT(Lose[[#This Row],[LosID]],FIND("-",Lose[[#This Row],[LosID]])-1),Ziehungsanzahl[Kürzel],Ziehungsanzahl[Kontingent],FALSE,0)),9999)</f>
        <v>0</v>
      </c>
    </row>
    <row r="429" spans="1:23" hidden="1">
      <c r="A4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9" t="s">
        <v>23352</v>
      </c>
      <c r="C429" t="s">
        <v>24716</v>
      </c>
      <c r="D429" s="1" t="s">
        <v>24717</v>
      </c>
      <c r="H429">
        <v>1</v>
      </c>
      <c r="K429" t="s">
        <v>20878</v>
      </c>
      <c r="L429" t="str">
        <f>IFERROR(LEFT(TRIM(Lose[[#This Row],[Google Koordinaten]]),9),"")</f>
        <v/>
      </c>
      <c r="M429" t="str">
        <f>IFERROR(MID(TRIM(Lose[[#This Row],[Google Koordinaten]]),
FIND(",",TRIM(Lose[[#This Row],[Google Koordinaten]])) + 2,9),"")</f>
        <v/>
      </c>
      <c r="N429" s="91">
        <f>IF(Lose[[#This Row],[Bahn-hofs-zeit]]=0,0,MROUND(30*25^((Lose[[#This Row],[Bahn-hofs-zeit]]-_xlfn.MINIFS(Lose[Bahn-hofs-zeit],Lose[Bahn-hofs-zeit],"&gt;0"))/(MAX(Lose[Bahn-hofs-zeit])-_xlfn.MINIFS(Lose[Bahn-hofs-zeit],Lose[Bahn-hofs-zeit],"&gt;0"))),5))</f>
        <v>0</v>
      </c>
      <c r="O429">
        <f>IF(Lose[[#This Row],[Gehzeit (min)]]="",0,CEILING(3*(Lose[[#This Row],[Gehzeit (min)]]+Lose[[#This Row],[Aufgaben-zeit (min)]]),5))</f>
        <v>0</v>
      </c>
      <c r="Q429" t="str">
        <f>IFERROR(ROUND(Lose[[#This Row],[Distanz (km)]]*60/Lose[[#This Row],[Gehzeit (min)]],1),"")</f>
        <v/>
      </c>
      <c r="R42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29" t="str">
        <f>IFERROR(Lose[[#This Row],[Distanz (km)]]-Lose[[#This Row],[Check Distanz]],"")</f>
        <v/>
      </c>
      <c r="T429" s="60" t="str">
        <f>IFERROR(Lose[[#This Row],[Check Umweg]]/Lose[[#This Row],[Check Distanz]],"")</f>
        <v/>
      </c>
      <c r="U429">
        <f ca="1">IF(RIGHT(Lose[[#This Row],[LosID]],1)="b",_xlfn.XLOOKUP(REPLACE(Lose[[#This Row],[LosID]],LEN(Lose[[#This Row],[LosID]]),1,"a"),Lose[LosID],Lose[Zufallszahl],"",0),RAND())</f>
        <v>0.92051315793375188</v>
      </c>
      <c r="V429" t="b" cm="1">
        <f t="array" aca="1" ref="V429" ca="1">Lose[[#This Row],[Zufallszahl]]&gt;=IFERROR(LARGE((LEFT(Lose[LosID],FIND("-",Lose[LosID])-1)=LEFT(Lose[[#This Row],[LosID]],FIND("-",Lose[[#This Row],[LosID]])-1))*Lose[Zufallszahl],_xlfn.XLOOKUP(LEFT(Lose[[#This Row],[LosID]],FIND("-",Lose[[#This Row],[LosID]])-1),Ziehungsanzahl[Kürzel],Ziehungsanzahl[Kontingent],FALSE,0)),9999)</f>
        <v>0</v>
      </c>
      <c r="W429" t="s">
        <v>23398</v>
      </c>
    </row>
    <row r="430" spans="1:23" hidden="1">
      <c r="A4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0" t="s">
        <v>23352</v>
      </c>
      <c r="C430" t="s">
        <v>24718</v>
      </c>
      <c r="D430" s="1" t="s">
        <v>24719</v>
      </c>
      <c r="H430">
        <v>1</v>
      </c>
      <c r="K430" t="s">
        <v>7115</v>
      </c>
      <c r="L430" t="str">
        <f>IFERROR(LEFT(TRIM(Lose[[#This Row],[Google Koordinaten]]),9),"")</f>
        <v/>
      </c>
      <c r="M430" t="str">
        <f>IFERROR(MID(TRIM(Lose[[#This Row],[Google Koordinaten]]),
FIND(",",TRIM(Lose[[#This Row],[Google Koordinaten]])) + 2,9),"")</f>
        <v/>
      </c>
      <c r="N430">
        <f>IF(Lose[[#This Row],[Bahn-hofs-zeit]]=0,0,MROUND(30*25^((Lose[[#This Row],[Bahn-hofs-zeit]]-_xlfn.MINIFS(Lose[Bahn-hofs-zeit],Lose[Bahn-hofs-zeit],"&gt;0"))/(MAX(Lose[Bahn-hofs-zeit])-_xlfn.MINIFS(Lose[Bahn-hofs-zeit],Lose[Bahn-hofs-zeit],"&gt;0"))),5))</f>
        <v>80</v>
      </c>
      <c r="O430">
        <f>IF(Lose[[#This Row],[Gehzeit (min)]]="",0,CEILING(3*(Lose[[#This Row],[Gehzeit (min)]]+Lose[[#This Row],[Aufgaben-zeit (min)]]),5))</f>
        <v>0</v>
      </c>
      <c r="P430">
        <v>6.75</v>
      </c>
      <c r="Q430" t="str">
        <f>IFERROR(ROUND(Lose[[#This Row],[Distanz (km)]]*60/Lose[[#This Row],[Gehzeit (min)]],1),"")</f>
        <v/>
      </c>
      <c r="R43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30" t="str">
        <f>IFERROR(Lose[[#This Row],[Distanz (km)]]-Lose[[#This Row],[Check Distanz]],"")</f>
        <v/>
      </c>
      <c r="T430" s="60" t="str">
        <f>IFERROR(Lose[[#This Row],[Check Umweg]]/Lose[[#This Row],[Check Distanz]],"")</f>
        <v/>
      </c>
      <c r="U430">
        <f ca="1">IF(RIGHT(Lose[[#This Row],[LosID]],1)="b",_xlfn.XLOOKUP(REPLACE(Lose[[#This Row],[LosID]],LEN(Lose[[#This Row],[LosID]]),1,"a"),Lose[LosID],Lose[Zufallszahl],"",0),RAND())</f>
        <v>0.92051315793375188</v>
      </c>
      <c r="V430" t="b" cm="1">
        <f t="array" aca="1" ref="V430" ca="1">Lose[[#This Row],[Zufallszahl]]&gt;=IFERROR(LARGE((LEFT(Lose[LosID],FIND("-",Lose[LosID])-1)=LEFT(Lose[[#This Row],[LosID]],FIND("-",Lose[[#This Row],[LosID]])-1))*Lose[Zufallszahl],_xlfn.XLOOKUP(LEFT(Lose[[#This Row],[LosID]],FIND("-",Lose[[#This Row],[LosID]])-1),Ziehungsanzahl[Kürzel],Ziehungsanzahl[Kontingent],FALSE,0)),9999)</f>
        <v>0</v>
      </c>
    </row>
    <row r="431" spans="1:23" ht="75" hidden="1">
      <c r="A4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1" t="s">
        <v>23380</v>
      </c>
      <c r="C431" t="s">
        <v>24720</v>
      </c>
      <c r="D431" s="89" t="s">
        <v>24721</v>
      </c>
      <c r="E431" t="s">
        <v>24722</v>
      </c>
      <c r="F431" t="s">
        <v>24723</v>
      </c>
      <c r="G431">
        <v>2</v>
      </c>
      <c r="H431">
        <v>10</v>
      </c>
      <c r="I431">
        <v>0.08</v>
      </c>
      <c r="K431" t="str" cm="1">
        <f t="array" ref="K4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Sömmerda</v>
      </c>
      <c r="L431" t="str">
        <f>IFERROR(LEFT(TRIM(Lose[[#This Row],[Google Koordinaten]]),9),"")</f>
        <v>51.165214</v>
      </c>
      <c r="M431" t="str">
        <f>IFERROR(MID(TRIM(Lose[[#This Row],[Google Koordinaten]]),
FIND(",",TRIM(Lose[[#This Row],[Google Koordinaten]])) + 2,9),"")</f>
        <v>11.127023</v>
      </c>
      <c r="N431">
        <f>IF(Lose[[#This Row],[Bahn-hofs-zeit]]=0,0,MROUND(30*25^((Lose[[#This Row],[Bahn-hofs-zeit]]-_xlfn.MINIFS(Lose[Bahn-hofs-zeit],Lose[Bahn-hofs-zeit],"&gt;0"))/(MAX(Lose[Bahn-hofs-zeit])-_xlfn.MINIFS(Lose[Bahn-hofs-zeit],Lose[Bahn-hofs-zeit],"&gt;0"))),5))</f>
        <v>155</v>
      </c>
      <c r="O431">
        <f>IF(Lose[[#This Row],[Gehzeit (min)]]="",0,CEILING(3*(Lose[[#This Row],[Gehzeit (min)]]+Lose[[#This Row],[Aufgaben-zeit (min)]]),5))</f>
        <v>40</v>
      </c>
      <c r="P431">
        <v>9</v>
      </c>
      <c r="Q431">
        <f>IFERROR(ROUND(Lose[[#This Row],[Distanz (km)]]*60/Lose[[#This Row],[Gehzeit (min)]],1),"")</f>
        <v>2.4</v>
      </c>
      <c r="R4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431">
        <f>IFERROR(Lose[[#This Row],[Distanz (km)]]-Lose[[#This Row],[Check Distanz]],"")</f>
        <v>0.03</v>
      </c>
      <c r="T431" s="60">
        <f>IFERROR(Lose[[#This Row],[Check Umweg]]/Lose[[#This Row],[Check Distanz]],"")</f>
        <v>0.6</v>
      </c>
      <c r="U431">
        <f ca="1">IF(RIGHT(Lose[[#This Row],[LosID]],1)="b",_xlfn.XLOOKUP(REPLACE(Lose[[#This Row],[LosID]],LEN(Lose[[#This Row],[LosID]]),1,"a"),Lose[LosID],Lose[Zufallszahl],"",0),RAND())</f>
        <v>0.41635378867651363</v>
      </c>
      <c r="V431" t="b" cm="1">
        <f t="array" aca="1" ref="V431" ca="1">Lose[[#This Row],[Zufallszahl]]&gt;=IFERROR(LARGE((LEFT(Lose[LosID],FIND("-",Lose[LosID])-1)=LEFT(Lose[[#This Row],[LosID]],FIND("-",Lose[[#This Row],[LosID]])-1))*Lose[Zufallszahl],_xlfn.XLOOKUP(LEFT(Lose[[#This Row],[LosID]],FIND("-",Lose[[#This Row],[LosID]])-1),Ziehungsanzahl[Kürzel],Ziehungsanzahl[Kontingent],FALSE,0)),9999)</f>
        <v>0</v>
      </c>
    </row>
    <row r="432" spans="1:23" ht="60" hidden="1">
      <c r="A4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2" t="s">
        <v>23380</v>
      </c>
      <c r="C432" t="s">
        <v>24724</v>
      </c>
      <c r="D432" s="1" t="s">
        <v>24725</v>
      </c>
      <c r="E432" t="s">
        <v>24726</v>
      </c>
      <c r="F432" t="s">
        <v>24727</v>
      </c>
      <c r="G432">
        <v>2</v>
      </c>
      <c r="H432">
        <v>10</v>
      </c>
      <c r="I432">
        <v>0.12</v>
      </c>
      <c r="J432">
        <v>10</v>
      </c>
      <c r="K432" t="str" cm="1">
        <f t="array" ref="K4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Böblingen</v>
      </c>
      <c r="L432" t="str">
        <f>IFERROR(LEFT(TRIM(Lose[[#This Row],[Google Koordinaten]]),9),"")</f>
        <v>48.687624</v>
      </c>
      <c r="M432" t="str">
        <f>IFERROR(MID(TRIM(Lose[[#This Row],[Google Koordinaten]]),
FIND(",",TRIM(Lose[[#This Row],[Google Koordinaten]])) + 2,9),"")</f>
        <v>9.0055942</v>
      </c>
      <c r="N432">
        <f>IF(Lose[[#This Row],[Bahn-hofs-zeit]]=0,0,MROUND(30*25^((Lose[[#This Row],[Bahn-hofs-zeit]]-_xlfn.MINIFS(Lose[Bahn-hofs-zeit],Lose[Bahn-hofs-zeit],"&gt;0"))/(MAX(Lose[Bahn-hofs-zeit])-_xlfn.MINIFS(Lose[Bahn-hofs-zeit],Lose[Bahn-hofs-zeit],"&gt;0"))),5))</f>
        <v>100</v>
      </c>
      <c r="O432">
        <f>IF(Lose[[#This Row],[Gehzeit (min)]]="",0,CEILING(3*(Lose[[#This Row],[Gehzeit (min)]]+Lose[[#This Row],[Aufgaben-zeit (min)]]),5))</f>
        <v>40</v>
      </c>
      <c r="P432">
        <v>7.5</v>
      </c>
      <c r="Q432">
        <f>IFERROR(ROUND(Lose[[#This Row],[Distanz (km)]]*60/Lose[[#This Row],[Gehzeit (min)]],1),"")</f>
        <v>3.6</v>
      </c>
      <c r="R4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432">
        <f>IFERROR(Lose[[#This Row],[Distanz (km)]]-Lose[[#This Row],[Check Distanz]],"")</f>
        <v>9.999999999999995E-3</v>
      </c>
      <c r="T432" s="60">
        <f>IFERROR(Lose[[#This Row],[Check Umweg]]/Lose[[#This Row],[Check Distanz]],"")</f>
        <v>9.090909090909087E-2</v>
      </c>
      <c r="U432">
        <f ca="1">IF(RIGHT(Lose[[#This Row],[LosID]],1)="b",_xlfn.XLOOKUP(REPLACE(Lose[[#This Row],[LosID]],LEN(Lose[[#This Row],[LosID]]),1,"a"),Lose[LosID],Lose[Zufallszahl],"",0),RAND())</f>
        <v>0.41635378867651363</v>
      </c>
      <c r="V432" t="b" cm="1">
        <f t="array" aca="1" ref="V432" ca="1">Lose[[#This Row],[Zufallszahl]]&gt;=IFERROR(LARGE((LEFT(Lose[LosID],FIND("-",Lose[LosID])-1)=LEFT(Lose[[#This Row],[LosID]],FIND("-",Lose[[#This Row],[LosID]])-1))*Lose[Zufallszahl],_xlfn.XLOOKUP(LEFT(Lose[[#This Row],[LosID]],FIND("-",Lose[[#This Row],[LosID]])-1),Ziehungsanzahl[Kürzel],Ziehungsanzahl[Kontingent],FALSE,0)),9999)</f>
        <v>0</v>
      </c>
    </row>
    <row r="433" spans="1:23">
      <c r="A4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3" t="s">
        <v>23385</v>
      </c>
      <c r="C433" t="s">
        <v>24728</v>
      </c>
      <c r="D433" s="1" t="s">
        <v>25368</v>
      </c>
      <c r="E433" t="s">
        <v>25373</v>
      </c>
      <c r="F433" t="s">
        <v>25372</v>
      </c>
      <c r="K433" t="str" cm="1">
        <f t="array" ref="K4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Bautzen</v>
      </c>
      <c r="L433" t="str">
        <f>IFERROR(LEFT(TRIM(Lose[[#This Row],[Google Koordinaten]]),9),"")</f>
        <v>51.173056</v>
      </c>
      <c r="M433" t="str">
        <f>IFERROR(MID(TRIM(Lose[[#This Row],[Google Koordinaten]]),
FIND(",",TRIM(Lose[[#This Row],[Google Koordinaten]])) + 2,9),"")</f>
        <v>14.428220</v>
      </c>
      <c r="N433">
        <f>IF(Lose[[#This Row],[Bahn-hofs-zeit]]=0,0,MROUND(30*25^((Lose[[#This Row],[Bahn-hofs-zeit]]-_xlfn.MINIFS(Lose[Bahn-hofs-zeit],Lose[Bahn-hofs-zeit],"&gt;0"))/(MAX(Lose[Bahn-hofs-zeit])-_xlfn.MINIFS(Lose[Bahn-hofs-zeit],Lose[Bahn-hofs-zeit],"&gt;0"))),5))</f>
        <v>0</v>
      </c>
      <c r="O433">
        <f>IF(Lose[[#This Row],[Gehzeit (min)]]="",0,CEILING(3*(Lose[[#This Row],[Gehzeit (min)]]+Lose[[#This Row],[Aufgaben-zeit (min)]]),5))</f>
        <v>0</v>
      </c>
      <c r="Q433" t="str">
        <f>IFERROR(ROUND(Lose[[#This Row],[Distanz (km)]]*60/Lose[[#This Row],[Gehzeit (min)]],1),"")</f>
        <v/>
      </c>
      <c r="R4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433">
        <f>IFERROR(Lose[[#This Row],[Distanz (km)]]-Lose[[#This Row],[Check Distanz]],"")</f>
        <v>-0.04</v>
      </c>
      <c r="T433" s="60">
        <f>IFERROR(Lose[[#This Row],[Check Umweg]]/Lose[[#This Row],[Check Distanz]],"")</f>
        <v>-1</v>
      </c>
      <c r="U433">
        <f ca="1">IF(RIGHT(Lose[[#This Row],[LosID]],1)="b",_xlfn.XLOOKUP(REPLACE(Lose[[#This Row],[LosID]],LEN(Lose[[#This Row],[LosID]]),1,"a"),Lose[LosID],Lose[Zufallszahl],"",0),RAND())</f>
        <v>0.69123075960578584</v>
      </c>
      <c r="V433" t="b" cm="1">
        <f t="array" aca="1" ref="V433" ca="1">Lose[[#This Row],[Zufallszahl]]&gt;=IFERROR(LARGE((LEFT(Lose[LosID],FIND("-",Lose[LosID])-1)=LEFT(Lose[[#This Row],[LosID]],FIND("-",Lose[[#This Row],[LosID]])-1))*Lose[Zufallszahl],_xlfn.XLOOKUP(LEFT(Lose[[#This Row],[LosID]],FIND("-",Lose[[#This Row],[LosID]])-1),Ziehungsanzahl[Kürzel],Ziehungsanzahl[Kontingent],FALSE,0)),9999)</f>
        <v>0</v>
      </c>
    </row>
    <row r="434" spans="1:23">
      <c r="A4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4" t="s">
        <v>23385</v>
      </c>
      <c r="C434" t="s">
        <v>24729</v>
      </c>
      <c r="D434" s="1" t="s">
        <v>25369</v>
      </c>
      <c r="E434" t="s">
        <v>25371</v>
      </c>
      <c r="F434" t="s">
        <v>25370</v>
      </c>
      <c r="K434" t="str" cm="1">
        <f t="array" ref="K4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Heidelberg Hbf</v>
      </c>
      <c r="L434" t="str">
        <f>IFERROR(LEFT(TRIM(Lose[[#This Row],[Google Koordinaten]]),9),"")</f>
        <v>49.403518</v>
      </c>
      <c r="M434" t="str">
        <f>IFERROR(MID(TRIM(Lose[[#This Row],[Google Koordinaten]]),
FIND(",",TRIM(Lose[[#This Row],[Google Koordinaten]])) + 2,9),"")</f>
        <v>8.6748089</v>
      </c>
      <c r="N434">
        <f>IF(Lose[[#This Row],[Bahn-hofs-zeit]]=0,0,MROUND(30*25^((Lose[[#This Row],[Bahn-hofs-zeit]]-_xlfn.MINIFS(Lose[Bahn-hofs-zeit],Lose[Bahn-hofs-zeit],"&gt;0"))/(MAX(Lose[Bahn-hofs-zeit])-_xlfn.MINIFS(Lose[Bahn-hofs-zeit],Lose[Bahn-hofs-zeit],"&gt;0"))),5))</f>
        <v>0</v>
      </c>
      <c r="O434">
        <f>IF(Lose[[#This Row],[Gehzeit (min)]]="",0,CEILING(3*(Lose[[#This Row],[Gehzeit (min)]]+Lose[[#This Row],[Aufgaben-zeit (min)]]),5))</f>
        <v>0</v>
      </c>
      <c r="Q434" t="str">
        <f>IFERROR(ROUND(Lose[[#This Row],[Distanz (km)]]*60/Lose[[#This Row],[Gehzeit (min)]],1),"")</f>
        <v/>
      </c>
      <c r="R4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434">
        <f>IFERROR(Lose[[#This Row],[Distanz (km)]]-Lose[[#This Row],[Check Distanz]],"")</f>
        <v>-0.05</v>
      </c>
      <c r="T434" s="60">
        <f>IFERROR(Lose[[#This Row],[Check Umweg]]/Lose[[#This Row],[Check Distanz]],"")</f>
        <v>-1</v>
      </c>
      <c r="U434">
        <f ca="1">IF(RIGHT(Lose[[#This Row],[LosID]],1)="b",_xlfn.XLOOKUP(REPLACE(Lose[[#This Row],[LosID]],LEN(Lose[[#This Row],[LosID]]),1,"a"),Lose[LosID],Lose[Zufallszahl],"",0),RAND())</f>
        <v>0.69123075960578584</v>
      </c>
      <c r="V434" t="b" cm="1">
        <f t="array" aca="1" ref="V434" ca="1">Lose[[#This Row],[Zufallszahl]]&gt;=IFERROR(LARGE((LEFT(Lose[LosID],FIND("-",Lose[LosID])-1)=LEFT(Lose[[#This Row],[LosID]],FIND("-",Lose[[#This Row],[LosID]])-1))*Lose[Zufallszahl],_xlfn.XLOOKUP(LEFT(Lose[[#This Row],[LosID]],FIND("-",Lose[[#This Row],[LosID]])-1),Ziehungsanzahl[Kürzel],Ziehungsanzahl[Kontingent],FALSE,0)),9999)</f>
        <v>0</v>
      </c>
    </row>
    <row r="435" spans="1:23" ht="45" hidden="1">
      <c r="A4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5" t="s">
        <v>23390</v>
      </c>
      <c r="C435" t="s">
        <v>24730</v>
      </c>
      <c r="D435" s="102" t="s">
        <v>24731</v>
      </c>
      <c r="K435" t="s">
        <v>20011</v>
      </c>
      <c r="L435" t="str">
        <f>IFERROR(LEFT(TRIM(Lose[[#This Row],[Google Koordinaten]]),9),"")</f>
        <v/>
      </c>
      <c r="M435" t="str">
        <f>IFERROR(MID(TRIM(Lose[[#This Row],[Google Koordinaten]]),
FIND(",",TRIM(Lose[[#This Row],[Google Koordinaten]])) + 2,9),"")</f>
        <v/>
      </c>
      <c r="N435">
        <f>IF(Lose[[#This Row],[Bahn-hofs-zeit]]=0,0,MROUND(30*25^((Lose[[#This Row],[Bahn-hofs-zeit]]-_xlfn.MINIFS(Lose[Bahn-hofs-zeit],Lose[Bahn-hofs-zeit],"&gt;0"))/(MAX(Lose[Bahn-hofs-zeit])-_xlfn.MINIFS(Lose[Bahn-hofs-zeit],Lose[Bahn-hofs-zeit],"&gt;0"))),5))</f>
        <v>165</v>
      </c>
      <c r="O435">
        <f>IF(Lose[[#This Row],[Gehzeit (min)]]="",0,CEILING(3*(Lose[[#This Row],[Gehzeit (min)]]+Lose[[#This Row],[Aufgaben-zeit (min)]]),5))</f>
        <v>0</v>
      </c>
      <c r="P435">
        <v>9.25</v>
      </c>
      <c r="Q435" t="str">
        <f>IFERROR(ROUND(Lose[[#This Row],[Distanz (km)]]*60/Lose[[#This Row],[Gehzeit (min)]],1),"")</f>
        <v/>
      </c>
      <c r="R43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35" t="str">
        <f>IFERROR(Lose[[#This Row],[Distanz (km)]]-Lose[[#This Row],[Check Distanz]],"")</f>
        <v/>
      </c>
      <c r="T435" s="60" t="str">
        <f>IFERROR(Lose[[#This Row],[Check Umweg]]/Lose[[#This Row],[Check Distanz]],"")</f>
        <v/>
      </c>
      <c r="U435">
        <f ca="1">IF(RIGHT(Lose[[#This Row],[LosID]],1)="b",_xlfn.XLOOKUP(REPLACE(Lose[[#This Row],[LosID]],LEN(Lose[[#This Row],[LosID]]),1,"a"),Lose[LosID],Lose[Zufallszahl],"",0),RAND())</f>
        <v>0.49487482784559578</v>
      </c>
      <c r="V435" t="b" cm="1">
        <f t="array" aca="1" ref="V435" ca="1">Lose[[#This Row],[Zufallszahl]]&gt;=IFERROR(LARGE((LEFT(Lose[LosID],FIND("-",Lose[LosID])-1)=LEFT(Lose[[#This Row],[LosID]],FIND("-",Lose[[#This Row],[LosID]])-1))*Lose[Zufallszahl],_xlfn.XLOOKUP(LEFT(Lose[[#This Row],[LosID]],FIND("-",Lose[[#This Row],[LosID]])-1),Ziehungsanzahl[Kürzel],Ziehungsanzahl[Kontingent],FALSE,0)),9999)</f>
        <v>0</v>
      </c>
    </row>
    <row r="436" spans="1:23" ht="45" hidden="1">
      <c r="A4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6" t="s">
        <v>23390</v>
      </c>
      <c r="C436" t="s">
        <v>24732</v>
      </c>
      <c r="D436" s="102" t="s">
        <v>24733</v>
      </c>
      <c r="K436" t="s">
        <v>17628</v>
      </c>
      <c r="L436" t="str">
        <f>IFERROR(LEFT(TRIM(Lose[[#This Row],[Google Koordinaten]]),9),"")</f>
        <v/>
      </c>
      <c r="M436" t="str">
        <f>IFERROR(MID(TRIM(Lose[[#This Row],[Google Koordinaten]]),
FIND(",",TRIM(Lose[[#This Row],[Google Koordinaten]])) + 2,9),"")</f>
        <v/>
      </c>
      <c r="N436">
        <f>IF(Lose[[#This Row],[Bahn-hofs-zeit]]=0,0,MROUND(30*25^((Lose[[#This Row],[Bahn-hofs-zeit]]-_xlfn.MINIFS(Lose[Bahn-hofs-zeit],Lose[Bahn-hofs-zeit],"&gt;0"))/(MAX(Lose[Bahn-hofs-zeit])-_xlfn.MINIFS(Lose[Bahn-hofs-zeit],Lose[Bahn-hofs-zeit],"&gt;0"))),5))</f>
        <v>295</v>
      </c>
      <c r="O436">
        <f>IF(Lose[[#This Row],[Gehzeit (min)]]="",0,CEILING(3*(Lose[[#This Row],[Gehzeit (min)]]+Lose[[#This Row],[Aufgaben-zeit (min)]]),5))</f>
        <v>0</v>
      </c>
      <c r="P436">
        <v>11.25</v>
      </c>
      <c r="Q436" t="str">
        <f>IFERROR(ROUND(Lose[[#This Row],[Distanz (km)]]*60/Lose[[#This Row],[Gehzeit (min)]],1),"")</f>
        <v/>
      </c>
      <c r="R43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36" t="str">
        <f>IFERROR(Lose[[#This Row],[Distanz (km)]]-Lose[[#This Row],[Check Distanz]],"")</f>
        <v/>
      </c>
      <c r="T436" s="60" t="str">
        <f>IFERROR(Lose[[#This Row],[Check Umweg]]/Lose[[#This Row],[Check Distanz]],"")</f>
        <v/>
      </c>
      <c r="U436">
        <f ca="1">IF(RIGHT(Lose[[#This Row],[LosID]],1)="b",_xlfn.XLOOKUP(REPLACE(Lose[[#This Row],[LosID]],LEN(Lose[[#This Row],[LosID]]),1,"a"),Lose[LosID],Lose[Zufallszahl],"",0),RAND())</f>
        <v>0.49487482784559578</v>
      </c>
      <c r="V436" t="b" cm="1">
        <f t="array" aca="1" ref="V436" ca="1">Lose[[#This Row],[Zufallszahl]]&gt;=IFERROR(LARGE((LEFT(Lose[LosID],FIND("-",Lose[LosID])-1)=LEFT(Lose[[#This Row],[LosID]],FIND("-",Lose[[#This Row],[LosID]])-1))*Lose[Zufallszahl],_xlfn.XLOOKUP(LEFT(Lose[[#This Row],[LosID]],FIND("-",Lose[[#This Row],[LosID]])-1),Ziehungsanzahl[Kürzel],Ziehungsanzahl[Kontingent],FALSE,0)),9999)</f>
        <v>0</v>
      </c>
    </row>
    <row r="437" spans="1:23" ht="30" hidden="1">
      <c r="A4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7" t="s">
        <v>23408</v>
      </c>
      <c r="C437" t="s">
        <v>24734</v>
      </c>
      <c r="D437" s="103" t="s">
        <v>24735</v>
      </c>
      <c r="E437" t="s">
        <v>24736</v>
      </c>
      <c r="F437" t="s">
        <v>24737</v>
      </c>
      <c r="G437">
        <v>10</v>
      </c>
      <c r="H437">
        <v>1</v>
      </c>
      <c r="I437">
        <v>0.7</v>
      </c>
      <c r="K437" t="str" cm="1">
        <f t="array" ref="K4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Hagen-Vorhalle</v>
      </c>
      <c r="L437" t="str">
        <f>IFERROR(LEFT(TRIM(Lose[[#This Row],[Google Koordinaten]]),9),"")</f>
        <v>51.385914</v>
      </c>
      <c r="M437" t="str">
        <f>IFERROR(MID(TRIM(Lose[[#This Row],[Google Koordinaten]]),
FIND(",",TRIM(Lose[[#This Row],[Google Koordinaten]])) + 2,9),"")</f>
        <v>7.4279429</v>
      </c>
      <c r="N437">
        <f>IF(Lose[[#This Row],[Bahn-hofs-zeit]]=0,0,MROUND(30*25^((Lose[[#This Row],[Bahn-hofs-zeit]]-_xlfn.MINIFS(Lose[Bahn-hofs-zeit],Lose[Bahn-hofs-zeit],"&gt;0"))/(MAX(Lose[Bahn-hofs-zeit])-_xlfn.MINIFS(Lose[Bahn-hofs-zeit],Lose[Bahn-hofs-zeit],"&gt;0"))),5))</f>
        <v>40</v>
      </c>
      <c r="O437">
        <f>IF(Lose[[#This Row],[Gehzeit (min)]]="",0,CEILING(3*(Lose[[#This Row],[Gehzeit (min)]]+Lose[[#This Row],[Aufgaben-zeit (min)]]),5))</f>
        <v>35</v>
      </c>
      <c r="P437">
        <v>4.25</v>
      </c>
      <c r="Q437">
        <f>IFERROR(ROUND(Lose[[#This Row],[Distanz (km)]]*60/Lose[[#This Row],[Gehzeit (min)]],1),"")</f>
        <v>4.2</v>
      </c>
      <c r="R4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437">
        <f>IFERROR(Lose[[#This Row],[Distanz (km)]]-Lose[[#This Row],[Check Distanz]],"")</f>
        <v>0.21999999999999997</v>
      </c>
      <c r="T437" s="60">
        <f>IFERROR(Lose[[#This Row],[Check Umweg]]/Lose[[#This Row],[Check Distanz]],"")</f>
        <v>0.45833333333333331</v>
      </c>
      <c r="U437">
        <f ca="1">IF(RIGHT(Lose[[#This Row],[LosID]],1)="b",_xlfn.XLOOKUP(REPLACE(Lose[[#This Row],[LosID]],LEN(Lose[[#This Row],[LosID]]),1,"a"),Lose[LosID],Lose[Zufallszahl],"",0),RAND())</f>
        <v>5.0873009983725126E-2</v>
      </c>
      <c r="V437" t="b" cm="1">
        <f t="array" aca="1" ref="V437" ca="1">Lose[[#This Row],[Zufallszahl]]&gt;=IFERROR(LARGE((LEFT(Lose[LosID],FIND("-",Lose[LosID])-1)=LEFT(Lose[[#This Row],[LosID]],FIND("-",Lose[[#This Row],[LosID]])-1))*Lose[Zufallszahl],_xlfn.XLOOKUP(LEFT(Lose[[#This Row],[LosID]],FIND("-",Lose[[#This Row],[LosID]])-1),Ziehungsanzahl[Kürzel],Ziehungsanzahl[Kontingent],FALSE,0)),9999)</f>
        <v>0</v>
      </c>
    </row>
    <row r="438" spans="1:23" ht="135" hidden="1">
      <c r="A4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8" t="s">
        <v>23380</v>
      </c>
      <c r="C438" t="s">
        <v>24738</v>
      </c>
      <c r="D438" s="103" t="s">
        <v>24739</v>
      </c>
      <c r="E438" t="s">
        <v>24740</v>
      </c>
      <c r="F438" t="s">
        <v>24741</v>
      </c>
      <c r="G438">
        <v>2</v>
      </c>
      <c r="H438">
        <v>2</v>
      </c>
      <c r="I438">
        <v>0.1</v>
      </c>
      <c r="J438">
        <v>15</v>
      </c>
      <c r="K438" t="str" cm="1">
        <f t="array" ref="K4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Dresden-Friedrichstadt</v>
      </c>
      <c r="L438" t="str">
        <f>IFERROR(LEFT(TRIM(Lose[[#This Row],[Google Koordinaten]]),9),"")</f>
        <v>51.056566</v>
      </c>
      <c r="M438" t="str">
        <f>IFERROR(MID(TRIM(Lose[[#This Row],[Google Koordinaten]]),
FIND(",",TRIM(Lose[[#This Row],[Google Koordinaten]])) + 2,9),"")</f>
        <v>13.708919</v>
      </c>
      <c r="N438" s="91">
        <f>IF(Lose[[#This Row],[Bahn-hofs-zeit]]=0,0,MROUND(30*25^((Lose[[#This Row],[Bahn-hofs-zeit]]-_xlfn.MINIFS(Lose[Bahn-hofs-zeit],Lose[Bahn-hofs-zeit],"&gt;0"))/(MAX(Lose[Bahn-hofs-zeit])-_xlfn.MINIFS(Lose[Bahn-hofs-zeit],Lose[Bahn-hofs-zeit],"&gt;0"))),5))</f>
        <v>0</v>
      </c>
      <c r="O438">
        <f>IF(Lose[[#This Row],[Gehzeit (min)]]="",0,CEILING(3*(Lose[[#This Row],[Gehzeit (min)]]+Lose[[#This Row],[Aufgaben-zeit (min)]]),5))</f>
        <v>15</v>
      </c>
      <c r="Q438">
        <f>IFERROR(ROUND(Lose[[#This Row],[Distanz (km)]]*60/Lose[[#This Row],[Gehzeit (min)]],1),"")</f>
        <v>3</v>
      </c>
      <c r="R4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438">
        <f>IFERROR(Lose[[#This Row],[Distanz (km)]]-Lose[[#This Row],[Check Distanz]],"")</f>
        <v>2.0000000000000004E-2</v>
      </c>
      <c r="T438" s="60">
        <f>IFERROR(Lose[[#This Row],[Check Umweg]]/Lose[[#This Row],[Check Distanz]],"")</f>
        <v>0.25000000000000006</v>
      </c>
      <c r="U438">
        <f ca="1">IF(RIGHT(Lose[[#This Row],[LosID]],1)="b",_xlfn.XLOOKUP(REPLACE(Lose[[#This Row],[LosID]],LEN(Lose[[#This Row],[LosID]]),1,"a"),Lose[LosID],Lose[Zufallszahl],"",0),RAND())</f>
        <v>0.74990591322295486</v>
      </c>
      <c r="V438" t="b" cm="1">
        <f t="array" aca="1" ref="V438" ca="1">Lose[[#This Row],[Zufallszahl]]&gt;=IFERROR(LARGE((LEFT(Lose[LosID],FIND("-",Lose[LosID])-1)=LEFT(Lose[[#This Row],[LosID]],FIND("-",Lose[[#This Row],[LosID]])-1))*Lose[Zufallszahl],_xlfn.XLOOKUP(LEFT(Lose[[#This Row],[LosID]],FIND("-",Lose[[#This Row],[LosID]])-1),Ziehungsanzahl[Kürzel],Ziehungsanzahl[Kontingent],FALSE,0)),9999)</f>
        <v>0</v>
      </c>
      <c r="W438" t="s">
        <v>23398</v>
      </c>
    </row>
    <row r="439" spans="1:23" ht="105">
      <c r="A4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9" t="s">
        <v>23385</v>
      </c>
      <c r="C439" t="s">
        <v>24742</v>
      </c>
      <c r="D439" s="84" t="s">
        <v>24743</v>
      </c>
      <c r="E439" t="s">
        <v>24744</v>
      </c>
      <c r="F439" t="s">
        <v>24745</v>
      </c>
      <c r="G439">
        <v>5</v>
      </c>
      <c r="H439">
        <v>5</v>
      </c>
      <c r="I439">
        <v>0.35</v>
      </c>
      <c r="K439" t="str" cm="1">
        <f t="array" ref="K4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Görlitz-Rauschwalde</v>
      </c>
      <c r="L439" t="str">
        <f>IFERROR(LEFT(TRIM(Lose[[#This Row],[Google Koordinaten]]),9),"")</f>
        <v>51.150166</v>
      </c>
      <c r="M439" t="str">
        <f>IFERROR(MID(TRIM(Lose[[#This Row],[Google Koordinaten]]),
FIND(",",TRIM(Lose[[#This Row],[Google Koordinaten]])) + 2,9),"")</f>
        <v>14.939307</v>
      </c>
      <c r="N439" s="91">
        <f>IF(Lose[[#This Row],[Bahn-hofs-zeit]]=0,0,MROUND(30*25^((Lose[[#This Row],[Bahn-hofs-zeit]]-_xlfn.MINIFS(Lose[Bahn-hofs-zeit],Lose[Bahn-hofs-zeit],"&gt;0"))/(MAX(Lose[Bahn-hofs-zeit])-_xlfn.MINIFS(Lose[Bahn-hofs-zeit],Lose[Bahn-hofs-zeit],"&gt;0"))),5))</f>
        <v>0</v>
      </c>
      <c r="O439">
        <f>IF(Lose[[#This Row],[Gehzeit (min)]]="",0,CEILING(3*(Lose[[#This Row],[Gehzeit (min)]]+Lose[[#This Row],[Aufgaben-zeit (min)]]),5))</f>
        <v>30</v>
      </c>
      <c r="Q439">
        <f>IFERROR(ROUND(Lose[[#This Row],[Distanz (km)]]*60/Lose[[#This Row],[Gehzeit (min)]],1),"")</f>
        <v>4.2</v>
      </c>
      <c r="R4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439">
        <f>IFERROR(Lose[[#This Row],[Distanz (km)]]-Lose[[#This Row],[Check Distanz]],"")</f>
        <v>8.9999999999999969E-2</v>
      </c>
      <c r="T439" s="60">
        <f>IFERROR(Lose[[#This Row],[Check Umweg]]/Lose[[#This Row],[Check Distanz]],"")</f>
        <v>0.34615384615384603</v>
      </c>
      <c r="U439">
        <f ca="1">IF(RIGHT(Lose[[#This Row],[LosID]],1)="b",_xlfn.XLOOKUP(REPLACE(Lose[[#This Row],[LosID]],LEN(Lose[[#This Row],[LosID]]),1,"a"),Lose[LosID],Lose[Zufallszahl],"",0),RAND())</f>
        <v>0.63042983538745656</v>
      </c>
      <c r="V439" t="b" cm="1">
        <f t="array" aca="1" ref="V439" ca="1">Lose[[#This Row],[Zufallszahl]]&gt;=IFERROR(LARGE((LEFT(Lose[LosID],FIND("-",Lose[LosID])-1)=LEFT(Lose[[#This Row],[LosID]],FIND("-",Lose[[#This Row],[LosID]])-1))*Lose[Zufallszahl],_xlfn.XLOOKUP(LEFT(Lose[[#This Row],[LosID]],FIND("-",Lose[[#This Row],[LosID]])-1),Ziehungsanzahl[Kürzel],Ziehungsanzahl[Kontingent],FALSE,0)),9999)</f>
        <v>0</v>
      </c>
      <c r="W439" t="s">
        <v>23398</v>
      </c>
    </row>
    <row r="440" spans="1:23" ht="120" hidden="1">
      <c r="A4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0" t="s">
        <v>23390</v>
      </c>
      <c r="C440" t="s">
        <v>24746</v>
      </c>
      <c r="D440" s="102" t="s">
        <v>24747</v>
      </c>
      <c r="E440" s="1" t="s">
        <v>24748</v>
      </c>
      <c r="F440" t="s">
        <v>24749</v>
      </c>
      <c r="G440">
        <v>13</v>
      </c>
      <c r="H440">
        <v>5</v>
      </c>
      <c r="I440">
        <v>1</v>
      </c>
      <c r="K440" t="str" cm="1">
        <f t="array" ref="K4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Einsiedlerhof</v>
      </c>
      <c r="L440" t="str">
        <f>IFERROR(LEFT(TRIM(Lose[[#This Row],[Google Koordinaten]]),9),"")</f>
        <v>49.432030</v>
      </c>
      <c r="M440" t="str">
        <f>IFERROR(MID(TRIM(Lose[[#This Row],[Google Koordinaten]]),
FIND(",",TRIM(Lose[[#This Row],[Google Koordinaten]])) + 2,9),"")</f>
        <v>7.671340</v>
      </c>
      <c r="N440">
        <f>IF(Lose[[#This Row],[Bahn-hofs-zeit]]=0,0,MROUND(30*25^((Lose[[#This Row],[Bahn-hofs-zeit]]-_xlfn.MINIFS(Lose[Bahn-hofs-zeit],Lose[Bahn-hofs-zeit],"&gt;0"))/(MAX(Lose[Bahn-hofs-zeit])-_xlfn.MINIFS(Lose[Bahn-hofs-zeit],Lose[Bahn-hofs-zeit],"&gt;0"))),5))</f>
        <v>95</v>
      </c>
      <c r="O440">
        <f>IF(Lose[[#This Row],[Gehzeit (min)]]="",0,CEILING(3*(Lose[[#This Row],[Gehzeit (min)]]+Lose[[#This Row],[Aufgaben-zeit (min)]]),5))</f>
        <v>55</v>
      </c>
      <c r="P440">
        <v>7.25</v>
      </c>
      <c r="Q440">
        <f>IFERROR(ROUND(Lose[[#This Row],[Distanz (km)]]*60/Lose[[#This Row],[Gehzeit (min)]],1),"")</f>
        <v>4.5999999999999996</v>
      </c>
      <c r="R4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40">
        <f>IFERROR(Lose[[#This Row],[Distanz (km)]]-Lose[[#This Row],[Check Distanz]],"")</f>
        <v>0.32999999999999996</v>
      </c>
      <c r="T440" s="60">
        <f>IFERROR(Lose[[#This Row],[Check Umweg]]/Lose[[#This Row],[Check Distanz]],"")</f>
        <v>0.49253731343283574</v>
      </c>
      <c r="U440">
        <f ca="1">IF(RIGHT(Lose[[#This Row],[LosID]],1)="b",_xlfn.XLOOKUP(REPLACE(Lose[[#This Row],[LosID]],LEN(Lose[[#This Row],[LosID]]),1,"a"),Lose[LosID],Lose[Zufallszahl],"",0),RAND())</f>
        <v>0.87586979528748155</v>
      </c>
      <c r="V440" t="b" cm="1">
        <f t="array" aca="1" ref="V440" ca="1">Lose[[#This Row],[Zufallszahl]]&gt;=IFERROR(LARGE((LEFT(Lose[LosID],FIND("-",Lose[LosID])-1)=LEFT(Lose[[#This Row],[LosID]],FIND("-",Lose[[#This Row],[LosID]])-1))*Lose[Zufallszahl],_xlfn.XLOOKUP(LEFT(Lose[[#This Row],[LosID]],FIND("-",Lose[[#This Row],[LosID]])-1),Ziehungsanzahl[Kürzel],Ziehungsanzahl[Kontingent],FALSE,0)),9999)</f>
        <v>0</v>
      </c>
    </row>
    <row r="441" spans="1:23" ht="120" hidden="1">
      <c r="A4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1" t="s">
        <v>23394</v>
      </c>
      <c r="C441" t="s">
        <v>24750</v>
      </c>
      <c r="D441" s="1" t="s">
        <v>24751</v>
      </c>
      <c r="E441" t="s">
        <v>24752</v>
      </c>
      <c r="F441" t="s">
        <v>24753</v>
      </c>
      <c r="G441">
        <v>27</v>
      </c>
      <c r="H441">
        <v>2</v>
      </c>
      <c r="I441">
        <v>2</v>
      </c>
      <c r="K441" t="str" cm="1">
        <f t="array" ref="K4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West</v>
      </c>
      <c r="L441" t="str">
        <f>IFERROR(LEFT(TRIM(Lose[[#This Row],[Google Koordinaten]]),9),"")</f>
        <v>50.789469</v>
      </c>
      <c r="M441" t="str">
        <f>IFERROR(MID(TRIM(Lose[[#This Row],[Google Koordinaten]]),
FIND(",",TRIM(Lose[[#This Row],[Google Koordinaten]])) + 2,9),"")</f>
        <v>6.0558767</v>
      </c>
      <c r="N441">
        <f>IF(Lose[[#This Row],[Bahn-hofs-zeit]]=0,0,MROUND(30*25^((Lose[[#This Row],[Bahn-hofs-zeit]]-_xlfn.MINIFS(Lose[Bahn-hofs-zeit],Lose[Bahn-hofs-zeit],"&gt;0"))/(MAX(Lose[Bahn-hofs-zeit])-_xlfn.MINIFS(Lose[Bahn-hofs-zeit],Lose[Bahn-hofs-zeit],"&gt;0"))),5))</f>
        <v>55</v>
      </c>
      <c r="O441">
        <f>IF(Lose[[#This Row],[Gehzeit (min)]]="",0,CEILING(3*(Lose[[#This Row],[Gehzeit (min)]]+Lose[[#This Row],[Aufgaben-zeit (min)]]),5))</f>
        <v>90</v>
      </c>
      <c r="P441">
        <v>5.5</v>
      </c>
      <c r="Q441">
        <f>IFERROR(ROUND(Lose[[#This Row],[Distanz (km)]]*60/Lose[[#This Row],[Gehzeit (min)]],1),"")</f>
        <v>4.4000000000000004</v>
      </c>
      <c r="R4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v>
      </c>
      <c r="S441">
        <f>IFERROR(Lose[[#This Row],[Distanz (km)]]-Lose[[#This Row],[Check Distanz]],"")</f>
        <v>0.55000000000000004</v>
      </c>
      <c r="T441" s="60">
        <f>IFERROR(Lose[[#This Row],[Check Umweg]]/Lose[[#This Row],[Check Distanz]],"")</f>
        <v>0.37931034482758624</v>
      </c>
      <c r="U441">
        <f ca="1">IF(RIGHT(Lose[[#This Row],[LosID]],1)="b",_xlfn.XLOOKUP(REPLACE(Lose[[#This Row],[LosID]],LEN(Lose[[#This Row],[LosID]]),1,"a"),Lose[LosID],Lose[Zufallszahl],"",0),RAND())</f>
        <v>0.99833196170021055</v>
      </c>
      <c r="V441" t="b" cm="1">
        <f t="array" aca="1" ref="V441" ca="1">Lose[[#This Row],[Zufallszahl]]&gt;=IFERROR(LARGE((LEFT(Lose[LosID],FIND("-",Lose[LosID])-1)=LEFT(Lose[[#This Row],[LosID]],FIND("-",Lose[[#This Row],[LosID]])-1))*Lose[Zufallszahl],_xlfn.XLOOKUP(LEFT(Lose[[#This Row],[LosID]],FIND("-",Lose[[#This Row],[LosID]])-1),Ziehungsanzahl[Kürzel],Ziehungsanzahl[Kontingent],FALSE,0)),9999)</f>
        <v>0</v>
      </c>
    </row>
    <row r="442" spans="1:23" ht="180" hidden="1">
      <c r="A4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2" t="s">
        <v>23403</v>
      </c>
      <c r="C442" s="74" t="s">
        <v>1402</v>
      </c>
      <c r="D442" s="103" t="s">
        <v>24754</v>
      </c>
      <c r="E442" t="s">
        <v>24755</v>
      </c>
      <c r="F442" t="s">
        <v>24756</v>
      </c>
      <c r="G442">
        <v>11</v>
      </c>
      <c r="H442">
        <v>5</v>
      </c>
      <c r="I442">
        <v>0.8</v>
      </c>
      <c r="J442">
        <v>10</v>
      </c>
      <c r="K442" t="str" cm="1">
        <f t="array" ref="K4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442" t="str">
        <f>IFERROR(LEFT(TRIM(Lose[[#This Row],[Google Koordinaten]]),9),"")</f>
        <v>51.482025</v>
      </c>
      <c r="M442" t="str">
        <f>IFERROR(MID(TRIM(Lose[[#This Row],[Google Koordinaten]]),
FIND(",",TRIM(Lose[[#This Row],[Google Koordinaten]])) + 2,9),"")</f>
        <v>11.991181</v>
      </c>
      <c r="N442">
        <f>IF(Lose[[#This Row],[Bahn-hofs-zeit]]=0,0,MROUND(30*25^((Lose[[#This Row],[Bahn-hofs-zeit]]-_xlfn.MINIFS(Lose[Bahn-hofs-zeit],Lose[Bahn-hofs-zeit],"&gt;0"))/(MAX(Lose[Bahn-hofs-zeit])-_xlfn.MINIFS(Lose[Bahn-hofs-zeit],Lose[Bahn-hofs-zeit],"&gt;0"))),5))</f>
        <v>135</v>
      </c>
      <c r="O442">
        <f>IF(Lose[[#This Row],[Gehzeit (min)]]="",0,CEILING(3*(Lose[[#This Row],[Gehzeit (min)]]+Lose[[#This Row],[Aufgaben-zeit (min)]]),5))</f>
        <v>50</v>
      </c>
      <c r="P442">
        <v>8.5</v>
      </c>
      <c r="Q442">
        <f>IFERROR(ROUND(Lose[[#This Row],[Distanz (km)]]*60/Lose[[#This Row],[Gehzeit (min)]],1),"")</f>
        <v>4.4000000000000004</v>
      </c>
      <c r="R4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42">
        <f>IFERROR(Lose[[#This Row],[Distanz (km)]]-Lose[[#This Row],[Check Distanz]],"")</f>
        <v>0.22000000000000008</v>
      </c>
      <c r="T442" s="60">
        <f>IFERROR(Lose[[#This Row],[Check Umweg]]/Lose[[#This Row],[Check Distanz]],"")</f>
        <v>0.37931034482758635</v>
      </c>
      <c r="U442">
        <f ca="1">IF(RIGHT(Lose[[#This Row],[LosID]],1)="b",_xlfn.XLOOKUP(REPLACE(Lose[[#This Row],[LosID]],LEN(Lose[[#This Row],[LosID]]),1,"a"),Lose[LosID],Lose[Zufallszahl],"",0),RAND())</f>
        <v>0.69764959595221865</v>
      </c>
      <c r="V442" t="b" cm="1">
        <f t="array" aca="1" ref="V442" ca="1">Lose[[#This Row],[Zufallszahl]]&gt;=IFERROR(LARGE((LEFT(Lose[LosID],FIND("-",Lose[LosID])-1)=LEFT(Lose[[#This Row],[LosID]],FIND("-",Lose[[#This Row],[LosID]])-1))*Lose[Zufallszahl],_xlfn.XLOOKUP(LEFT(Lose[[#This Row],[LosID]],FIND("-",Lose[[#This Row],[LosID]])-1),Ziehungsanzahl[Kürzel],Ziehungsanzahl[Kontingent],FALSE,0)),9999)</f>
        <v>0</v>
      </c>
    </row>
    <row r="443" spans="1:23" ht="45" hidden="1">
      <c r="A4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3" t="s">
        <v>23408</v>
      </c>
      <c r="C443" t="s">
        <v>24757</v>
      </c>
      <c r="D443" s="1" t="s">
        <v>24758</v>
      </c>
      <c r="E443" t="s">
        <v>24759</v>
      </c>
      <c r="F443" t="s">
        <v>24760</v>
      </c>
      <c r="G443">
        <v>3</v>
      </c>
      <c r="H443">
        <v>1</v>
      </c>
      <c r="I443">
        <v>0.2</v>
      </c>
      <c r="J443">
        <v>20</v>
      </c>
      <c r="K443" t="str" cm="1">
        <f t="array" ref="K4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Bottrop-Vonderort</v>
      </c>
      <c r="L443" t="str">
        <f>IFERROR(LEFT(TRIM(Lose[[#This Row],[Google Koordinaten]]),9),"")</f>
        <v>51.502232</v>
      </c>
      <c r="M443" t="str">
        <f>IFERROR(MID(TRIM(Lose[[#This Row],[Google Koordinaten]]),
FIND(",",TRIM(Lose[[#This Row],[Google Koordinaten]])) + 2,9),"")</f>
        <v>6.9098029</v>
      </c>
      <c r="N443">
        <f>IF(Lose[[#This Row],[Bahn-hofs-zeit]]=0,0,MROUND(30*25^((Lose[[#This Row],[Bahn-hofs-zeit]]-_xlfn.MINIFS(Lose[Bahn-hofs-zeit],Lose[Bahn-hofs-zeit],"&gt;0"))/(MAX(Lose[Bahn-hofs-zeit])-_xlfn.MINIFS(Lose[Bahn-hofs-zeit],Lose[Bahn-hofs-zeit],"&gt;0"))),5))</f>
        <v>50</v>
      </c>
      <c r="O443">
        <f>IF(Lose[[#This Row],[Gehzeit (min)]]="",0,CEILING(3*(Lose[[#This Row],[Gehzeit (min)]]+Lose[[#This Row],[Aufgaben-zeit (min)]]),5))</f>
        <v>15</v>
      </c>
      <c r="P443">
        <v>5</v>
      </c>
      <c r="Q443">
        <f>IFERROR(ROUND(Lose[[#This Row],[Distanz (km)]]*60/Lose[[#This Row],[Gehzeit (min)]],1),"")</f>
        <v>4</v>
      </c>
      <c r="R4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443">
        <f>IFERROR(Lose[[#This Row],[Distanz (km)]]-Lose[[#This Row],[Check Distanz]],"")</f>
        <v>2.0000000000000018E-2</v>
      </c>
      <c r="T443" s="60">
        <f>IFERROR(Lose[[#This Row],[Check Umweg]]/Lose[[#This Row],[Check Distanz]],"")</f>
        <v>0.11111111111111122</v>
      </c>
      <c r="U443">
        <f ca="1">IF(RIGHT(Lose[[#This Row],[LosID]],1)="b",_xlfn.XLOOKUP(REPLACE(Lose[[#This Row],[LosID]],LEN(Lose[[#This Row],[LosID]]),1,"a"),Lose[LosID],Lose[Zufallszahl],"",0),RAND())</f>
        <v>0.80094908008671817</v>
      </c>
      <c r="V443" t="b" cm="1">
        <f t="array" aca="1" ref="V443" ca="1">Lose[[#This Row],[Zufallszahl]]&gt;=IFERROR(LARGE((LEFT(Lose[LosID],FIND("-",Lose[LosID])-1)=LEFT(Lose[[#This Row],[LosID]],FIND("-",Lose[[#This Row],[LosID]])-1))*Lose[Zufallszahl],_xlfn.XLOOKUP(LEFT(Lose[[#This Row],[LosID]],FIND("-",Lose[[#This Row],[LosID]])-1),Ziehungsanzahl[Kürzel],Ziehungsanzahl[Kontingent],FALSE,0)),9999)</f>
        <v>0</v>
      </c>
    </row>
    <row r="444" spans="1:23" ht="60" hidden="1">
      <c r="A4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4" t="s">
        <v>23412</v>
      </c>
      <c r="C444" t="s">
        <v>24761</v>
      </c>
      <c r="D444" s="1" t="s">
        <v>24762</v>
      </c>
      <c r="E444" t="s">
        <v>661</v>
      </c>
      <c r="F444" t="s">
        <v>24763</v>
      </c>
      <c r="G444">
        <v>9</v>
      </c>
      <c r="H444">
        <v>1</v>
      </c>
      <c r="I444">
        <v>0.7</v>
      </c>
      <c r="J444">
        <v>10</v>
      </c>
      <c r="K444" t="str" cm="1">
        <f t="array" ref="K4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Maschen</v>
      </c>
      <c r="L444" t="str">
        <f>IFERROR(LEFT(TRIM(Lose[[#This Row],[Google Koordinaten]]),9),"")</f>
        <v>53.398186</v>
      </c>
      <c r="M444" t="str">
        <f>IFERROR(MID(TRIM(Lose[[#This Row],[Google Koordinaten]]),
FIND(",",TRIM(Lose[[#This Row],[Google Koordinaten]])) + 2,9),"")</f>
        <v>10.064122</v>
      </c>
      <c r="N444">
        <f>IF(Lose[[#This Row],[Bahn-hofs-zeit]]=0,0,MROUND(30*25^((Lose[[#This Row],[Bahn-hofs-zeit]]-_xlfn.MINIFS(Lose[Bahn-hofs-zeit],Lose[Bahn-hofs-zeit],"&gt;0"))/(MAX(Lose[Bahn-hofs-zeit])-_xlfn.MINIFS(Lose[Bahn-hofs-zeit],Lose[Bahn-hofs-zeit],"&gt;0"))),5))</f>
        <v>90</v>
      </c>
      <c r="O444">
        <f>IF(Lose[[#This Row],[Gehzeit (min)]]="",0,CEILING(3*(Lose[[#This Row],[Gehzeit (min)]]+Lose[[#This Row],[Aufgaben-zeit (min)]]),5))</f>
        <v>30</v>
      </c>
      <c r="P444">
        <v>7</v>
      </c>
      <c r="Q444">
        <f>IFERROR(ROUND(Lose[[#This Row],[Distanz (km)]]*60/Lose[[#This Row],[Gehzeit (min)]],1),"")</f>
        <v>4.7</v>
      </c>
      <c r="R4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444">
        <f>IFERROR(Lose[[#This Row],[Distanz (km)]]-Lose[[#This Row],[Check Distanz]],"")</f>
        <v>6.9999999999999951E-2</v>
      </c>
      <c r="T444" s="60">
        <f>IFERROR(Lose[[#This Row],[Check Umweg]]/Lose[[#This Row],[Check Distanz]],"")</f>
        <v>0.11111111111111104</v>
      </c>
      <c r="U444">
        <f ca="1">IF(RIGHT(Lose[[#This Row],[LosID]],1)="b",_xlfn.XLOOKUP(REPLACE(Lose[[#This Row],[LosID]],LEN(Lose[[#This Row],[LosID]]),1,"a"),Lose[LosID],Lose[Zufallszahl],"",0),RAND())</f>
        <v>0.4391461353633066</v>
      </c>
      <c r="V444" t="b" cm="1">
        <f t="array" aca="1" ref="V444" ca="1">Lose[[#This Row],[Zufallszahl]]&gt;=IFERROR(LARGE((LEFT(Lose[LosID],FIND("-",Lose[LosID])-1)=LEFT(Lose[[#This Row],[LosID]],FIND("-",Lose[[#This Row],[LosID]])-1))*Lose[Zufallszahl],_xlfn.XLOOKUP(LEFT(Lose[[#This Row],[LosID]],FIND("-",Lose[[#This Row],[LosID]])-1),Ziehungsanzahl[Kürzel],Ziehungsanzahl[Kontingent],FALSE,0)),9999)</f>
        <v>0</v>
      </c>
    </row>
    <row r="445" spans="1:23" ht="75" hidden="1">
      <c r="A4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5" t="s">
        <v>23416</v>
      </c>
      <c r="C445" t="s">
        <v>24764</v>
      </c>
      <c r="D445" s="1" t="s">
        <v>24765</v>
      </c>
      <c r="E445" t="s">
        <v>24766</v>
      </c>
      <c r="F445" t="s">
        <v>24767</v>
      </c>
      <c r="G445">
        <v>17</v>
      </c>
      <c r="H445">
        <v>3</v>
      </c>
      <c r="I445">
        <v>1.2</v>
      </c>
      <c r="J445">
        <v>10</v>
      </c>
      <c r="K445" t="str" cm="1">
        <f t="array" ref="K4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445" t="str">
        <f>IFERROR(LEFT(TRIM(Lose[[#This Row],[Google Koordinaten]]),9),"")</f>
        <v>49.244078</v>
      </c>
      <c r="M445" t="str">
        <f>IFERROR(MID(TRIM(Lose[[#This Row],[Google Koordinaten]]),
FIND(",",TRIM(Lose[[#This Row],[Google Koordinaten]])) + 2,9),"")</f>
        <v>7.0018029</v>
      </c>
      <c r="N445">
        <f>IF(Lose[[#This Row],[Bahn-hofs-zeit]]=0,0,MROUND(30*25^((Lose[[#This Row],[Bahn-hofs-zeit]]-_xlfn.MINIFS(Lose[Bahn-hofs-zeit],Lose[Bahn-hofs-zeit],"&gt;0"))/(MAX(Lose[Bahn-hofs-zeit])-_xlfn.MINIFS(Lose[Bahn-hofs-zeit],Lose[Bahn-hofs-zeit],"&gt;0"))),5))</f>
        <v>125</v>
      </c>
      <c r="O445">
        <f>IF(Lose[[#This Row],[Gehzeit (min)]]="",0,CEILING(3*(Lose[[#This Row],[Gehzeit (min)]]+Lose[[#This Row],[Aufgaben-zeit (min)]]),5))</f>
        <v>60</v>
      </c>
      <c r="P445">
        <v>8.25</v>
      </c>
      <c r="Q445">
        <f>IFERROR(ROUND(Lose[[#This Row],[Distanz (km)]]*60/Lose[[#This Row],[Gehzeit (min)]],1),"")</f>
        <v>4.2</v>
      </c>
      <c r="R4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445">
        <f>IFERROR(Lose[[#This Row],[Distanz (km)]]-Lose[[#This Row],[Check Distanz]],"")</f>
        <v>0.35</v>
      </c>
      <c r="T445" s="60">
        <f>IFERROR(Lose[[#This Row],[Check Umweg]]/Lose[[#This Row],[Check Distanz]],"")</f>
        <v>0.41176470588235292</v>
      </c>
      <c r="U445">
        <f ca="1">IF(RIGHT(Lose[[#This Row],[LosID]],1)="b",_xlfn.XLOOKUP(REPLACE(Lose[[#This Row],[LosID]],LEN(Lose[[#This Row],[LosID]]),1,"a"),Lose[LosID],Lose[Zufallszahl],"",0),RAND())</f>
        <v>0.34084762823019066</v>
      </c>
      <c r="V445" t="b" cm="1">
        <f t="array" aca="1" ref="V445" ca="1">Lose[[#This Row],[Zufallszahl]]&gt;=IFERROR(LARGE((LEFT(Lose[LosID],FIND("-",Lose[LosID])-1)=LEFT(Lose[[#This Row],[LosID]],FIND("-",Lose[[#This Row],[LosID]])-1))*Lose[Zufallszahl],_xlfn.XLOOKUP(LEFT(Lose[[#This Row],[LosID]],FIND("-",Lose[[#This Row],[LosID]])-1),Ziehungsanzahl[Kürzel],Ziehungsanzahl[Kontingent],FALSE,0)),9999)</f>
        <v>0</v>
      </c>
    </row>
    <row r="446" spans="1:23" hidden="1">
      <c r="A4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6" t="s">
        <v>23357</v>
      </c>
      <c r="C446" t="s">
        <v>1403</v>
      </c>
      <c r="D446" s="1" t="s">
        <v>24768</v>
      </c>
      <c r="E446" t="s">
        <v>24769</v>
      </c>
      <c r="F446" t="s">
        <v>24770</v>
      </c>
      <c r="G446">
        <v>7</v>
      </c>
      <c r="H446">
        <v>1</v>
      </c>
      <c r="I446">
        <v>0.5</v>
      </c>
      <c r="K446" t="str" cm="1">
        <f t="array" ref="K4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Bebra</v>
      </c>
      <c r="L446" t="str">
        <f>IFERROR(LEFT(TRIM(Lose[[#This Row],[Google Koordinaten]]),9),"")</f>
        <v>50.966395</v>
      </c>
      <c r="M446" t="str">
        <f>IFERROR(MID(TRIM(Lose[[#This Row],[Google Koordinaten]]),
FIND(",",TRIM(Lose[[#This Row],[Google Koordinaten]])) + 2,9),"")</f>
        <v>9.7989990</v>
      </c>
      <c r="N446">
        <f>IF(Lose[[#This Row],[Bahn-hofs-zeit]]=0,0,MROUND(30*25^((Lose[[#This Row],[Bahn-hofs-zeit]]-_xlfn.MINIFS(Lose[Bahn-hofs-zeit],Lose[Bahn-hofs-zeit],"&gt;0"))/(MAX(Lose[Bahn-hofs-zeit])-_xlfn.MINIFS(Lose[Bahn-hofs-zeit],Lose[Bahn-hofs-zeit],"&gt;0"))),5))</f>
        <v>65</v>
      </c>
      <c r="O446">
        <f>IF(Lose[[#This Row],[Gehzeit (min)]]="",0,CEILING(3*(Lose[[#This Row],[Gehzeit (min)]]+Lose[[#This Row],[Aufgaben-zeit (min)]]),5))</f>
        <v>25</v>
      </c>
      <c r="P446">
        <v>6</v>
      </c>
      <c r="Q446">
        <f>IFERROR(ROUND(Lose[[#This Row],[Distanz (km)]]*60/Lose[[#This Row],[Gehzeit (min)]],1),"")</f>
        <v>4.3</v>
      </c>
      <c r="R4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446">
        <f>IFERROR(Lose[[#This Row],[Distanz (km)]]-Lose[[#This Row],[Check Distanz]],"")</f>
        <v>0.14000000000000001</v>
      </c>
      <c r="T446" s="60">
        <f>IFERROR(Lose[[#This Row],[Check Umweg]]/Lose[[#This Row],[Check Distanz]],"")</f>
        <v>0.38888888888888895</v>
      </c>
      <c r="U446">
        <f ca="1">IF(RIGHT(Lose[[#This Row],[LosID]],1)="b",_xlfn.XLOOKUP(REPLACE(Lose[[#This Row],[LosID]],LEN(Lose[[#This Row],[LosID]]),1,"a"),Lose[LosID],Lose[Zufallszahl],"",0),RAND())</f>
        <v>0.24287808204273398</v>
      </c>
      <c r="V446" t="b" cm="1">
        <f t="array" aca="1" ref="V446" ca="1">Lose[[#This Row],[Zufallszahl]]&gt;=IFERROR(LARGE((LEFT(Lose[LosID],FIND("-",Lose[LosID])-1)=LEFT(Lose[[#This Row],[LosID]],FIND("-",Lose[[#This Row],[LosID]])-1))*Lose[Zufallszahl],_xlfn.XLOOKUP(LEFT(Lose[[#This Row],[LosID]],FIND("-",Lose[[#This Row],[LosID]])-1),Ziehungsanzahl[Kürzel],Ziehungsanzahl[Kontingent],FALSE,0)),9999)</f>
        <v>0</v>
      </c>
      <c r="W446" t="s">
        <v>23362</v>
      </c>
    </row>
    <row r="447" spans="1:23" ht="105" hidden="1">
      <c r="A4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7" t="s">
        <v>23363</v>
      </c>
      <c r="C447" t="s">
        <v>1404</v>
      </c>
      <c r="D447" s="1" t="s">
        <v>24771</v>
      </c>
      <c r="E447" t="s">
        <v>24772</v>
      </c>
      <c r="F447" t="s">
        <v>24773</v>
      </c>
      <c r="G447">
        <v>13</v>
      </c>
      <c r="H447">
        <v>2</v>
      </c>
      <c r="I447">
        <v>1</v>
      </c>
      <c r="J447">
        <v>10</v>
      </c>
      <c r="K447" t="str" cm="1">
        <f t="array" ref="K4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Mainz-Bischofsheim</v>
      </c>
      <c r="L447" t="str">
        <f>IFERROR(LEFT(TRIM(Lose[[#This Row],[Google Koordinaten]]),9),"")</f>
        <v>49.986809</v>
      </c>
      <c r="M447" t="str">
        <f>IFERROR(MID(TRIM(Lose[[#This Row],[Google Koordinaten]]),
FIND(",",TRIM(Lose[[#This Row],[Google Koordinaten]])) + 2,9),"")</f>
        <v>8.3661857</v>
      </c>
      <c r="N447">
        <f>IF(Lose[[#This Row],[Bahn-hofs-zeit]]=0,0,MROUND(30*25^((Lose[[#This Row],[Bahn-hofs-zeit]]-_xlfn.MINIFS(Lose[Bahn-hofs-zeit],Lose[Bahn-hofs-zeit],"&gt;0"))/(MAX(Lose[Bahn-hofs-zeit])-_xlfn.MINIFS(Lose[Bahn-hofs-zeit],Lose[Bahn-hofs-zeit],"&gt;0"))),5))</f>
        <v>45</v>
      </c>
      <c r="O447">
        <f>IF(Lose[[#This Row],[Gehzeit (min)]]="",0,CEILING(3*(Lose[[#This Row],[Gehzeit (min)]]+Lose[[#This Row],[Aufgaben-zeit (min)]]),5))</f>
        <v>45</v>
      </c>
      <c r="P447">
        <v>4.5</v>
      </c>
      <c r="Q447">
        <f>IFERROR(ROUND(Lose[[#This Row],[Distanz (km)]]*60/Lose[[#This Row],[Gehzeit (min)]],1),"")</f>
        <v>4.5999999999999996</v>
      </c>
      <c r="R4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0.95</v>
      </c>
      <c r="S447">
        <f>IFERROR(Lose[[#This Row],[Distanz (km)]]-Lose[[#This Row],[Check Distanz]],"")</f>
        <v>5.0000000000000044E-2</v>
      </c>
      <c r="T447" s="60">
        <f>IFERROR(Lose[[#This Row],[Check Umweg]]/Lose[[#This Row],[Check Distanz]],"")</f>
        <v>5.2631578947368474E-2</v>
      </c>
      <c r="U447">
        <f ca="1">IF(RIGHT(Lose[[#This Row],[LosID]],1)="b",_xlfn.XLOOKUP(REPLACE(Lose[[#This Row],[LosID]],LEN(Lose[[#This Row],[LosID]]),1,"a"),Lose[LosID],Lose[Zufallszahl],"",0),RAND())</f>
        <v>0.54715263887841248</v>
      </c>
      <c r="V447" t="b" cm="1">
        <f t="array" aca="1" ref="V447" ca="1">Lose[[#This Row],[Zufallszahl]]&gt;=IFERROR(LARGE((LEFT(Lose[LosID],FIND("-",Lose[LosID])-1)=LEFT(Lose[[#This Row],[LosID]],FIND("-",Lose[[#This Row],[LosID]])-1))*Lose[Zufallszahl],_xlfn.XLOOKUP(LEFT(Lose[[#This Row],[LosID]],FIND("-",Lose[[#This Row],[LosID]])-1),Ziehungsanzahl[Kürzel],Ziehungsanzahl[Kontingent],FALSE,0)),9999)</f>
        <v>0</v>
      </c>
    </row>
    <row r="448" spans="1:23" ht="90" hidden="1">
      <c r="A4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8" t="s">
        <v>23412</v>
      </c>
      <c r="C448" t="s">
        <v>24774</v>
      </c>
      <c r="D448" s="1" t="s">
        <v>24775</v>
      </c>
      <c r="E448" t="s">
        <v>24776</v>
      </c>
      <c r="F448" s="1" t="s">
        <v>24777</v>
      </c>
      <c r="G448">
        <v>11</v>
      </c>
      <c r="H448">
        <v>5</v>
      </c>
      <c r="I448">
        <v>0.9</v>
      </c>
      <c r="K448" t="str" cm="1">
        <f t="array" ref="K4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München-Fasanerie</v>
      </c>
      <c r="L448" t="str">
        <f>IFERROR(LEFT(TRIM(Lose[[#This Row],[Google Koordinaten]]),9),"")</f>
        <v>48.190766</v>
      </c>
      <c r="M448" t="str">
        <f>IFERROR(MID(TRIM(Lose[[#This Row],[Google Koordinaten]]),
FIND(",",TRIM(Lose[[#This Row],[Google Koordinaten]])) + 2,9),"")</f>
        <v>11.522337</v>
      </c>
      <c r="N448">
        <f>IF(Lose[[#This Row],[Bahn-hofs-zeit]]=0,0,MROUND(30*25^((Lose[[#This Row],[Bahn-hofs-zeit]]-_xlfn.MINIFS(Lose[Bahn-hofs-zeit],Lose[Bahn-hofs-zeit],"&gt;0"))/(MAX(Lose[Bahn-hofs-zeit])-_xlfn.MINIFS(Lose[Bahn-hofs-zeit],Lose[Bahn-hofs-zeit],"&gt;0"))),5))</f>
        <v>320</v>
      </c>
      <c r="O448">
        <f>IF(Lose[[#This Row],[Gehzeit (min)]]="",0,CEILING(3*(Lose[[#This Row],[Gehzeit (min)]]+Lose[[#This Row],[Aufgaben-zeit (min)]]),5))</f>
        <v>50</v>
      </c>
      <c r="P448">
        <v>11.5</v>
      </c>
      <c r="Q448">
        <f>IFERROR(ROUND(Lose[[#This Row],[Distanz (km)]]*60/Lose[[#This Row],[Gehzeit (min)]],1),"")</f>
        <v>4.9000000000000004</v>
      </c>
      <c r="R4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448">
        <f>IFERROR(Lose[[#This Row],[Distanz (km)]]-Lose[[#This Row],[Check Distanz]],"")</f>
        <v>7.0000000000000062E-2</v>
      </c>
      <c r="T448" s="60">
        <f>IFERROR(Lose[[#This Row],[Check Umweg]]/Lose[[#This Row],[Check Distanz]],"")</f>
        <v>8.4337349397590439E-2</v>
      </c>
      <c r="U448">
        <f ca="1">IF(RIGHT(Lose[[#This Row],[LosID]],1)="b",_xlfn.XLOOKUP(REPLACE(Lose[[#This Row],[LosID]],LEN(Lose[[#This Row],[LosID]]),1,"a"),Lose[LosID],Lose[Zufallszahl],"",0),RAND())</f>
        <v>0.66120857145505119</v>
      </c>
      <c r="V448" t="b" cm="1">
        <f t="array" aca="1" ref="V448" ca="1">Lose[[#This Row],[Zufallszahl]]&gt;=IFERROR(LARGE((LEFT(Lose[LosID],FIND("-",Lose[LosID])-1)=LEFT(Lose[[#This Row],[LosID]],FIND("-",Lose[[#This Row],[LosID]])-1))*Lose[Zufallszahl],_xlfn.XLOOKUP(LEFT(Lose[[#This Row],[LosID]],FIND("-",Lose[[#This Row],[LosID]])-1),Ziehungsanzahl[Kürzel],Ziehungsanzahl[Kontingent],FALSE,0)),9999)</f>
        <v>0</v>
      </c>
    </row>
    <row r="449" spans="1:23" ht="30" hidden="1">
      <c r="A4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49" t="s">
        <v>23367</v>
      </c>
      <c r="C449" t="s">
        <v>24778</v>
      </c>
      <c r="D449" s="1" t="s">
        <v>24779</v>
      </c>
      <c r="E449" t="s">
        <v>24780</v>
      </c>
      <c r="F449" t="s">
        <v>24781</v>
      </c>
      <c r="G449">
        <v>1</v>
      </c>
      <c r="H449">
        <v>2</v>
      </c>
      <c r="I449">
        <v>0.05</v>
      </c>
      <c r="K449" t="str" cm="1">
        <f t="array" ref="K4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Wanne-Eickel Hbf</v>
      </c>
      <c r="L449" t="str">
        <f>IFERROR(LEFT(TRIM(Lose[[#This Row],[Google Koordinaten]]),9),"")</f>
        <v>51.532284</v>
      </c>
      <c r="M449" t="str">
        <f>IFERROR(MID(TRIM(Lose[[#This Row],[Google Koordinaten]]),
FIND(",",TRIM(Lose[[#This Row],[Google Koordinaten]])) + 2,9),"")</f>
        <v>7.1651185</v>
      </c>
      <c r="N449">
        <f>IF(Lose[[#This Row],[Bahn-hofs-zeit]]=0,0,MROUND(30*25^((Lose[[#This Row],[Bahn-hofs-zeit]]-_xlfn.MINIFS(Lose[Bahn-hofs-zeit],Lose[Bahn-hofs-zeit],"&gt;0"))/(MAX(Lose[Bahn-hofs-zeit])-_xlfn.MINIFS(Lose[Bahn-hofs-zeit],Lose[Bahn-hofs-zeit],"&gt;0"))),5))</f>
        <v>40</v>
      </c>
      <c r="O449">
        <f>IF(Lose[[#This Row],[Gehzeit (min)]]="",0,CEILING(3*(Lose[[#This Row],[Gehzeit (min)]]+Lose[[#This Row],[Aufgaben-zeit (min)]]),5))</f>
        <v>10</v>
      </c>
      <c r="P449">
        <v>4.25</v>
      </c>
      <c r="Q449">
        <f>IFERROR(ROUND(Lose[[#This Row],[Distanz (km)]]*60/Lose[[#This Row],[Gehzeit (min)]],1),"")</f>
        <v>3</v>
      </c>
      <c r="R4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449">
        <f>IFERROR(Lose[[#This Row],[Distanz (km)]]-Lose[[#This Row],[Check Distanz]],"")</f>
        <v>-6.9999999999999993E-2</v>
      </c>
      <c r="T449" s="60">
        <f>IFERROR(Lose[[#This Row],[Check Umweg]]/Lose[[#This Row],[Check Distanz]],"")</f>
        <v>-0.58333333333333326</v>
      </c>
      <c r="U449">
        <f ca="1">IF(RIGHT(Lose[[#This Row],[LosID]],1)="b",_xlfn.XLOOKUP(REPLACE(Lose[[#This Row],[LosID]],LEN(Lose[[#This Row],[LosID]]),1,"a"),Lose[LosID],Lose[Zufallszahl],"",0),RAND())</f>
        <v>0.52498681980928263</v>
      </c>
      <c r="V449" t="b" cm="1">
        <f t="array" aca="1" ref="V449" ca="1">Lose[[#This Row],[Zufallszahl]]&gt;=IFERROR(LARGE((LEFT(Lose[LosID],FIND("-",Lose[LosID])-1)=LEFT(Lose[[#This Row],[LosID]],FIND("-",Lose[[#This Row],[LosID]])-1))*Lose[Zufallszahl],_xlfn.XLOOKUP(LEFT(Lose[[#This Row],[LosID]],FIND("-",Lose[[#This Row],[LosID]])-1),Ziehungsanzahl[Kürzel],Ziehungsanzahl[Kontingent],FALSE,0)),9999)</f>
        <v>0</v>
      </c>
    </row>
    <row r="450" spans="1:23" ht="135" hidden="1">
      <c r="A4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0" t="s">
        <v>23372</v>
      </c>
      <c r="C450" t="s">
        <v>1405</v>
      </c>
      <c r="D450" s="89" t="s">
        <v>24782</v>
      </c>
      <c r="E450" t="s">
        <v>24783</v>
      </c>
      <c r="F450" s="105" t="s">
        <v>24784</v>
      </c>
      <c r="G450" s="105">
        <v>29</v>
      </c>
      <c r="H450" s="105">
        <v>1</v>
      </c>
      <c r="I450" s="105">
        <v>2.1</v>
      </c>
      <c r="J450" s="105">
        <v>20</v>
      </c>
      <c r="K450" t="str" cm="1">
        <f t="array" ref="K4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Duisburg-Buchholz</v>
      </c>
      <c r="L450" t="str">
        <f>IFERROR(LEFT(TRIM(Lose[[#This Row],[Google Koordinaten]]),9),"")</f>
        <v>51.390969</v>
      </c>
      <c r="M450" t="str">
        <f>IFERROR(MID(TRIM(Lose[[#This Row],[Google Koordinaten]]),
FIND(",",TRIM(Lose[[#This Row],[Google Koordinaten]])) + 2,9),"")</f>
        <v>6.8021299</v>
      </c>
      <c r="N450">
        <f>IF(Lose[[#This Row],[Bahn-hofs-zeit]]=0,0,MROUND(30*25^((Lose[[#This Row],[Bahn-hofs-zeit]]-_xlfn.MINIFS(Lose[Bahn-hofs-zeit],Lose[Bahn-hofs-zeit],"&gt;0"))/(MAX(Lose[Bahn-hofs-zeit])-_xlfn.MINIFS(Lose[Bahn-hofs-zeit],Lose[Bahn-hofs-zeit],"&gt;0"))),5))</f>
        <v>45</v>
      </c>
      <c r="O450">
        <f>IF(Lose[[#This Row],[Gehzeit (min)]]="",0,CEILING(3*(Lose[[#This Row],[Gehzeit (min)]]+Lose[[#This Row],[Aufgaben-zeit (min)]]),5))</f>
        <v>90</v>
      </c>
      <c r="P450">
        <v>4.5</v>
      </c>
      <c r="Q450">
        <f>IFERROR(ROUND(Lose[[#This Row],[Distanz (km)]]*60/Lose[[#This Row],[Gehzeit (min)]],1),"")</f>
        <v>4.3</v>
      </c>
      <c r="R4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2.06</v>
      </c>
      <c r="S450">
        <f>IFERROR(Lose[[#This Row],[Distanz (km)]]-Lose[[#This Row],[Check Distanz]],"")</f>
        <v>4.0000000000000036E-2</v>
      </c>
      <c r="T450" s="60">
        <f>IFERROR(Lose[[#This Row],[Check Umweg]]/Lose[[#This Row],[Check Distanz]],"")</f>
        <v>1.9417475728155355E-2</v>
      </c>
      <c r="U450">
        <f ca="1">IF(RIGHT(Lose[[#This Row],[LosID]],1)="b",_xlfn.XLOOKUP(REPLACE(Lose[[#This Row],[LosID]],LEN(Lose[[#This Row],[LosID]]),1,"a"),Lose[LosID],Lose[Zufallszahl],"",0),RAND())</f>
        <v>0.65090742389820722</v>
      </c>
      <c r="V450" t="b" cm="1">
        <f t="array" aca="1" ref="V450" ca="1">Lose[[#This Row],[Zufallszahl]]&gt;=IFERROR(LARGE((LEFT(Lose[LosID],FIND("-",Lose[LosID])-1)=LEFT(Lose[[#This Row],[LosID]],FIND("-",Lose[[#This Row],[LosID]])-1))*Lose[Zufallszahl],_xlfn.XLOOKUP(LEFT(Lose[[#This Row],[LosID]],FIND("-",Lose[[#This Row],[LosID]])-1),Ziehungsanzahl[Kürzel],Ziehungsanzahl[Kontingent],FALSE,0)),9999)</f>
        <v>0</v>
      </c>
    </row>
    <row r="451" spans="1:23" ht="90" hidden="1">
      <c r="A4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1" t="s">
        <v>4</v>
      </c>
      <c r="C451" t="s">
        <v>24785</v>
      </c>
      <c r="D451" s="1" t="s">
        <v>24786</v>
      </c>
      <c r="E451" t="s">
        <v>669</v>
      </c>
      <c r="F451" t="s">
        <v>24787</v>
      </c>
      <c r="G451">
        <v>10</v>
      </c>
      <c r="H451">
        <v>1</v>
      </c>
      <c r="I451">
        <v>0.75</v>
      </c>
      <c r="K451" t="str" cm="1">
        <f t="array" ref="K4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Oberhausen-Osterfeld Süd</v>
      </c>
      <c r="L451" t="str">
        <f>IFERROR(LEFT(TRIM(Lose[[#This Row],[Google Koordinaten]]),9),"")</f>
        <v>51.500408</v>
      </c>
      <c r="M451" t="str">
        <f>IFERROR(MID(TRIM(Lose[[#This Row],[Google Koordinaten]]),
FIND(",",TRIM(Lose[[#This Row],[Google Koordinaten]])) + 2,9),"")</f>
        <v>6.8936272</v>
      </c>
      <c r="N451">
        <f>IF(Lose[[#This Row],[Bahn-hofs-zeit]]=0,0,MROUND(30*25^((Lose[[#This Row],[Bahn-hofs-zeit]]-_xlfn.MINIFS(Lose[Bahn-hofs-zeit],Lose[Bahn-hofs-zeit],"&gt;0"))/(MAX(Lose[Bahn-hofs-zeit])-_xlfn.MINIFS(Lose[Bahn-hofs-zeit],Lose[Bahn-hofs-zeit],"&gt;0"))),5))</f>
        <v>50</v>
      </c>
      <c r="O451">
        <f>IF(Lose[[#This Row],[Gehzeit (min)]]="",0,CEILING(3*(Lose[[#This Row],[Gehzeit (min)]]+Lose[[#This Row],[Aufgaben-zeit (min)]]),5))</f>
        <v>35</v>
      </c>
      <c r="P451">
        <v>5</v>
      </c>
      <c r="Q451">
        <f>IFERROR(ROUND(Lose[[#This Row],[Distanz (km)]]*60/Lose[[#This Row],[Gehzeit (min)]],1),"")</f>
        <v>4.5</v>
      </c>
      <c r="R4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451">
        <f>IFERROR(Lose[[#This Row],[Distanz (km)]]-Lose[[#This Row],[Check Distanz]],"")</f>
        <v>0.16000000000000003</v>
      </c>
      <c r="T451" s="60">
        <f>IFERROR(Lose[[#This Row],[Check Umweg]]/Lose[[#This Row],[Check Distanz]],"")</f>
        <v>0.27118644067796616</v>
      </c>
      <c r="U451">
        <f ca="1">IF(RIGHT(Lose[[#This Row],[LosID]],1)="b",_xlfn.XLOOKUP(REPLACE(Lose[[#This Row],[LosID]],LEN(Lose[[#This Row],[LosID]]),1,"a"),Lose[LosID],Lose[Zufallszahl],"",0),RAND())</f>
        <v>0.47103778575105903</v>
      </c>
      <c r="V451" t="b" cm="1">
        <f t="array" aca="1" ref="V451" ca="1">Lose[[#This Row],[Zufallszahl]]&gt;=IFERROR(LARGE((LEFT(Lose[LosID],FIND("-",Lose[LosID])-1)=LEFT(Lose[[#This Row],[LosID]],FIND("-",Lose[[#This Row],[LosID]])-1))*Lose[Zufallszahl],_xlfn.XLOOKUP(LEFT(Lose[[#This Row],[LosID]],FIND("-",Lose[[#This Row],[LosID]])-1),Ziehungsanzahl[Kürzel],Ziehungsanzahl[Kontingent],FALSE,0)),9999)</f>
        <v>0</v>
      </c>
    </row>
    <row r="452" spans="1:23" ht="120" hidden="1">
      <c r="A4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2" t="s">
        <v>23352</v>
      </c>
      <c r="C452" t="s">
        <v>1406</v>
      </c>
      <c r="D452" s="1" t="s">
        <v>24788</v>
      </c>
      <c r="E452" t="s">
        <v>24789</v>
      </c>
      <c r="F452" s="106" t="s">
        <v>24790</v>
      </c>
      <c r="G452" s="106">
        <v>15</v>
      </c>
      <c r="H452" s="106">
        <v>10</v>
      </c>
      <c r="I452" s="106">
        <v>1</v>
      </c>
      <c r="J452" s="106">
        <v>10</v>
      </c>
      <c r="K452" s="106" t="str" cm="1">
        <f t="array" ref="K4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Mannheim-Seckenheim</v>
      </c>
      <c r="L452" t="str">
        <f>IFERROR(LEFT(TRIM(Lose[[#This Row],[Google Koordinaten]]),9),"")</f>
        <v>49.454135</v>
      </c>
      <c r="M452" t="str">
        <f>IFERROR(MID(TRIM(Lose[[#This Row],[Google Koordinaten]]),
FIND(",",TRIM(Lose[[#This Row],[Google Koordinaten]])) + 2,9),"")</f>
        <v>8.5289161</v>
      </c>
      <c r="N452">
        <f>IF(Lose[[#This Row],[Bahn-hofs-zeit]]=0,0,MROUND(30*25^((Lose[[#This Row],[Bahn-hofs-zeit]]-_xlfn.MINIFS(Lose[Bahn-hofs-zeit],Lose[Bahn-hofs-zeit],"&gt;0"))/(MAX(Lose[Bahn-hofs-zeit])-_xlfn.MINIFS(Lose[Bahn-hofs-zeit],Lose[Bahn-hofs-zeit],"&gt;0"))),5))</f>
        <v>45</v>
      </c>
      <c r="O452">
        <f>IF(Lose[[#This Row],[Gehzeit (min)]]="",0,CEILING(3*(Lose[[#This Row],[Gehzeit (min)]]+Lose[[#This Row],[Aufgaben-zeit (min)]]),5))</f>
        <v>75</v>
      </c>
      <c r="P452">
        <v>4.75</v>
      </c>
      <c r="Q452">
        <f>IFERROR(ROUND(Lose[[#This Row],[Distanz (km)]]*60/Lose[[#This Row],[Gehzeit (min)]],1),"")</f>
        <v>4</v>
      </c>
      <c r="R4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0.76</v>
      </c>
      <c r="S452">
        <f>IFERROR(Lose[[#This Row],[Distanz (km)]]-Lose[[#This Row],[Check Distanz]],"")</f>
        <v>0.24</v>
      </c>
      <c r="T452" s="60">
        <f>IFERROR(Lose[[#This Row],[Check Umweg]]/Lose[[#This Row],[Check Distanz]],"")</f>
        <v>0.31578947368421051</v>
      </c>
      <c r="U452">
        <f ca="1">IF(RIGHT(Lose[[#This Row],[LosID]],1)="b",_xlfn.XLOOKUP(REPLACE(Lose[[#This Row],[LosID]],LEN(Lose[[#This Row],[LosID]]),1,"a"),Lose[LosID],Lose[Zufallszahl],"",0),RAND())</f>
        <v>0.48450655498219075</v>
      </c>
      <c r="V452" t="b" cm="1">
        <f t="array" aca="1" ref="V452" ca="1">Lose[[#This Row],[Zufallszahl]]&gt;=IFERROR(LARGE((LEFT(Lose[LosID],FIND("-",Lose[LosID])-1)=LEFT(Lose[[#This Row],[LosID]],FIND("-",Lose[[#This Row],[LosID]])-1))*Lose[Zufallszahl],_xlfn.XLOOKUP(LEFT(Lose[[#This Row],[LosID]],FIND("-",Lose[[#This Row],[LosID]])-1),Ziehungsanzahl[Kürzel],Ziehungsanzahl[Kontingent],FALSE,0)),9999)</f>
        <v>0</v>
      </c>
    </row>
    <row r="453" spans="1:23" ht="75" hidden="1">
      <c r="A4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3" t="s">
        <v>23380</v>
      </c>
      <c r="C453" t="s">
        <v>1407</v>
      </c>
      <c r="D453" s="1" t="s">
        <v>24791</v>
      </c>
      <c r="E453" t="s">
        <v>24792</v>
      </c>
      <c r="F453" t="s">
        <v>24793</v>
      </c>
      <c r="G453">
        <v>8</v>
      </c>
      <c r="H453">
        <v>5</v>
      </c>
      <c r="I453">
        <v>0.6</v>
      </c>
      <c r="K453" t="str" cm="1">
        <f t="array" ref="K4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Seelze</v>
      </c>
      <c r="L453" t="str">
        <f>IFERROR(LEFT(TRIM(Lose[[#This Row],[Google Koordinaten]]),9),"")</f>
        <v>52.392992</v>
      </c>
      <c r="M453" t="str">
        <f>IFERROR(MID(TRIM(Lose[[#This Row],[Google Koordinaten]]),
FIND(",",TRIM(Lose[[#This Row],[Google Koordinaten]])) + 2,9),"")</f>
        <v>9.586046</v>
      </c>
      <c r="N453">
        <f>IF(Lose[[#This Row],[Bahn-hofs-zeit]]=0,0,MROUND(30*25^((Lose[[#This Row],[Bahn-hofs-zeit]]-_xlfn.MINIFS(Lose[Bahn-hofs-zeit],Lose[Bahn-hofs-zeit],"&gt;0"))/(MAX(Lose[Bahn-hofs-zeit])-_xlfn.MINIFS(Lose[Bahn-hofs-zeit],Lose[Bahn-hofs-zeit],"&gt;0"))),5))</f>
        <v>55</v>
      </c>
      <c r="O453">
        <f>IF(Lose[[#This Row],[Gehzeit (min)]]="",0,CEILING(3*(Lose[[#This Row],[Gehzeit (min)]]+Lose[[#This Row],[Aufgaben-zeit (min)]]),5))</f>
        <v>40</v>
      </c>
      <c r="P453">
        <v>5.5</v>
      </c>
      <c r="Q453">
        <f>IFERROR(ROUND(Lose[[#This Row],[Distanz (km)]]*60/Lose[[#This Row],[Gehzeit (min)]],1),"")</f>
        <v>4.5</v>
      </c>
      <c r="R4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53">
        <f>IFERROR(Lose[[#This Row],[Distanz (km)]]-Lose[[#This Row],[Check Distanz]],"")</f>
        <v>2.0000000000000018E-2</v>
      </c>
      <c r="T453" s="60">
        <f>IFERROR(Lose[[#This Row],[Check Umweg]]/Lose[[#This Row],[Check Distanz]],"")</f>
        <v>3.4482758620689689E-2</v>
      </c>
      <c r="U453">
        <f ca="1">IF(RIGHT(Lose[[#This Row],[LosID]],1)="b",_xlfn.XLOOKUP(REPLACE(Lose[[#This Row],[LosID]],LEN(Lose[[#This Row],[LosID]]),1,"a"),Lose[LosID],Lose[Zufallszahl],"",0),RAND())</f>
        <v>0.2233159258174664</v>
      </c>
      <c r="V453" t="b" cm="1">
        <f t="array" aca="1" ref="V453" ca="1">Lose[[#This Row],[Zufallszahl]]&gt;=IFERROR(LARGE((LEFT(Lose[LosID],FIND("-",Lose[LosID])-1)=LEFT(Lose[[#This Row],[LosID]],FIND("-",Lose[[#This Row],[LosID]])-1))*Lose[Zufallszahl],_xlfn.XLOOKUP(LEFT(Lose[[#This Row],[LosID]],FIND("-",Lose[[#This Row],[LosID]])-1),Ziehungsanzahl[Kürzel],Ziehungsanzahl[Kontingent],FALSE,0)),9999)</f>
        <v>0</v>
      </c>
    </row>
    <row r="454" spans="1:23" ht="105">
      <c r="A4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4" t="s">
        <v>23385</v>
      </c>
      <c r="C454" t="s">
        <v>24794</v>
      </c>
      <c r="D454" s="84" t="s">
        <v>24795</v>
      </c>
      <c r="E454" t="s">
        <v>24796</v>
      </c>
      <c r="F454" t="s">
        <v>24797</v>
      </c>
      <c r="G454">
        <v>5</v>
      </c>
      <c r="H454">
        <v>5</v>
      </c>
      <c r="I454">
        <v>0.2</v>
      </c>
      <c r="K454" t="str" cm="1">
        <f t="array" ref="K4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Darmstadt-Kranichstein</v>
      </c>
      <c r="L454" t="str">
        <f>IFERROR(LEFT(TRIM(Lose[[#This Row],[Google Koordinaten]]),9),"")</f>
        <v>49.908006</v>
      </c>
      <c r="M454" t="str">
        <f>IFERROR(MID(TRIM(Lose[[#This Row],[Google Koordinaten]]),
FIND(",",TRIM(Lose[[#This Row],[Google Koordinaten]])) + 2,9),"")</f>
        <v>8.6795231</v>
      </c>
      <c r="N454">
        <f>IF(Lose[[#This Row],[Bahn-hofs-zeit]]=0,0,MROUND(30*25^((Lose[[#This Row],[Bahn-hofs-zeit]]-_xlfn.MINIFS(Lose[Bahn-hofs-zeit],Lose[Bahn-hofs-zeit],"&gt;0"))/(MAX(Lose[Bahn-hofs-zeit])-_xlfn.MINIFS(Lose[Bahn-hofs-zeit],Lose[Bahn-hofs-zeit],"&gt;0"))),5))</f>
        <v>60</v>
      </c>
      <c r="O454">
        <f>IF(Lose[[#This Row],[Gehzeit (min)]]="",0,CEILING(3*(Lose[[#This Row],[Gehzeit (min)]]+Lose[[#This Row],[Aufgaben-zeit (min)]]),5))</f>
        <v>30</v>
      </c>
      <c r="P454">
        <v>5.75</v>
      </c>
      <c r="Q454">
        <f>IFERROR(ROUND(Lose[[#This Row],[Distanz (km)]]*60/Lose[[#This Row],[Gehzeit (min)]],1),"")</f>
        <v>2.4</v>
      </c>
      <c r="R4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454">
        <f>IFERROR(Lose[[#This Row],[Distanz (km)]]-Lose[[#This Row],[Check Distanz]],"")</f>
        <v>7.0000000000000007E-2</v>
      </c>
      <c r="T454" s="60">
        <f>IFERROR(Lose[[#This Row],[Check Umweg]]/Lose[[#This Row],[Check Distanz]],"")</f>
        <v>0.53846153846153855</v>
      </c>
      <c r="U454">
        <f ca="1">IF(RIGHT(Lose[[#This Row],[LosID]],1)="b",_xlfn.XLOOKUP(REPLACE(Lose[[#This Row],[LosID]],LEN(Lose[[#This Row],[LosID]]),1,"a"),Lose[LosID],Lose[Zufallszahl],"",0),RAND())</f>
        <v>0.64755510650130188</v>
      </c>
      <c r="V454" t="b" cm="1">
        <f t="array" aca="1" ref="V454" ca="1">Lose[[#This Row],[Zufallszahl]]&gt;=IFERROR(LARGE((LEFT(Lose[LosID],FIND("-",Lose[LosID])-1)=LEFT(Lose[[#This Row],[LosID]],FIND("-",Lose[[#This Row],[LosID]])-1))*Lose[Zufallszahl],_xlfn.XLOOKUP(LEFT(Lose[[#This Row],[LosID]],FIND("-",Lose[[#This Row],[LosID]])-1),Ziehungsanzahl[Kürzel],Ziehungsanzahl[Kontingent],FALSE,0)),9999)</f>
        <v>0</v>
      </c>
    </row>
    <row r="455" spans="1:23" ht="105" hidden="1">
      <c r="A4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5" t="s">
        <v>23416</v>
      </c>
      <c r="C455" t="s">
        <v>1398</v>
      </c>
      <c r="D455" s="1" t="s">
        <v>24798</v>
      </c>
      <c r="E455" t="s">
        <v>24799</v>
      </c>
      <c r="F455" t="s">
        <v>24800</v>
      </c>
      <c r="G455">
        <v>8</v>
      </c>
      <c r="H455">
        <v>5</v>
      </c>
      <c r="I455">
        <v>0.5</v>
      </c>
      <c r="K455" t="str" cm="1">
        <f t="array" ref="K4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Seddin</v>
      </c>
      <c r="L455" t="str">
        <f>IFERROR(LEFT(TRIM(Lose[[#This Row],[Google Koordinaten]]),9),"")</f>
        <v>52.289857</v>
      </c>
      <c r="M455" t="str">
        <f>IFERROR(MID(TRIM(Lose[[#This Row],[Google Koordinaten]]),
FIND(",",TRIM(Lose[[#This Row],[Google Koordinaten]])) + 2,9),"")</f>
        <v>12.989335</v>
      </c>
      <c r="N455">
        <f>IF(Lose[[#This Row],[Bahn-hofs-zeit]]=0,0,MROUND(30*25^((Lose[[#This Row],[Bahn-hofs-zeit]]-_xlfn.MINIFS(Lose[Bahn-hofs-zeit],Lose[Bahn-hofs-zeit],"&gt;0"))/(MAX(Lose[Bahn-hofs-zeit])-_xlfn.MINIFS(Lose[Bahn-hofs-zeit],Lose[Bahn-hofs-zeit],"&gt;0"))),5))</f>
        <v>195</v>
      </c>
      <c r="O455">
        <f>IF(Lose[[#This Row],[Gehzeit (min)]]="",0,CEILING(3*(Lose[[#This Row],[Gehzeit (min)]]+Lose[[#This Row],[Aufgaben-zeit (min)]]),5))</f>
        <v>40</v>
      </c>
      <c r="P455">
        <v>9.75</v>
      </c>
      <c r="Q455">
        <f>IFERROR(ROUND(Lose[[#This Row],[Distanz (km)]]*60/Lose[[#This Row],[Gehzeit (min)]],1),"")</f>
        <v>3.8</v>
      </c>
      <c r="R4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455">
        <f>IFERROR(Lose[[#This Row],[Distanz (km)]]-Lose[[#This Row],[Check Distanz]],"")</f>
        <v>0.15999999999999998</v>
      </c>
      <c r="T455" s="60">
        <f>IFERROR(Lose[[#This Row],[Check Umweg]]/Lose[[#This Row],[Check Distanz]],"")</f>
        <v>0.47058823529411753</v>
      </c>
      <c r="U455">
        <f ca="1">IF(RIGHT(Lose[[#This Row],[LosID]],1)="b",_xlfn.XLOOKUP(REPLACE(Lose[[#This Row],[LosID]],LEN(Lose[[#This Row],[LosID]]),1,"a"),Lose[LosID],Lose[Zufallszahl],"",0),RAND())</f>
        <v>4.052491291643523E-2</v>
      </c>
      <c r="V455" t="b" cm="1">
        <f t="array" aca="1" ref="V455" ca="1">Lose[[#This Row],[Zufallszahl]]&gt;=IFERROR(LARGE((LEFT(Lose[LosID],FIND("-",Lose[LosID])-1)=LEFT(Lose[[#This Row],[LosID]],FIND("-",Lose[[#This Row],[LosID]])-1))*Lose[Zufallszahl],_xlfn.XLOOKUP(LEFT(Lose[[#This Row],[LosID]],FIND("-",Lose[[#This Row],[LosID]])-1),Ziehungsanzahl[Kürzel],Ziehungsanzahl[Kontingent],FALSE,0)),9999)</f>
        <v>0</v>
      </c>
    </row>
    <row r="456" spans="1:23" hidden="1">
      <c r="A4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6" t="s">
        <v>23357</v>
      </c>
      <c r="C456" t="s">
        <v>24801</v>
      </c>
      <c r="D456" s="1" t="s">
        <v>24802</v>
      </c>
      <c r="E456" t="s">
        <v>24803</v>
      </c>
      <c r="F456" t="s">
        <v>24804</v>
      </c>
      <c r="G456">
        <v>22</v>
      </c>
      <c r="H456">
        <v>1</v>
      </c>
      <c r="I456">
        <v>1.7</v>
      </c>
      <c r="K456" t="str" cm="1">
        <f t="array" ref="K4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Kornwestheim Pbf</v>
      </c>
      <c r="L456" t="str">
        <f>IFERROR(LEFT(TRIM(Lose[[#This Row],[Google Koordinaten]]),9),"")</f>
        <v>48.872704</v>
      </c>
      <c r="M456" t="str">
        <f>IFERROR(MID(TRIM(Lose[[#This Row],[Google Koordinaten]]),
FIND(",",TRIM(Lose[[#This Row],[Google Koordinaten]])) + 2,9),"")</f>
        <v>9.1794034</v>
      </c>
      <c r="N456">
        <f>IF(Lose[[#This Row],[Bahn-hofs-zeit]]=0,0,MROUND(30*25^((Lose[[#This Row],[Bahn-hofs-zeit]]-_xlfn.MINIFS(Lose[Bahn-hofs-zeit],Lose[Bahn-hofs-zeit],"&gt;0"))/(MAX(Lose[Bahn-hofs-zeit])-_xlfn.MINIFS(Lose[Bahn-hofs-zeit],Lose[Bahn-hofs-zeit],"&gt;0"))),5))</f>
        <v>80</v>
      </c>
      <c r="O456">
        <f>IF(Lose[[#This Row],[Gehzeit (min)]]="",0,CEILING(3*(Lose[[#This Row],[Gehzeit (min)]]+Lose[[#This Row],[Aufgaben-zeit (min)]]),5))</f>
        <v>70</v>
      </c>
      <c r="P456">
        <v>6.75</v>
      </c>
      <c r="Q456">
        <f>IFERROR(ROUND(Lose[[#This Row],[Distanz (km)]]*60/Lose[[#This Row],[Gehzeit (min)]],1),"")</f>
        <v>4.5999999999999996</v>
      </c>
      <c r="R4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456">
        <f>IFERROR(Lose[[#This Row],[Distanz (km)]]-Lose[[#This Row],[Check Distanz]],"")</f>
        <v>0.53</v>
      </c>
      <c r="T456" s="60">
        <f>IFERROR(Lose[[#This Row],[Check Umweg]]/Lose[[#This Row],[Check Distanz]],"")</f>
        <v>0.45299145299145305</v>
      </c>
      <c r="U456">
        <f ca="1">IF(RIGHT(Lose[[#This Row],[LosID]],1)="b",_xlfn.XLOOKUP(REPLACE(Lose[[#This Row],[LosID]],LEN(Lose[[#This Row],[LosID]]),1,"a"),Lose[LosID],Lose[Zufallszahl],"",0),RAND())</f>
        <v>0.6489755775848437</v>
      </c>
      <c r="V456" t="b" cm="1">
        <f t="array" aca="1" ref="V456" ca="1">Lose[[#This Row],[Zufallszahl]]&gt;=IFERROR(LARGE((LEFT(Lose[LosID],FIND("-",Lose[LosID])-1)=LEFT(Lose[[#This Row],[LosID]],FIND("-",Lose[[#This Row],[LosID]])-1))*Lose[Zufallszahl],_xlfn.XLOOKUP(LEFT(Lose[[#This Row],[LosID]],FIND("-",Lose[[#This Row],[LosID]])-1),Ziehungsanzahl[Kürzel],Ziehungsanzahl[Kontingent],FALSE,0)),9999)</f>
        <v>0</v>
      </c>
    </row>
    <row r="457" spans="1:23" ht="150" hidden="1">
      <c r="A4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7" t="s">
        <v>23363</v>
      </c>
      <c r="C457" t="s">
        <v>24805</v>
      </c>
      <c r="D457" s="1" t="s">
        <v>24806</v>
      </c>
      <c r="E457" t="s">
        <v>24807</v>
      </c>
      <c r="F457" t="s">
        <v>24808</v>
      </c>
      <c r="G457">
        <v>7</v>
      </c>
      <c r="H457">
        <v>5</v>
      </c>
      <c r="I457">
        <v>0.4</v>
      </c>
      <c r="J457">
        <v>20</v>
      </c>
      <c r="K457" t="str" cm="1">
        <f t="array" ref="K4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457" t="str">
        <f>IFERROR(LEFT(TRIM(Lose[[#This Row],[Google Koordinaten]]),9),"")</f>
        <v>49.968814</v>
      </c>
      <c r="M457" t="str">
        <f>IFERROR(MID(TRIM(Lose[[#This Row],[Google Koordinaten]]),
FIND(",",TRIM(Lose[[#This Row],[Google Koordinaten]])) + 2,9),"")</f>
        <v>7.8874190</v>
      </c>
      <c r="N457">
        <f>IF(Lose[[#This Row],[Bahn-hofs-zeit]]=0,0,MROUND(30*25^((Lose[[#This Row],[Bahn-hofs-zeit]]-_xlfn.MINIFS(Lose[Bahn-hofs-zeit],Lose[Bahn-hofs-zeit],"&gt;0"))/(MAX(Lose[Bahn-hofs-zeit])-_xlfn.MINIFS(Lose[Bahn-hofs-zeit],Lose[Bahn-hofs-zeit],"&gt;0"))),5))</f>
        <v>55</v>
      </c>
      <c r="O457">
        <f>IF(Lose[[#This Row],[Gehzeit (min)]]="",0,CEILING(3*(Lose[[#This Row],[Gehzeit (min)]]+Lose[[#This Row],[Aufgaben-zeit (min)]]),5))</f>
        <v>40</v>
      </c>
      <c r="P457">
        <v>5.25</v>
      </c>
      <c r="Q457">
        <f>IFERROR(ROUND(Lose[[#This Row],[Distanz (km)]]*60/Lose[[#This Row],[Gehzeit (min)]],1),"")</f>
        <v>3.4</v>
      </c>
      <c r="R4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57">
        <f>IFERROR(Lose[[#This Row],[Distanz (km)]]-Lose[[#This Row],[Check Distanz]],"")</f>
        <v>0.17</v>
      </c>
      <c r="T457" s="60">
        <f>IFERROR(Lose[[#This Row],[Check Umweg]]/Lose[[#This Row],[Check Distanz]],"")</f>
        <v>0.73913043478260876</v>
      </c>
      <c r="U457">
        <f ca="1">IF(RIGHT(Lose[[#This Row],[LosID]],1)="b",_xlfn.XLOOKUP(REPLACE(Lose[[#This Row],[LosID]],LEN(Lose[[#This Row],[LosID]]),1,"a"),Lose[LosID],Lose[Zufallszahl],"",0),RAND())</f>
        <v>0.30654291459875593</v>
      </c>
      <c r="V457" t="b" cm="1">
        <f t="array" aca="1" ref="V457" ca="1">Lose[[#This Row],[Zufallszahl]]&gt;=IFERROR(LARGE((LEFT(Lose[LosID],FIND("-",Lose[LosID])-1)=LEFT(Lose[[#This Row],[LosID]],FIND("-",Lose[[#This Row],[LosID]])-1))*Lose[Zufallszahl],_xlfn.XLOOKUP(LEFT(Lose[[#This Row],[LosID]],FIND("-",Lose[[#This Row],[LosID]])-1),Ziehungsanzahl[Kürzel],Ziehungsanzahl[Kontingent],FALSE,0)),9999)</f>
        <v>0</v>
      </c>
    </row>
    <row r="458" spans="1:23" hidden="1">
      <c r="A4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458" t="s">
        <v>23367</v>
      </c>
      <c r="C458" t="s">
        <v>1399</v>
      </c>
      <c r="K458" t="str" cm="1">
        <f t="array" ref="K4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458" t="str">
        <f>IFERROR(LEFT(TRIM(Lose[[#This Row],[Google Koordinaten]]),9),"")</f>
        <v/>
      </c>
      <c r="M458" t="str">
        <f>IFERROR(MID(TRIM(Lose[[#This Row],[Google Koordinaten]]),
FIND(",",TRIM(Lose[[#This Row],[Google Koordinaten]])) + 2,9),"")</f>
        <v/>
      </c>
      <c r="N458">
        <f>IF(Lose[[#This Row],[Bahn-hofs-zeit]]=0,0,MROUND(30*25^((Lose[[#This Row],[Bahn-hofs-zeit]]-_xlfn.MINIFS(Lose[Bahn-hofs-zeit],Lose[Bahn-hofs-zeit],"&gt;0"))/(MAX(Lose[Bahn-hofs-zeit])-_xlfn.MINIFS(Lose[Bahn-hofs-zeit],Lose[Bahn-hofs-zeit],"&gt;0"))),5))</f>
        <v>0</v>
      </c>
      <c r="O458">
        <f>IF(Lose[[#This Row],[Gehzeit (min)]]="",0,CEILING(3*(Lose[[#This Row],[Gehzeit (min)]]+Lose[[#This Row],[Aufgaben-zeit (min)]]),5))</f>
        <v>0</v>
      </c>
      <c r="Q458" t="str">
        <f>IFERROR(ROUND(Lose[[#This Row],[Distanz (km)]]*60/Lose[[#This Row],[Gehzeit (min)]],1),"")</f>
        <v/>
      </c>
      <c r="R45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58" t="str">
        <f>IFERROR(Lose[[#This Row],[Distanz (km)]]-Lose[[#This Row],[Check Distanz]],"")</f>
        <v/>
      </c>
      <c r="T458" s="60" t="str">
        <f>IFERROR(Lose[[#This Row],[Check Umweg]]/Lose[[#This Row],[Check Distanz]],"")</f>
        <v/>
      </c>
      <c r="U458">
        <f ca="1">IF(RIGHT(Lose[[#This Row],[LosID]],1)="b",_xlfn.XLOOKUP(REPLACE(Lose[[#This Row],[LosID]],LEN(Lose[[#This Row],[LosID]]),1,"a"),Lose[LosID],Lose[Zufallszahl],"",0),RAND())</f>
        <v>8.8553549280016575E-2</v>
      </c>
      <c r="V458" t="b" cm="1">
        <f t="array" aca="1" ref="V458" ca="1">Lose[[#This Row],[Zufallszahl]]&gt;=IFERROR(LARGE((LEFT(Lose[LosID],FIND("-",Lose[LosID])-1)=LEFT(Lose[[#This Row],[LosID]],FIND("-",Lose[[#This Row],[LosID]])-1))*Lose[Zufallszahl],_xlfn.XLOOKUP(LEFT(Lose[[#This Row],[LosID]],FIND("-",Lose[[#This Row],[LosID]])-1),Ziehungsanzahl[Kürzel],Ziehungsanzahl[Kontingent],FALSE,0)),9999)</f>
        <v>0</v>
      </c>
    </row>
    <row r="459" spans="1:23" ht="60" hidden="1">
      <c r="A4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9" t="s">
        <v>23372</v>
      </c>
      <c r="C459" t="s">
        <v>1400</v>
      </c>
      <c r="D459" s="1" t="s">
        <v>24809</v>
      </c>
      <c r="E459" t="s">
        <v>24810</v>
      </c>
      <c r="F459" t="s">
        <v>24811</v>
      </c>
      <c r="G459">
        <v>16</v>
      </c>
      <c r="H459">
        <v>1</v>
      </c>
      <c r="I459">
        <v>1.3</v>
      </c>
      <c r="K459" t="str" cm="1">
        <f t="array" ref="K4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Neuss Hbf</v>
      </c>
      <c r="L459" t="str">
        <f>IFERROR(LEFT(TRIM(Lose[[#This Row],[Google Koordinaten]]),9),"")</f>
        <v>51.211383</v>
      </c>
      <c r="M459" t="str">
        <f>IFERROR(MID(TRIM(Lose[[#This Row],[Google Koordinaten]]),
FIND(",",TRIM(Lose[[#This Row],[Google Koordinaten]])) + 2,9),"")</f>
        <v>6.6862047</v>
      </c>
      <c r="N459">
        <f>IF(Lose[[#This Row],[Bahn-hofs-zeit]]=0,0,MROUND(30*25^((Lose[[#This Row],[Bahn-hofs-zeit]]-_xlfn.MINIFS(Lose[Bahn-hofs-zeit],Lose[Bahn-hofs-zeit],"&gt;0"))/(MAX(Lose[Bahn-hofs-zeit])-_xlfn.MINIFS(Lose[Bahn-hofs-zeit],Lose[Bahn-hofs-zeit],"&gt;0"))),5))</f>
        <v>35</v>
      </c>
      <c r="O459">
        <f>IF(Lose[[#This Row],[Gehzeit (min)]]="",0,CEILING(3*(Lose[[#This Row],[Gehzeit (min)]]+Lose[[#This Row],[Aufgaben-zeit (min)]]),5))</f>
        <v>55</v>
      </c>
      <c r="P459">
        <v>4</v>
      </c>
      <c r="Q459">
        <f>IFERROR(ROUND(Lose[[#This Row],[Distanz (km)]]*60/Lose[[#This Row],[Gehzeit (min)]],1),"")</f>
        <v>4.9000000000000004</v>
      </c>
      <c r="R4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459">
        <f>IFERROR(Lose[[#This Row],[Distanz (km)]]-Lose[[#This Row],[Check Distanz]],"")</f>
        <v>0.51</v>
      </c>
      <c r="T459" s="60">
        <f>IFERROR(Lose[[#This Row],[Check Umweg]]/Lose[[#This Row],[Check Distanz]],"")</f>
        <v>0.64556962025316456</v>
      </c>
      <c r="U459">
        <f ca="1">IF(RIGHT(Lose[[#This Row],[LosID]],1)="b",_xlfn.XLOOKUP(REPLACE(Lose[[#This Row],[LosID]],LEN(Lose[[#This Row],[LosID]]),1,"a"),Lose[LosID],Lose[Zufallszahl],"",0),RAND())</f>
        <v>0.98193399919270041</v>
      </c>
      <c r="V459" t="b" cm="1">
        <f t="array" aca="1" ref="V459" ca="1">Lose[[#This Row],[Zufallszahl]]&gt;=IFERROR(LARGE((LEFT(Lose[LosID],FIND("-",Lose[LosID])-1)=LEFT(Lose[[#This Row],[LosID]],FIND("-",Lose[[#This Row],[LosID]])-1))*Lose[Zufallszahl],_xlfn.XLOOKUP(LEFT(Lose[[#This Row],[LosID]],FIND("-",Lose[[#This Row],[LosID]])-1),Ziehungsanzahl[Kürzel],Ziehungsanzahl[Kontingent],FALSE,0)),9999)</f>
        <v>0</v>
      </c>
    </row>
    <row r="460" spans="1:23" ht="135" hidden="1">
      <c r="A4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60" t="s">
        <v>4</v>
      </c>
      <c r="C460" t="s">
        <v>24812</v>
      </c>
      <c r="D460" s="1" t="s">
        <v>24813</v>
      </c>
      <c r="E460" t="s">
        <v>24814</v>
      </c>
      <c r="F460" t="s">
        <v>24815</v>
      </c>
      <c r="G460">
        <v>23</v>
      </c>
      <c r="H460">
        <v>10</v>
      </c>
      <c r="I460">
        <v>1.7</v>
      </c>
      <c r="J460">
        <v>5</v>
      </c>
      <c r="K460" t="str" cm="1">
        <f t="array" ref="K4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Steinstraße</v>
      </c>
      <c r="L460" t="str">
        <f>IFERROR(LEFT(TRIM(Lose[[#This Row],[Google Koordinaten]]),9),"")</f>
        <v>50.899717</v>
      </c>
      <c r="M460" t="str">
        <f>IFERROR(MID(TRIM(Lose[[#This Row],[Google Koordinaten]]),
FIND(",",TRIM(Lose[[#This Row],[Google Koordinaten]])) + 2,9),"")</f>
        <v>7.0521231</v>
      </c>
      <c r="N460">
        <f>IF(Lose[[#This Row],[Bahn-hofs-zeit]]=0,0,MROUND(30*25^((Lose[[#This Row],[Bahn-hofs-zeit]]-_xlfn.MINIFS(Lose[Bahn-hofs-zeit],Lose[Bahn-hofs-zeit],"&gt;0"))/(MAX(Lose[Bahn-hofs-zeit])-_xlfn.MINIFS(Lose[Bahn-hofs-zeit],Lose[Bahn-hofs-zeit],"&gt;0"))),5))</f>
        <v>35</v>
      </c>
      <c r="O460">
        <f>IF(Lose[[#This Row],[Gehzeit (min)]]="",0,CEILING(3*(Lose[[#This Row],[Gehzeit (min)]]+Lose[[#This Row],[Aufgaben-zeit (min)]]),5))</f>
        <v>100</v>
      </c>
      <c r="P460">
        <v>4</v>
      </c>
      <c r="Q460">
        <f>IFERROR(ROUND(Lose[[#This Row],[Distanz (km)]]*60/Lose[[#This Row],[Gehzeit (min)]],1),"")</f>
        <v>4.4000000000000004</v>
      </c>
      <c r="R4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60">
        <f>IFERROR(Lose[[#This Row],[Distanz (km)]]-Lose[[#This Row],[Check Distanz]],"")</f>
        <v>1.1200000000000001</v>
      </c>
      <c r="T460" s="60">
        <f>IFERROR(Lose[[#This Row],[Check Umweg]]/Lose[[#This Row],[Check Distanz]],"")</f>
        <v>1.931034482758621</v>
      </c>
      <c r="U460">
        <f ca="1">IF(RIGHT(Lose[[#This Row],[LosID]],1)="b",_xlfn.XLOOKUP(REPLACE(Lose[[#This Row],[LosID]],LEN(Lose[[#This Row],[LosID]]),1,"a"),Lose[LosID],Lose[Zufallszahl],"",0),RAND())</f>
        <v>0.29616276100545447</v>
      </c>
      <c r="V460" t="b" cm="1">
        <f t="array" aca="1" ref="V460" ca="1">Lose[[#This Row],[Zufallszahl]]&gt;=IFERROR(LARGE((LEFT(Lose[LosID],FIND("-",Lose[LosID])-1)=LEFT(Lose[[#This Row],[LosID]],FIND("-",Lose[[#This Row],[LosID]])-1))*Lose[Zufallszahl],_xlfn.XLOOKUP(LEFT(Lose[[#This Row],[LosID]],FIND("-",Lose[[#This Row],[LosID]])-1),Ziehungsanzahl[Kürzel],Ziehungsanzahl[Kontingent],FALSE,0)),9999)</f>
        <v>0</v>
      </c>
      <c r="W460" t="s">
        <v>23362</v>
      </c>
    </row>
    <row r="461" spans="1:23" ht="150" hidden="1">
      <c r="A4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61" t="s">
        <v>23352</v>
      </c>
      <c r="C461" t="s">
        <v>1401</v>
      </c>
      <c r="D461" s="64" t="s">
        <v>24816</v>
      </c>
      <c r="F461" t="s">
        <v>24817</v>
      </c>
      <c r="G461">
        <v>5</v>
      </c>
      <c r="H461">
        <v>2</v>
      </c>
      <c r="I461">
        <v>0.35</v>
      </c>
      <c r="J461">
        <v>10</v>
      </c>
      <c r="K461" t="str" cm="1">
        <f t="array" ref="K4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Völklingen</v>
      </c>
      <c r="L461" t="str">
        <f>IFERROR(LEFT(TRIM(Lose[[#This Row],[Google Koordinaten]]),9),"")</f>
        <v>49.248573</v>
      </c>
      <c r="M461" t="str">
        <f>IFERROR(MID(TRIM(Lose[[#This Row],[Google Koordinaten]]),
FIND(",",TRIM(Lose[[#This Row],[Google Koordinaten]])) + 2,9),"")</f>
        <v>6.8459989</v>
      </c>
      <c r="N461">
        <f>IF(Lose[[#This Row],[Bahn-hofs-zeit]]=0,0,MROUND(30*25^((Lose[[#This Row],[Bahn-hofs-zeit]]-_xlfn.MINIFS(Lose[Bahn-hofs-zeit],Lose[Bahn-hofs-zeit],"&gt;0"))/(MAX(Lose[Bahn-hofs-zeit])-_xlfn.MINIFS(Lose[Bahn-hofs-zeit],Lose[Bahn-hofs-zeit],"&gt;0"))),5))</f>
        <v>125</v>
      </c>
      <c r="O461">
        <f>IF(Lose[[#This Row],[Gehzeit (min)]]="",0,CEILING(3*(Lose[[#This Row],[Gehzeit (min)]]+Lose[[#This Row],[Aufgaben-zeit (min)]]),5))</f>
        <v>25</v>
      </c>
      <c r="P461">
        <v>8.25</v>
      </c>
      <c r="Q461">
        <f>IFERROR(ROUND(Lose[[#This Row],[Distanz (km)]]*60/Lose[[#This Row],[Gehzeit (min)]],1),"")</f>
        <v>4.2</v>
      </c>
      <c r="R4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461">
        <f>IFERROR(Lose[[#This Row],[Distanz (km)]]-Lose[[#This Row],[Check Distanz]],"")</f>
        <v>0.17999999999999997</v>
      </c>
      <c r="T461" s="60">
        <f>IFERROR(Lose[[#This Row],[Check Umweg]]/Lose[[#This Row],[Check Distanz]],"")</f>
        <v>1.0588235294117645</v>
      </c>
      <c r="U461">
        <f ca="1">IF(RIGHT(Lose[[#This Row],[LosID]],1)="b",_xlfn.XLOOKUP(REPLACE(Lose[[#This Row],[LosID]],LEN(Lose[[#This Row],[LosID]]),1,"a"),Lose[LosID],Lose[Zufallszahl],"",0),RAND())</f>
        <v>0.28835370132917182</v>
      </c>
      <c r="V461" t="b" cm="1">
        <f t="array" aca="1" ref="V461" ca="1">Lose[[#This Row],[Zufallszahl]]&gt;=IFERROR(LARGE((LEFT(Lose[LosID],FIND("-",Lose[LosID])-1)=LEFT(Lose[[#This Row],[LosID]],FIND("-",Lose[[#This Row],[LosID]])-1))*Lose[Zufallszahl],_xlfn.XLOOKUP(LEFT(Lose[[#This Row],[LosID]],FIND("-",Lose[[#This Row],[LosID]])-1),Ziehungsanzahl[Kürzel],Ziehungsanzahl[Kontingent],FALSE,0)),9999)</f>
        <v>0</v>
      </c>
      <c r="W461" s="108" t="s">
        <v>23362</v>
      </c>
    </row>
    <row r="462" spans="1:23" ht="146.25" hidden="1" customHeight="1">
      <c r="A4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2" t="s">
        <v>23390</v>
      </c>
      <c r="C462" t="s">
        <v>24818</v>
      </c>
      <c r="D462" s="1" t="s">
        <v>24819</v>
      </c>
      <c r="E462" t="s">
        <v>24820</v>
      </c>
      <c r="F462" t="s">
        <v>24821</v>
      </c>
      <c r="G462">
        <v>4</v>
      </c>
      <c r="H462">
        <v>2</v>
      </c>
      <c r="I462">
        <v>0.3</v>
      </c>
      <c r="K462" t="str" cm="1">
        <f t="array" ref="K4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Kiel Hbf</v>
      </c>
      <c r="L462" t="str">
        <f>IFERROR(LEFT(TRIM(Lose[[#This Row],[Google Koordinaten]]),9),"")</f>
        <v>54.315316</v>
      </c>
      <c r="M462" t="str">
        <f>IFERROR(MID(TRIM(Lose[[#This Row],[Google Koordinaten]]),
FIND(",",TRIM(Lose[[#This Row],[Google Koordinaten]])) + 2,9),"")</f>
        <v>10.134933</v>
      </c>
      <c r="N462">
        <f>IF(Lose[[#This Row],[Bahn-hofs-zeit]]=0,0,MROUND(30*25^((Lose[[#This Row],[Bahn-hofs-zeit]]-_xlfn.MINIFS(Lose[Bahn-hofs-zeit],Lose[Bahn-hofs-zeit],"&gt;0"))/(MAX(Lose[Bahn-hofs-zeit])-_xlfn.MINIFS(Lose[Bahn-hofs-zeit],Lose[Bahn-hofs-zeit],"&gt;0"))),5))</f>
        <v>180</v>
      </c>
      <c r="O462">
        <f>IF(Lose[[#This Row],[Gehzeit (min)]]="",0,CEILING(3*(Lose[[#This Row],[Gehzeit (min)]]+Lose[[#This Row],[Aufgaben-zeit (min)]]),5))</f>
        <v>20</v>
      </c>
      <c r="P462">
        <v>9.5</v>
      </c>
      <c r="Q462">
        <f>IFERROR(ROUND(Lose[[#This Row],[Distanz (km)]]*60/Lose[[#This Row],[Gehzeit (min)]],1),"")</f>
        <v>4.5</v>
      </c>
      <c r="R4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462">
        <f>IFERROR(Lose[[#This Row],[Distanz (km)]]-Lose[[#This Row],[Check Distanz]],"")</f>
        <v>9.9999999999999978E-2</v>
      </c>
      <c r="T462" s="60">
        <f>IFERROR(Lose[[#This Row],[Check Umweg]]/Lose[[#This Row],[Check Distanz]],"")</f>
        <v>0.49999999999999989</v>
      </c>
      <c r="U462">
        <f ca="1">IF(RIGHT(Lose[[#This Row],[LosID]],1)="b",_xlfn.XLOOKUP(REPLACE(Lose[[#This Row],[LosID]],LEN(Lose[[#This Row],[LosID]]),1,"a"),Lose[LosID],Lose[Zufallszahl],"",0),RAND())</f>
        <v>0.79736621672174979</v>
      </c>
      <c r="V462" t="b" cm="1">
        <f t="array" aca="1" ref="V462" ca="1">Lose[[#This Row],[Zufallszahl]]&gt;=IFERROR(LARGE((LEFT(Lose[LosID],FIND("-",Lose[LosID])-1)=LEFT(Lose[[#This Row],[LosID]],FIND("-",Lose[[#This Row],[LosID]])-1))*Lose[Zufallszahl],_xlfn.XLOOKUP(LEFT(Lose[[#This Row],[LosID]],FIND("-",Lose[[#This Row],[LosID]])-1),Ziehungsanzahl[Kürzel],Ziehungsanzahl[Kontingent],FALSE,0)),9999)</f>
        <v>0</v>
      </c>
    </row>
    <row r="463" spans="1:23" ht="45" hidden="1">
      <c r="A4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3" t="s">
        <v>23372</v>
      </c>
      <c r="C463" t="s">
        <v>1411</v>
      </c>
      <c r="D463" s="89" t="s">
        <v>24822</v>
      </c>
      <c r="E463" t="s">
        <v>24823</v>
      </c>
      <c r="F463" t="s">
        <v>24824</v>
      </c>
      <c r="G463">
        <v>22</v>
      </c>
      <c r="H463">
        <v>1</v>
      </c>
      <c r="I463">
        <v>1.6</v>
      </c>
      <c r="J463">
        <v>10</v>
      </c>
      <c r="K463" t="str" cm="1">
        <f t="array" ref="K4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Vettweiß-Jakobwüllesheim</v>
      </c>
      <c r="L463" t="str">
        <f>IFERROR(LEFT(TRIM(Lose[[#This Row],[Google Koordinaten]]),9),"")</f>
        <v>50.771626</v>
      </c>
      <c r="M463" t="str">
        <f>IFERROR(MID(TRIM(Lose[[#This Row],[Google Koordinaten]]),
FIND(",",TRIM(Lose[[#This Row],[Google Koordinaten]])) + 2,9),"")</f>
        <v>6.5510727</v>
      </c>
      <c r="N463">
        <f>IF(Lose[[#This Row],[Bahn-hofs-zeit]]=0,0,MROUND(30*25^((Lose[[#This Row],[Bahn-hofs-zeit]]-_xlfn.MINIFS(Lose[Bahn-hofs-zeit],Lose[Bahn-hofs-zeit],"&gt;0"))/(MAX(Lose[Bahn-hofs-zeit])-_xlfn.MINIFS(Lose[Bahn-hofs-zeit],Lose[Bahn-hofs-zeit],"&gt;0"))),5))</f>
        <v>55</v>
      </c>
      <c r="O463">
        <f>IF(Lose[[#This Row],[Gehzeit (min)]]="",0,CEILING(3*(Lose[[#This Row],[Gehzeit (min)]]+Lose[[#This Row],[Aufgaben-zeit (min)]]),5))</f>
        <v>70</v>
      </c>
      <c r="P463">
        <v>5.5</v>
      </c>
      <c r="Q463">
        <f>IFERROR(ROUND(Lose[[#This Row],[Distanz (km)]]*60/Lose[[#This Row],[Gehzeit (min)]],1),"")</f>
        <v>4.4000000000000004</v>
      </c>
      <c r="R4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463">
        <f>IFERROR(Lose[[#This Row],[Distanz (km)]]-Lose[[#This Row],[Check Distanz]],"")</f>
        <v>0.4700000000000002</v>
      </c>
      <c r="T463" s="60">
        <f>IFERROR(Lose[[#This Row],[Check Umweg]]/Lose[[#This Row],[Check Distanz]],"")</f>
        <v>0.41592920353982321</v>
      </c>
      <c r="U463">
        <f ca="1">IF(RIGHT(Lose[[#This Row],[LosID]],1)="b",_xlfn.XLOOKUP(REPLACE(Lose[[#This Row],[LosID]],LEN(Lose[[#This Row],[LosID]]),1,"a"),Lose[LosID],Lose[Zufallszahl],"",0),RAND())</f>
        <v>4.1883926857684162E-2</v>
      </c>
      <c r="V463" t="b" cm="1">
        <f t="array" aca="1" ref="V463" ca="1">Lose[[#This Row],[Zufallszahl]]&gt;=IFERROR(LARGE((LEFT(Lose[LosID],FIND("-",Lose[LosID])-1)=LEFT(Lose[[#This Row],[LosID]],FIND("-",Lose[[#This Row],[LosID]])-1))*Lose[Zufallszahl],_xlfn.XLOOKUP(LEFT(Lose[[#This Row],[LosID]],FIND("-",Lose[[#This Row],[LosID]])-1),Ziehungsanzahl[Kürzel],Ziehungsanzahl[Kontingent],FALSE,0)),9999)</f>
        <v>0</v>
      </c>
    </row>
    <row r="464" spans="1:23" ht="150" hidden="1">
      <c r="A4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4" t="s">
        <v>4</v>
      </c>
      <c r="C464" t="s">
        <v>24825</v>
      </c>
      <c r="D464" s="1" t="s">
        <v>24826</v>
      </c>
      <c r="E464" t="s">
        <v>24827</v>
      </c>
      <c r="F464" t="s">
        <v>24828</v>
      </c>
      <c r="G464">
        <v>8</v>
      </c>
      <c r="H464">
        <v>10</v>
      </c>
      <c r="I464">
        <v>0.6</v>
      </c>
      <c r="J464">
        <v>20</v>
      </c>
      <c r="K464" t="str" cm="1">
        <f t="array" ref="K4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464" t="str">
        <f>IFERROR(LEFT(TRIM(Lose[[#This Row],[Google Koordinaten]]),9),"")</f>
        <v>49.236552</v>
      </c>
      <c r="M464" t="str">
        <f>IFERROR(MID(TRIM(Lose[[#This Row],[Google Koordinaten]]),
FIND(",",TRIM(Lose[[#This Row],[Google Koordinaten]])) + 2,9),"")</f>
        <v>6.9927813</v>
      </c>
      <c r="N464">
        <f>IF(Lose[[#This Row],[Bahn-hofs-zeit]]=0,0,MROUND(30*25^((Lose[[#This Row],[Bahn-hofs-zeit]]-_xlfn.MINIFS(Lose[Bahn-hofs-zeit],Lose[Bahn-hofs-zeit],"&gt;0"))/(MAX(Lose[Bahn-hofs-zeit])-_xlfn.MINIFS(Lose[Bahn-hofs-zeit],Lose[Bahn-hofs-zeit],"&gt;0"))),5))</f>
        <v>125</v>
      </c>
      <c r="O464">
        <f>IF(Lose[[#This Row],[Gehzeit (min)]]="",0,CEILING(3*(Lose[[#This Row],[Gehzeit (min)]]+Lose[[#This Row],[Aufgaben-zeit (min)]]),5))</f>
        <v>55</v>
      </c>
      <c r="P464">
        <v>8.25</v>
      </c>
      <c r="Q464">
        <f>IFERROR(ROUND(Lose[[#This Row],[Distanz (km)]]*60/Lose[[#This Row],[Gehzeit (min)]],1),"")</f>
        <v>4.5</v>
      </c>
      <c r="R4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464">
        <f>IFERROR(Lose[[#This Row],[Distanz (km)]]-Lose[[#This Row],[Check Distanz]],"")</f>
        <v>7.999999999999996E-2</v>
      </c>
      <c r="T464" s="60">
        <f>IFERROR(Lose[[#This Row],[Check Umweg]]/Lose[[#This Row],[Check Distanz]],"")</f>
        <v>0.15384615384615377</v>
      </c>
      <c r="U464">
        <f ca="1">IF(RIGHT(Lose[[#This Row],[LosID]],1)="b",_xlfn.XLOOKUP(REPLACE(Lose[[#This Row],[LosID]],LEN(Lose[[#This Row],[LosID]]),1,"a"),Lose[LosID],Lose[Zufallszahl],"",0),RAND())</f>
        <v>0.52229801460626513</v>
      </c>
      <c r="V464" t="b" cm="1">
        <f t="array" aca="1" ref="V464" ca="1">Lose[[#This Row],[Zufallszahl]]&gt;=IFERROR(LARGE((LEFT(Lose[LosID],FIND("-",Lose[LosID])-1)=LEFT(Lose[[#This Row],[LosID]],FIND("-",Lose[[#This Row],[LosID]])-1))*Lose[Zufallszahl],_xlfn.XLOOKUP(LEFT(Lose[[#This Row],[LosID]],FIND("-",Lose[[#This Row],[LosID]])-1),Ziehungsanzahl[Kürzel],Ziehungsanzahl[Kontingent],FALSE,0)),9999)</f>
        <v>0</v>
      </c>
    </row>
    <row r="465" spans="1:23" ht="90" hidden="1">
      <c r="A4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5" t="s">
        <v>23352</v>
      </c>
      <c r="C465" t="s">
        <v>24829</v>
      </c>
      <c r="D465" s="1" t="s">
        <v>24830</v>
      </c>
      <c r="E465" t="s">
        <v>24831</v>
      </c>
      <c r="F465" t="s">
        <v>24832</v>
      </c>
      <c r="G465">
        <v>10</v>
      </c>
      <c r="H465">
        <v>2</v>
      </c>
      <c r="I465">
        <v>0.75</v>
      </c>
      <c r="K465" t="str" cm="1">
        <f t="array" ref="K4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Stuttgart-Bad Cannstatt</v>
      </c>
      <c r="L465" t="str">
        <f>IFERROR(LEFT(TRIM(Lose[[#This Row],[Google Koordinaten]]),9),"")</f>
        <v>48.801954</v>
      </c>
      <c r="M465" t="str">
        <f>IFERROR(MID(TRIM(Lose[[#This Row],[Google Koordinaten]]),
FIND(",",TRIM(Lose[[#This Row],[Google Koordinaten]])) + 2,9),"")</f>
        <v>9.2096851</v>
      </c>
      <c r="N465">
        <f>IF(Lose[[#This Row],[Bahn-hofs-zeit]]=0,0,MROUND(30*25^((Lose[[#This Row],[Bahn-hofs-zeit]]-_xlfn.MINIFS(Lose[Bahn-hofs-zeit],Lose[Bahn-hofs-zeit],"&gt;0"))/(MAX(Lose[Bahn-hofs-zeit])-_xlfn.MINIFS(Lose[Bahn-hofs-zeit],Lose[Bahn-hofs-zeit],"&gt;0"))),5))</f>
        <v>70</v>
      </c>
      <c r="O465">
        <f>IF(Lose[[#This Row],[Gehzeit (min)]]="",0,CEILING(3*(Lose[[#This Row],[Gehzeit (min)]]+Lose[[#This Row],[Aufgaben-zeit (min)]]),5))</f>
        <v>40</v>
      </c>
      <c r="P465">
        <v>6.25</v>
      </c>
      <c r="Q465">
        <f>IFERROR(ROUND(Lose[[#This Row],[Distanz (km)]]*60/Lose[[#This Row],[Gehzeit (min)]],1),"")</f>
        <v>4.5</v>
      </c>
      <c r="R4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65">
        <f>IFERROR(Lose[[#This Row],[Distanz (km)]]-Lose[[#This Row],[Check Distanz]],"")</f>
        <v>0.17000000000000004</v>
      </c>
      <c r="T465" s="60">
        <f>IFERROR(Lose[[#This Row],[Check Umweg]]/Lose[[#This Row],[Check Distanz]],"")</f>
        <v>0.29310344827586216</v>
      </c>
      <c r="U465">
        <f ca="1">IF(RIGHT(Lose[[#This Row],[LosID]],1)="b",_xlfn.XLOOKUP(REPLACE(Lose[[#This Row],[LosID]],LEN(Lose[[#This Row],[LosID]]),1,"a"),Lose[LosID],Lose[Zufallszahl],"",0),RAND())</f>
        <v>0.1958243484642116</v>
      </c>
      <c r="V465" t="b" cm="1">
        <f t="array" aca="1" ref="V465" ca="1">Lose[[#This Row],[Zufallszahl]]&gt;=IFERROR(LARGE((LEFT(Lose[LosID],FIND("-",Lose[LosID])-1)=LEFT(Lose[[#This Row],[LosID]],FIND("-",Lose[[#This Row],[LosID]])-1))*Lose[Zufallszahl],_xlfn.XLOOKUP(LEFT(Lose[[#This Row],[LosID]],FIND("-",Lose[[#This Row],[LosID]])-1),Ziehungsanzahl[Kürzel],Ziehungsanzahl[Kontingent],FALSE,0)),9999)</f>
        <v>0</v>
      </c>
    </row>
    <row r="466" spans="1:23" ht="105" hidden="1">
      <c r="A4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6" t="s">
        <v>23380</v>
      </c>
      <c r="C466" t="s">
        <v>24833</v>
      </c>
      <c r="D466" s="89" t="s">
        <v>24834</v>
      </c>
      <c r="E466" t="s">
        <v>24835</v>
      </c>
      <c r="F466" t="s">
        <v>24836</v>
      </c>
      <c r="G466">
        <v>8</v>
      </c>
      <c r="H466">
        <v>2</v>
      </c>
      <c r="I466">
        <v>0.6</v>
      </c>
      <c r="K466" t="str" cm="1">
        <f t="array" ref="K4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Kuppenheim</v>
      </c>
      <c r="L466" t="str">
        <f>IFERROR(LEFT(TRIM(Lose[[#This Row],[Google Koordinaten]]),9),"")</f>
        <v>48.830943</v>
      </c>
      <c r="M466" t="str">
        <f>IFERROR(MID(TRIM(Lose[[#This Row],[Google Koordinaten]]),
FIND(",",TRIM(Lose[[#This Row],[Google Koordinaten]])) + 2,9),"")</f>
        <v>8.257238</v>
      </c>
      <c r="N466">
        <f>IF(Lose[[#This Row],[Bahn-hofs-zeit]]=0,0,MROUND(30*25^((Lose[[#This Row],[Bahn-hofs-zeit]]-_xlfn.MINIFS(Lose[Bahn-hofs-zeit],Lose[Bahn-hofs-zeit],"&gt;0"))/(MAX(Lose[Bahn-hofs-zeit])-_xlfn.MINIFS(Lose[Bahn-hofs-zeit],Lose[Bahn-hofs-zeit],"&gt;0"))),5))</f>
        <v>90</v>
      </c>
      <c r="O466">
        <f>IF(Lose[[#This Row],[Gehzeit (min)]]="",0,CEILING(3*(Lose[[#This Row],[Gehzeit (min)]]+Lose[[#This Row],[Aufgaben-zeit (min)]]),5))</f>
        <v>30</v>
      </c>
      <c r="P466">
        <v>7</v>
      </c>
      <c r="Q466">
        <f>IFERROR(ROUND(Lose[[#This Row],[Distanz (km)]]*60/Lose[[#This Row],[Gehzeit (min)]],1),"")</f>
        <v>4.5</v>
      </c>
      <c r="R4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466">
        <f>IFERROR(Lose[[#This Row],[Distanz (km)]]-Lose[[#This Row],[Check Distanz]],"")</f>
        <v>0.24</v>
      </c>
      <c r="T466" s="60">
        <f>IFERROR(Lose[[#This Row],[Check Umweg]]/Lose[[#This Row],[Check Distanz]],"")</f>
        <v>0.66666666666666663</v>
      </c>
      <c r="U466">
        <f ca="1">IF(RIGHT(Lose[[#This Row],[LosID]],1)="b",_xlfn.XLOOKUP(REPLACE(Lose[[#This Row],[LosID]],LEN(Lose[[#This Row],[LosID]]),1,"a"),Lose[LosID],Lose[Zufallszahl],"",0),RAND())</f>
        <v>0.18532451636715952</v>
      </c>
      <c r="V466" t="b" cm="1">
        <f t="array" aca="1" ref="V466" ca="1">Lose[[#This Row],[Zufallszahl]]&gt;=IFERROR(LARGE((LEFT(Lose[LosID],FIND("-",Lose[LosID])-1)=LEFT(Lose[[#This Row],[LosID]],FIND("-",Lose[[#This Row],[LosID]])-1))*Lose[Zufallszahl],_xlfn.XLOOKUP(LEFT(Lose[[#This Row],[LosID]],FIND("-",Lose[[#This Row],[LosID]])-1),Ziehungsanzahl[Kürzel],Ziehungsanzahl[Kontingent],FALSE,0)),9999)</f>
        <v>0</v>
      </c>
    </row>
    <row r="467" spans="1:23" ht="93.75" customHeight="1">
      <c r="A4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7" t="s">
        <v>23385</v>
      </c>
      <c r="C467" t="s">
        <v>1412</v>
      </c>
      <c r="D467" s="1" t="s">
        <v>24837</v>
      </c>
      <c r="E467" t="s">
        <v>24838</v>
      </c>
      <c r="F467" t="s">
        <v>24839</v>
      </c>
      <c r="G467">
        <v>10</v>
      </c>
      <c r="H467">
        <v>10</v>
      </c>
      <c r="I467">
        <v>0.6</v>
      </c>
      <c r="J467">
        <v>20</v>
      </c>
      <c r="K467" t="str" cm="1">
        <f t="array" ref="K4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Frankfurt(Main)Hbf</v>
      </c>
      <c r="L467" t="str">
        <f>IFERROR(LEFT(TRIM(Lose[[#This Row],[Google Koordinaten]]),9),"")</f>
        <v>50.109909</v>
      </c>
      <c r="M467" t="str">
        <f>IFERROR(MID(TRIM(Lose[[#This Row],[Google Koordinaten]]),
FIND(",",TRIM(Lose[[#This Row],[Google Koordinaten]])) + 2,9),"")</f>
        <v>8.6589528</v>
      </c>
      <c r="N467">
        <f>IF(Lose[[#This Row],[Bahn-hofs-zeit]]=0,0,MROUND(30*25^((Lose[[#This Row],[Bahn-hofs-zeit]]-_xlfn.MINIFS(Lose[Bahn-hofs-zeit],Lose[Bahn-hofs-zeit],"&gt;0"))/(MAX(Lose[Bahn-hofs-zeit])-_xlfn.MINIFS(Lose[Bahn-hofs-zeit],Lose[Bahn-hofs-zeit],"&gt;0"))),5))</f>
        <v>0</v>
      </c>
      <c r="O467">
        <f>IF(Lose[[#This Row],[Gehzeit (min)]]="",0,CEILING(3*(Lose[[#This Row],[Gehzeit (min)]]+Lose[[#This Row],[Aufgaben-zeit (min)]]),5))</f>
        <v>60</v>
      </c>
      <c r="Q467">
        <f>IFERROR(ROUND(Lose[[#This Row],[Distanz (km)]]*60/Lose[[#This Row],[Gehzeit (min)]],1),"")</f>
        <v>3.6</v>
      </c>
      <c r="R4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467">
        <f>IFERROR(Lose[[#This Row],[Distanz (km)]]-Lose[[#This Row],[Check Distanz]],"")</f>
        <v>0.13999999999999996</v>
      </c>
      <c r="T467" s="60">
        <f>IFERROR(Lose[[#This Row],[Check Umweg]]/Lose[[#This Row],[Check Distanz]],"")</f>
        <v>0.30434782608695643</v>
      </c>
      <c r="U467">
        <f ca="1">IF(RIGHT(Lose[[#This Row],[LosID]],1)="b",_xlfn.XLOOKUP(REPLACE(Lose[[#This Row],[LosID]],LEN(Lose[[#This Row],[LosID]]),1,"a"),Lose[LosID],Lose[Zufallszahl],"",0),RAND())</f>
        <v>0.68503370757634108</v>
      </c>
      <c r="V467" t="b" cm="1">
        <f t="array" aca="1" ref="V467" ca="1">Lose[[#This Row],[Zufallszahl]]&gt;=IFERROR(LARGE((LEFT(Lose[LosID],FIND("-",Lose[LosID])-1)=LEFT(Lose[[#This Row],[LosID]],FIND("-",Lose[[#This Row],[LosID]])-1))*Lose[Zufallszahl],_xlfn.XLOOKUP(LEFT(Lose[[#This Row],[LosID]],FIND("-",Lose[[#This Row],[LosID]])-1),Ziehungsanzahl[Kürzel],Ziehungsanzahl[Kontingent],FALSE,0)),9999)</f>
        <v>0</v>
      </c>
      <c r="W467" t="s">
        <v>23498</v>
      </c>
    </row>
    <row r="468" spans="1:23" ht="30" hidden="1">
      <c r="A4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8" t="s">
        <v>23390</v>
      </c>
      <c r="C468" t="s">
        <v>24840</v>
      </c>
      <c r="D468" s="1" t="s">
        <v>24841</v>
      </c>
      <c r="E468" t="s">
        <v>24842</v>
      </c>
      <c r="F468" t="s">
        <v>24843</v>
      </c>
      <c r="G468">
        <v>16</v>
      </c>
      <c r="H468">
        <v>2</v>
      </c>
      <c r="I468">
        <v>1.1000000000000001</v>
      </c>
      <c r="K468" t="str" cm="1">
        <f t="array" ref="K4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Neustadt</v>
      </c>
      <c r="L468" t="str">
        <f>IFERROR(LEFT(TRIM(Lose[[#This Row],[Google Koordinaten]]),9),"")</f>
        <v>53.078256</v>
      </c>
      <c r="M468" t="str">
        <f>IFERROR(MID(TRIM(Lose[[#This Row],[Google Koordinaten]]),
FIND(",",TRIM(Lose[[#This Row],[Google Koordinaten]])) + 2,9),"")</f>
        <v>8.7991493</v>
      </c>
      <c r="N468">
        <f>IF(Lose[[#This Row],[Bahn-hofs-zeit]]=0,0,MROUND(30*25^((Lose[[#This Row],[Bahn-hofs-zeit]]-_xlfn.MINIFS(Lose[Bahn-hofs-zeit],Lose[Bahn-hofs-zeit],"&gt;0"))/(MAX(Lose[Bahn-hofs-zeit])-_xlfn.MINIFS(Lose[Bahn-hofs-zeit],Lose[Bahn-hofs-zeit],"&gt;0"))),5))</f>
        <v>65</v>
      </c>
      <c r="O468">
        <f>IF(Lose[[#This Row],[Gehzeit (min)]]="",0,CEILING(3*(Lose[[#This Row],[Gehzeit (min)]]+Lose[[#This Row],[Aufgaben-zeit (min)]]),5))</f>
        <v>55</v>
      </c>
      <c r="P468">
        <v>6</v>
      </c>
      <c r="Q468">
        <f>IFERROR(ROUND(Lose[[#This Row],[Distanz (km)]]*60/Lose[[#This Row],[Gehzeit (min)]],1),"")</f>
        <v>4.0999999999999996</v>
      </c>
      <c r="R4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468">
        <f>IFERROR(Lose[[#This Row],[Distanz (km)]]-Lose[[#This Row],[Check Distanz]],"")</f>
        <v>0.17000000000000004</v>
      </c>
      <c r="T468" s="60">
        <f>IFERROR(Lose[[#This Row],[Check Umweg]]/Lose[[#This Row],[Check Distanz]],"")</f>
        <v>0.18279569892473121</v>
      </c>
      <c r="U468">
        <f ca="1">IF(RIGHT(Lose[[#This Row],[LosID]],1)="b",_xlfn.XLOOKUP(REPLACE(Lose[[#This Row],[LosID]],LEN(Lose[[#This Row],[LosID]]),1,"a"),Lose[LosID],Lose[Zufallszahl],"",0),RAND())</f>
        <v>0.20278967277826832</v>
      </c>
      <c r="V468" t="b" cm="1">
        <f t="array" aca="1" ref="V468" ca="1">Lose[[#This Row],[Zufallszahl]]&gt;=IFERROR(LARGE((LEFT(Lose[LosID],FIND("-",Lose[LosID])-1)=LEFT(Lose[[#This Row],[LosID]],FIND("-",Lose[[#This Row],[LosID]])-1))*Lose[Zufallszahl],_xlfn.XLOOKUP(LEFT(Lose[[#This Row],[LosID]],FIND("-",Lose[[#This Row],[LosID]])-1),Ziehungsanzahl[Kürzel],Ziehungsanzahl[Kontingent],FALSE,0)),9999)</f>
        <v>0</v>
      </c>
    </row>
    <row r="469" spans="1:23" ht="75" hidden="1">
      <c r="A4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9" t="s">
        <v>23394</v>
      </c>
      <c r="C469" t="s">
        <v>1413</v>
      </c>
      <c r="D469" s="1" t="s">
        <v>24844</v>
      </c>
      <c r="E469" t="s">
        <v>24845</v>
      </c>
      <c r="F469" t="s">
        <v>24846</v>
      </c>
      <c r="G469">
        <v>14</v>
      </c>
      <c r="H469">
        <v>2</v>
      </c>
      <c r="I469">
        <v>1</v>
      </c>
      <c r="J469">
        <v>15</v>
      </c>
      <c r="K469" t="str" cm="1">
        <f t="array" ref="K4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Köln-Müngersdorf Technologiepark</v>
      </c>
      <c r="L469" t="str">
        <f>IFERROR(LEFT(TRIM(Lose[[#This Row],[Google Koordinaten]]),9),"")</f>
        <v>50.944972</v>
      </c>
      <c r="M469" t="str">
        <f>IFERROR(MID(TRIM(Lose[[#This Row],[Google Koordinaten]]),
FIND(",",TRIM(Lose[[#This Row],[Google Koordinaten]])) + 2,9),"")</f>
        <v>6.8982631</v>
      </c>
      <c r="N469">
        <f>IF(Lose[[#This Row],[Bahn-hofs-zeit]]=0,0,MROUND(30*25^((Lose[[#This Row],[Bahn-hofs-zeit]]-_xlfn.MINIFS(Lose[Bahn-hofs-zeit],Lose[Bahn-hofs-zeit],"&gt;0"))/(MAX(Lose[Bahn-hofs-zeit])-_xlfn.MINIFS(Lose[Bahn-hofs-zeit],Lose[Bahn-hofs-zeit],"&gt;0"))),5))</f>
        <v>35</v>
      </c>
      <c r="O469">
        <f>IF(Lose[[#This Row],[Gehzeit (min)]]="",0,CEILING(3*(Lose[[#This Row],[Gehzeit (min)]]+Lose[[#This Row],[Aufgaben-zeit (min)]]),5))</f>
        <v>50</v>
      </c>
      <c r="P469">
        <v>4</v>
      </c>
      <c r="Q469">
        <f>IFERROR(ROUND(Lose[[#This Row],[Distanz (km)]]*60/Lose[[#This Row],[Gehzeit (min)]],1),"")</f>
        <v>4.3</v>
      </c>
      <c r="R4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469">
        <f>IFERROR(Lose[[#This Row],[Distanz (km)]]-Lose[[#This Row],[Check Distanz]],"")</f>
        <v>0.19999999999999996</v>
      </c>
      <c r="T469" s="60">
        <f>IFERROR(Lose[[#This Row],[Check Umweg]]/Lose[[#This Row],[Check Distanz]],"")</f>
        <v>0.24999999999999994</v>
      </c>
      <c r="U469">
        <f ca="1">IF(RIGHT(Lose[[#This Row],[LosID]],1)="b",_xlfn.XLOOKUP(REPLACE(Lose[[#This Row],[LosID]],LEN(Lose[[#This Row],[LosID]]),1,"a"),Lose[LosID],Lose[Zufallszahl],"",0),RAND())</f>
        <v>0.54745144540300872</v>
      </c>
      <c r="V469" t="b" cm="1">
        <f t="array" aca="1" ref="V469" ca="1">Lose[[#This Row],[Zufallszahl]]&gt;=IFERROR(LARGE((LEFT(Lose[LosID],FIND("-",Lose[LosID])-1)=LEFT(Lose[[#This Row],[LosID]],FIND("-",Lose[[#This Row],[LosID]])-1))*Lose[Zufallszahl],_xlfn.XLOOKUP(LEFT(Lose[[#This Row],[LosID]],FIND("-",Lose[[#This Row],[LosID]])-1),Ziehungsanzahl[Kürzel],Ziehungsanzahl[Kontingent],FALSE,0)),9999)</f>
        <v>0</v>
      </c>
    </row>
    <row r="470" spans="1:23" ht="120" hidden="1">
      <c r="A4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0" t="s">
        <v>23403</v>
      </c>
      <c r="C470" s="74" t="s">
        <v>24847</v>
      </c>
      <c r="D470" s="1" t="s">
        <v>24848</v>
      </c>
      <c r="E470" t="s">
        <v>24849</v>
      </c>
      <c r="F470" t="s">
        <v>24850</v>
      </c>
      <c r="G470">
        <v>8</v>
      </c>
      <c r="H470">
        <v>5</v>
      </c>
      <c r="I470">
        <v>0.55000000000000004</v>
      </c>
      <c r="J470">
        <v>15</v>
      </c>
      <c r="K470" t="str" cm="1">
        <f t="array" ref="K4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Duisburg-Ruhrort</v>
      </c>
      <c r="L470" t="str">
        <f>IFERROR(LEFT(TRIM(Lose[[#This Row],[Google Koordinaten]]),9),"")</f>
        <v>51.453903</v>
      </c>
      <c r="M470" t="str">
        <f>IFERROR(MID(TRIM(Lose[[#This Row],[Google Koordinaten]]),
FIND(",",TRIM(Lose[[#This Row],[Google Koordinaten]])) + 2,9),"")</f>
        <v>6.7311362</v>
      </c>
      <c r="N470">
        <f>IF(Lose[[#This Row],[Bahn-hofs-zeit]]=0,0,MROUND(30*25^((Lose[[#This Row],[Bahn-hofs-zeit]]-_xlfn.MINIFS(Lose[Bahn-hofs-zeit],Lose[Bahn-hofs-zeit],"&gt;0"))/(MAX(Lose[Bahn-hofs-zeit])-_xlfn.MINIFS(Lose[Bahn-hofs-zeit],Lose[Bahn-hofs-zeit],"&gt;0"))),5))</f>
        <v>55</v>
      </c>
      <c r="O470">
        <f>IF(Lose[[#This Row],[Gehzeit (min)]]="",0,CEILING(3*(Lose[[#This Row],[Gehzeit (min)]]+Lose[[#This Row],[Aufgaben-zeit (min)]]),5))</f>
        <v>40</v>
      </c>
      <c r="P470">
        <v>5.25</v>
      </c>
      <c r="Q470">
        <f>IFERROR(ROUND(Lose[[#This Row],[Distanz (km)]]*60/Lose[[#This Row],[Gehzeit (min)]],1),"")</f>
        <v>4.0999999999999996</v>
      </c>
      <c r="R4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470">
        <f>IFERROR(Lose[[#This Row],[Distanz (km)]]-Lose[[#This Row],[Check Distanz]],"")</f>
        <v>4.0000000000000036E-2</v>
      </c>
      <c r="T470" s="60">
        <f>IFERROR(Lose[[#This Row],[Check Umweg]]/Lose[[#This Row],[Check Distanz]],"")</f>
        <v>7.8431372549019676E-2</v>
      </c>
      <c r="U470">
        <f ca="1">IF(RIGHT(Lose[[#This Row],[LosID]],1)="b",_xlfn.XLOOKUP(REPLACE(Lose[[#This Row],[LosID]],LEN(Lose[[#This Row],[LosID]]),1,"a"),Lose[LosID],Lose[Zufallszahl],"",0),RAND())</f>
        <v>0.66748995934828637</v>
      </c>
      <c r="V470" t="b" cm="1">
        <f t="array" aca="1" ref="V470" ca="1">Lose[[#This Row],[Zufallszahl]]&gt;=IFERROR(LARGE((LEFT(Lose[LosID],FIND("-",Lose[LosID])-1)=LEFT(Lose[[#This Row],[LosID]],FIND("-",Lose[[#This Row],[LosID]])-1))*Lose[Zufallszahl],_xlfn.XLOOKUP(LEFT(Lose[[#This Row],[LosID]],FIND("-",Lose[[#This Row],[LosID]])-1),Ziehungsanzahl[Kürzel],Ziehungsanzahl[Kontingent],FALSE,0)),9999)</f>
        <v>0</v>
      </c>
    </row>
    <row r="471" spans="1:23" ht="30" hidden="1">
      <c r="A4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1" t="s">
        <v>23408</v>
      </c>
      <c r="C471" t="s">
        <v>24851</v>
      </c>
      <c r="D471" s="1" t="s">
        <v>24852</v>
      </c>
      <c r="E471" t="s">
        <v>24853</v>
      </c>
      <c r="F471" t="s">
        <v>24854</v>
      </c>
      <c r="G471">
        <v>8</v>
      </c>
      <c r="H471">
        <v>1</v>
      </c>
      <c r="I471">
        <v>0.6</v>
      </c>
      <c r="K471" t="str" cm="1">
        <f t="array" ref="K4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Konstanz</v>
      </c>
      <c r="L471" t="str">
        <f>IFERROR(LEFT(TRIM(Lose[[#This Row],[Google Koordinaten]]),9),"")</f>
        <v>47.654996</v>
      </c>
      <c r="M471" t="str">
        <f>IFERROR(MID(TRIM(Lose[[#This Row],[Google Koordinaten]]),
FIND(",",TRIM(Lose[[#This Row],[Google Koordinaten]])) + 2,9),"")</f>
        <v>9.1784717</v>
      </c>
      <c r="N471">
        <f>IF(Lose[[#This Row],[Bahn-hofs-zeit]]=0,0,MROUND(30*25^((Lose[[#This Row],[Bahn-hofs-zeit]]-_xlfn.MINIFS(Lose[Bahn-hofs-zeit],Lose[Bahn-hofs-zeit],"&gt;0"))/(MAX(Lose[Bahn-hofs-zeit])-_xlfn.MINIFS(Lose[Bahn-hofs-zeit],Lose[Bahn-hofs-zeit],"&gt;0"))),5))</f>
        <v>395</v>
      </c>
      <c r="O471">
        <f>IF(Lose[[#This Row],[Gehzeit (min)]]="",0,CEILING(3*(Lose[[#This Row],[Gehzeit (min)]]+Lose[[#This Row],[Aufgaben-zeit (min)]]),5))</f>
        <v>30</v>
      </c>
      <c r="P471">
        <v>12.25</v>
      </c>
      <c r="Q471">
        <f>IFERROR(ROUND(Lose[[#This Row],[Distanz (km)]]*60/Lose[[#This Row],[Gehzeit (min)]],1),"")</f>
        <v>4.5</v>
      </c>
      <c r="R4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0.43</v>
      </c>
      <c r="S471">
        <f>IFERROR(Lose[[#This Row],[Distanz (km)]]-Lose[[#This Row],[Check Distanz]],"")</f>
        <v>0.16999999999999998</v>
      </c>
      <c r="T471" s="60">
        <f>IFERROR(Lose[[#This Row],[Check Umweg]]/Lose[[#This Row],[Check Distanz]],"")</f>
        <v>0.39534883720930231</v>
      </c>
      <c r="U471">
        <f ca="1">IF(RIGHT(Lose[[#This Row],[LosID]],1)="b",_xlfn.XLOOKUP(REPLACE(Lose[[#This Row],[LosID]],LEN(Lose[[#This Row],[LosID]]),1,"a"),Lose[LosID],Lose[Zufallszahl],"",0),RAND())</f>
        <v>0.77677243835504284</v>
      </c>
      <c r="V471" t="b" cm="1">
        <f t="array" aca="1" ref="V471" ca="1">Lose[[#This Row],[Zufallszahl]]&gt;=IFERROR(LARGE((LEFT(Lose[LosID],FIND("-",Lose[LosID])-1)=LEFT(Lose[[#This Row],[LosID]],FIND("-",Lose[[#This Row],[LosID]])-1))*Lose[Zufallszahl],_xlfn.XLOOKUP(LEFT(Lose[[#This Row],[LosID]],FIND("-",Lose[[#This Row],[LosID]])-1),Ziehungsanzahl[Kürzel],Ziehungsanzahl[Kontingent],FALSE,0)),9999)</f>
        <v>0</v>
      </c>
    </row>
    <row r="472" spans="1:23" ht="150" hidden="1">
      <c r="A4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72" t="s">
        <v>23412</v>
      </c>
      <c r="C472" t="s">
        <v>24855</v>
      </c>
      <c r="D472" s="1" t="s">
        <v>24856</v>
      </c>
      <c r="E472" t="s">
        <v>24857</v>
      </c>
      <c r="F472" t="s">
        <v>24858</v>
      </c>
      <c r="G472">
        <v>10</v>
      </c>
      <c r="H472">
        <v>6</v>
      </c>
      <c r="I472">
        <v>0.6</v>
      </c>
      <c r="J472">
        <v>20</v>
      </c>
      <c r="K472" t="str" cm="1">
        <f t="array" ref="K4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Nürnberg-Steinbühl</v>
      </c>
      <c r="L472" t="str">
        <f>IFERROR(LEFT(TRIM(Lose[[#This Row],[Google Koordinaten]]),9),"")</f>
        <v>49.450709</v>
      </c>
      <c r="M472" t="str">
        <f>IFERROR(MID(TRIM(Lose[[#This Row],[Google Koordinaten]]),
FIND(",",TRIM(Lose[[#This Row],[Google Koordinaten]])) + 2,9),"")</f>
        <v>11.069149</v>
      </c>
      <c r="N472">
        <f>IF(Lose[[#This Row],[Bahn-hofs-zeit]]=0,0,MROUND(30*25^((Lose[[#This Row],[Bahn-hofs-zeit]]-_xlfn.MINIFS(Lose[Bahn-hofs-zeit],Lose[Bahn-hofs-zeit],"&gt;0"))/(MAX(Lose[Bahn-hofs-zeit])-_xlfn.MINIFS(Lose[Bahn-hofs-zeit],Lose[Bahn-hofs-zeit],"&gt;0"))),5))</f>
        <v>100</v>
      </c>
      <c r="O472">
        <f>IF(Lose[[#This Row],[Gehzeit (min)]]="",0,CEILING(3*(Lose[[#This Row],[Gehzeit (min)]]+Lose[[#This Row],[Aufgaben-zeit (min)]]),5))</f>
        <v>50</v>
      </c>
      <c r="P472">
        <v>7.5</v>
      </c>
      <c r="Q472">
        <f>IFERROR(ROUND(Lose[[#This Row],[Distanz (km)]]*60/Lose[[#This Row],[Gehzeit (min)]],1),"")</f>
        <v>3.6</v>
      </c>
      <c r="R4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472">
        <f>IFERROR(Lose[[#This Row],[Distanz (km)]]-Lose[[#This Row],[Check Distanz]],"")</f>
        <v>-0.28000000000000003</v>
      </c>
      <c r="T472" s="60">
        <f>IFERROR(Lose[[#This Row],[Check Umweg]]/Lose[[#This Row],[Check Distanz]],"")</f>
        <v>-0.31818181818181823</v>
      </c>
      <c r="U472">
        <f ca="1">IF(RIGHT(Lose[[#This Row],[LosID]],1)="b",_xlfn.XLOOKUP(REPLACE(Lose[[#This Row],[LosID]],LEN(Lose[[#This Row],[LosID]]),1,"a"),Lose[LosID],Lose[Zufallszahl],"",0),RAND())</f>
        <v>0.61939769496812647</v>
      </c>
      <c r="V472" t="b" cm="1">
        <f t="array" aca="1" ref="V472" ca="1">Lose[[#This Row],[Zufallszahl]]&gt;=IFERROR(LARGE((LEFT(Lose[LosID],FIND("-",Lose[LosID])-1)=LEFT(Lose[[#This Row],[LosID]],FIND("-",Lose[[#This Row],[LosID]])-1))*Lose[Zufallszahl],_xlfn.XLOOKUP(LEFT(Lose[[#This Row],[LosID]],FIND("-",Lose[[#This Row],[LosID]])-1),Ziehungsanzahl[Kürzel],Ziehungsanzahl[Kontingent],FALSE,0)),9999)</f>
        <v>0</v>
      </c>
    </row>
    <row r="473" spans="1:23" ht="165" hidden="1">
      <c r="A4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3" t="s">
        <v>23394</v>
      </c>
      <c r="C473" t="s">
        <v>24859</v>
      </c>
      <c r="D473" s="1" t="s">
        <v>24860</v>
      </c>
      <c r="F473" t="s">
        <v>24861</v>
      </c>
      <c r="G473">
        <v>6</v>
      </c>
      <c r="H473">
        <v>2</v>
      </c>
      <c r="I473">
        <v>0.4</v>
      </c>
      <c r="J473">
        <v>10</v>
      </c>
      <c r="K473" t="str" cm="1">
        <f t="array" ref="K4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Messe</v>
      </c>
      <c r="L473" t="str">
        <f>IFERROR(LEFT(TRIM(Lose[[#This Row],[Google Koordinaten]]),9),"")</f>
        <v>51.396662</v>
      </c>
      <c r="M473" t="str">
        <f>IFERROR(MID(TRIM(Lose[[#This Row],[Google Koordinaten]]),
FIND(",",TRIM(Lose[[#This Row],[Google Koordinaten]])) + 2,9),"")</f>
        <v>12.394702</v>
      </c>
      <c r="N473">
        <f>IF(Lose[[#This Row],[Bahn-hofs-zeit]]=0,0,MROUND(30*25^((Lose[[#This Row],[Bahn-hofs-zeit]]-_xlfn.MINIFS(Lose[Bahn-hofs-zeit],Lose[Bahn-hofs-zeit],"&gt;0"))/(MAX(Lose[Bahn-hofs-zeit])-_xlfn.MINIFS(Lose[Bahn-hofs-zeit],Lose[Bahn-hofs-zeit],"&gt;0"))),5))</f>
        <v>145</v>
      </c>
      <c r="O473">
        <f>IF(Lose[[#This Row],[Gehzeit (min)]]="",0,CEILING(3*(Lose[[#This Row],[Gehzeit (min)]]+Lose[[#This Row],[Aufgaben-zeit (min)]]),5))</f>
        <v>25</v>
      </c>
      <c r="P473">
        <v>8.75</v>
      </c>
      <c r="Q473">
        <f>IFERROR(ROUND(Lose[[#This Row],[Distanz (km)]]*60/Lose[[#This Row],[Gehzeit (min)]],1),"")</f>
        <v>4</v>
      </c>
      <c r="R4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473">
        <f>IFERROR(Lose[[#This Row],[Distanz (km)]]-Lose[[#This Row],[Check Distanz]],"")</f>
        <v>2.0000000000000018E-2</v>
      </c>
      <c r="T473" s="60">
        <f>IFERROR(Lose[[#This Row],[Check Umweg]]/Lose[[#This Row],[Check Distanz]],"")</f>
        <v>5.2631578947368467E-2</v>
      </c>
      <c r="U473">
        <f ca="1">IF(RIGHT(Lose[[#This Row],[LosID]],1)="b",_xlfn.XLOOKUP(REPLACE(Lose[[#This Row],[LosID]],LEN(Lose[[#This Row],[LosID]]),1,"a"),Lose[LosID],Lose[Zufallszahl],"",0),RAND())</f>
        <v>0.99581843654679048</v>
      </c>
      <c r="V473" t="b" cm="1">
        <f t="array" aca="1" ref="V473" ca="1">Lose[[#This Row],[Zufallszahl]]&gt;=IFERROR(LARGE((LEFT(Lose[LosID],FIND("-",Lose[LosID])-1)=LEFT(Lose[[#This Row],[LosID]],FIND("-",Lose[[#This Row],[LosID]])-1))*Lose[Zufallszahl],_xlfn.XLOOKUP(LEFT(Lose[[#This Row],[LosID]],FIND("-",Lose[[#This Row],[LosID]])-1),Ziehungsanzahl[Kürzel],Ziehungsanzahl[Kontingent],FALSE,0)),9999)</f>
        <v>0</v>
      </c>
    </row>
    <row r="474" spans="1:23" ht="270" hidden="1">
      <c r="A4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4" t="s">
        <v>23416</v>
      </c>
      <c r="C474" t="s">
        <v>1414</v>
      </c>
      <c r="D474" s="1" t="s">
        <v>24862</v>
      </c>
      <c r="E474" t="s">
        <v>24863</v>
      </c>
      <c r="F474" t="s">
        <v>24864</v>
      </c>
      <c r="G474">
        <v>13</v>
      </c>
      <c r="H474">
        <v>15</v>
      </c>
      <c r="I474">
        <v>1</v>
      </c>
      <c r="J474">
        <v>10</v>
      </c>
      <c r="K474" t="str" cm="1">
        <f t="array" ref="K4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474" t="str">
        <f>IFERROR(LEFT(TRIM(Lose[[#This Row],[Google Koordinaten]]),9),"")</f>
        <v>50.978878</v>
      </c>
      <c r="M474" t="str">
        <f>IFERROR(MID(TRIM(Lose[[#This Row],[Google Koordinaten]]),
FIND(",",TRIM(Lose[[#This Row],[Google Koordinaten]])) + 2,9),"")</f>
        <v>11.031253</v>
      </c>
      <c r="N474">
        <f>IF(Lose[[#This Row],[Bahn-hofs-zeit]]=0,0,MROUND(30*25^((Lose[[#This Row],[Bahn-hofs-zeit]]-_xlfn.MINIFS(Lose[Bahn-hofs-zeit],Lose[Bahn-hofs-zeit],"&gt;0"))/(MAX(Lose[Bahn-hofs-zeit])-_xlfn.MINIFS(Lose[Bahn-hofs-zeit],Lose[Bahn-hofs-zeit],"&gt;0"))),5))</f>
        <v>75</v>
      </c>
      <c r="O474">
        <f>IF(Lose[[#This Row],[Gehzeit (min)]]="",0,CEILING(3*(Lose[[#This Row],[Gehzeit (min)]]+Lose[[#This Row],[Aufgaben-zeit (min)]]),5))</f>
        <v>85</v>
      </c>
      <c r="P474">
        <v>6.5</v>
      </c>
      <c r="Q474">
        <f>IFERROR(ROUND(Lose[[#This Row],[Distanz (km)]]*60/Lose[[#This Row],[Gehzeit (min)]],1),"")</f>
        <v>4.5999999999999996</v>
      </c>
      <c r="R4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474">
        <f>IFERROR(Lose[[#This Row],[Distanz (km)]]-Lose[[#This Row],[Check Distanz]],"")</f>
        <v>0.13</v>
      </c>
      <c r="T474" s="60">
        <f>IFERROR(Lose[[#This Row],[Check Umweg]]/Lose[[#This Row],[Check Distanz]],"")</f>
        <v>0.14942528735632185</v>
      </c>
      <c r="U474">
        <f ca="1">IF(RIGHT(Lose[[#This Row],[LosID]],1)="b",_xlfn.XLOOKUP(REPLACE(Lose[[#This Row],[LosID]],LEN(Lose[[#This Row],[LosID]]),1,"a"),Lose[LosID],Lose[Zufallszahl],"",0),RAND())</f>
        <v>0.98290492091970905</v>
      </c>
      <c r="V474" t="b" cm="1">
        <f t="array" aca="1" ref="V474" ca="1">Lose[[#This Row],[Zufallszahl]]&gt;=IFERROR(LARGE((LEFT(Lose[LosID],FIND("-",Lose[LosID])-1)=LEFT(Lose[[#This Row],[LosID]],FIND("-",Lose[[#This Row],[LosID]])-1))*Lose[Zufallszahl],_xlfn.XLOOKUP(LEFT(Lose[[#This Row],[LosID]],FIND("-",Lose[[#This Row],[LosID]])-1),Ziehungsanzahl[Kürzel],Ziehungsanzahl[Kontingent],FALSE,0)),9999)</f>
        <v>0</v>
      </c>
    </row>
    <row r="475" spans="1:23" ht="45" hidden="1">
      <c r="A4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5" t="s">
        <v>23357</v>
      </c>
      <c r="C475" t="s">
        <v>1415</v>
      </c>
      <c r="D475" s="1" t="s">
        <v>24865</v>
      </c>
      <c r="E475" t="s">
        <v>24866</v>
      </c>
      <c r="F475" t="s">
        <v>24867</v>
      </c>
      <c r="G475">
        <v>4</v>
      </c>
      <c r="H475">
        <v>1</v>
      </c>
      <c r="I475">
        <v>0.28000000000000003</v>
      </c>
      <c r="K475" t="str" cm="1">
        <f t="array" ref="K4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Ludwigshafen(Rhein) Mitte</v>
      </c>
      <c r="L475" t="str">
        <f>IFERROR(LEFT(TRIM(Lose[[#This Row],[Google Koordinaten]]),9),"")</f>
        <v>49.478088</v>
      </c>
      <c r="M475" t="str">
        <f>IFERROR(MID(TRIM(Lose[[#This Row],[Google Koordinaten]]),
FIND(",",TRIM(Lose[[#This Row],[Google Koordinaten]])) + 2,9),"")</f>
        <v>8.4488418</v>
      </c>
      <c r="N475">
        <f>IF(Lose[[#This Row],[Bahn-hofs-zeit]]=0,0,MROUND(30*25^((Lose[[#This Row],[Bahn-hofs-zeit]]-_xlfn.MINIFS(Lose[Bahn-hofs-zeit],Lose[Bahn-hofs-zeit],"&gt;0"))/(MAX(Lose[Bahn-hofs-zeit])-_xlfn.MINIFS(Lose[Bahn-hofs-zeit],Lose[Bahn-hofs-zeit],"&gt;0"))),5))</f>
        <v>45</v>
      </c>
      <c r="O475">
        <f>IF(Lose[[#This Row],[Gehzeit (min)]]="",0,CEILING(3*(Lose[[#This Row],[Gehzeit (min)]]+Lose[[#This Row],[Aufgaben-zeit (min)]]),5))</f>
        <v>15</v>
      </c>
      <c r="P475">
        <v>4.75</v>
      </c>
      <c r="Q475">
        <f>IFERROR(ROUND(Lose[[#This Row],[Distanz (km)]]*60/Lose[[#This Row],[Gehzeit (min)]],1),"")</f>
        <v>4.2</v>
      </c>
      <c r="R4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475">
        <f>IFERROR(Lose[[#This Row],[Distanz (km)]]-Lose[[#This Row],[Check Distanz]],"")</f>
        <v>2.0000000000000018E-2</v>
      </c>
      <c r="T475" s="60">
        <f>IFERROR(Lose[[#This Row],[Check Umweg]]/Lose[[#This Row],[Check Distanz]],"")</f>
        <v>7.6923076923076983E-2</v>
      </c>
      <c r="U475">
        <f ca="1">IF(RIGHT(Lose[[#This Row],[LosID]],1)="b",_xlfn.XLOOKUP(REPLACE(Lose[[#This Row],[LosID]],LEN(Lose[[#This Row],[LosID]]),1,"a"),Lose[LosID],Lose[Zufallszahl],"",0),RAND())</f>
        <v>0.5086790296935918</v>
      </c>
      <c r="V475" t="b" cm="1">
        <f t="array" aca="1" ref="V475" ca="1">Lose[[#This Row],[Zufallszahl]]&gt;=IFERROR(LARGE((LEFT(Lose[LosID],FIND("-",Lose[LosID])-1)=LEFT(Lose[[#This Row],[LosID]],FIND("-",Lose[[#This Row],[LosID]])-1))*Lose[Zufallszahl],_xlfn.XLOOKUP(LEFT(Lose[[#This Row],[LosID]],FIND("-",Lose[[#This Row],[LosID]])-1),Ziehungsanzahl[Kürzel],Ziehungsanzahl[Kontingent],FALSE,0)),9999)</f>
        <v>0</v>
      </c>
    </row>
    <row r="476" spans="1:23" ht="105" hidden="1">
      <c r="A4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6" t="s">
        <v>23363</v>
      </c>
      <c r="C476" t="s">
        <v>1416</v>
      </c>
      <c r="D476" s="1" t="s">
        <v>24868</v>
      </c>
      <c r="E476" t="s">
        <v>24869</v>
      </c>
      <c r="F476" t="s">
        <v>24870</v>
      </c>
      <c r="G476">
        <v>12</v>
      </c>
      <c r="H476">
        <v>2</v>
      </c>
      <c r="I476">
        <v>0.85</v>
      </c>
      <c r="J476">
        <v>20</v>
      </c>
      <c r="K476" t="str" cm="1">
        <f t="array" ref="K4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Hbf</v>
      </c>
      <c r="L476" t="str">
        <f>IFERROR(LEFT(TRIM(Lose[[#This Row],[Google Koordinaten]]),9),"")</f>
        <v>50.732541</v>
      </c>
      <c r="M476" t="str">
        <f>IFERROR(MID(TRIM(Lose[[#This Row],[Google Koordinaten]]),
FIND(",",TRIM(Lose[[#This Row],[Google Koordinaten]])) + 2,9),"")</f>
        <v>7.0852923</v>
      </c>
      <c r="N476">
        <f>IF(Lose[[#This Row],[Bahn-hofs-zeit]]=0,0,MROUND(30*25^((Lose[[#This Row],[Bahn-hofs-zeit]]-_xlfn.MINIFS(Lose[Bahn-hofs-zeit],Lose[Bahn-hofs-zeit],"&gt;0"))/(MAX(Lose[Bahn-hofs-zeit])-_xlfn.MINIFS(Lose[Bahn-hofs-zeit],Lose[Bahn-hofs-zeit],"&gt;0"))),5))</f>
        <v>45</v>
      </c>
      <c r="O476">
        <f>IF(Lose[[#This Row],[Gehzeit (min)]]="",0,CEILING(3*(Lose[[#This Row],[Gehzeit (min)]]+Lose[[#This Row],[Aufgaben-zeit (min)]]),5))</f>
        <v>45</v>
      </c>
      <c r="P476">
        <v>4.5</v>
      </c>
      <c r="Q476">
        <f>IFERROR(ROUND(Lose[[#This Row],[Distanz (km)]]*60/Lose[[#This Row],[Gehzeit (min)]],1),"")</f>
        <v>4.3</v>
      </c>
      <c r="R4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76">
        <f>IFERROR(Lose[[#This Row],[Distanz (km)]]-Lose[[#This Row],[Check Distanz]],"")</f>
        <v>1.0000000000000009E-2</v>
      </c>
      <c r="T476" s="60">
        <f>IFERROR(Lose[[#This Row],[Check Umweg]]/Lose[[#This Row],[Check Distanz]],"")</f>
        <v>1.1904761904761916E-2</v>
      </c>
      <c r="U476">
        <f ca="1">IF(RIGHT(Lose[[#This Row],[LosID]],1)="b",_xlfn.XLOOKUP(REPLACE(Lose[[#This Row],[LosID]],LEN(Lose[[#This Row],[LosID]]),1,"a"),Lose[LosID],Lose[Zufallszahl],"",0),RAND())</f>
        <v>0.85923070559189885</v>
      </c>
      <c r="V476" t="b" cm="1">
        <f t="array" aca="1" ref="V476" ca="1">Lose[[#This Row],[Zufallszahl]]&gt;=IFERROR(LARGE((LEFT(Lose[LosID],FIND("-",Lose[LosID])-1)=LEFT(Lose[[#This Row],[LosID]],FIND("-",Lose[[#This Row],[LosID]])-1))*Lose[Zufallszahl],_xlfn.XLOOKUP(LEFT(Lose[[#This Row],[LosID]],FIND("-",Lose[[#This Row],[LosID]])-1),Ziehungsanzahl[Kürzel],Ziehungsanzahl[Kontingent],FALSE,0)),9999)</f>
        <v>0</v>
      </c>
    </row>
    <row r="477" spans="1:23" hidden="1">
      <c r="A4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477" t="s">
        <v>23367</v>
      </c>
      <c r="C477" t="s">
        <v>1417</v>
      </c>
      <c r="K477" t="str" cm="1">
        <f t="array" ref="K4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477" t="str">
        <f>IFERROR(LEFT(TRIM(Lose[[#This Row],[Google Koordinaten]]),9),"")</f>
        <v/>
      </c>
      <c r="M477" t="str">
        <f>IFERROR(MID(TRIM(Lose[[#This Row],[Google Koordinaten]]),
FIND(",",TRIM(Lose[[#This Row],[Google Koordinaten]])) + 2,9),"")</f>
        <v/>
      </c>
      <c r="N477">
        <f>IF(Lose[[#This Row],[Bahn-hofs-zeit]]=0,0,MROUND(30*25^((Lose[[#This Row],[Bahn-hofs-zeit]]-_xlfn.MINIFS(Lose[Bahn-hofs-zeit],Lose[Bahn-hofs-zeit],"&gt;0"))/(MAX(Lose[Bahn-hofs-zeit])-_xlfn.MINIFS(Lose[Bahn-hofs-zeit],Lose[Bahn-hofs-zeit],"&gt;0"))),5))</f>
        <v>0</v>
      </c>
      <c r="O477">
        <f>IF(Lose[[#This Row],[Gehzeit (min)]]="",0,CEILING(3*(Lose[[#This Row],[Gehzeit (min)]]+Lose[[#This Row],[Aufgaben-zeit (min)]]),5))</f>
        <v>0</v>
      </c>
      <c r="Q477" t="str">
        <f>IFERROR(ROUND(Lose[[#This Row],[Distanz (km)]]*60/Lose[[#This Row],[Gehzeit (min)]],1),"")</f>
        <v/>
      </c>
      <c r="R477"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77" t="str">
        <f>IFERROR(Lose[[#This Row],[Distanz (km)]]-Lose[[#This Row],[Check Distanz]],"")</f>
        <v/>
      </c>
      <c r="T477" s="60" t="str">
        <f>IFERROR(Lose[[#This Row],[Check Umweg]]/Lose[[#This Row],[Check Distanz]],"")</f>
        <v/>
      </c>
      <c r="U477">
        <f ca="1">IF(RIGHT(Lose[[#This Row],[LosID]],1)="b",_xlfn.XLOOKUP(REPLACE(Lose[[#This Row],[LosID]],LEN(Lose[[#This Row],[LosID]]),1,"a"),Lose[LosID],Lose[Zufallszahl],"",0),RAND())</f>
        <v>0.65246983242620915</v>
      </c>
      <c r="V477" t="b" cm="1">
        <f t="array" aca="1" ref="V477" ca="1">Lose[[#This Row],[Zufallszahl]]&gt;=IFERROR(LARGE((LEFT(Lose[LosID],FIND("-",Lose[LosID])-1)=LEFT(Lose[[#This Row],[LosID]],FIND("-",Lose[[#This Row],[LosID]])-1))*Lose[Zufallszahl],_xlfn.XLOOKUP(LEFT(Lose[[#This Row],[LosID]],FIND("-",Lose[[#This Row],[LosID]])-1),Ziehungsanzahl[Kürzel],Ziehungsanzahl[Kontingent],FALSE,0)),9999)</f>
        <v>0</v>
      </c>
    </row>
    <row r="478" spans="1:23" ht="105" hidden="1">
      <c r="A4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8" t="s">
        <v>23372</v>
      </c>
      <c r="C478" t="s">
        <v>24871</v>
      </c>
      <c r="D478" s="1" t="s">
        <v>24872</v>
      </c>
      <c r="E478" t="s">
        <v>24873</v>
      </c>
      <c r="F478" t="s">
        <v>24874</v>
      </c>
      <c r="G478">
        <v>10</v>
      </c>
      <c r="H478">
        <v>1</v>
      </c>
      <c r="I478">
        <v>0.75</v>
      </c>
      <c r="K478" t="str" cm="1">
        <f t="array" ref="K4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478" t="str">
        <f>IFERROR(LEFT(TRIM(Lose[[#This Row],[Google Koordinaten]]),9),"")</f>
        <v>52.252880</v>
      </c>
      <c r="M478" t="str">
        <f>IFERROR(MID(TRIM(Lose[[#This Row],[Google Koordinaten]]),
FIND(",",TRIM(Lose[[#This Row],[Google Koordinaten]])) + 2,9),"")</f>
        <v>10.531558</v>
      </c>
      <c r="N478">
        <f>IF(Lose[[#This Row],[Bahn-hofs-zeit]]=0,0,MROUND(30*25^((Lose[[#This Row],[Bahn-hofs-zeit]]-_xlfn.MINIFS(Lose[Bahn-hofs-zeit],Lose[Bahn-hofs-zeit],"&gt;0"))/(MAX(Lose[Bahn-hofs-zeit])-_xlfn.MINIFS(Lose[Bahn-hofs-zeit],Lose[Bahn-hofs-zeit],"&gt;0"))),5))</f>
        <v>70</v>
      </c>
      <c r="O478">
        <f>IF(Lose[[#This Row],[Gehzeit (min)]]="",0,CEILING(3*(Lose[[#This Row],[Gehzeit (min)]]+Lose[[#This Row],[Aufgaben-zeit (min)]]),5))</f>
        <v>35</v>
      </c>
      <c r="P478">
        <v>6.25</v>
      </c>
      <c r="Q478">
        <f>IFERROR(ROUND(Lose[[#This Row],[Distanz (km)]]*60/Lose[[#This Row],[Gehzeit (min)]],1),"")</f>
        <v>4.5</v>
      </c>
      <c r="R4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478">
        <f>IFERROR(Lose[[#This Row],[Distanz (km)]]-Lose[[#This Row],[Check Distanz]],"")</f>
        <v>0.15000000000000002</v>
      </c>
      <c r="T478" s="60">
        <f>IFERROR(Lose[[#This Row],[Check Umweg]]/Lose[[#This Row],[Check Distanz]],"")</f>
        <v>0.25000000000000006</v>
      </c>
      <c r="U478">
        <f ca="1">IF(RIGHT(Lose[[#This Row],[LosID]],1)="b",_xlfn.XLOOKUP(REPLACE(Lose[[#This Row],[LosID]],LEN(Lose[[#This Row],[LosID]]),1,"a"),Lose[LosID],Lose[Zufallszahl],"",0),RAND())</f>
        <v>0.39324782451257034</v>
      </c>
      <c r="V478" t="b" cm="1">
        <f t="array" aca="1" ref="V478" ca="1">Lose[[#This Row],[Zufallszahl]]&gt;=IFERROR(LARGE((LEFT(Lose[LosID],FIND("-",Lose[LosID])-1)=LEFT(Lose[[#This Row],[LosID]],FIND("-",Lose[[#This Row],[LosID]])-1))*Lose[Zufallszahl],_xlfn.XLOOKUP(LEFT(Lose[[#This Row],[LosID]],FIND("-",Lose[[#This Row],[LosID]])-1),Ziehungsanzahl[Kürzel],Ziehungsanzahl[Kontingent],FALSE,0)),9999)</f>
        <v>0</v>
      </c>
    </row>
    <row r="479" spans="1:23" ht="150" hidden="1">
      <c r="A4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9" t="s">
        <v>4</v>
      </c>
      <c r="C479" t="s">
        <v>24875</v>
      </c>
      <c r="D479" s="1" t="s">
        <v>24876</v>
      </c>
      <c r="E479" t="s">
        <v>24877</v>
      </c>
      <c r="F479" t="s">
        <v>24878</v>
      </c>
      <c r="G479">
        <v>12</v>
      </c>
      <c r="H479">
        <v>12</v>
      </c>
      <c r="I479">
        <v>0.9</v>
      </c>
      <c r="J479">
        <v>5</v>
      </c>
      <c r="K479" t="str" cm="1">
        <f t="array" ref="K4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Weimar</v>
      </c>
      <c r="L479" t="str">
        <f>IFERROR(LEFT(TRIM(Lose[[#This Row],[Google Koordinaten]]),9),"")</f>
        <v>50.985005</v>
      </c>
      <c r="M479" t="str">
        <f>IFERROR(MID(TRIM(Lose[[#This Row],[Google Koordinaten]]),
FIND(",",TRIM(Lose[[#This Row],[Google Koordinaten]])) + 2,9),"")</f>
        <v>11.324611</v>
      </c>
      <c r="N479">
        <f>IF(Lose[[#This Row],[Bahn-hofs-zeit]]=0,0,MROUND(30*25^((Lose[[#This Row],[Bahn-hofs-zeit]]-_xlfn.MINIFS(Lose[Bahn-hofs-zeit],Lose[Bahn-hofs-zeit],"&gt;0"))/(MAX(Lose[Bahn-hofs-zeit])-_xlfn.MINIFS(Lose[Bahn-hofs-zeit],Lose[Bahn-hofs-zeit],"&gt;0"))),5))</f>
        <v>95</v>
      </c>
      <c r="O479">
        <f>IF(Lose[[#This Row],[Gehzeit (min)]]="",0,CEILING(3*(Lose[[#This Row],[Gehzeit (min)]]+Lose[[#This Row],[Aufgaben-zeit (min)]]),5))</f>
        <v>75</v>
      </c>
      <c r="P479">
        <v>7.25</v>
      </c>
      <c r="Q479">
        <f>IFERROR(ROUND(Lose[[#This Row],[Distanz (km)]]*60/Lose[[#This Row],[Gehzeit (min)]],1),"")</f>
        <v>4.5</v>
      </c>
      <c r="R4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479">
        <f>IFERROR(Lose[[#This Row],[Distanz (km)]]-Lose[[#This Row],[Check Distanz]],"")</f>
        <v>0.17000000000000004</v>
      </c>
      <c r="T479" s="60">
        <f>IFERROR(Lose[[#This Row],[Check Umweg]]/Lose[[#This Row],[Check Distanz]],"")</f>
        <v>0.23287671232876719</v>
      </c>
      <c r="U479">
        <f ca="1">IF(RIGHT(Lose[[#This Row],[LosID]],1)="b",_xlfn.XLOOKUP(REPLACE(Lose[[#This Row],[LosID]],LEN(Lose[[#This Row],[LosID]]),1,"a"),Lose[LosID],Lose[Zufallszahl],"",0),RAND())</f>
        <v>0.90604628681469002</v>
      </c>
      <c r="V479" t="b" cm="1">
        <f t="array" aca="1" ref="V479" ca="1">Lose[[#This Row],[Zufallszahl]]&gt;=IFERROR(LARGE((LEFT(Lose[LosID],FIND("-",Lose[LosID])-1)=LEFT(Lose[[#This Row],[LosID]],FIND("-",Lose[[#This Row],[LosID]])-1))*Lose[Zufallszahl],_xlfn.XLOOKUP(LEFT(Lose[[#This Row],[LosID]],FIND("-",Lose[[#This Row],[LosID]])-1),Ziehungsanzahl[Kürzel],Ziehungsanzahl[Kontingent],FALSE,0)),9999)</f>
        <v>0</v>
      </c>
    </row>
    <row r="480" spans="1:23" ht="150" hidden="1">
      <c r="A4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0" t="s">
        <v>23403</v>
      </c>
      <c r="C480" s="74" t="s">
        <v>1408</v>
      </c>
      <c r="D480" s="1" t="s">
        <v>24879</v>
      </c>
      <c r="E480" t="s">
        <v>24880</v>
      </c>
      <c r="F480" t="s">
        <v>24881</v>
      </c>
      <c r="G480">
        <v>7</v>
      </c>
      <c r="H480">
        <v>5</v>
      </c>
      <c r="I480">
        <v>0.5</v>
      </c>
      <c r="J480">
        <v>20</v>
      </c>
      <c r="K480" t="str" cm="1">
        <f t="array" ref="K4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Hbf</v>
      </c>
      <c r="L480" t="str">
        <f>IFERROR(LEFT(TRIM(Lose[[#This Row],[Google Koordinaten]]),9),"")</f>
        <v>53.556830</v>
      </c>
      <c r="M480" t="str">
        <f>IFERROR(MID(TRIM(Lose[[#This Row],[Google Koordinaten]]),
FIND(",",TRIM(Lose[[#This Row],[Google Koordinaten]])) + 2,9),"")</f>
        <v>10.005019</v>
      </c>
      <c r="N480">
        <f>IF(Lose[[#This Row],[Bahn-hofs-zeit]]=0,0,MROUND(30*25^((Lose[[#This Row],[Bahn-hofs-zeit]]-_xlfn.MINIFS(Lose[Bahn-hofs-zeit],Lose[Bahn-hofs-zeit],"&gt;0"))/(MAX(Lose[Bahn-hofs-zeit])-_xlfn.MINIFS(Lose[Bahn-hofs-zeit],Lose[Bahn-hofs-zeit],"&gt;0"))),5))</f>
        <v>70</v>
      </c>
      <c r="O480">
        <f>IF(Lose[[#This Row],[Gehzeit (min)]]="",0,CEILING(3*(Lose[[#This Row],[Gehzeit (min)]]+Lose[[#This Row],[Aufgaben-zeit (min)]]),5))</f>
        <v>40</v>
      </c>
      <c r="P480">
        <v>6.25</v>
      </c>
      <c r="Q480">
        <f>IFERROR(ROUND(Lose[[#This Row],[Distanz (km)]]*60/Lose[[#This Row],[Gehzeit (min)]],1),"")</f>
        <v>4.3</v>
      </c>
      <c r="R4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0.47</v>
      </c>
      <c r="S480">
        <f>IFERROR(Lose[[#This Row],[Distanz (km)]]-Lose[[#This Row],[Check Distanz]],"")</f>
        <v>3.0000000000000027E-2</v>
      </c>
      <c r="T480" s="60">
        <f>IFERROR(Lose[[#This Row],[Check Umweg]]/Lose[[#This Row],[Check Distanz]],"")</f>
        <v>6.3829787234042618E-2</v>
      </c>
      <c r="U480">
        <f ca="1">IF(RIGHT(Lose[[#This Row],[LosID]],1)="b",_xlfn.XLOOKUP(REPLACE(Lose[[#This Row],[LosID]],LEN(Lose[[#This Row],[LosID]]),1,"a"),Lose[LosID],Lose[Zufallszahl],"",0),RAND())</f>
        <v>0.89413671769530478</v>
      </c>
      <c r="V480" t="b" cm="1">
        <f t="array" aca="1" ref="V480" ca="1">Lose[[#This Row],[Zufallszahl]]&gt;=IFERROR(LARGE((LEFT(Lose[LosID],FIND("-",Lose[LosID])-1)=LEFT(Lose[[#This Row],[LosID]],FIND("-",Lose[[#This Row],[LosID]])-1))*Lose[Zufallszahl],_xlfn.XLOOKUP(LEFT(Lose[[#This Row],[LosID]],FIND("-",Lose[[#This Row],[LosID]])-1),Ziehungsanzahl[Kürzel],Ziehungsanzahl[Kontingent],FALSE,0)),9999)</f>
        <v>0</v>
      </c>
    </row>
    <row r="481" spans="1:22" ht="148.5" hidden="1" customHeight="1">
      <c r="A4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1" t="s">
        <v>23408</v>
      </c>
      <c r="C481" t="s">
        <v>1409</v>
      </c>
      <c r="D481" s="1" t="s">
        <v>24882</v>
      </c>
      <c r="E481" t="s">
        <v>24883</v>
      </c>
      <c r="F481" t="s">
        <v>24884</v>
      </c>
      <c r="K481" t="str" cm="1">
        <f t="array" ref="K4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481" t="str">
        <f>IFERROR(LEFT(TRIM(Lose[[#This Row],[Google Koordinaten]]),9),"")</f>
        <v>50.070821</v>
      </c>
      <c r="M481" t="str">
        <f>IFERROR(MID(TRIM(Lose[[#This Row],[Google Koordinaten]]),
FIND(",",TRIM(Lose[[#This Row],[Google Koordinaten]])) + 2,9),"")</f>
        <v>8.2417470</v>
      </c>
      <c r="N481">
        <f>IF(Lose[[#This Row],[Bahn-hofs-zeit]]=0,0,MROUND(30*25^((Lose[[#This Row],[Bahn-hofs-zeit]]-_xlfn.MINIFS(Lose[Bahn-hofs-zeit],Lose[Bahn-hofs-zeit],"&gt;0"))/(MAX(Lose[Bahn-hofs-zeit])-_xlfn.MINIFS(Lose[Bahn-hofs-zeit],Lose[Bahn-hofs-zeit],"&gt;0"))),5))</f>
        <v>45</v>
      </c>
      <c r="O481">
        <f>IF(Lose[[#This Row],[Gehzeit (min)]]="",0,CEILING(3*(Lose[[#This Row],[Gehzeit (min)]]+Lose[[#This Row],[Aufgaben-zeit (min)]]),5))</f>
        <v>0</v>
      </c>
      <c r="P481">
        <v>4.5</v>
      </c>
      <c r="Q481" t="str">
        <f>IFERROR(ROUND(Lose[[#This Row],[Distanz (km)]]*60/Lose[[#This Row],[Gehzeit (min)]],1),"")</f>
        <v/>
      </c>
      <c r="R4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0.14000000000000001</v>
      </c>
      <c r="S481">
        <f>IFERROR(Lose[[#This Row],[Distanz (km)]]-Lose[[#This Row],[Check Distanz]],"")</f>
        <v>-0.14000000000000001</v>
      </c>
      <c r="T481" s="60">
        <f>IFERROR(Lose[[#This Row],[Check Umweg]]/Lose[[#This Row],[Check Distanz]],"")</f>
        <v>-1</v>
      </c>
      <c r="U481">
        <f ca="1">IF(RIGHT(Lose[[#This Row],[LosID]],1)="b",_xlfn.XLOOKUP(REPLACE(Lose[[#This Row],[LosID]],LEN(Lose[[#This Row],[LosID]]),1,"a"),Lose[LosID],Lose[Zufallszahl],"",0),RAND())</f>
        <v>0.8962257665668647</v>
      </c>
      <c r="V481" t="b" cm="1">
        <f t="array" aca="1" ref="V481" ca="1">Lose[[#This Row],[Zufallszahl]]&gt;=IFERROR(LARGE((LEFT(Lose[LosID],FIND("-",Lose[LosID])-1)=LEFT(Lose[[#This Row],[LosID]],FIND("-",Lose[[#This Row],[LosID]])-1))*Lose[Zufallszahl],_xlfn.XLOOKUP(LEFT(Lose[[#This Row],[LosID]],FIND("-",Lose[[#This Row],[LosID]])-1),Ziehungsanzahl[Kürzel],Ziehungsanzahl[Kontingent],FALSE,0)),9999)</f>
        <v>0</v>
      </c>
    </row>
    <row r="482" spans="1:22" ht="135" hidden="1">
      <c r="A4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2" t="s">
        <v>23412</v>
      </c>
      <c r="C482" t="s">
        <v>1410</v>
      </c>
      <c r="D482" s="1" t="s">
        <v>24885</v>
      </c>
      <c r="E482" t="s">
        <v>24886</v>
      </c>
      <c r="F482" t="s">
        <v>24887</v>
      </c>
      <c r="G482">
        <v>2</v>
      </c>
      <c r="H482">
        <v>1</v>
      </c>
      <c r="I482">
        <v>0.1</v>
      </c>
      <c r="K482" t="str" cm="1">
        <f t="array" ref="K4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Nauheim</v>
      </c>
      <c r="L482" t="str">
        <f>IFERROR(LEFT(TRIM(Lose[[#This Row],[Google Koordinaten]]),9),"")</f>
        <v>50.367841</v>
      </c>
      <c r="M482" t="str">
        <f>IFERROR(MID(TRIM(Lose[[#This Row],[Google Koordinaten]]),
FIND(",",TRIM(Lose[[#This Row],[Google Koordinaten]])) + 2,9),"")</f>
        <v>8.7483446</v>
      </c>
      <c r="N482">
        <f>IF(Lose[[#This Row],[Bahn-hofs-zeit]]=0,0,MROUND(30*25^((Lose[[#This Row],[Bahn-hofs-zeit]]-_xlfn.MINIFS(Lose[Bahn-hofs-zeit],Lose[Bahn-hofs-zeit],"&gt;0"))/(MAX(Lose[Bahn-hofs-zeit])-_xlfn.MINIFS(Lose[Bahn-hofs-zeit],Lose[Bahn-hofs-zeit],"&gt;0"))),5))</f>
        <v>55</v>
      </c>
      <c r="O482">
        <f>IF(Lose[[#This Row],[Gehzeit (min)]]="",0,CEILING(3*(Lose[[#This Row],[Gehzeit (min)]]+Lose[[#This Row],[Aufgaben-zeit (min)]]),5))</f>
        <v>10</v>
      </c>
      <c r="P482">
        <v>5.25</v>
      </c>
      <c r="Q482">
        <f>IFERROR(ROUND(Lose[[#This Row],[Distanz (km)]]*60/Lose[[#This Row],[Gehzeit (min)]],1),"")</f>
        <v>3</v>
      </c>
      <c r="R4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482">
        <f>IFERROR(Lose[[#This Row],[Distanz (km)]]-Lose[[#This Row],[Check Distanz]],"")</f>
        <v>0.03</v>
      </c>
      <c r="T482" s="60">
        <f>IFERROR(Lose[[#This Row],[Check Umweg]]/Lose[[#This Row],[Check Distanz]],"")</f>
        <v>0.42857142857142849</v>
      </c>
      <c r="U482">
        <f ca="1">IF(RIGHT(Lose[[#This Row],[LosID]],1)="b",_xlfn.XLOOKUP(REPLACE(Lose[[#This Row],[LosID]],LEN(Lose[[#This Row],[LosID]]),1,"a"),Lose[LosID],Lose[Zufallszahl],"",0),RAND())</f>
        <v>0.4801232132663481</v>
      </c>
      <c r="V482" t="b" cm="1">
        <f t="array" aca="1" ref="V482" ca="1">Lose[[#This Row],[Zufallszahl]]&gt;=IFERROR(LARGE((LEFT(Lose[LosID],FIND("-",Lose[LosID])-1)=LEFT(Lose[[#This Row],[LosID]],FIND("-",Lose[[#This Row],[LosID]])-1))*Lose[Zufallszahl],_xlfn.XLOOKUP(LEFT(Lose[[#This Row],[LosID]],FIND("-",Lose[[#This Row],[LosID]])-1),Ziehungsanzahl[Kürzel],Ziehungsanzahl[Kontingent],FALSE,0)),9999)</f>
        <v>0</v>
      </c>
    </row>
    <row r="483" spans="1:22" ht="120" hidden="1">
      <c r="A4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83" t="s">
        <v>23416</v>
      </c>
      <c r="C483" t="s">
        <v>24888</v>
      </c>
      <c r="D483" s="64" t="s">
        <v>24889</v>
      </c>
      <c r="E483" t="s">
        <v>24890</v>
      </c>
      <c r="F483" t="s">
        <v>24891</v>
      </c>
      <c r="G483">
        <v>10</v>
      </c>
      <c r="H483">
        <v>9</v>
      </c>
      <c r="I483">
        <v>0.7</v>
      </c>
      <c r="J483">
        <v>20</v>
      </c>
      <c r="K483" t="str" cm="1">
        <f t="array" ref="K4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 Marienplatz</v>
      </c>
      <c r="L483" t="str">
        <f>IFERROR(LEFT(TRIM(Lose[[#This Row],[Google Koordinaten]]),9),"")</f>
        <v>48.138922</v>
      </c>
      <c r="M483" t="str">
        <f>IFERROR(MID(TRIM(Lose[[#This Row],[Google Koordinaten]]),
FIND(",",TRIM(Lose[[#This Row],[Google Koordinaten]])) + 2,9),"")</f>
        <v>11.571744</v>
      </c>
      <c r="N483">
        <f>IF(Lose[[#This Row],[Bahn-hofs-zeit]]=0,0,MROUND(30*25^((Lose[[#This Row],[Bahn-hofs-zeit]]-_xlfn.MINIFS(Lose[Bahn-hofs-zeit],Lose[Bahn-hofs-zeit],"&gt;0"))/(MAX(Lose[Bahn-hofs-zeit])-_xlfn.MINIFS(Lose[Bahn-hofs-zeit],Lose[Bahn-hofs-zeit],"&gt;0"))),5))</f>
        <v>240</v>
      </c>
      <c r="O483">
        <f>IF(Lose[[#This Row],[Gehzeit (min)]]="",0,CEILING(3*(Lose[[#This Row],[Gehzeit (min)]]+Lose[[#This Row],[Aufgaben-zeit (min)]]),5))</f>
        <v>60</v>
      </c>
      <c r="P483">
        <v>10.5</v>
      </c>
      <c r="Q483">
        <f>IFERROR(ROUND(Lose[[#This Row],[Distanz (km)]]*60/Lose[[#This Row],[Gehzeit (min)]],1),"")</f>
        <v>4.2</v>
      </c>
      <c r="R4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483">
        <f>IFERROR(Lose[[#This Row],[Distanz (km)]]-Lose[[#This Row],[Check Distanz]],"")</f>
        <v>0.35999999999999993</v>
      </c>
      <c r="T483" s="60">
        <f>IFERROR(Lose[[#This Row],[Check Umweg]]/Lose[[#This Row],[Check Distanz]],"")</f>
        <v>1.0588235294117645</v>
      </c>
      <c r="U483">
        <f ca="1">IF(RIGHT(Lose[[#This Row],[LosID]],1)="b",_xlfn.XLOOKUP(REPLACE(Lose[[#This Row],[LosID]],LEN(Lose[[#This Row],[LosID]]),1,"a"),Lose[LosID],Lose[Zufallszahl],"",0),RAND())</f>
        <v>0.79794341727824025</v>
      </c>
      <c r="V483" t="b" cm="1">
        <f t="array" aca="1" ref="V483" ca="1">Lose[[#This Row],[Zufallszahl]]&gt;=IFERROR(LARGE((LEFT(Lose[LosID],FIND("-",Lose[LosID])-1)=LEFT(Lose[[#This Row],[LosID]],FIND("-",Lose[[#This Row],[LosID]])-1))*Lose[Zufallszahl],_xlfn.XLOOKUP(LEFT(Lose[[#This Row],[LosID]],FIND("-",Lose[[#This Row],[LosID]])-1),Ziehungsanzahl[Kürzel],Ziehungsanzahl[Kontingent],FALSE,0)),9999)</f>
        <v>0</v>
      </c>
    </row>
    <row r="484" spans="1:22" ht="120" hidden="1">
      <c r="A4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4" t="s">
        <v>23357</v>
      </c>
      <c r="C484" t="s">
        <v>24892</v>
      </c>
      <c r="D484" s="1" t="s">
        <v>24893</v>
      </c>
      <c r="E484" t="s">
        <v>24894</v>
      </c>
      <c r="F484" t="s">
        <v>24895</v>
      </c>
      <c r="G484">
        <v>8</v>
      </c>
      <c r="H484">
        <v>5</v>
      </c>
      <c r="I484">
        <v>0.6</v>
      </c>
      <c r="J484">
        <v>10</v>
      </c>
      <c r="K484" t="str" cm="1">
        <f t="array" ref="K4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Hbf</v>
      </c>
      <c r="L484" t="str">
        <f>IFERROR(LEFT(TRIM(Lose[[#This Row],[Google Koordinaten]]),9),"")</f>
        <v>51.513165</v>
      </c>
      <c r="M484" t="str">
        <f>IFERROR(MID(TRIM(Lose[[#This Row],[Google Koordinaten]]),
FIND(",",TRIM(Lose[[#This Row],[Google Koordinaten]])) + 2,9),"")</f>
        <v>7.4557092</v>
      </c>
      <c r="N484">
        <f>IF(Lose[[#This Row],[Bahn-hofs-zeit]]=0,0,MROUND(30*25^((Lose[[#This Row],[Bahn-hofs-zeit]]-_xlfn.MINIFS(Lose[Bahn-hofs-zeit],Lose[Bahn-hofs-zeit],"&gt;0"))/(MAX(Lose[Bahn-hofs-zeit])-_xlfn.MINIFS(Lose[Bahn-hofs-zeit],Lose[Bahn-hofs-zeit],"&gt;0"))),5))</f>
        <v>30</v>
      </c>
      <c r="O484">
        <f>IF(Lose[[#This Row],[Gehzeit (min)]]="",0,CEILING(3*(Lose[[#This Row],[Gehzeit (min)]]+Lose[[#This Row],[Aufgaben-zeit (min)]]),5))</f>
        <v>40</v>
      </c>
      <c r="P484">
        <v>3.5</v>
      </c>
      <c r="Q484">
        <f>IFERROR(ROUND(Lose[[#This Row],[Distanz (km)]]*60/Lose[[#This Row],[Gehzeit (min)]],1),"")</f>
        <v>4.5</v>
      </c>
      <c r="R4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84">
        <f>IFERROR(Lose[[#This Row],[Distanz (km)]]-Lose[[#This Row],[Check Distanz]],"")</f>
        <v>2.0000000000000018E-2</v>
      </c>
      <c r="T484" s="60">
        <f>IFERROR(Lose[[#This Row],[Check Umweg]]/Lose[[#This Row],[Check Distanz]],"")</f>
        <v>3.4482758620689689E-2</v>
      </c>
      <c r="U484">
        <f ca="1">IF(RIGHT(Lose[[#This Row],[LosID]],1)="b",_xlfn.XLOOKUP(REPLACE(Lose[[#This Row],[LosID]],LEN(Lose[[#This Row],[LosID]]),1,"a"),Lose[LosID],Lose[Zufallszahl],"",0),RAND())</f>
        <v>0.42844888763311417</v>
      </c>
      <c r="V484" t="b" cm="1">
        <f t="array" aca="1" ref="V484" ca="1">Lose[[#This Row],[Zufallszahl]]&gt;=IFERROR(LARGE((LEFT(Lose[LosID],FIND("-",Lose[LosID])-1)=LEFT(Lose[[#This Row],[LosID]],FIND("-",Lose[[#This Row],[LosID]])-1))*Lose[Zufallszahl],_xlfn.XLOOKUP(LEFT(Lose[[#This Row],[LosID]],FIND("-",Lose[[#This Row],[LosID]])-1),Ziehungsanzahl[Kürzel],Ziehungsanzahl[Kontingent],FALSE,0)),9999)</f>
        <v>0</v>
      </c>
    </row>
    <row r="485" spans="1:22" ht="90" hidden="1">
      <c r="A4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5" t="s">
        <v>23363</v>
      </c>
      <c r="C485" t="s">
        <v>24896</v>
      </c>
      <c r="D485" s="1" t="s">
        <v>24897</v>
      </c>
      <c r="E485" t="s">
        <v>24898</v>
      </c>
      <c r="F485" t="s">
        <v>24899</v>
      </c>
      <c r="G485">
        <v>23</v>
      </c>
      <c r="H485">
        <v>5</v>
      </c>
      <c r="I485">
        <v>1.6</v>
      </c>
      <c r="K485" t="str" cm="1">
        <f t="array" ref="K4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Baden-Baden</v>
      </c>
      <c r="L485" t="str">
        <f>IFERROR(LEFT(TRIM(Lose[[#This Row],[Google Koordinaten]]),9),"")</f>
        <v>48.779480</v>
      </c>
      <c r="M485" t="str">
        <f>IFERROR(MID(TRIM(Lose[[#This Row],[Google Koordinaten]]),
FIND(",",TRIM(Lose[[#This Row],[Google Koordinaten]])) + 2,9),"")</f>
        <v>8.1965401</v>
      </c>
      <c r="N485">
        <f>IF(Lose[[#This Row],[Bahn-hofs-zeit]]=0,0,MROUND(30*25^((Lose[[#This Row],[Bahn-hofs-zeit]]-_xlfn.MINIFS(Lose[Bahn-hofs-zeit],Lose[Bahn-hofs-zeit],"&gt;0"))/(MAX(Lose[Bahn-hofs-zeit])-_xlfn.MINIFS(Lose[Bahn-hofs-zeit],Lose[Bahn-hofs-zeit],"&gt;0"))),5))</f>
        <v>70</v>
      </c>
      <c r="O485">
        <f>IF(Lose[[#This Row],[Gehzeit (min)]]="",0,CEILING(3*(Lose[[#This Row],[Gehzeit (min)]]+Lose[[#This Row],[Aufgaben-zeit (min)]]),5))</f>
        <v>85</v>
      </c>
      <c r="P485">
        <v>6.25</v>
      </c>
      <c r="Q485">
        <f>IFERROR(ROUND(Lose[[#This Row],[Distanz (km)]]*60/Lose[[#This Row],[Gehzeit (min)]],1),"")</f>
        <v>4.2</v>
      </c>
      <c r="R4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1.28</v>
      </c>
      <c r="S485">
        <f>IFERROR(Lose[[#This Row],[Distanz (km)]]-Lose[[#This Row],[Check Distanz]],"")</f>
        <v>0.32000000000000006</v>
      </c>
      <c r="T485" s="60">
        <f>IFERROR(Lose[[#This Row],[Check Umweg]]/Lose[[#This Row],[Check Distanz]],"")</f>
        <v>0.25000000000000006</v>
      </c>
      <c r="U485">
        <f ca="1">IF(RIGHT(Lose[[#This Row],[LosID]],1)="b",_xlfn.XLOOKUP(REPLACE(Lose[[#This Row],[LosID]],LEN(Lose[[#This Row],[LosID]]),1,"a"),Lose[LosID],Lose[Zufallszahl],"",0),RAND())</f>
        <v>0.63925637910763855</v>
      </c>
      <c r="V485" t="b" cm="1">
        <f t="array" aca="1" ref="V485" ca="1">Lose[[#This Row],[Zufallszahl]]&gt;=IFERROR(LARGE((LEFT(Lose[LosID],FIND("-",Lose[LosID])-1)=LEFT(Lose[[#This Row],[LosID]],FIND("-",Lose[[#This Row],[LosID]])-1))*Lose[Zufallszahl],_xlfn.XLOOKUP(LEFT(Lose[[#This Row],[LosID]],FIND("-",Lose[[#This Row],[LosID]])-1),Ziehungsanzahl[Kürzel],Ziehungsanzahl[Kontingent],FALSE,0)),9999)</f>
        <v>0</v>
      </c>
    </row>
    <row r="486" spans="1:22" hidden="1">
      <c r="A4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486" t="s">
        <v>23367</v>
      </c>
      <c r="C486" t="s">
        <v>24900</v>
      </c>
      <c r="K486" t="str" cm="1">
        <f t="array" ref="K4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486" t="str">
        <f>IFERROR(LEFT(TRIM(Lose[[#This Row],[Google Koordinaten]]),9),"")</f>
        <v/>
      </c>
      <c r="M486" t="str">
        <f>IFERROR(MID(TRIM(Lose[[#This Row],[Google Koordinaten]]),
FIND(",",TRIM(Lose[[#This Row],[Google Koordinaten]])) + 2,9),"")</f>
        <v/>
      </c>
      <c r="N486">
        <f>IF(Lose[[#This Row],[Bahn-hofs-zeit]]=0,0,MROUND(30*25^((Lose[[#This Row],[Bahn-hofs-zeit]]-_xlfn.MINIFS(Lose[Bahn-hofs-zeit],Lose[Bahn-hofs-zeit],"&gt;0"))/(MAX(Lose[Bahn-hofs-zeit])-_xlfn.MINIFS(Lose[Bahn-hofs-zeit],Lose[Bahn-hofs-zeit],"&gt;0"))),5))</f>
        <v>0</v>
      </c>
      <c r="O486">
        <f>IF(Lose[[#This Row],[Gehzeit (min)]]="",0,CEILING(3*(Lose[[#This Row],[Gehzeit (min)]]+Lose[[#This Row],[Aufgaben-zeit (min)]]),5))</f>
        <v>0</v>
      </c>
      <c r="Q486" t="str">
        <f>IFERROR(ROUND(Lose[[#This Row],[Distanz (km)]]*60/Lose[[#This Row],[Gehzeit (min)]],1),"")</f>
        <v/>
      </c>
      <c r="R48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86" t="str">
        <f>IFERROR(Lose[[#This Row],[Distanz (km)]]-Lose[[#This Row],[Check Distanz]],"")</f>
        <v/>
      </c>
      <c r="T486" s="60" t="str">
        <f>IFERROR(Lose[[#This Row],[Check Umweg]]/Lose[[#This Row],[Check Distanz]],"")</f>
        <v/>
      </c>
      <c r="U486">
        <f ca="1">IF(RIGHT(Lose[[#This Row],[LosID]],1)="b",_xlfn.XLOOKUP(REPLACE(Lose[[#This Row],[LosID]],LEN(Lose[[#This Row],[LosID]]),1,"a"),Lose[LosID],Lose[Zufallszahl],"",0),RAND())</f>
        <v>0.46088665326777378</v>
      </c>
      <c r="V486" t="b" cm="1">
        <f t="array" aca="1" ref="V486" ca="1">Lose[[#This Row],[Zufallszahl]]&gt;=IFERROR(LARGE((LEFT(Lose[LosID],FIND("-",Lose[LosID])-1)=LEFT(Lose[[#This Row],[LosID]],FIND("-",Lose[[#This Row],[LosID]])-1))*Lose[Zufallszahl],_xlfn.XLOOKUP(LEFT(Lose[[#This Row],[LosID]],FIND("-",Lose[[#This Row],[LosID]])-1),Ziehungsanzahl[Kürzel],Ziehungsanzahl[Kontingent],FALSE,0)),9999)</f>
        <v>0</v>
      </c>
    </row>
    <row r="487" spans="1:22" hidden="1">
      <c r="A4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7" t="s">
        <v>23367</v>
      </c>
      <c r="C487" t="s">
        <v>24901</v>
      </c>
      <c r="D487" s="1" t="s">
        <v>24902</v>
      </c>
      <c r="E487" t="s">
        <v>24903</v>
      </c>
      <c r="F487" t="s">
        <v>24904</v>
      </c>
      <c r="G487">
        <v>17</v>
      </c>
      <c r="H487">
        <v>2</v>
      </c>
      <c r="I487">
        <v>1.2</v>
      </c>
      <c r="K487" t="str" cm="1">
        <f t="array" ref="K4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Ibbenbüren</v>
      </c>
      <c r="L487" t="str">
        <f>IFERROR(LEFT(TRIM(Lose[[#This Row],[Google Koordinaten]]),9),"")</f>
        <v>52.268082</v>
      </c>
      <c r="M487" t="str">
        <f>IFERROR(MID(TRIM(Lose[[#This Row],[Google Koordinaten]]),
FIND(",",TRIM(Lose[[#This Row],[Google Koordinaten]])) + 2,9),"")</f>
        <v>7.7287275</v>
      </c>
      <c r="N487">
        <f>IF(Lose[[#This Row],[Bahn-hofs-zeit]]=0,0,MROUND(30*25^((Lose[[#This Row],[Bahn-hofs-zeit]]-_xlfn.MINIFS(Lose[Bahn-hofs-zeit],Lose[Bahn-hofs-zeit],"&gt;0"))/(MAX(Lose[Bahn-hofs-zeit])-_xlfn.MINIFS(Lose[Bahn-hofs-zeit],Lose[Bahn-hofs-zeit],"&gt;0"))),5))</f>
        <v>55</v>
      </c>
      <c r="O487">
        <f>IF(Lose[[#This Row],[Gehzeit (min)]]="",0,CEILING(3*(Lose[[#This Row],[Gehzeit (min)]]+Lose[[#This Row],[Aufgaben-zeit (min)]]),5))</f>
        <v>60</v>
      </c>
      <c r="P487">
        <v>5.25</v>
      </c>
      <c r="Q487">
        <f>IFERROR(ROUND(Lose[[#This Row],[Distanz (km)]]*60/Lose[[#This Row],[Gehzeit (min)]],1),"")</f>
        <v>4.2</v>
      </c>
      <c r="R4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1.0900000000000001</v>
      </c>
      <c r="S487">
        <f>IFERROR(Lose[[#This Row],[Distanz (km)]]-Lose[[#This Row],[Check Distanz]],"")</f>
        <v>0.10999999999999988</v>
      </c>
      <c r="T487" s="60">
        <f>IFERROR(Lose[[#This Row],[Check Umweg]]/Lose[[#This Row],[Check Distanz]],"")</f>
        <v>0.10091743119266043</v>
      </c>
      <c r="U487">
        <f ca="1">IF(RIGHT(Lose[[#This Row],[LosID]],1)="b",_xlfn.XLOOKUP(REPLACE(Lose[[#This Row],[LosID]],LEN(Lose[[#This Row],[LosID]]),1,"a"),Lose[LosID],Lose[Zufallszahl],"",0),RAND())</f>
        <v>0.26759090915696493</v>
      </c>
      <c r="V487" t="b" cm="1">
        <f t="array" aca="1" ref="V487" ca="1">Lose[[#This Row],[Zufallszahl]]&gt;=IFERROR(LARGE((LEFT(Lose[LosID],FIND("-",Lose[LosID])-1)=LEFT(Lose[[#This Row],[LosID]],FIND("-",Lose[[#This Row],[LosID]])-1))*Lose[Zufallszahl],_xlfn.XLOOKUP(LEFT(Lose[[#This Row],[LosID]],FIND("-",Lose[[#This Row],[LosID]])-1),Ziehungsanzahl[Kürzel],Ziehungsanzahl[Kontingent],FALSE,0)),9999)</f>
        <v>0</v>
      </c>
    </row>
    <row r="488" spans="1:22" ht="45" hidden="1">
      <c r="A4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8" t="s">
        <v>23408</v>
      </c>
      <c r="C488" t="s">
        <v>1430</v>
      </c>
      <c r="D488" s="1" t="s">
        <v>24905</v>
      </c>
      <c r="E488" t="s">
        <v>24906</v>
      </c>
      <c r="F488" t="s">
        <v>24907</v>
      </c>
      <c r="G488">
        <v>5</v>
      </c>
      <c r="H488">
        <v>1</v>
      </c>
      <c r="I488">
        <v>0.3</v>
      </c>
      <c r="K488" t="str" cm="1">
        <f t="array" ref="K4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Wasseralfingen</v>
      </c>
      <c r="L488" t="str">
        <f>IFERROR(LEFT(TRIM(Lose[[#This Row],[Google Koordinaten]]),9),"")</f>
        <v>48.860784</v>
      </c>
      <c r="M488" t="str">
        <f>IFERROR(MID(TRIM(Lose[[#This Row],[Google Koordinaten]]),
FIND(",",TRIM(Lose[[#This Row],[Google Koordinaten]])) + 2,9),"")</f>
        <v>10.103166</v>
      </c>
      <c r="N488">
        <f>IF(Lose[[#This Row],[Bahn-hofs-zeit]]=0,0,MROUND(30*25^((Lose[[#This Row],[Bahn-hofs-zeit]]-_xlfn.MINIFS(Lose[Bahn-hofs-zeit],Lose[Bahn-hofs-zeit],"&gt;0"))/(MAX(Lose[Bahn-hofs-zeit])-_xlfn.MINIFS(Lose[Bahn-hofs-zeit],Lose[Bahn-hofs-zeit],"&gt;0"))),5))</f>
        <v>165</v>
      </c>
      <c r="O488">
        <f>IF(Lose[[#This Row],[Gehzeit (min)]]="",0,CEILING(3*(Lose[[#This Row],[Gehzeit (min)]]+Lose[[#This Row],[Aufgaben-zeit (min)]]),5))</f>
        <v>20</v>
      </c>
      <c r="P488">
        <v>9.25</v>
      </c>
      <c r="Q488">
        <f>IFERROR(ROUND(Lose[[#This Row],[Distanz (km)]]*60/Lose[[#This Row],[Gehzeit (min)]],1),"")</f>
        <v>3.6</v>
      </c>
      <c r="R4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488">
        <f>IFERROR(Lose[[#This Row],[Distanz (km)]]-Lose[[#This Row],[Check Distanz]],"")</f>
        <v>0.06</v>
      </c>
      <c r="T488" s="60">
        <f>IFERROR(Lose[[#This Row],[Check Umweg]]/Lose[[#This Row],[Check Distanz]],"")</f>
        <v>0.25</v>
      </c>
      <c r="U488">
        <f ca="1">IF(RIGHT(Lose[[#This Row],[LosID]],1)="b",_xlfn.XLOOKUP(REPLACE(Lose[[#This Row],[LosID]],LEN(Lose[[#This Row],[LosID]]),1,"a"),Lose[LosID],Lose[Zufallszahl],"",0),RAND())</f>
        <v>0.56451503860857966</v>
      </c>
      <c r="V488" t="b" cm="1">
        <f t="array" aca="1" ref="V488" ca="1">Lose[[#This Row],[Zufallszahl]]&gt;=IFERROR(LARGE((LEFT(Lose[LosID],FIND("-",Lose[LosID])-1)=LEFT(Lose[[#This Row],[LosID]],FIND("-",Lose[[#This Row],[LosID]])-1))*Lose[Zufallszahl],_xlfn.XLOOKUP(LEFT(Lose[[#This Row],[LosID]],FIND("-",Lose[[#This Row],[LosID]])-1),Ziehungsanzahl[Kürzel],Ziehungsanzahl[Kontingent],FALSE,0)),9999)</f>
        <v>0</v>
      </c>
    </row>
    <row r="489" spans="1:22" ht="60" hidden="1">
      <c r="A4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9" t="s">
        <v>23412</v>
      </c>
      <c r="C489" t="s">
        <v>24908</v>
      </c>
      <c r="D489" s="64" t="s">
        <v>24909</v>
      </c>
      <c r="E489" t="s">
        <v>24910</v>
      </c>
      <c r="F489" t="s">
        <v>24911</v>
      </c>
      <c r="G489">
        <v>16</v>
      </c>
      <c r="H489">
        <v>1</v>
      </c>
      <c r="I489">
        <v>1.1000000000000001</v>
      </c>
      <c r="K489" t="str" cm="1">
        <f t="array" ref="K4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Weilburg</v>
      </c>
      <c r="L489" t="str">
        <f>IFERROR(LEFT(TRIM(Lose[[#This Row],[Google Koordinaten]]),9),"")</f>
        <v>50.485968</v>
      </c>
      <c r="M489" t="str">
        <f>IFERROR(MID(TRIM(Lose[[#This Row],[Google Koordinaten]]),
FIND(",",TRIM(Lose[[#This Row],[Google Koordinaten]])) + 2,9),"")</f>
        <v>8.260655</v>
      </c>
      <c r="N489">
        <f>IF(Lose[[#This Row],[Bahn-hofs-zeit]]=0,0,MROUND(30*25^((Lose[[#This Row],[Bahn-hofs-zeit]]-_xlfn.MINIFS(Lose[Bahn-hofs-zeit],Lose[Bahn-hofs-zeit],"&gt;0"))/(MAX(Lose[Bahn-hofs-zeit])-_xlfn.MINIFS(Lose[Bahn-hofs-zeit],Lose[Bahn-hofs-zeit],"&gt;0"))),5))</f>
        <v>75</v>
      </c>
      <c r="O489">
        <f>IF(Lose[[#This Row],[Gehzeit (min)]]="",0,CEILING(3*(Lose[[#This Row],[Gehzeit (min)]]+Lose[[#This Row],[Aufgaben-zeit (min)]]),5))</f>
        <v>55</v>
      </c>
      <c r="P489">
        <v>6.5</v>
      </c>
      <c r="Q489">
        <f>IFERROR(ROUND(Lose[[#This Row],[Distanz (km)]]*60/Lose[[#This Row],[Gehzeit (min)]],1),"")</f>
        <v>4.0999999999999996</v>
      </c>
      <c r="R4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489">
        <f>IFERROR(Lose[[#This Row],[Distanz (km)]]-Lose[[#This Row],[Check Distanz]],"")</f>
        <v>0.53000000000000014</v>
      </c>
      <c r="T489" s="60">
        <f>IFERROR(Lose[[#This Row],[Check Umweg]]/Lose[[#This Row],[Check Distanz]],"")</f>
        <v>0.92982456140350911</v>
      </c>
      <c r="U489">
        <f ca="1">IF(RIGHT(Lose[[#This Row],[LosID]],1)="b",_xlfn.XLOOKUP(REPLACE(Lose[[#This Row],[LosID]],LEN(Lose[[#This Row],[LosID]]),1,"a"),Lose[LosID],Lose[Zufallszahl],"",0),RAND())</f>
        <v>0.37492936613791161</v>
      </c>
      <c r="V489" t="b" cm="1">
        <f t="array" aca="1" ref="V489" ca="1">Lose[[#This Row],[Zufallszahl]]&gt;=IFERROR(LARGE((LEFT(Lose[LosID],FIND("-",Lose[LosID])-1)=LEFT(Lose[[#This Row],[LosID]],FIND("-",Lose[[#This Row],[LosID]])-1))*Lose[Zufallszahl],_xlfn.XLOOKUP(LEFT(Lose[[#This Row],[LosID]],FIND("-",Lose[[#This Row],[LosID]])-1),Ziehungsanzahl[Kürzel],Ziehungsanzahl[Kontingent],FALSE,0)),9999)</f>
        <v>0</v>
      </c>
    </row>
    <row r="490" spans="1:22" ht="135" hidden="1">
      <c r="A4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0" t="s">
        <v>23416</v>
      </c>
      <c r="C490" t="s">
        <v>24912</v>
      </c>
      <c r="D490" s="1" t="s">
        <v>24913</v>
      </c>
      <c r="E490" t="s">
        <v>24914</v>
      </c>
      <c r="F490" t="s">
        <v>24915</v>
      </c>
      <c r="G490">
        <v>21</v>
      </c>
      <c r="H490">
        <v>1</v>
      </c>
      <c r="I490">
        <v>1.6</v>
      </c>
      <c r="J490">
        <v>5</v>
      </c>
      <c r="K490" t="str" cm="1">
        <f t="array" ref="K4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Dannenberg Ost</v>
      </c>
      <c r="L490" t="str">
        <f>IFERROR(LEFT(TRIM(Lose[[#This Row],[Google Koordinaten]]),9),"")</f>
        <v>53.105958</v>
      </c>
      <c r="M490" t="str">
        <f>IFERROR(MID(TRIM(Lose[[#This Row],[Google Koordinaten]]),
FIND(",",TRIM(Lose[[#This Row],[Google Koordinaten]])) + 2,9),"")</f>
        <v>11.134242</v>
      </c>
      <c r="N490">
        <f>IF(Lose[[#This Row],[Bahn-hofs-zeit]]=0,0,MROUND(30*25^((Lose[[#This Row],[Bahn-hofs-zeit]]-_xlfn.MINIFS(Lose[Bahn-hofs-zeit],Lose[Bahn-hofs-zeit],"&gt;0"))/(MAX(Lose[Bahn-hofs-zeit])-_xlfn.MINIFS(Lose[Bahn-hofs-zeit],Lose[Bahn-hofs-zeit],"&gt;0"))),5))</f>
        <v>180</v>
      </c>
      <c r="O490">
        <f>IF(Lose[[#This Row],[Gehzeit (min)]]="",0,CEILING(3*(Lose[[#This Row],[Gehzeit (min)]]+Lose[[#This Row],[Aufgaben-zeit (min)]]),5))</f>
        <v>70</v>
      </c>
      <c r="P490">
        <v>9.5</v>
      </c>
      <c r="Q490">
        <f>IFERROR(ROUND(Lose[[#This Row],[Distanz (km)]]*60/Lose[[#This Row],[Gehzeit (min)]],1),"")</f>
        <v>4.5999999999999996</v>
      </c>
      <c r="R4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490">
        <f>IFERROR(Lose[[#This Row],[Distanz (km)]]-Lose[[#This Row],[Check Distanz]],"")</f>
        <v>0.49</v>
      </c>
      <c r="T490" s="60">
        <f>IFERROR(Lose[[#This Row],[Check Umweg]]/Lose[[#This Row],[Check Distanz]],"")</f>
        <v>0.44144144144144137</v>
      </c>
      <c r="U490">
        <f ca="1">IF(RIGHT(Lose[[#This Row],[LosID]],1)="b",_xlfn.XLOOKUP(REPLACE(Lose[[#This Row],[LosID]],LEN(Lose[[#This Row],[LosID]]),1,"a"),Lose[LosID],Lose[Zufallszahl],"",0),RAND())</f>
        <v>0.3701457068447368</v>
      </c>
      <c r="V490" t="b" cm="1">
        <f t="array" aca="1" ref="V490" ca="1">Lose[[#This Row],[Zufallszahl]]&gt;=IFERROR(LARGE((LEFT(Lose[LosID],FIND("-",Lose[LosID])-1)=LEFT(Lose[[#This Row],[LosID]],FIND("-",Lose[[#This Row],[LosID]])-1))*Lose[Zufallszahl],_xlfn.XLOOKUP(LEFT(Lose[[#This Row],[LosID]],FIND("-",Lose[[#This Row],[LosID]])-1),Ziehungsanzahl[Kürzel],Ziehungsanzahl[Kontingent],FALSE,0)),9999)</f>
        <v>0</v>
      </c>
    </row>
    <row r="491" spans="1:22" ht="30" hidden="1">
      <c r="A4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1" t="s">
        <v>23357</v>
      </c>
      <c r="C491" t="s">
        <v>24916</v>
      </c>
      <c r="D491" s="1" t="s">
        <v>24917</v>
      </c>
      <c r="E491" t="s">
        <v>24918</v>
      </c>
      <c r="F491" t="s">
        <v>24919</v>
      </c>
      <c r="G491">
        <v>20</v>
      </c>
      <c r="H491">
        <v>1</v>
      </c>
      <c r="I491">
        <v>1.4</v>
      </c>
      <c r="K491" t="str" cm="1">
        <f t="array" ref="K4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Gelsenkirchen Zoo</v>
      </c>
      <c r="L491" t="str">
        <f>IFERROR(LEFT(TRIM(Lose[[#This Row],[Google Koordinaten]]),9),"")</f>
        <v>51.529733</v>
      </c>
      <c r="M491" t="str">
        <f>IFERROR(MID(TRIM(Lose[[#This Row],[Google Koordinaten]]),
FIND(",",TRIM(Lose[[#This Row],[Google Koordinaten]])) + 2,9),"")</f>
        <v>7.1102702</v>
      </c>
      <c r="N491">
        <f>IF(Lose[[#This Row],[Bahn-hofs-zeit]]=0,0,MROUND(30*25^((Lose[[#This Row],[Bahn-hofs-zeit]]-_xlfn.MINIFS(Lose[Bahn-hofs-zeit],Lose[Bahn-hofs-zeit],"&gt;0"))/(MAX(Lose[Bahn-hofs-zeit])-_xlfn.MINIFS(Lose[Bahn-hofs-zeit],Lose[Bahn-hofs-zeit],"&gt;0"))),5))</f>
        <v>55</v>
      </c>
      <c r="O491">
        <f>IF(Lose[[#This Row],[Gehzeit (min)]]="",0,CEILING(3*(Lose[[#This Row],[Gehzeit (min)]]+Lose[[#This Row],[Aufgaben-zeit (min)]]),5))</f>
        <v>65</v>
      </c>
      <c r="P491">
        <v>5.5</v>
      </c>
      <c r="Q491">
        <f>IFERROR(ROUND(Lose[[#This Row],[Distanz (km)]]*60/Lose[[#This Row],[Gehzeit (min)]],1),"")</f>
        <v>4.2</v>
      </c>
      <c r="R4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491">
        <f>IFERROR(Lose[[#This Row],[Distanz (km)]]-Lose[[#This Row],[Check Distanz]],"")</f>
        <v>0.5099999999999999</v>
      </c>
      <c r="T491" s="60">
        <f>IFERROR(Lose[[#This Row],[Check Umweg]]/Lose[[#This Row],[Check Distanz]],"")</f>
        <v>0.57303370786516838</v>
      </c>
      <c r="U491">
        <f ca="1">IF(RIGHT(Lose[[#This Row],[LosID]],1)="b",_xlfn.XLOOKUP(REPLACE(Lose[[#This Row],[LosID]],LEN(Lose[[#This Row],[LosID]]),1,"a"),Lose[LosID],Lose[Zufallszahl],"",0),RAND())</f>
        <v>0.80808008835580358</v>
      </c>
      <c r="V491" t="b" cm="1">
        <f t="array" aca="1" ref="V491" ca="1">Lose[[#This Row],[Zufallszahl]]&gt;=IFERROR(LARGE((LEFT(Lose[LosID],FIND("-",Lose[LosID])-1)=LEFT(Lose[[#This Row],[LosID]],FIND("-",Lose[[#This Row],[LosID]])-1))*Lose[Zufallszahl],_xlfn.XLOOKUP(LEFT(Lose[[#This Row],[LosID]],FIND("-",Lose[[#This Row],[LosID]])-1),Ziehungsanzahl[Kürzel],Ziehungsanzahl[Kontingent],FALSE,0)),9999)</f>
        <v>0</v>
      </c>
    </row>
    <row r="492" spans="1:22" ht="75" hidden="1">
      <c r="A4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2" t="s">
        <v>23363</v>
      </c>
      <c r="C492" t="s">
        <v>1431</v>
      </c>
      <c r="D492" s="1" t="s">
        <v>24920</v>
      </c>
      <c r="E492" t="s">
        <v>24921</v>
      </c>
      <c r="F492" t="s">
        <v>24922</v>
      </c>
      <c r="G492" s="9">
        <v>5</v>
      </c>
      <c r="H492">
        <v>2</v>
      </c>
      <c r="I492">
        <v>0.2</v>
      </c>
      <c r="K492" t="str" cm="1">
        <f t="array" ref="K4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Essen-Holthausen</v>
      </c>
      <c r="L492" t="str">
        <f>IFERROR(LEFT(TRIM(Lose[[#This Row],[Google Koordinaten]]),9),"")</f>
        <v>51.417126</v>
      </c>
      <c r="M492" t="str">
        <f>IFERROR(MID(TRIM(Lose[[#This Row],[Google Koordinaten]]),
FIND(",",TRIM(Lose[[#This Row],[Google Koordinaten]])) + 2,9),"")</f>
        <v>7.0741893</v>
      </c>
      <c r="N492">
        <f>IF(Lose[[#This Row],[Bahn-hofs-zeit]]=0,0,MROUND(30*25^((Lose[[#This Row],[Bahn-hofs-zeit]]-_xlfn.MINIFS(Lose[Bahn-hofs-zeit],Lose[Bahn-hofs-zeit],"&gt;0"))/(MAX(Lose[Bahn-hofs-zeit])-_xlfn.MINIFS(Lose[Bahn-hofs-zeit],Lose[Bahn-hofs-zeit],"&gt;0"))),5))</f>
        <v>45</v>
      </c>
      <c r="O492">
        <f>IF(Lose[[#This Row],[Gehzeit (min)]]="",0,CEILING(3*(Lose[[#This Row],[Gehzeit (min)]]+Lose[[#This Row],[Aufgaben-zeit (min)]]),5))</f>
        <v>25</v>
      </c>
      <c r="P492">
        <v>4.75</v>
      </c>
      <c r="Q492">
        <f>IFERROR(ROUND(Lose[[#This Row],[Distanz (km)]]*60/Lose[[#This Row],[Gehzeit (min)]],1),"")</f>
        <v>2.4</v>
      </c>
      <c r="R4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492">
        <f>IFERROR(Lose[[#This Row],[Distanz (km)]]-Lose[[#This Row],[Check Distanz]],"")</f>
        <v>7.0000000000000007E-2</v>
      </c>
      <c r="T492" s="60">
        <f>IFERROR(Lose[[#This Row],[Check Umweg]]/Lose[[#This Row],[Check Distanz]],"")</f>
        <v>0.53846153846153855</v>
      </c>
      <c r="U492">
        <f ca="1">IF(RIGHT(Lose[[#This Row],[LosID]],1)="b",_xlfn.XLOOKUP(REPLACE(Lose[[#This Row],[LosID]],LEN(Lose[[#This Row],[LosID]]),1,"a"),Lose[LosID],Lose[Zufallszahl],"",0),RAND())</f>
        <v>0.63372204692830747</v>
      </c>
      <c r="V492" t="b" cm="1">
        <f t="array" aca="1" ref="V492" ca="1">Lose[[#This Row],[Zufallszahl]]&gt;=IFERROR(LARGE((LEFT(Lose[LosID],FIND("-",Lose[LosID])-1)=LEFT(Lose[[#This Row],[LosID]],FIND("-",Lose[[#This Row],[LosID]])-1))*Lose[Zufallszahl],_xlfn.XLOOKUP(LEFT(Lose[[#This Row],[LosID]],FIND("-",Lose[[#This Row],[LosID]])-1),Ziehungsanzahl[Kürzel],Ziehungsanzahl[Kontingent],FALSE,0)),9999)</f>
        <v>0</v>
      </c>
    </row>
    <row r="493" spans="1:22" ht="105" hidden="1">
      <c r="A4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3" t="s">
        <v>23367</v>
      </c>
      <c r="C493" t="s">
        <v>1432</v>
      </c>
      <c r="D493" s="1" t="s">
        <v>24923</v>
      </c>
      <c r="E493" t="s">
        <v>24924</v>
      </c>
      <c r="F493" t="s">
        <v>24925</v>
      </c>
      <c r="G493">
        <v>24</v>
      </c>
      <c r="H493">
        <v>2</v>
      </c>
      <c r="I493">
        <v>1.6</v>
      </c>
      <c r="K493" t="str" cm="1">
        <f t="array" ref="K4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Mendig</v>
      </c>
      <c r="L493" t="str">
        <f>IFERROR(LEFT(TRIM(Lose[[#This Row],[Google Koordinaten]]),9),"")</f>
        <v>50.377976</v>
      </c>
      <c r="M493" t="str">
        <f>IFERROR(MID(TRIM(Lose[[#This Row],[Google Koordinaten]]),
FIND(",",TRIM(Lose[[#This Row],[Google Koordinaten]])) + 2,9),"")</f>
        <v>7.2846908</v>
      </c>
      <c r="N493">
        <f>IF(Lose[[#This Row],[Bahn-hofs-zeit]]=0,0,MROUND(30*25^((Lose[[#This Row],[Bahn-hofs-zeit]]-_xlfn.MINIFS(Lose[Bahn-hofs-zeit],Lose[Bahn-hofs-zeit],"&gt;0"))/(MAX(Lose[Bahn-hofs-zeit])-_xlfn.MINIFS(Lose[Bahn-hofs-zeit],Lose[Bahn-hofs-zeit],"&gt;0"))),5))</f>
        <v>75</v>
      </c>
      <c r="O493">
        <f>IF(Lose[[#This Row],[Gehzeit (min)]]="",0,CEILING(3*(Lose[[#This Row],[Gehzeit (min)]]+Lose[[#This Row],[Aufgaben-zeit (min)]]),5))</f>
        <v>80</v>
      </c>
      <c r="P493">
        <v>6.5</v>
      </c>
      <c r="Q493">
        <f>IFERROR(ROUND(Lose[[#This Row],[Distanz (km)]]*60/Lose[[#This Row],[Gehzeit (min)]],1),"")</f>
        <v>4</v>
      </c>
      <c r="R4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493">
        <f>IFERROR(Lose[[#This Row],[Distanz (km)]]-Lose[[#This Row],[Check Distanz]],"")</f>
        <v>0.57000000000000006</v>
      </c>
      <c r="T493" s="60">
        <f>IFERROR(Lose[[#This Row],[Check Umweg]]/Lose[[#This Row],[Check Distanz]],"")</f>
        <v>0.55339805825242727</v>
      </c>
      <c r="U493">
        <f ca="1">IF(RIGHT(Lose[[#This Row],[LosID]],1)="b",_xlfn.XLOOKUP(REPLACE(Lose[[#This Row],[LosID]],LEN(Lose[[#This Row],[LosID]]),1,"a"),Lose[LosID],Lose[Zufallszahl],"",0),RAND())</f>
        <v>0.39977764196835408</v>
      </c>
      <c r="V493" t="b" cm="1">
        <f t="array" aca="1" ref="V493" ca="1">Lose[[#This Row],[Zufallszahl]]&gt;=IFERROR(LARGE((LEFT(Lose[LosID],FIND("-",Lose[LosID])-1)=LEFT(Lose[[#This Row],[LosID]],FIND("-",Lose[[#This Row],[LosID]])-1))*Lose[Zufallszahl],_xlfn.XLOOKUP(LEFT(Lose[[#This Row],[LosID]],FIND("-",Lose[[#This Row],[LosID]])-1),Ziehungsanzahl[Kürzel],Ziehungsanzahl[Kontingent],FALSE,0)),9999)</f>
        <v>0</v>
      </c>
    </row>
    <row r="494" spans="1:22" ht="105" hidden="1">
      <c r="A4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4" t="s">
        <v>23372</v>
      </c>
      <c r="C494" t="s">
        <v>1433</v>
      </c>
      <c r="D494" s="1" t="s">
        <v>24926</v>
      </c>
      <c r="E494" t="s">
        <v>24927</v>
      </c>
      <c r="F494" t="s">
        <v>24928</v>
      </c>
      <c r="G494">
        <v>13</v>
      </c>
      <c r="H494">
        <v>1</v>
      </c>
      <c r="I494">
        <v>0.9</v>
      </c>
      <c r="K494" t="str" cm="1">
        <f t="array" ref="K4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Barsinghausen</v>
      </c>
      <c r="L494" t="str">
        <f>IFERROR(LEFT(TRIM(Lose[[#This Row],[Google Koordinaten]]),9),"")</f>
        <v>52.299185</v>
      </c>
      <c r="M494" t="str">
        <f>IFERROR(MID(TRIM(Lose[[#This Row],[Google Koordinaten]]),
FIND(",",TRIM(Lose[[#This Row],[Google Koordinaten]])) + 2,9),"")</f>
        <v>9.4703035</v>
      </c>
      <c r="N494">
        <f>IF(Lose[[#This Row],[Bahn-hofs-zeit]]=0,0,MROUND(30*25^((Lose[[#This Row],[Bahn-hofs-zeit]]-_xlfn.MINIFS(Lose[Bahn-hofs-zeit],Lose[Bahn-hofs-zeit],"&gt;0"))/(MAX(Lose[Bahn-hofs-zeit])-_xlfn.MINIFS(Lose[Bahn-hofs-zeit],Lose[Bahn-hofs-zeit],"&gt;0"))),5))</f>
        <v>75</v>
      </c>
      <c r="O494">
        <f>IF(Lose[[#This Row],[Gehzeit (min)]]="",0,CEILING(3*(Lose[[#This Row],[Gehzeit (min)]]+Lose[[#This Row],[Aufgaben-zeit (min)]]),5))</f>
        <v>45</v>
      </c>
      <c r="P494">
        <v>6.5</v>
      </c>
      <c r="Q494">
        <f>IFERROR(ROUND(Lose[[#This Row],[Distanz (km)]]*60/Lose[[#This Row],[Gehzeit (min)]],1),"")</f>
        <v>4.2</v>
      </c>
      <c r="R4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94">
        <f>IFERROR(Lose[[#This Row],[Distanz (km)]]-Lose[[#This Row],[Check Distanz]],"")</f>
        <v>0.22999999999999998</v>
      </c>
      <c r="T494" s="60">
        <f>IFERROR(Lose[[#This Row],[Check Umweg]]/Lose[[#This Row],[Check Distanz]],"")</f>
        <v>0.34328358208955218</v>
      </c>
      <c r="U494">
        <f ca="1">IF(RIGHT(Lose[[#This Row],[LosID]],1)="b",_xlfn.XLOOKUP(REPLACE(Lose[[#This Row],[LosID]],LEN(Lose[[#This Row],[LosID]]),1,"a"),Lose[LosID],Lose[Zufallszahl],"",0),RAND())</f>
        <v>0.3244737739988387</v>
      </c>
      <c r="V494" t="b" cm="1">
        <f t="array" aca="1" ref="V494" ca="1">Lose[[#This Row],[Zufallszahl]]&gt;=IFERROR(LARGE((LEFT(Lose[LosID],FIND("-",Lose[LosID])-1)=LEFT(Lose[[#This Row],[LosID]],FIND("-",Lose[[#This Row],[LosID]])-1))*Lose[Zufallszahl],_xlfn.XLOOKUP(LEFT(Lose[[#This Row],[LosID]],FIND("-",Lose[[#This Row],[LosID]])-1),Ziehungsanzahl[Kürzel],Ziehungsanzahl[Kontingent],FALSE,0)),9999)</f>
        <v>0</v>
      </c>
    </row>
    <row r="495" spans="1:22" ht="150" hidden="1">
      <c r="A4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5" t="s">
        <v>4</v>
      </c>
      <c r="C495" t="s">
        <v>24929</v>
      </c>
      <c r="D495" s="1" t="s">
        <v>24930</v>
      </c>
      <c r="E495" t="s">
        <v>24931</v>
      </c>
      <c r="F495" t="s">
        <v>24932</v>
      </c>
      <c r="G495">
        <v>13</v>
      </c>
      <c r="H495">
        <v>6</v>
      </c>
      <c r="I495">
        <v>0.95</v>
      </c>
      <c r="K495" t="str" cm="1">
        <f t="array" ref="K4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Glückauf</v>
      </c>
      <c r="L495" t="str">
        <f>IFERROR(LEFT(TRIM(Lose[[#This Row],[Google Koordinaten]]),9),"")</f>
        <v>51.389961</v>
      </c>
      <c r="M495" t="str">
        <f>IFERROR(MID(TRIM(Lose[[#This Row],[Google Koordinaten]]),
FIND(",",TRIM(Lose[[#This Row],[Google Koordinaten]])) + 2,9),"")</f>
        <v>10.837848</v>
      </c>
      <c r="N495">
        <f>IF(Lose[[#This Row],[Bahn-hofs-zeit]]=0,0,MROUND(30*25^((Lose[[#This Row],[Bahn-hofs-zeit]]-_xlfn.MINIFS(Lose[Bahn-hofs-zeit],Lose[Bahn-hofs-zeit],"&gt;0"))/(MAX(Lose[Bahn-hofs-zeit])-_xlfn.MINIFS(Lose[Bahn-hofs-zeit],Lose[Bahn-hofs-zeit],"&gt;0"))),5))</f>
        <v>125</v>
      </c>
      <c r="O495">
        <f>IF(Lose[[#This Row],[Gehzeit (min)]]="",0,CEILING(3*(Lose[[#This Row],[Gehzeit (min)]]+Lose[[#This Row],[Aufgaben-zeit (min)]]),5))</f>
        <v>60</v>
      </c>
      <c r="P495">
        <v>8.25</v>
      </c>
      <c r="Q495">
        <f>IFERROR(ROUND(Lose[[#This Row],[Distanz (km)]]*60/Lose[[#This Row],[Gehzeit (min)]],1),"")</f>
        <v>4.4000000000000004</v>
      </c>
      <c r="R4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495">
        <f>IFERROR(Lose[[#This Row],[Distanz (km)]]-Lose[[#This Row],[Check Distanz]],"")</f>
        <v>0.28999999999999992</v>
      </c>
      <c r="T495" s="60">
        <f>IFERROR(Lose[[#This Row],[Check Umweg]]/Lose[[#This Row],[Check Distanz]],"")</f>
        <v>0.43939393939393928</v>
      </c>
      <c r="U495">
        <f ca="1">IF(RIGHT(Lose[[#This Row],[LosID]],1)="b",_xlfn.XLOOKUP(REPLACE(Lose[[#This Row],[LosID]],LEN(Lose[[#This Row],[LosID]]),1,"a"),Lose[LosID],Lose[Zufallszahl],"",0),RAND())</f>
        <v>0.96074806864317097</v>
      </c>
      <c r="V495" t="b" cm="1">
        <f t="array" aca="1" ref="V495" ca="1">Lose[[#This Row],[Zufallszahl]]&gt;=IFERROR(LARGE((LEFT(Lose[LosID],FIND("-",Lose[LosID])-1)=LEFT(Lose[[#This Row],[LosID]],FIND("-",Lose[[#This Row],[LosID]])-1))*Lose[Zufallszahl],_xlfn.XLOOKUP(LEFT(Lose[[#This Row],[LosID]],FIND("-",Lose[[#This Row],[LosID]])-1),Ziehungsanzahl[Kürzel],Ziehungsanzahl[Kontingent],FALSE,0)),9999)</f>
        <v>0</v>
      </c>
    </row>
    <row r="496" spans="1:22" hidden="1">
      <c r="A4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6" t="s">
        <v>23352</v>
      </c>
      <c r="C496" t="s">
        <v>1434</v>
      </c>
      <c r="D496" s="1" t="s">
        <v>24933</v>
      </c>
      <c r="F496" t="s">
        <v>24934</v>
      </c>
      <c r="G496">
        <v>16</v>
      </c>
      <c r="H496">
        <v>1</v>
      </c>
      <c r="I496">
        <v>0.7</v>
      </c>
      <c r="J496">
        <v>5</v>
      </c>
      <c r="K496" t="str" cm="1">
        <f t="array" ref="K4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496" t="str">
        <f>IFERROR(LEFT(TRIM(Lose[[#This Row],[Google Koordinaten]]),9),"")</f>
        <v>50.004014</v>
      </c>
      <c r="M496" t="str">
        <f>IFERROR(MID(TRIM(Lose[[#This Row],[Google Koordinaten]]),
FIND(",",TRIM(Lose[[#This Row],[Google Koordinaten]])) + 2,9),"")</f>
        <v>8.2639577</v>
      </c>
      <c r="N496">
        <f>IF(Lose[[#This Row],[Bahn-hofs-zeit]]=0,0,MROUND(30*25^((Lose[[#This Row],[Bahn-hofs-zeit]]-_xlfn.MINIFS(Lose[Bahn-hofs-zeit],Lose[Bahn-hofs-zeit],"&gt;0"))/(MAX(Lose[Bahn-hofs-zeit])-_xlfn.MINIFS(Lose[Bahn-hofs-zeit],Lose[Bahn-hofs-zeit],"&gt;0"))),5))</f>
        <v>45</v>
      </c>
      <c r="O496">
        <f>IF(Lose[[#This Row],[Gehzeit (min)]]="",0,CEILING(3*(Lose[[#This Row],[Gehzeit (min)]]+Lose[[#This Row],[Aufgaben-zeit (min)]]),5))</f>
        <v>55</v>
      </c>
      <c r="P496">
        <v>4.5</v>
      </c>
      <c r="Q496">
        <f>IFERROR(ROUND(Lose[[#This Row],[Distanz (km)]]*60/Lose[[#This Row],[Gehzeit (min)]],1),"")</f>
        <v>2.6</v>
      </c>
      <c r="R4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496">
        <f>IFERROR(Lose[[#This Row],[Distanz (km)]]-Lose[[#This Row],[Check Distanz]],"")</f>
        <v>0.20999999999999996</v>
      </c>
      <c r="T496" s="60">
        <f>IFERROR(Lose[[#This Row],[Check Umweg]]/Lose[[#This Row],[Check Distanz]],"")</f>
        <v>0.42857142857142849</v>
      </c>
      <c r="U496">
        <f ca="1">IF(RIGHT(Lose[[#This Row],[LosID]],1)="b",_xlfn.XLOOKUP(REPLACE(Lose[[#This Row],[LosID]],LEN(Lose[[#This Row],[LosID]]),1,"a"),Lose[LosID],Lose[Zufallszahl],"",0),RAND())</f>
        <v>0.89024729037455774</v>
      </c>
      <c r="V496" t="b" cm="1">
        <f t="array" aca="1" ref="V496" ca="1">Lose[[#This Row],[Zufallszahl]]&gt;=IFERROR(LARGE((LEFT(Lose[LosID],FIND("-",Lose[LosID])-1)=LEFT(Lose[[#This Row],[LosID]],FIND("-",Lose[[#This Row],[LosID]])-1))*Lose[Zufallszahl],_xlfn.XLOOKUP(LEFT(Lose[[#This Row],[LosID]],FIND("-",Lose[[#This Row],[LosID]])-1),Ziehungsanzahl[Kürzel],Ziehungsanzahl[Kontingent],FALSE,0)),9999)</f>
        <v>0</v>
      </c>
    </row>
    <row r="497" spans="1:23" ht="60" hidden="1">
      <c r="A4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7" t="s">
        <v>23380</v>
      </c>
      <c r="C497" t="s">
        <v>24935</v>
      </c>
      <c r="D497" s="1" t="s">
        <v>24936</v>
      </c>
      <c r="E497" t="s">
        <v>24937</v>
      </c>
      <c r="F497" t="s">
        <v>24938</v>
      </c>
      <c r="G497">
        <v>8</v>
      </c>
      <c r="H497">
        <v>5</v>
      </c>
      <c r="I497">
        <v>0.6</v>
      </c>
      <c r="K497" t="str" cm="1">
        <f t="array" ref="K4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Dortmund-Bövinghausen</v>
      </c>
      <c r="L497" t="str">
        <f>IFERROR(LEFT(TRIM(Lose[[#This Row],[Google Koordinaten]]),9),"")</f>
        <v>51.518751</v>
      </c>
      <c r="M497" t="str">
        <f>IFERROR(MID(TRIM(Lose[[#This Row],[Google Koordinaten]]),
FIND(",",TRIM(Lose[[#This Row],[Google Koordinaten]])) + 2,9),"")</f>
        <v>7.3335240</v>
      </c>
      <c r="N497">
        <f>IF(Lose[[#This Row],[Bahn-hofs-zeit]]=0,0,MROUND(30*25^((Lose[[#This Row],[Bahn-hofs-zeit]]-_xlfn.MINIFS(Lose[Bahn-hofs-zeit],Lose[Bahn-hofs-zeit],"&gt;0"))/(MAX(Lose[Bahn-hofs-zeit])-_xlfn.MINIFS(Lose[Bahn-hofs-zeit],Lose[Bahn-hofs-zeit],"&gt;0"))),5))</f>
        <v>45</v>
      </c>
      <c r="O497">
        <f>IF(Lose[[#This Row],[Gehzeit (min)]]="",0,CEILING(3*(Lose[[#This Row],[Gehzeit (min)]]+Lose[[#This Row],[Aufgaben-zeit (min)]]),5))</f>
        <v>40</v>
      </c>
      <c r="P497">
        <v>4.75</v>
      </c>
      <c r="Q497">
        <f>IFERROR(ROUND(Lose[[#This Row],[Distanz (km)]]*60/Lose[[#This Row],[Gehzeit (min)]],1),"")</f>
        <v>4.5</v>
      </c>
      <c r="R4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497">
        <f>IFERROR(Lose[[#This Row],[Distanz (km)]]-Lose[[#This Row],[Check Distanz]],"")</f>
        <v>0.18</v>
      </c>
      <c r="T497" s="60">
        <f>IFERROR(Lose[[#This Row],[Check Umweg]]/Lose[[#This Row],[Check Distanz]],"")</f>
        <v>0.42857142857142855</v>
      </c>
      <c r="U497">
        <f ca="1">IF(RIGHT(Lose[[#This Row],[LosID]],1)="b",_xlfn.XLOOKUP(REPLACE(Lose[[#This Row],[LosID]],LEN(Lose[[#This Row],[LosID]]),1,"a"),Lose[LosID],Lose[Zufallszahl],"",0),RAND())</f>
        <v>0.92892847006122881</v>
      </c>
      <c r="V497" t="b" cm="1">
        <f t="array" aca="1" ref="V497" ca="1">Lose[[#This Row],[Zufallszahl]]&gt;=IFERROR(LARGE((LEFT(Lose[LosID],FIND("-",Lose[LosID])-1)=LEFT(Lose[[#This Row],[LosID]],FIND("-",Lose[[#This Row],[LosID]])-1))*Lose[Zufallszahl],_xlfn.XLOOKUP(LEFT(Lose[[#This Row],[LosID]],FIND("-",Lose[[#This Row],[LosID]])-1),Ziehungsanzahl[Kürzel],Ziehungsanzahl[Kontingent],FALSE,0)),9999)</f>
        <v>0</v>
      </c>
    </row>
    <row r="498" spans="1:23" ht="90" hidden="1">
      <c r="A4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8" t="s">
        <v>23372</v>
      </c>
      <c r="C498" t="s">
        <v>1428</v>
      </c>
      <c r="D498" s="1" t="s">
        <v>24939</v>
      </c>
      <c r="E498" t="s">
        <v>24940</v>
      </c>
      <c r="F498" t="s">
        <v>24941</v>
      </c>
      <c r="G498">
        <v>16</v>
      </c>
      <c r="H498">
        <v>1</v>
      </c>
      <c r="I498">
        <v>1.1000000000000001</v>
      </c>
      <c r="K498" t="str" cm="1">
        <f t="array" ref="K4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Mechernich</v>
      </c>
      <c r="L498" t="str">
        <f>IFERROR(LEFT(TRIM(Lose[[#This Row],[Google Koordinaten]]),9),"")</f>
        <v>50.586438</v>
      </c>
      <c r="M498" t="str">
        <f>IFERROR(MID(TRIM(Lose[[#This Row],[Google Koordinaten]]),
FIND(",",TRIM(Lose[[#This Row],[Google Koordinaten]])) + 2,9),"")</f>
        <v>6.6495872</v>
      </c>
      <c r="N498">
        <f>IF(Lose[[#This Row],[Bahn-hofs-zeit]]=0,0,MROUND(30*25^((Lose[[#This Row],[Bahn-hofs-zeit]]-_xlfn.MINIFS(Lose[Bahn-hofs-zeit],Lose[Bahn-hofs-zeit],"&gt;0"))/(MAX(Lose[Bahn-hofs-zeit])-_xlfn.MINIFS(Lose[Bahn-hofs-zeit],Lose[Bahn-hofs-zeit],"&gt;0"))),5))</f>
        <v>75</v>
      </c>
      <c r="O498">
        <f>IF(Lose[[#This Row],[Gehzeit (min)]]="",0,CEILING(3*(Lose[[#This Row],[Gehzeit (min)]]+Lose[[#This Row],[Aufgaben-zeit (min)]]),5))</f>
        <v>55</v>
      </c>
      <c r="P498">
        <v>6.5</v>
      </c>
      <c r="Q498">
        <f>IFERROR(ROUND(Lose[[#This Row],[Distanz (km)]]*60/Lose[[#This Row],[Gehzeit (min)]],1),"")</f>
        <v>4.0999999999999996</v>
      </c>
      <c r="R4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0.75</v>
      </c>
      <c r="S498">
        <f>IFERROR(Lose[[#This Row],[Distanz (km)]]-Lose[[#This Row],[Check Distanz]],"")</f>
        <v>0.35000000000000009</v>
      </c>
      <c r="T498" s="60">
        <f>IFERROR(Lose[[#This Row],[Check Umweg]]/Lose[[#This Row],[Check Distanz]],"")</f>
        <v>0.46666666666666679</v>
      </c>
      <c r="U498">
        <f ca="1">IF(RIGHT(Lose[[#This Row],[LosID]],1)="b",_xlfn.XLOOKUP(REPLACE(Lose[[#This Row],[LosID]],LEN(Lose[[#This Row],[LosID]]),1,"a"),Lose[LosID],Lose[Zufallszahl],"",0),RAND())</f>
        <v>0.67457783545909544</v>
      </c>
      <c r="V498" t="b" cm="1">
        <f t="array" aca="1" ref="V498" ca="1">Lose[[#This Row],[Zufallszahl]]&gt;=IFERROR(LARGE((LEFT(Lose[LosID],FIND("-",Lose[LosID])-1)=LEFT(Lose[[#This Row],[LosID]],FIND("-",Lose[[#This Row],[LosID]])-1))*Lose[Zufallszahl],_xlfn.XLOOKUP(LEFT(Lose[[#This Row],[LosID]],FIND("-",Lose[[#This Row],[LosID]])-1),Ziehungsanzahl[Kürzel],Ziehungsanzahl[Kontingent],FALSE,0)),9999)</f>
        <v>0</v>
      </c>
    </row>
    <row r="499" spans="1:23" ht="120">
      <c r="A4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9" t="s">
        <v>23385</v>
      </c>
      <c r="C499" t="s">
        <v>24942</v>
      </c>
      <c r="D499" s="1" t="s">
        <v>24943</v>
      </c>
      <c r="E499" t="s">
        <v>24944</v>
      </c>
      <c r="F499" t="s">
        <v>24945</v>
      </c>
      <c r="G499">
        <v>13</v>
      </c>
      <c r="H499">
        <v>10</v>
      </c>
      <c r="I499">
        <v>0.9</v>
      </c>
      <c r="J499">
        <v>30</v>
      </c>
      <c r="K499" t="str" cm="1">
        <f t="array" ref="K4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Goslar</v>
      </c>
      <c r="L499" t="str">
        <f>IFERROR(LEFT(TRIM(Lose[[#This Row],[Google Koordinaten]]),9),"")</f>
        <v>51.906665</v>
      </c>
      <c r="M499" t="str">
        <f>IFERROR(MID(TRIM(Lose[[#This Row],[Google Koordinaten]]),
FIND(",",TRIM(Lose[[#This Row],[Google Koordinaten]])) + 2,9),"")</f>
        <v>10.429500</v>
      </c>
      <c r="N499">
        <f>IF(Lose[[#This Row],[Bahn-hofs-zeit]]=0,0,MROUND(30*25^((Lose[[#This Row],[Bahn-hofs-zeit]]-_xlfn.MINIFS(Lose[Bahn-hofs-zeit],Lose[Bahn-hofs-zeit],"&gt;0"))/(MAX(Lose[Bahn-hofs-zeit])-_xlfn.MINIFS(Lose[Bahn-hofs-zeit],Lose[Bahn-hofs-zeit],"&gt;0"))),5))</f>
        <v>80</v>
      </c>
      <c r="O499">
        <f>IF(Lose[[#This Row],[Gehzeit (min)]]="",0,CEILING(3*(Lose[[#This Row],[Gehzeit (min)]]+Lose[[#This Row],[Aufgaben-zeit (min)]]),5))</f>
        <v>70</v>
      </c>
      <c r="P499">
        <v>6.75</v>
      </c>
      <c r="Q499">
        <f>IFERROR(ROUND(Lose[[#This Row],[Distanz (km)]]*60/Lose[[#This Row],[Gehzeit (min)]],1),"")</f>
        <v>4.2</v>
      </c>
      <c r="R4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499">
        <f>IFERROR(Lose[[#This Row],[Distanz (km)]]-Lose[[#This Row],[Check Distanz]],"")</f>
        <v>0.12</v>
      </c>
      <c r="T499" s="60">
        <f>IFERROR(Lose[[#This Row],[Check Umweg]]/Lose[[#This Row],[Check Distanz]],"")</f>
        <v>0.15384615384615383</v>
      </c>
      <c r="U499">
        <f ca="1">IF(RIGHT(Lose[[#This Row],[LosID]],1)="b",_xlfn.XLOOKUP(REPLACE(Lose[[#This Row],[LosID]],LEN(Lose[[#This Row],[LosID]]),1,"a"),Lose[LosID],Lose[Zufallszahl],"",0),RAND())</f>
        <v>0.95784363871959555</v>
      </c>
      <c r="V499" t="b" cm="1">
        <f t="array" aca="1" ref="V499" ca="1">Lose[[#This Row],[Zufallszahl]]&gt;=IFERROR(LARGE((LEFT(Lose[LosID],FIND("-",Lose[LosID])-1)=LEFT(Lose[[#This Row],[LosID]],FIND("-",Lose[[#This Row],[LosID]])-1))*Lose[Zufallszahl],_xlfn.XLOOKUP(LEFT(Lose[[#This Row],[LosID]],FIND("-",Lose[[#This Row],[LosID]])-1),Ziehungsanzahl[Kürzel],Ziehungsanzahl[Kontingent],FALSE,0)),9999)</f>
        <v>0</v>
      </c>
    </row>
    <row r="500" spans="1:23" ht="135" hidden="1">
      <c r="A5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0" t="s">
        <v>23390</v>
      </c>
      <c r="C500" t="s">
        <v>24946</v>
      </c>
      <c r="D500" s="1" t="s">
        <v>24947</v>
      </c>
      <c r="E500" s="1" t="s">
        <v>24948</v>
      </c>
      <c r="F500" t="s">
        <v>24949</v>
      </c>
      <c r="G500">
        <v>14</v>
      </c>
      <c r="H500">
        <v>3</v>
      </c>
      <c r="I500">
        <v>1</v>
      </c>
      <c r="K500" t="str" cm="1">
        <f t="array" ref="K5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Essen-Zollverein Nord</v>
      </c>
      <c r="L500" t="str">
        <f>IFERROR(LEFT(TRIM(Lose[[#This Row],[Google Koordinaten]]),9),"")</f>
        <v>51.486160</v>
      </c>
      <c r="M500" t="str">
        <f>IFERROR(MID(TRIM(Lose[[#This Row],[Google Koordinaten]]),
FIND(",",TRIM(Lose[[#This Row],[Google Koordinaten]])) + 2,9),"")</f>
        <v>7.044910</v>
      </c>
      <c r="N500">
        <f>IF(Lose[[#This Row],[Bahn-hofs-zeit]]=0,0,MROUND(30*25^((Lose[[#This Row],[Bahn-hofs-zeit]]-_xlfn.MINIFS(Lose[Bahn-hofs-zeit],Lose[Bahn-hofs-zeit],"&gt;0"))/(MAX(Lose[Bahn-hofs-zeit])-_xlfn.MINIFS(Lose[Bahn-hofs-zeit],Lose[Bahn-hofs-zeit],"&gt;0"))),5))</f>
        <v>40</v>
      </c>
      <c r="O500">
        <f>IF(Lose[[#This Row],[Gehzeit (min)]]="",0,CEILING(3*(Lose[[#This Row],[Gehzeit (min)]]+Lose[[#This Row],[Aufgaben-zeit (min)]]),5))</f>
        <v>55</v>
      </c>
      <c r="P500">
        <v>4.25</v>
      </c>
      <c r="Q500">
        <f>IFERROR(ROUND(Lose[[#This Row],[Distanz (km)]]*60/Lose[[#This Row],[Gehzeit (min)]],1),"")</f>
        <v>4.3</v>
      </c>
      <c r="R5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500">
        <f>IFERROR(Lose[[#This Row],[Distanz (km)]]-Lose[[#This Row],[Check Distanz]],"")</f>
        <v>0.16000000000000003</v>
      </c>
      <c r="T500" s="60">
        <f>IFERROR(Lose[[#This Row],[Check Umweg]]/Lose[[#This Row],[Check Distanz]],"")</f>
        <v>0.19047619047619052</v>
      </c>
      <c r="U500">
        <f ca="1">IF(RIGHT(Lose[[#This Row],[LosID]],1)="b",_xlfn.XLOOKUP(REPLACE(Lose[[#This Row],[LosID]],LEN(Lose[[#This Row],[LosID]]),1,"a"),Lose[LosID],Lose[Zufallszahl],"",0),RAND())</f>
        <v>0.28588914777952568</v>
      </c>
      <c r="V500" t="b" cm="1">
        <f t="array" aca="1" ref="V500" ca="1">Lose[[#This Row],[Zufallszahl]]&gt;=IFERROR(LARGE((LEFT(Lose[LosID],FIND("-",Lose[LosID])-1)=LEFT(Lose[[#This Row],[LosID]],FIND("-",Lose[[#This Row],[LosID]])-1))*Lose[Zufallszahl],_xlfn.XLOOKUP(LEFT(Lose[[#This Row],[LosID]],FIND("-",Lose[[#This Row],[LosID]])-1),Ziehungsanzahl[Kürzel],Ziehungsanzahl[Kontingent],FALSE,0)),9999)</f>
        <v>0</v>
      </c>
    </row>
    <row r="501" spans="1:23" ht="90" hidden="1">
      <c r="A5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1" t="s">
        <v>23394</v>
      </c>
      <c r="C501" t="s">
        <v>1435</v>
      </c>
      <c r="D501" s="1" t="s">
        <v>24950</v>
      </c>
      <c r="E501" t="s">
        <v>24951</v>
      </c>
      <c r="F501" t="s">
        <v>24952</v>
      </c>
      <c r="G501">
        <v>26</v>
      </c>
      <c r="H501">
        <v>5</v>
      </c>
      <c r="I501">
        <v>1.9</v>
      </c>
      <c r="J501">
        <v>10</v>
      </c>
      <c r="K501" t="str" cm="1">
        <f t="array" ref="K5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Hochneukirch</v>
      </c>
      <c r="L501" t="str">
        <f>IFERROR(LEFT(TRIM(Lose[[#This Row],[Google Koordinaten]]),9),"")</f>
        <v>51.091737</v>
      </c>
      <c r="M501" t="str">
        <f>IFERROR(MID(TRIM(Lose[[#This Row],[Google Koordinaten]]),
FIND(",",TRIM(Lose[[#This Row],[Google Koordinaten]])) + 2,9),"")</f>
        <v>6.4591032</v>
      </c>
      <c r="N501">
        <f>IF(Lose[[#This Row],[Bahn-hofs-zeit]]=0,0,MROUND(30*25^((Lose[[#This Row],[Bahn-hofs-zeit]]-_xlfn.MINIFS(Lose[Bahn-hofs-zeit],Lose[Bahn-hofs-zeit],"&gt;0"))/(MAX(Lose[Bahn-hofs-zeit])-_xlfn.MINIFS(Lose[Bahn-hofs-zeit],Lose[Bahn-hofs-zeit],"&gt;0"))),5))</f>
        <v>45</v>
      </c>
      <c r="O501">
        <f>IF(Lose[[#This Row],[Gehzeit (min)]]="",0,CEILING(3*(Lose[[#This Row],[Gehzeit (min)]]+Lose[[#This Row],[Aufgaben-zeit (min)]]),5))</f>
        <v>95</v>
      </c>
      <c r="P501">
        <v>4.75</v>
      </c>
      <c r="Q501">
        <f>IFERROR(ROUND(Lose[[#This Row],[Distanz (km)]]*60/Lose[[#This Row],[Gehzeit (min)]],1),"")</f>
        <v>4.4000000000000004</v>
      </c>
      <c r="R5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1.38</v>
      </c>
      <c r="S501">
        <f>IFERROR(Lose[[#This Row],[Distanz (km)]]-Lose[[#This Row],[Check Distanz]],"")</f>
        <v>0.52</v>
      </c>
      <c r="T501" s="60">
        <f>IFERROR(Lose[[#This Row],[Check Umweg]]/Lose[[#This Row],[Check Distanz]],"")</f>
        <v>0.37681159420289861</v>
      </c>
      <c r="U501">
        <f ca="1">IF(RIGHT(Lose[[#This Row],[LosID]],1)="b",_xlfn.XLOOKUP(REPLACE(Lose[[#This Row],[LosID]],LEN(Lose[[#This Row],[LosID]]),1,"a"),Lose[LosID],Lose[Zufallszahl],"",0),RAND())</f>
        <v>0.7526694940558265</v>
      </c>
      <c r="V501" t="b" cm="1">
        <f t="array" aca="1" ref="V501" ca="1">Lose[[#This Row],[Zufallszahl]]&gt;=IFERROR(LARGE((LEFT(Lose[LosID],FIND("-",Lose[LosID])-1)=LEFT(Lose[[#This Row],[LosID]],FIND("-",Lose[[#This Row],[LosID]])-1))*Lose[Zufallszahl],_xlfn.XLOOKUP(LEFT(Lose[[#This Row],[LosID]],FIND("-",Lose[[#This Row],[LosID]])-1),Ziehungsanzahl[Kürzel],Ziehungsanzahl[Kontingent],FALSE,0)),9999)</f>
        <v>0</v>
      </c>
    </row>
    <row r="502" spans="1:23" ht="165" hidden="1">
      <c r="A5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2" t="s">
        <v>23403</v>
      </c>
      <c r="C502" s="73" t="s">
        <v>1436</v>
      </c>
      <c r="D502" s="1" t="s">
        <v>24953</v>
      </c>
      <c r="E502" t="s">
        <v>24954</v>
      </c>
      <c r="F502" t="s">
        <v>24955</v>
      </c>
      <c r="G502">
        <v>25</v>
      </c>
      <c r="H502">
        <v>2</v>
      </c>
      <c r="I502">
        <v>1.9</v>
      </c>
      <c r="J502">
        <v>5</v>
      </c>
      <c r="K502" t="str" cm="1">
        <f t="array" ref="K5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502" t="str">
        <f>IFERROR(LEFT(TRIM(Lose[[#This Row],[Google Koordinaten]]),9),"")</f>
        <v>51.429008</v>
      </c>
      <c r="M502" t="str">
        <f>IFERROR(MID(TRIM(Lose[[#This Row],[Google Koordinaten]]),
FIND(",",TRIM(Lose[[#This Row],[Google Koordinaten]])) + 2,9),"")</f>
        <v>7.3130149</v>
      </c>
      <c r="N502">
        <f>IF(Lose[[#This Row],[Bahn-hofs-zeit]]=0,0,MROUND(30*25^((Lose[[#This Row],[Bahn-hofs-zeit]]-_xlfn.MINIFS(Lose[Bahn-hofs-zeit],Lose[Bahn-hofs-zeit],"&gt;0"))/(MAX(Lose[Bahn-hofs-zeit])-_xlfn.MINIFS(Lose[Bahn-hofs-zeit],Lose[Bahn-hofs-zeit],"&gt;0"))),5))</f>
        <v>40</v>
      </c>
      <c r="O502">
        <f>IF(Lose[[#This Row],[Gehzeit (min)]]="",0,CEILING(3*(Lose[[#This Row],[Gehzeit (min)]]+Lose[[#This Row],[Aufgaben-zeit (min)]]),5))</f>
        <v>85</v>
      </c>
      <c r="P502">
        <v>4.25</v>
      </c>
      <c r="Q502">
        <f>IFERROR(ROUND(Lose[[#This Row],[Distanz (km)]]*60/Lose[[#This Row],[Gehzeit (min)]],1),"")</f>
        <v>4.5999999999999996</v>
      </c>
      <c r="R5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502">
        <f>IFERROR(Lose[[#This Row],[Distanz (km)]]-Lose[[#This Row],[Check Distanz]],"")</f>
        <v>0.54999999999999982</v>
      </c>
      <c r="T502" s="60">
        <f>IFERROR(Lose[[#This Row],[Check Umweg]]/Lose[[#This Row],[Check Distanz]],"")</f>
        <v>0.40740740740740727</v>
      </c>
      <c r="U502">
        <f ca="1">IF(RIGHT(Lose[[#This Row],[LosID]],1)="b",_xlfn.XLOOKUP(REPLACE(Lose[[#This Row],[LosID]],LEN(Lose[[#This Row],[LosID]]),1,"a"),Lose[LosID],Lose[Zufallszahl],"",0),RAND())</f>
        <v>0.76613784609675839</v>
      </c>
      <c r="V502" t="b" cm="1">
        <f t="array" aca="1" ref="V502" ca="1">Lose[[#This Row],[Zufallszahl]]&gt;=IFERROR(LARGE((LEFT(Lose[LosID],FIND("-",Lose[LosID])-1)=LEFT(Lose[[#This Row],[LosID]],FIND("-",Lose[[#This Row],[LosID]])-1))*Lose[Zufallszahl],_xlfn.XLOOKUP(LEFT(Lose[[#This Row],[LosID]],FIND("-",Lose[[#This Row],[LosID]])-1),Ziehungsanzahl[Kürzel],Ziehungsanzahl[Kontingent],FALSE,0)),9999)</f>
        <v>0</v>
      </c>
    </row>
    <row r="503" spans="1:23" ht="30" hidden="1">
      <c r="A5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3" t="s">
        <v>23408</v>
      </c>
      <c r="C503" t="s">
        <v>1437</v>
      </c>
      <c r="D503" s="1" t="s">
        <v>24956</v>
      </c>
      <c r="E503" t="s">
        <v>24957</v>
      </c>
      <c r="F503" t="s">
        <v>24958</v>
      </c>
      <c r="G503">
        <v>1</v>
      </c>
      <c r="H503">
        <v>1</v>
      </c>
      <c r="I503">
        <v>0.05</v>
      </c>
      <c r="K503" t="str" cm="1">
        <f t="array" ref="K5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Papiermühle(Stadtr)</v>
      </c>
      <c r="L503" t="str">
        <f>IFERROR(LEFT(TRIM(Lose[[#This Row],[Google Koordinaten]]),9),"")</f>
        <v>50.885672</v>
      </c>
      <c r="M503" t="str">
        <f>IFERROR(MID(TRIM(Lose[[#This Row],[Google Koordinaten]]),
FIND(",",TRIM(Lose[[#This Row],[Google Koordinaten]])) + 2,9),"")</f>
        <v>11.790006</v>
      </c>
      <c r="N503">
        <f>IF(Lose[[#This Row],[Bahn-hofs-zeit]]=0,0,MROUND(30*25^((Lose[[#This Row],[Bahn-hofs-zeit]]-_xlfn.MINIFS(Lose[Bahn-hofs-zeit],Lose[Bahn-hofs-zeit],"&gt;0"))/(MAX(Lose[Bahn-hofs-zeit])-_xlfn.MINIFS(Lose[Bahn-hofs-zeit],Lose[Bahn-hofs-zeit],"&gt;0"))),5))</f>
        <v>255</v>
      </c>
      <c r="O503">
        <f>IF(Lose[[#This Row],[Gehzeit (min)]]="",0,CEILING(3*(Lose[[#This Row],[Gehzeit (min)]]+Lose[[#This Row],[Aufgaben-zeit (min)]]),5))</f>
        <v>10</v>
      </c>
      <c r="P503">
        <v>10.75</v>
      </c>
      <c r="Q503">
        <f>IFERROR(ROUND(Lose[[#This Row],[Distanz (km)]]*60/Lose[[#This Row],[Gehzeit (min)]],1),"")</f>
        <v>3</v>
      </c>
      <c r="R5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503">
        <f>IFERROR(Lose[[#This Row],[Distanz (km)]]-Lose[[#This Row],[Check Distanz]],"")</f>
        <v>1.0000000000000002E-2</v>
      </c>
      <c r="T503" s="60">
        <f>IFERROR(Lose[[#This Row],[Check Umweg]]/Lose[[#This Row],[Check Distanz]],"")</f>
        <v>0.25000000000000006</v>
      </c>
      <c r="U503">
        <f ca="1">IF(RIGHT(Lose[[#This Row],[LosID]],1)="b",_xlfn.XLOOKUP(REPLACE(Lose[[#This Row],[LosID]],LEN(Lose[[#This Row],[LosID]]),1,"a"),Lose[LosID],Lose[Zufallszahl],"",0),RAND())</f>
        <v>0.52061747388333257</v>
      </c>
      <c r="V503" t="b" cm="1">
        <f t="array" aca="1" ref="V503" ca="1">Lose[[#This Row],[Zufallszahl]]&gt;=IFERROR(LARGE((LEFT(Lose[LosID],FIND("-",Lose[LosID])-1)=LEFT(Lose[[#This Row],[LosID]],FIND("-",Lose[[#This Row],[LosID]])-1))*Lose[Zufallszahl],_xlfn.XLOOKUP(LEFT(Lose[[#This Row],[LosID]],FIND("-",Lose[[#This Row],[LosID]])-1),Ziehungsanzahl[Kürzel],Ziehungsanzahl[Kontingent],FALSE,0)),9999)</f>
        <v>0</v>
      </c>
    </row>
    <row r="504" spans="1:23" ht="90" hidden="1">
      <c r="A5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4" t="s">
        <v>23412</v>
      </c>
      <c r="C504" t="s">
        <v>24959</v>
      </c>
      <c r="D504" s="64" t="s">
        <v>24960</v>
      </c>
      <c r="E504" t="s">
        <v>24961</v>
      </c>
      <c r="F504" t="s">
        <v>24962</v>
      </c>
      <c r="G504">
        <v>14</v>
      </c>
      <c r="H504">
        <v>1</v>
      </c>
      <c r="I504">
        <v>1</v>
      </c>
      <c r="J504">
        <v>20</v>
      </c>
      <c r="K504" t="str" cm="1">
        <f t="array" ref="K5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Neuoelsnitz</v>
      </c>
      <c r="L504" t="str">
        <f>IFERROR(LEFT(TRIM(Lose[[#This Row],[Google Koordinaten]]),9),"")</f>
        <v>50.724626</v>
      </c>
      <c r="M504" t="str">
        <f>IFERROR(MID(TRIM(Lose[[#This Row],[Google Koordinaten]]),
FIND(",",TRIM(Lose[[#This Row],[Google Koordinaten]])) + 2,9),"")</f>
        <v>12.730998</v>
      </c>
      <c r="N504" s="91">
        <f>IF(Lose[[#This Row],[Bahn-hofs-zeit]]=0,0,MROUND(30*25^((Lose[[#This Row],[Bahn-hofs-zeit]]-_xlfn.MINIFS(Lose[Bahn-hofs-zeit],Lose[Bahn-hofs-zeit],"&gt;0"))/(MAX(Lose[Bahn-hofs-zeit])-_xlfn.MINIFS(Lose[Bahn-hofs-zeit],Lose[Bahn-hofs-zeit],"&gt;0"))),5))</f>
        <v>0</v>
      </c>
      <c r="O504">
        <f>IF(Lose[[#This Row],[Gehzeit (min)]]="",0,CEILING(3*(Lose[[#This Row],[Gehzeit (min)]]+Lose[[#This Row],[Aufgaben-zeit (min)]]),5))</f>
        <v>45</v>
      </c>
      <c r="Q504">
        <f>IFERROR(ROUND(Lose[[#This Row],[Distanz (km)]]*60/Lose[[#This Row],[Gehzeit (min)]],1),"")</f>
        <v>4.3</v>
      </c>
      <c r="R5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504">
        <f>IFERROR(Lose[[#This Row],[Distanz (km)]]-Lose[[#This Row],[Check Distanz]],"")</f>
        <v>0.21999999999999997</v>
      </c>
      <c r="T504" s="60">
        <f>IFERROR(Lose[[#This Row],[Check Umweg]]/Lose[[#This Row],[Check Distanz]],"")</f>
        <v>0.28205128205128199</v>
      </c>
      <c r="U504">
        <f ca="1">IF(RIGHT(Lose[[#This Row],[LosID]],1)="b",_xlfn.XLOOKUP(REPLACE(Lose[[#This Row],[LosID]],LEN(Lose[[#This Row],[LosID]]),1,"a"),Lose[LosID],Lose[Zufallszahl],"",0),RAND())</f>
        <v>0.86203006561536455</v>
      </c>
      <c r="V504" t="b" cm="1">
        <f t="array" aca="1" ref="V504" ca="1">Lose[[#This Row],[Zufallszahl]]&gt;=IFERROR(LARGE((LEFT(Lose[LosID],FIND("-",Lose[LosID])-1)=LEFT(Lose[[#This Row],[LosID]],FIND("-",Lose[[#This Row],[LosID]])-1))*Lose[Zufallszahl],_xlfn.XLOOKUP(LEFT(Lose[[#This Row],[LosID]],FIND("-",Lose[[#This Row],[LosID]])-1),Ziehungsanzahl[Kürzel],Ziehungsanzahl[Kontingent],FALSE,0)),9999)</f>
        <v>0</v>
      </c>
      <c r="W504" t="s">
        <v>23398</v>
      </c>
    </row>
    <row r="505" spans="1:23" ht="180" hidden="1">
      <c r="A5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5" t="s">
        <v>4</v>
      </c>
      <c r="C505" t="s">
        <v>24963</v>
      </c>
      <c r="D505" s="1" t="s">
        <v>24964</v>
      </c>
      <c r="E505" t="s">
        <v>24965</v>
      </c>
      <c r="F505" t="s">
        <v>24966</v>
      </c>
      <c r="G505">
        <v>21</v>
      </c>
      <c r="H505">
        <v>7</v>
      </c>
      <c r="I505">
        <v>1.6</v>
      </c>
      <c r="J505">
        <v>10</v>
      </c>
      <c r="K505" t="s">
        <v>4191</v>
      </c>
      <c r="L505" t="str">
        <f>IFERROR(LEFT(TRIM(Lose[[#This Row],[Google Koordinaten]]),9),"")</f>
        <v>51.488874</v>
      </c>
      <c r="M505" t="str">
        <f>IFERROR(MID(TRIM(Lose[[#This Row],[Google Koordinaten]]),
FIND(",",TRIM(Lose[[#This Row],[Google Koordinaten]])) + 2,9),"")</f>
        <v>7.2159279</v>
      </c>
      <c r="N505">
        <f>IF(Lose[[#This Row],[Bahn-hofs-zeit]]=0,0,MROUND(30*25^((Lose[[#This Row],[Bahn-hofs-zeit]]-_xlfn.MINIFS(Lose[Bahn-hofs-zeit],Lose[Bahn-hofs-zeit],"&gt;0"))/(MAX(Lose[Bahn-hofs-zeit])-_xlfn.MINIFS(Lose[Bahn-hofs-zeit],Lose[Bahn-hofs-zeit],"&gt;0"))),5))</f>
        <v>35</v>
      </c>
      <c r="O505">
        <f>IF(Lose[[#This Row],[Gehzeit (min)]]="",0,CEILING(3*(Lose[[#This Row],[Gehzeit (min)]]+Lose[[#This Row],[Aufgaben-zeit (min)]]),5))</f>
        <v>85</v>
      </c>
      <c r="P505">
        <v>4</v>
      </c>
      <c r="Q505">
        <f>IFERROR(ROUND(Lose[[#This Row],[Distanz (km)]]*60/Lose[[#This Row],[Gehzeit (min)]],1),"")</f>
        <v>4.5999999999999996</v>
      </c>
      <c r="R5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505">
        <f>IFERROR(Lose[[#This Row],[Distanz (km)]]-Lose[[#This Row],[Check Distanz]],"")</f>
        <v>0.35000000000000009</v>
      </c>
      <c r="T505" s="60">
        <f>IFERROR(Lose[[#This Row],[Check Umweg]]/Lose[[#This Row],[Check Distanz]],"")</f>
        <v>0.28000000000000008</v>
      </c>
      <c r="U505">
        <f ca="1">IF(RIGHT(Lose[[#This Row],[LosID]],1)="b",_xlfn.XLOOKUP(REPLACE(Lose[[#This Row],[LosID]],LEN(Lose[[#This Row],[LosID]]),1,"a"),Lose[LosID],Lose[Zufallszahl],"",0),RAND())</f>
        <v>0.98221741229558934</v>
      </c>
      <c r="V505" t="b" cm="1">
        <f t="array" aca="1" ref="V505" ca="1">Lose[[#This Row],[Zufallszahl]]&gt;=IFERROR(LARGE((LEFT(Lose[LosID],FIND("-",Lose[LosID])-1)=LEFT(Lose[[#This Row],[LosID]],FIND("-",Lose[[#This Row],[LosID]])-1))*Lose[Zufallszahl],_xlfn.XLOOKUP(LEFT(Lose[[#This Row],[LosID]],FIND("-",Lose[[#This Row],[LosID]])-1),Ziehungsanzahl[Kürzel],Ziehungsanzahl[Kontingent],FALSE,0)),9999)</f>
        <v>0</v>
      </c>
    </row>
    <row r="506" spans="1:23" ht="30" hidden="1">
      <c r="A5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506" t="s">
        <v>23352</v>
      </c>
      <c r="C506" t="s">
        <v>1429</v>
      </c>
      <c r="D506" s="1" t="s">
        <v>24967</v>
      </c>
      <c r="E506" t="s">
        <v>24968</v>
      </c>
      <c r="F506" t="s">
        <v>24969</v>
      </c>
      <c r="G506">
        <v>16</v>
      </c>
      <c r="H506">
        <v>1</v>
      </c>
      <c r="I506">
        <v>0.6</v>
      </c>
      <c r="J506">
        <v>5</v>
      </c>
      <c r="K506" t="str" cm="1">
        <f t="array" ref="K5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Kaub</v>
      </c>
      <c r="L506" t="str">
        <f>IFERROR(LEFT(TRIM(Lose[[#This Row],[Google Koordinaten]]),9),"")</f>
        <v>50.087694</v>
      </c>
      <c r="M506" t="str">
        <f>IFERROR(MID(TRIM(Lose[[#This Row],[Google Koordinaten]]),
FIND(",",TRIM(Lose[[#This Row],[Google Koordinaten]])) + 2,9),"")</f>
        <v>7.7637320</v>
      </c>
      <c r="N506">
        <f>IF(Lose[[#This Row],[Bahn-hofs-zeit]]=0,0,MROUND(30*25^((Lose[[#This Row],[Bahn-hofs-zeit]]-_xlfn.MINIFS(Lose[Bahn-hofs-zeit],Lose[Bahn-hofs-zeit],"&gt;0"))/(MAX(Lose[Bahn-hofs-zeit])-_xlfn.MINIFS(Lose[Bahn-hofs-zeit],Lose[Bahn-hofs-zeit],"&gt;0"))),5))</f>
        <v>80</v>
      </c>
      <c r="O506">
        <f>IF(Lose[[#This Row],[Gehzeit (min)]]="",0,CEILING(3*(Lose[[#This Row],[Gehzeit (min)]]+Lose[[#This Row],[Aufgaben-zeit (min)]]),5))</f>
        <v>55</v>
      </c>
      <c r="P506">
        <v>6.75</v>
      </c>
      <c r="Q506">
        <f>IFERROR(ROUND(Lose[[#This Row],[Distanz (km)]]*60/Lose[[#This Row],[Gehzeit (min)]],1),"")</f>
        <v>2.2999999999999998</v>
      </c>
      <c r="R5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506">
        <f>IFERROR(Lose[[#This Row],[Distanz (km)]]-Lose[[#This Row],[Check Distanz]],"")</f>
        <v>-1.0000000000000009E-2</v>
      </c>
      <c r="T506" s="60">
        <f>IFERROR(Lose[[#This Row],[Check Umweg]]/Lose[[#This Row],[Check Distanz]],"")</f>
        <v>-1.6393442622950834E-2</v>
      </c>
      <c r="U506">
        <f ca="1">IF(RIGHT(Lose[[#This Row],[LosID]],1)="b",_xlfn.XLOOKUP(REPLACE(Lose[[#This Row],[LosID]],LEN(Lose[[#This Row],[LosID]]),1,"a"),Lose[LosID],Lose[Zufallszahl],"",0),RAND())</f>
        <v>0.52332157039459937</v>
      </c>
      <c r="V506" t="b" cm="1">
        <f t="array" aca="1" ref="V506" ca="1">Lose[[#This Row],[Zufallszahl]]&gt;=IFERROR(LARGE((LEFT(Lose[LosID],FIND("-",Lose[LosID])-1)=LEFT(Lose[[#This Row],[LosID]],FIND("-",Lose[[#This Row],[LosID]])-1))*Lose[Zufallszahl],_xlfn.XLOOKUP(LEFT(Lose[[#This Row],[LosID]],FIND("-",Lose[[#This Row],[LosID]])-1),Ziehungsanzahl[Kürzel],Ziehungsanzahl[Kontingent],FALSE,0)),9999)</f>
        <v>0</v>
      </c>
      <c r="W506" t="s">
        <v>23362</v>
      </c>
    </row>
    <row r="507" spans="1:23" ht="135" hidden="1">
      <c r="A5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7" t="s">
        <v>23380</v>
      </c>
      <c r="C507" t="s">
        <v>24970</v>
      </c>
      <c r="D507" s="64" t="s">
        <v>24971</v>
      </c>
      <c r="E507" t="s">
        <v>24972</v>
      </c>
      <c r="F507" t="s">
        <v>24973</v>
      </c>
      <c r="G507">
        <v>20</v>
      </c>
      <c r="H507">
        <v>15</v>
      </c>
      <c r="I507">
        <v>1.2</v>
      </c>
      <c r="J507">
        <v>10</v>
      </c>
      <c r="K507" t="str" cm="1">
        <f t="array" ref="K5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Schlema</v>
      </c>
      <c r="L507" t="str">
        <f>IFERROR(LEFT(TRIM(Lose[[#This Row],[Google Koordinaten]]),9),"")</f>
        <v>50.612647</v>
      </c>
      <c r="M507" t="str">
        <f>IFERROR(MID(TRIM(Lose[[#This Row],[Google Koordinaten]]),
FIND(",",TRIM(Lose[[#This Row],[Google Koordinaten]])) + 2,9),"")</f>
        <v>12.676863</v>
      </c>
      <c r="N507" s="91">
        <f>IF(Lose[[#This Row],[Bahn-hofs-zeit]]=0,0,MROUND(30*25^((Lose[[#This Row],[Bahn-hofs-zeit]]-_xlfn.MINIFS(Lose[Bahn-hofs-zeit],Lose[Bahn-hofs-zeit],"&gt;0"))/(MAX(Lose[Bahn-hofs-zeit])-_xlfn.MINIFS(Lose[Bahn-hofs-zeit],Lose[Bahn-hofs-zeit],"&gt;0"))),5))</f>
        <v>0</v>
      </c>
      <c r="O507">
        <f>IF(Lose[[#This Row],[Gehzeit (min)]]="",0,CEILING(3*(Lose[[#This Row],[Gehzeit (min)]]+Lose[[#This Row],[Aufgaben-zeit (min)]]),5))</f>
        <v>105</v>
      </c>
      <c r="Q507">
        <f>IFERROR(ROUND(Lose[[#This Row],[Distanz (km)]]*60/Lose[[#This Row],[Gehzeit (min)]],1),"")</f>
        <v>3.6</v>
      </c>
      <c r="R5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507">
        <f>IFERROR(Lose[[#This Row],[Distanz (km)]]-Lose[[#This Row],[Check Distanz]],"")</f>
        <v>0.47</v>
      </c>
      <c r="T507" s="60">
        <f>IFERROR(Lose[[#This Row],[Check Umweg]]/Lose[[#This Row],[Check Distanz]],"")</f>
        <v>0.64383561643835618</v>
      </c>
      <c r="U507">
        <f ca="1">IF(RIGHT(Lose[[#This Row],[LosID]],1)="b",_xlfn.XLOOKUP(REPLACE(Lose[[#This Row],[LosID]],LEN(Lose[[#This Row],[LosID]]),1,"a"),Lose[LosID],Lose[Zufallszahl],"",0),RAND())</f>
        <v>0.15675730039877611</v>
      </c>
      <c r="V507" t="b" cm="1">
        <f t="array" aca="1" ref="V507" ca="1">Lose[[#This Row],[Zufallszahl]]&gt;=IFERROR(LARGE((LEFT(Lose[LosID],FIND("-",Lose[LosID])-1)=LEFT(Lose[[#This Row],[LosID]],FIND("-",Lose[[#This Row],[LosID]])-1))*Lose[Zufallszahl],_xlfn.XLOOKUP(LEFT(Lose[[#This Row],[LosID]],FIND("-",Lose[[#This Row],[LosID]])-1),Ziehungsanzahl[Kürzel],Ziehungsanzahl[Kontingent],FALSE,0)),9999)</f>
        <v>0</v>
      </c>
      <c r="W507" t="s">
        <v>23398</v>
      </c>
    </row>
    <row r="508" spans="1:23" ht="105">
      <c r="A5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8" t="s">
        <v>23385</v>
      </c>
      <c r="C508" t="s">
        <v>24974</v>
      </c>
      <c r="D508" s="1" t="s">
        <v>24975</v>
      </c>
      <c r="E508" t="s">
        <v>24976</v>
      </c>
      <c r="F508" t="s">
        <v>24977</v>
      </c>
      <c r="G508">
        <v>19</v>
      </c>
      <c r="H508">
        <v>10</v>
      </c>
      <c r="I508">
        <v>1.4</v>
      </c>
      <c r="J508">
        <v>15</v>
      </c>
      <c r="K508" t="str" cm="1">
        <f t="array" ref="K5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Freiberg(Sachs)</v>
      </c>
      <c r="L508" t="str">
        <f>IFERROR(LEFT(TRIM(Lose[[#This Row],[Google Koordinaten]]),9),"")</f>
        <v>50.919178</v>
      </c>
      <c r="M508" t="str">
        <f>IFERROR(MID(TRIM(Lose[[#This Row],[Google Koordinaten]]),
FIND(",",TRIM(Lose[[#This Row],[Google Koordinaten]])) + 2,9),"")</f>
        <v>13.340630</v>
      </c>
      <c r="N508">
        <f>IF(Lose[[#This Row],[Bahn-hofs-zeit]]=0,0,MROUND(30*25^((Lose[[#This Row],[Bahn-hofs-zeit]]-_xlfn.MINIFS(Lose[Bahn-hofs-zeit],Lose[Bahn-hofs-zeit],"&gt;0"))/(MAX(Lose[Bahn-hofs-zeit])-_xlfn.MINIFS(Lose[Bahn-hofs-zeit],Lose[Bahn-hofs-zeit],"&gt;0"))),5))</f>
        <v>425</v>
      </c>
      <c r="O508">
        <f>IF(Lose[[#This Row],[Gehzeit (min)]]="",0,CEILING(3*(Lose[[#This Row],[Gehzeit (min)]]+Lose[[#This Row],[Aufgaben-zeit (min)]]),5))</f>
        <v>90</v>
      </c>
      <c r="P508">
        <v>12.5</v>
      </c>
      <c r="Q508">
        <f>IFERROR(ROUND(Lose[[#This Row],[Distanz (km)]]*60/Lose[[#This Row],[Gehzeit (min)]],1),"")</f>
        <v>4.4000000000000004</v>
      </c>
      <c r="R5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1.19</v>
      </c>
      <c r="S508">
        <f>IFERROR(Lose[[#This Row],[Distanz (km)]]-Lose[[#This Row],[Check Distanz]],"")</f>
        <v>0.20999999999999996</v>
      </c>
      <c r="T508" s="60">
        <f>IFERROR(Lose[[#This Row],[Check Umweg]]/Lose[[#This Row],[Check Distanz]],"")</f>
        <v>0.1764705882352941</v>
      </c>
      <c r="U508">
        <f ca="1">IF(RIGHT(Lose[[#This Row],[LosID]],1)="b",_xlfn.XLOOKUP(REPLACE(Lose[[#This Row],[LosID]],LEN(Lose[[#This Row],[LosID]]),1,"a"),Lose[LosID],Lose[Zufallszahl],"",0),RAND())</f>
        <v>0.45943037579907742</v>
      </c>
      <c r="V508" t="b" cm="1">
        <f t="array" aca="1" ref="V508" ca="1">Lose[[#This Row],[Zufallszahl]]&gt;=IFERROR(LARGE((LEFT(Lose[LosID],FIND("-",Lose[LosID])-1)=LEFT(Lose[[#This Row],[LosID]],FIND("-",Lose[[#This Row],[LosID]])-1))*Lose[Zufallszahl],_xlfn.XLOOKUP(LEFT(Lose[[#This Row],[LosID]],FIND("-",Lose[[#This Row],[LosID]])-1),Ziehungsanzahl[Kürzel],Ziehungsanzahl[Kontingent],FALSE,0)),9999)</f>
        <v>0</v>
      </c>
    </row>
    <row r="509" spans="1:23" ht="195" hidden="1">
      <c r="A5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9" t="s">
        <v>23390</v>
      </c>
      <c r="C509" t="s">
        <v>24978</v>
      </c>
      <c r="D509" s="1" t="s">
        <v>24979</v>
      </c>
      <c r="E509" s="1" t="s">
        <v>24980</v>
      </c>
      <c r="F509" t="s">
        <v>24981</v>
      </c>
      <c r="G509">
        <v>15</v>
      </c>
      <c r="H509">
        <v>3</v>
      </c>
      <c r="I509">
        <v>1</v>
      </c>
      <c r="J509">
        <v>50</v>
      </c>
      <c r="K509" t="str" cm="1">
        <f t="array" ref="K5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Bexbach</v>
      </c>
      <c r="L509" t="str">
        <f>IFERROR(LEFT(TRIM(Lose[[#This Row],[Google Koordinaten]]),9),"")</f>
        <v>49.342360</v>
      </c>
      <c r="M509" t="str">
        <f>IFERROR(MID(TRIM(Lose[[#This Row],[Google Koordinaten]]),
FIND(",",TRIM(Lose[[#This Row],[Google Koordinaten]])) + 2,9),"")</f>
        <v>7.261320</v>
      </c>
      <c r="N509">
        <f>IF(Lose[[#This Row],[Bahn-hofs-zeit]]=0,0,MROUND(30*25^((Lose[[#This Row],[Bahn-hofs-zeit]]-_xlfn.MINIFS(Lose[Bahn-hofs-zeit],Lose[Bahn-hofs-zeit],"&gt;0"))/(MAX(Lose[Bahn-hofs-zeit])-_xlfn.MINIFS(Lose[Bahn-hofs-zeit],Lose[Bahn-hofs-zeit],"&gt;0"))),5))</f>
        <v>125</v>
      </c>
      <c r="O509">
        <f>IF(Lose[[#This Row],[Gehzeit (min)]]="",0,CEILING(3*(Lose[[#This Row],[Gehzeit (min)]]+Lose[[#This Row],[Aufgaben-zeit (min)]]),5))</f>
        <v>55</v>
      </c>
      <c r="P509">
        <v>8.25</v>
      </c>
      <c r="Q509">
        <f>IFERROR(ROUND(Lose[[#This Row],[Distanz (km)]]*60/Lose[[#This Row],[Gehzeit (min)]],1),"")</f>
        <v>4</v>
      </c>
      <c r="R5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509">
        <f>IFERROR(Lose[[#This Row],[Distanz (km)]]-Lose[[#This Row],[Check Distanz]],"")</f>
        <v>0.38</v>
      </c>
      <c r="T509" s="60">
        <f>IFERROR(Lose[[#This Row],[Check Umweg]]/Lose[[#This Row],[Check Distanz]],"")</f>
        <v>0.61290322580645162</v>
      </c>
      <c r="U509">
        <f ca="1">IF(RIGHT(Lose[[#This Row],[LosID]],1)="b",_xlfn.XLOOKUP(REPLACE(Lose[[#This Row],[LosID]],LEN(Lose[[#This Row],[LosID]]),1,"a"),Lose[LosID],Lose[Zufallszahl],"",0),RAND())</f>
        <v>0.37092589477035809</v>
      </c>
      <c r="V509" t="b" cm="1">
        <f t="array" aca="1" ref="V509" ca="1">Lose[[#This Row],[Zufallszahl]]&gt;=IFERROR(LARGE((LEFT(Lose[LosID],FIND("-",Lose[LosID])-1)=LEFT(Lose[[#This Row],[LosID]],FIND("-",Lose[[#This Row],[LosID]])-1))*Lose[Zufallszahl],_xlfn.XLOOKUP(LEFT(Lose[[#This Row],[LosID]],FIND("-",Lose[[#This Row],[LosID]])-1),Ziehungsanzahl[Kürzel],Ziehungsanzahl[Kontingent],FALSE,0)),9999)</f>
        <v>0</v>
      </c>
    </row>
    <row r="510" spans="1:23" ht="45" hidden="1">
      <c r="A5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0" t="s">
        <v>23394</v>
      </c>
      <c r="C510" t="s">
        <v>24982</v>
      </c>
      <c r="D510" s="1" t="s">
        <v>24983</v>
      </c>
      <c r="E510" t="s">
        <v>24984</v>
      </c>
      <c r="F510" t="s">
        <v>24985</v>
      </c>
      <c r="G510">
        <v>27</v>
      </c>
      <c r="H510">
        <v>1</v>
      </c>
      <c r="I510">
        <v>2</v>
      </c>
      <c r="K510" t="str" cm="1">
        <f t="array" ref="K5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Berchtesgaden Hbf</v>
      </c>
      <c r="L510" t="str">
        <f>IFERROR(LEFT(TRIM(Lose[[#This Row],[Google Koordinaten]]),9),"")</f>
        <v>47.637819</v>
      </c>
      <c r="M510" t="str">
        <f>IFERROR(MID(TRIM(Lose[[#This Row],[Google Koordinaten]]),
FIND(",",TRIM(Lose[[#This Row],[Google Koordinaten]])) + 2,9),"")</f>
        <v>13.017982</v>
      </c>
      <c r="N510" s="91">
        <f>IF(Lose[[#This Row],[Bahn-hofs-zeit]]=0,0,MROUND(30*25^((Lose[[#This Row],[Bahn-hofs-zeit]]-_xlfn.MINIFS(Lose[Bahn-hofs-zeit],Lose[Bahn-hofs-zeit],"&gt;0"))/(MAX(Lose[Bahn-hofs-zeit])-_xlfn.MINIFS(Lose[Bahn-hofs-zeit],Lose[Bahn-hofs-zeit],"&gt;0"))),5))</f>
        <v>0</v>
      </c>
      <c r="O510">
        <f>IF(Lose[[#This Row],[Gehzeit (min)]]="",0,CEILING(3*(Lose[[#This Row],[Gehzeit (min)]]+Lose[[#This Row],[Aufgaben-zeit (min)]]),5))</f>
        <v>85</v>
      </c>
      <c r="Q510">
        <f>IFERROR(ROUND(Lose[[#This Row],[Distanz (km)]]*60/Lose[[#This Row],[Gehzeit (min)]],1),"")</f>
        <v>4.4000000000000004</v>
      </c>
      <c r="R5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1.88</v>
      </c>
      <c r="S510">
        <f>IFERROR(Lose[[#This Row],[Distanz (km)]]-Lose[[#This Row],[Check Distanz]],"")</f>
        <v>0.12000000000000011</v>
      </c>
      <c r="T510" s="60">
        <f>IFERROR(Lose[[#This Row],[Check Umweg]]/Lose[[#This Row],[Check Distanz]],"")</f>
        <v>6.3829787234042618E-2</v>
      </c>
      <c r="U510">
        <f ca="1">IF(RIGHT(Lose[[#This Row],[LosID]],1)="b",_xlfn.XLOOKUP(REPLACE(Lose[[#This Row],[LosID]],LEN(Lose[[#This Row],[LosID]]),1,"a"),Lose[LosID],Lose[Zufallszahl],"",0),RAND())</f>
        <v>0.50328754647446095</v>
      </c>
      <c r="V510" t="b" cm="1">
        <f t="array" aca="1" ref="V510" ca="1">Lose[[#This Row],[Zufallszahl]]&gt;=IFERROR(LARGE((LEFT(Lose[LosID],FIND("-",Lose[LosID])-1)=LEFT(Lose[[#This Row],[LosID]],FIND("-",Lose[[#This Row],[LosID]])-1))*Lose[Zufallszahl],_xlfn.XLOOKUP(LEFT(Lose[[#This Row],[LosID]],FIND("-",Lose[[#This Row],[LosID]])-1),Ziehungsanzahl[Kürzel],Ziehungsanzahl[Kontingent],FALSE,0)),9999)</f>
        <v>0</v>
      </c>
      <c r="W510" t="s">
        <v>23398</v>
      </c>
    </row>
    <row r="511" spans="1:23" ht="195" hidden="1">
      <c r="A5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1" t="s">
        <v>23403</v>
      </c>
      <c r="C511" s="73" t="s">
        <v>24986</v>
      </c>
      <c r="D511" s="1" t="s">
        <v>24987</v>
      </c>
      <c r="E511" t="s">
        <v>24988</v>
      </c>
      <c r="F511" t="s">
        <v>24989</v>
      </c>
      <c r="G511">
        <v>20</v>
      </c>
      <c r="H511">
        <v>10</v>
      </c>
      <c r="I511">
        <v>1.5</v>
      </c>
      <c r="J511">
        <v>10</v>
      </c>
      <c r="K511" t="str" cm="1">
        <f t="array" ref="K5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Hattingen(Ruhr) Mitte</v>
      </c>
      <c r="L511" t="str">
        <f>IFERROR(LEFT(TRIM(Lose[[#This Row],[Google Koordinaten]]),9),"")</f>
        <v>51.405105</v>
      </c>
      <c r="M511" t="str">
        <f>IFERROR(MID(TRIM(Lose[[#This Row],[Google Koordinaten]]),
FIND(",",TRIM(Lose[[#This Row],[Google Koordinaten]])) + 2,9),"")</f>
        <v>7.1842307</v>
      </c>
      <c r="N511">
        <f>IF(Lose[[#This Row],[Bahn-hofs-zeit]]=0,0,MROUND(30*25^((Lose[[#This Row],[Bahn-hofs-zeit]]-_xlfn.MINIFS(Lose[Bahn-hofs-zeit],Lose[Bahn-hofs-zeit],"&gt;0"))/(MAX(Lose[Bahn-hofs-zeit])-_xlfn.MINIFS(Lose[Bahn-hofs-zeit],Lose[Bahn-hofs-zeit],"&gt;0"))),5))</f>
        <v>45</v>
      </c>
      <c r="O511">
        <f>IF(Lose[[#This Row],[Gehzeit (min)]]="",0,CEILING(3*(Lose[[#This Row],[Gehzeit (min)]]+Lose[[#This Row],[Aufgaben-zeit (min)]]),5))</f>
        <v>90</v>
      </c>
      <c r="P511">
        <v>4.75</v>
      </c>
      <c r="Q511">
        <f>IFERROR(ROUND(Lose[[#This Row],[Distanz (km)]]*60/Lose[[#This Row],[Gehzeit (min)]],1),"")</f>
        <v>4.5</v>
      </c>
      <c r="R5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0.92</v>
      </c>
      <c r="S511">
        <f>IFERROR(Lose[[#This Row],[Distanz (km)]]-Lose[[#This Row],[Check Distanz]],"")</f>
        <v>0.57999999999999996</v>
      </c>
      <c r="T511" s="60">
        <f>IFERROR(Lose[[#This Row],[Check Umweg]]/Lose[[#This Row],[Check Distanz]],"")</f>
        <v>0.63043478260869557</v>
      </c>
      <c r="U511">
        <f ca="1">IF(RIGHT(Lose[[#This Row],[LosID]],1)="b",_xlfn.XLOOKUP(REPLACE(Lose[[#This Row],[LosID]],LEN(Lose[[#This Row],[LosID]]),1,"a"),Lose[LosID],Lose[Zufallszahl],"",0),RAND())</f>
        <v>0.74748103937596955</v>
      </c>
      <c r="V511" t="b" cm="1">
        <f t="array" aca="1" ref="V511" ca="1">Lose[[#This Row],[Zufallszahl]]&gt;=IFERROR(LARGE((LEFT(Lose[LosID],FIND("-",Lose[LosID])-1)=LEFT(Lose[[#This Row],[LosID]],FIND("-",Lose[[#This Row],[LosID]])-1))*Lose[Zufallszahl],_xlfn.XLOOKUP(LEFT(Lose[[#This Row],[LosID]],FIND("-",Lose[[#This Row],[LosID]])-1),Ziehungsanzahl[Kürzel],Ziehungsanzahl[Kontingent],FALSE,0)),9999)</f>
        <v>0</v>
      </c>
    </row>
    <row r="512" spans="1:23" ht="45" hidden="1">
      <c r="A5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2" t="s">
        <v>23390</v>
      </c>
      <c r="C512" t="s">
        <v>1476</v>
      </c>
      <c r="D512" s="1" t="s">
        <v>24990</v>
      </c>
      <c r="E512" t="s">
        <v>24991</v>
      </c>
      <c r="F512" t="s">
        <v>24992</v>
      </c>
      <c r="G512">
        <v>10</v>
      </c>
      <c r="H512">
        <v>2</v>
      </c>
      <c r="I512">
        <v>0.7</v>
      </c>
      <c r="K512" t="str" cm="1">
        <f t="array" ref="K5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Neustadt(Holst)</v>
      </c>
      <c r="L512" t="str">
        <f>IFERROR(LEFT(TRIM(Lose[[#This Row],[Google Koordinaten]]),9),"")</f>
        <v>54.107738</v>
      </c>
      <c r="M512" t="str">
        <f>IFERROR(MID(TRIM(Lose[[#This Row],[Google Koordinaten]]),
FIND(",",TRIM(Lose[[#This Row],[Google Koordinaten]])) + 2,9),"")</f>
        <v>10.814871</v>
      </c>
      <c r="N512">
        <f>IF(Lose[[#This Row],[Bahn-hofs-zeit]]=0,0,MROUND(30*25^((Lose[[#This Row],[Bahn-hofs-zeit]]-_xlfn.MINIFS(Lose[Bahn-hofs-zeit],Lose[Bahn-hofs-zeit],"&gt;0"))/(MAX(Lose[Bahn-hofs-zeit])-_xlfn.MINIFS(Lose[Bahn-hofs-zeit],Lose[Bahn-hofs-zeit],"&gt;0"))),5))</f>
        <v>275</v>
      </c>
      <c r="O512">
        <f>IF(Lose[[#This Row],[Gehzeit (min)]]="",0,CEILING(3*(Lose[[#This Row],[Gehzeit (min)]]+Lose[[#This Row],[Aufgaben-zeit (min)]]),5))</f>
        <v>40</v>
      </c>
      <c r="P512">
        <v>11</v>
      </c>
      <c r="Q512">
        <f>IFERROR(ROUND(Lose[[#This Row],[Distanz (km)]]*60/Lose[[#This Row],[Gehzeit (min)]],1),"")</f>
        <v>4.2</v>
      </c>
      <c r="R5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512">
        <f>IFERROR(Lose[[#This Row],[Distanz (km)]]-Lose[[#This Row],[Check Distanz]],"")</f>
        <v>0.10999999999999999</v>
      </c>
      <c r="T512" s="60">
        <f>IFERROR(Lose[[#This Row],[Check Umweg]]/Lose[[#This Row],[Check Distanz]],"")</f>
        <v>0.18644067796610167</v>
      </c>
      <c r="U512">
        <f ca="1">IF(RIGHT(Lose[[#This Row],[LosID]],1)="b",_xlfn.XLOOKUP(REPLACE(Lose[[#This Row],[LosID]],LEN(Lose[[#This Row],[LosID]]),1,"a"),Lose[LosID],Lose[Zufallszahl],"",0),RAND())</f>
        <v>1.4470724859618533E-2</v>
      </c>
      <c r="V512" t="b" cm="1">
        <f t="array" aca="1" ref="V512" ca="1">Lose[[#This Row],[Zufallszahl]]&gt;=IFERROR(LARGE((LEFT(Lose[LosID],FIND("-",Lose[LosID])-1)=LEFT(Lose[[#This Row],[LosID]],FIND("-",Lose[[#This Row],[LosID]])-1))*Lose[Zufallszahl],_xlfn.XLOOKUP(LEFT(Lose[[#This Row],[LosID]],FIND("-",Lose[[#This Row],[LosID]])-1),Ziehungsanzahl[Kürzel],Ziehungsanzahl[Kontingent],FALSE,0)),9999)</f>
        <v>0</v>
      </c>
    </row>
    <row r="513" spans="1:23" ht="105" hidden="1">
      <c r="A5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3" t="s">
        <v>23352</v>
      </c>
      <c r="C513" t="s">
        <v>24993</v>
      </c>
      <c r="D513" s="64" t="s">
        <v>24994</v>
      </c>
      <c r="E513" t="s">
        <v>24995</v>
      </c>
      <c r="F513" t="s">
        <v>24996</v>
      </c>
      <c r="G513">
        <v>2</v>
      </c>
      <c r="H513">
        <v>15</v>
      </c>
      <c r="I513">
        <v>7.0000000000000007E-2</v>
      </c>
      <c r="J513">
        <v>20</v>
      </c>
      <c r="K513" t="str" cm="1">
        <f t="array" ref="K5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Universität</v>
      </c>
      <c r="L513" t="str">
        <f>IFERROR(LEFT(TRIM(Lose[[#This Row],[Google Koordinaten]]),9),"")</f>
        <v>51.492343</v>
      </c>
      <c r="M513" t="str">
        <f>IFERROR(MID(TRIM(Lose[[#This Row],[Google Koordinaten]]),
FIND(",",TRIM(Lose[[#This Row],[Google Koordinaten]])) + 2,9),"")</f>
        <v>7.4173674</v>
      </c>
      <c r="N513">
        <f>IF(Lose[[#This Row],[Bahn-hofs-zeit]]=0,0,MROUND(30*25^((Lose[[#This Row],[Bahn-hofs-zeit]]-_xlfn.MINIFS(Lose[Bahn-hofs-zeit],Lose[Bahn-hofs-zeit],"&gt;0"))/(MAX(Lose[Bahn-hofs-zeit])-_xlfn.MINIFS(Lose[Bahn-hofs-zeit],Lose[Bahn-hofs-zeit],"&gt;0"))),5))</f>
        <v>45</v>
      </c>
      <c r="O513">
        <f>IF(Lose[[#This Row],[Gehzeit (min)]]="",0,CEILING(3*(Lose[[#This Row],[Gehzeit (min)]]+Lose[[#This Row],[Aufgaben-zeit (min)]]),5))</f>
        <v>55</v>
      </c>
      <c r="P513">
        <v>4.5</v>
      </c>
      <c r="Q513">
        <f>IFERROR(ROUND(Lose[[#This Row],[Distanz (km)]]*60/Lose[[#This Row],[Gehzeit (min)]],1),"")</f>
        <v>2.1</v>
      </c>
      <c r="R5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513">
        <f>IFERROR(Lose[[#This Row],[Distanz (km)]]-Lose[[#This Row],[Check Distanz]],"")</f>
        <v>2.0000000000000004E-2</v>
      </c>
      <c r="T513" s="60">
        <f>IFERROR(Lose[[#This Row],[Check Umweg]]/Lose[[#This Row],[Check Distanz]],"")</f>
        <v>0.40000000000000008</v>
      </c>
      <c r="U513">
        <f ca="1">IF(RIGHT(Lose[[#This Row],[LosID]],1)="b",_xlfn.XLOOKUP(REPLACE(Lose[[#This Row],[LosID]],LEN(Lose[[#This Row],[LosID]]),1,"a"),Lose[LosID],Lose[Zufallszahl],"",0),RAND())</f>
        <v>0.34967566490946655</v>
      </c>
      <c r="V513" t="b" cm="1">
        <f t="array" aca="1" ref="V513" ca="1">Lose[[#This Row],[Zufallszahl]]&gt;=IFERROR(LARGE((LEFT(Lose[LosID],FIND("-",Lose[LosID])-1)=LEFT(Lose[[#This Row],[LosID]],FIND("-",Lose[[#This Row],[LosID]])-1))*Lose[Zufallszahl],_xlfn.XLOOKUP(LEFT(Lose[[#This Row],[LosID]],FIND("-",Lose[[#This Row],[LosID]])-1),Ziehungsanzahl[Kürzel],Ziehungsanzahl[Kontingent],FALSE,0)),9999)</f>
        <v>0</v>
      </c>
    </row>
    <row r="514" spans="1:23" ht="60" hidden="1">
      <c r="A5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4" t="s">
        <v>23352</v>
      </c>
      <c r="C514" t="s">
        <v>1482</v>
      </c>
      <c r="D514" s="64" t="s">
        <v>24997</v>
      </c>
      <c r="E514" t="s">
        <v>24998</v>
      </c>
      <c r="F514" t="s">
        <v>24999</v>
      </c>
      <c r="G514">
        <v>17</v>
      </c>
      <c r="H514">
        <v>10</v>
      </c>
      <c r="I514">
        <v>1.3</v>
      </c>
      <c r="J514">
        <v>20</v>
      </c>
      <c r="K514" t="str" cm="1">
        <f t="array" ref="K5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 Neckarpark</v>
      </c>
      <c r="L514" t="str">
        <f>IFERROR(LEFT(TRIM(Lose[[#This Row],[Google Koordinaten]]),9),"")</f>
        <v>48.792241</v>
      </c>
      <c r="M514" t="str">
        <f>IFERROR(MID(TRIM(Lose[[#This Row],[Google Koordinaten]]),
FIND(",",TRIM(Lose[[#This Row],[Google Koordinaten]])) + 2,9),"")</f>
        <v>9.229635</v>
      </c>
      <c r="N514">
        <f>IF(Lose[[#This Row],[Bahn-hofs-zeit]]=0,0,MROUND(30*25^((Lose[[#This Row],[Bahn-hofs-zeit]]-_xlfn.MINIFS(Lose[Bahn-hofs-zeit],Lose[Bahn-hofs-zeit],"&gt;0"))/(MAX(Lose[Bahn-hofs-zeit])-_xlfn.MINIFS(Lose[Bahn-hofs-zeit],Lose[Bahn-hofs-zeit],"&gt;0"))),5))</f>
        <v>80</v>
      </c>
      <c r="O514">
        <f>IF(Lose[[#This Row],[Gehzeit (min)]]="",0,CEILING(3*(Lose[[#This Row],[Gehzeit (min)]]+Lose[[#This Row],[Aufgaben-zeit (min)]]),5))</f>
        <v>85</v>
      </c>
      <c r="P514">
        <v>6.75</v>
      </c>
      <c r="Q514">
        <f>IFERROR(ROUND(Lose[[#This Row],[Distanz (km)]]*60/Lose[[#This Row],[Gehzeit (min)]],1),"")</f>
        <v>4.5999999999999996</v>
      </c>
      <c r="R5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514">
        <f>IFERROR(Lose[[#This Row],[Distanz (km)]]-Lose[[#This Row],[Check Distanz]],"")</f>
        <v>0.46000000000000008</v>
      </c>
      <c r="T514" s="60">
        <f>IFERROR(Lose[[#This Row],[Check Umweg]]/Lose[[#This Row],[Check Distanz]],"")</f>
        <v>0.54761904761904778</v>
      </c>
      <c r="U514">
        <f ca="1">IF(RIGHT(Lose[[#This Row],[LosID]],1)="b",_xlfn.XLOOKUP(REPLACE(Lose[[#This Row],[LosID]],LEN(Lose[[#This Row],[LosID]]),1,"a"),Lose[LosID],Lose[Zufallszahl],"",0),RAND())</f>
        <v>0.31244676313341291</v>
      </c>
      <c r="V514" t="b" cm="1">
        <f t="array" aca="1" ref="V514" ca="1">Lose[[#This Row],[Zufallszahl]]&gt;=IFERROR(LARGE((LEFT(Lose[LosID],FIND("-",Lose[LosID])-1)=LEFT(Lose[[#This Row],[LosID]],FIND("-",Lose[[#This Row],[LosID]])-1))*Lose[Zufallszahl],_xlfn.XLOOKUP(LEFT(Lose[[#This Row],[LosID]],FIND("-",Lose[[#This Row],[LosID]])-1),Ziehungsanzahl[Kürzel],Ziehungsanzahl[Kontingent],FALSE,0)),9999)</f>
        <v>0</v>
      </c>
    </row>
    <row r="515" spans="1:23" ht="45" hidden="1">
      <c r="A5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5" t="s">
        <v>23352</v>
      </c>
      <c r="C515" t="s">
        <v>25000</v>
      </c>
      <c r="D515" s="1" t="s">
        <v>25001</v>
      </c>
      <c r="F515" t="s">
        <v>25002</v>
      </c>
      <c r="G515">
        <v>8</v>
      </c>
      <c r="H515">
        <v>1</v>
      </c>
      <c r="I515">
        <v>0.5</v>
      </c>
      <c r="J515">
        <v>5</v>
      </c>
      <c r="K515" t="str" cm="1">
        <f t="array" ref="K5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Römisches Theater</v>
      </c>
      <c r="L515" t="str">
        <f>IFERROR(LEFT(TRIM(Lose[[#This Row],[Google Koordinaten]]),9),"")</f>
        <v>49.994915</v>
      </c>
      <c r="M515" t="str">
        <f>IFERROR(MID(TRIM(Lose[[#This Row],[Google Koordinaten]]),
FIND(",",TRIM(Lose[[#This Row],[Google Koordinaten]])) + 2,9),"")</f>
        <v>8.2806414</v>
      </c>
      <c r="N515">
        <f>IF(Lose[[#This Row],[Bahn-hofs-zeit]]=0,0,MROUND(30*25^((Lose[[#This Row],[Bahn-hofs-zeit]]-_xlfn.MINIFS(Lose[Bahn-hofs-zeit],Lose[Bahn-hofs-zeit],"&gt;0"))/(MAX(Lose[Bahn-hofs-zeit])-_xlfn.MINIFS(Lose[Bahn-hofs-zeit],Lose[Bahn-hofs-zeit],"&gt;0"))),5))</f>
        <v>45</v>
      </c>
      <c r="O515">
        <f>IF(Lose[[#This Row],[Gehzeit (min)]]="",0,CEILING(3*(Lose[[#This Row],[Gehzeit (min)]]+Lose[[#This Row],[Aufgaben-zeit (min)]]),5))</f>
        <v>30</v>
      </c>
      <c r="P515">
        <v>4.75</v>
      </c>
      <c r="Q515">
        <f>IFERROR(ROUND(Lose[[#This Row],[Distanz (km)]]*60/Lose[[#This Row],[Gehzeit (min)]],1),"")</f>
        <v>3.8</v>
      </c>
      <c r="R5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515">
        <f>IFERROR(Lose[[#This Row],[Distanz (km)]]-Lose[[#This Row],[Check Distanz]],"")</f>
        <v>0.22999999999999998</v>
      </c>
      <c r="T515" s="60">
        <f>IFERROR(Lose[[#This Row],[Check Umweg]]/Lose[[#This Row],[Check Distanz]],"")</f>
        <v>0.85185185185185175</v>
      </c>
      <c r="U515">
        <f ca="1">IF(RIGHT(Lose[[#This Row],[LosID]],1)="b",_xlfn.XLOOKUP(REPLACE(Lose[[#This Row],[LosID]],LEN(Lose[[#This Row],[LosID]]),1,"a"),Lose[LosID],Lose[Zufallszahl],"",0),RAND())</f>
        <v>0.23022475569981671</v>
      </c>
      <c r="V515" t="b" cm="1">
        <f t="array" aca="1" ref="V515" ca="1">Lose[[#This Row],[Zufallszahl]]&gt;=IFERROR(LARGE((LEFT(Lose[LosID],FIND("-",Lose[LosID])-1)=LEFT(Lose[[#This Row],[LosID]],FIND("-",Lose[[#This Row],[LosID]])-1))*Lose[Zufallszahl],_xlfn.XLOOKUP(LEFT(Lose[[#This Row],[LosID]],FIND("-",Lose[[#This Row],[LosID]])-1),Ziehungsanzahl[Kürzel],Ziehungsanzahl[Kontingent],FALSE,0)),9999)</f>
        <v>0</v>
      </c>
    </row>
    <row r="516" spans="1:23" hidden="1">
      <c r="A5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6" t="s">
        <v>23352</v>
      </c>
      <c r="C516" t="s">
        <v>1483</v>
      </c>
      <c r="D516" s="1" t="s">
        <v>25003</v>
      </c>
      <c r="F516" t="s">
        <v>25004</v>
      </c>
      <c r="H516">
        <v>15</v>
      </c>
      <c r="J516">
        <v>15</v>
      </c>
      <c r="K516" t="str" cm="1">
        <f t="array" ref="K5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516" t="str">
        <f>IFERROR(LEFT(TRIM(Lose[[#This Row],[Google Koordinaten]]),9),"")</f>
        <v>49.968539</v>
      </c>
      <c r="M516" t="str">
        <f>IFERROR(MID(TRIM(Lose[[#This Row],[Google Koordinaten]]),
FIND(",",TRIM(Lose[[#This Row],[Google Koordinaten]])) + 2,9),"")</f>
        <v>7.8842726</v>
      </c>
      <c r="N516">
        <f>IF(Lose[[#This Row],[Bahn-hofs-zeit]]=0,0,MROUND(30*25^((Lose[[#This Row],[Bahn-hofs-zeit]]-_xlfn.MINIFS(Lose[Bahn-hofs-zeit],Lose[Bahn-hofs-zeit],"&gt;0"))/(MAX(Lose[Bahn-hofs-zeit])-_xlfn.MINIFS(Lose[Bahn-hofs-zeit],Lose[Bahn-hofs-zeit],"&gt;0"))),5))</f>
        <v>55</v>
      </c>
      <c r="O516">
        <f>IF(Lose[[#This Row],[Gehzeit (min)]]="",0,CEILING(3*(Lose[[#This Row],[Gehzeit (min)]]+Lose[[#This Row],[Aufgaben-zeit (min)]]),5))</f>
        <v>0</v>
      </c>
      <c r="P516">
        <v>5.25</v>
      </c>
      <c r="Q516" t="str">
        <f>IFERROR(ROUND(Lose[[#This Row],[Distanz (km)]]*60/Lose[[#This Row],[Gehzeit (min)]],1),"")</f>
        <v/>
      </c>
      <c r="R5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516">
        <f>IFERROR(Lose[[#This Row],[Distanz (km)]]-Lose[[#This Row],[Check Distanz]],"")</f>
        <v>-0.02</v>
      </c>
      <c r="T516" s="60">
        <f>IFERROR(Lose[[#This Row],[Check Umweg]]/Lose[[#This Row],[Check Distanz]],"")</f>
        <v>-1</v>
      </c>
      <c r="U516">
        <f ca="1">IF(RIGHT(Lose[[#This Row],[LosID]],1)="b",_xlfn.XLOOKUP(REPLACE(Lose[[#This Row],[LosID]],LEN(Lose[[#This Row],[LosID]]),1,"a"),Lose[LosID],Lose[Zufallszahl],"",0),RAND())</f>
        <v>0.54598675774988281</v>
      </c>
      <c r="V516" t="b" cm="1">
        <f t="array" aca="1" ref="V516" ca="1">Lose[[#This Row],[Zufallszahl]]&gt;=IFERROR(LARGE((LEFT(Lose[LosID],FIND("-",Lose[LosID])-1)=LEFT(Lose[[#This Row],[LosID]],FIND("-",Lose[[#This Row],[LosID]])-1))*Lose[Zufallszahl],_xlfn.XLOOKUP(LEFT(Lose[[#This Row],[LosID]],FIND("-",Lose[[#This Row],[LosID]])-1),Ziehungsanzahl[Kürzel],Ziehungsanzahl[Kontingent],FALSE,0)),9999)</f>
        <v>0</v>
      </c>
    </row>
    <row r="517" spans="1:23" ht="30" hidden="1">
      <c r="A5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7" t="s">
        <v>23352</v>
      </c>
      <c r="C517" t="s">
        <v>25005</v>
      </c>
      <c r="D517" s="1" t="s">
        <v>25006</v>
      </c>
      <c r="F517" t="s">
        <v>25007</v>
      </c>
      <c r="H517">
        <v>15</v>
      </c>
      <c r="J517">
        <v>15</v>
      </c>
      <c r="K517" t="str" cm="1">
        <f t="array" ref="K5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 Hbf</v>
      </c>
      <c r="L517" t="str">
        <f>IFERROR(LEFT(TRIM(Lose[[#This Row],[Google Koordinaten]]),9),"")</f>
        <v>50.350942</v>
      </c>
      <c r="M517" t="str">
        <f>IFERROR(MID(TRIM(Lose[[#This Row],[Google Koordinaten]]),
FIND(",",TRIM(Lose[[#This Row],[Google Koordinaten]])) + 2,9),"")</f>
        <v>7.5885011</v>
      </c>
      <c r="N517">
        <f>IF(Lose[[#This Row],[Bahn-hofs-zeit]]=0,0,MROUND(30*25^((Lose[[#This Row],[Bahn-hofs-zeit]]-_xlfn.MINIFS(Lose[Bahn-hofs-zeit],Lose[Bahn-hofs-zeit],"&gt;0"))/(MAX(Lose[Bahn-hofs-zeit])-_xlfn.MINIFS(Lose[Bahn-hofs-zeit],Lose[Bahn-hofs-zeit],"&gt;0"))),5))</f>
        <v>45</v>
      </c>
      <c r="O517">
        <f>IF(Lose[[#This Row],[Gehzeit (min)]]="",0,CEILING(3*(Lose[[#This Row],[Gehzeit (min)]]+Lose[[#This Row],[Aufgaben-zeit (min)]]),5))</f>
        <v>0</v>
      </c>
      <c r="P517">
        <v>4.75</v>
      </c>
      <c r="Q517" t="str">
        <f>IFERROR(ROUND(Lose[[#This Row],[Distanz (km)]]*60/Lose[[#This Row],[Gehzeit (min)]],1),"")</f>
        <v/>
      </c>
      <c r="R5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517">
        <f>IFERROR(Lose[[#This Row],[Distanz (km)]]-Lose[[#This Row],[Check Distanz]],"")</f>
        <v>-0.01</v>
      </c>
      <c r="T517" s="60">
        <f>IFERROR(Lose[[#This Row],[Check Umweg]]/Lose[[#This Row],[Check Distanz]],"")</f>
        <v>-1</v>
      </c>
      <c r="U517">
        <f ca="1">IF(RIGHT(Lose[[#This Row],[LosID]],1)="b",_xlfn.XLOOKUP(REPLACE(Lose[[#This Row],[LosID]],LEN(Lose[[#This Row],[LosID]]),1,"a"),Lose[LosID],Lose[Zufallszahl],"",0),RAND())</f>
        <v>0.67169447066213572</v>
      </c>
      <c r="V517" t="b" cm="1">
        <f t="array" aca="1" ref="V517" ca="1">Lose[[#This Row],[Zufallszahl]]&gt;=IFERROR(LARGE((LEFT(Lose[LosID],FIND("-",Lose[LosID])-1)=LEFT(Lose[[#This Row],[LosID]],FIND("-",Lose[[#This Row],[LosID]])-1))*Lose[Zufallszahl],_xlfn.XLOOKUP(LEFT(Lose[[#This Row],[LosID]],FIND("-",Lose[[#This Row],[LosID]])-1),Ziehungsanzahl[Kürzel],Ziehungsanzahl[Kontingent],FALSE,0)),9999)</f>
        <v>0</v>
      </c>
    </row>
    <row r="518" spans="1:23" ht="195" hidden="1">
      <c r="A5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8" t="s">
        <v>23403</v>
      </c>
      <c r="C518" s="73" t="s">
        <v>25008</v>
      </c>
      <c r="D518" s="1" t="s">
        <v>25009</v>
      </c>
      <c r="E518" t="s">
        <v>25010</v>
      </c>
      <c r="F518" t="s">
        <v>25011</v>
      </c>
      <c r="G518">
        <v>13</v>
      </c>
      <c r="H518">
        <v>1</v>
      </c>
      <c r="I518">
        <v>1</v>
      </c>
      <c r="J518">
        <v>20</v>
      </c>
      <c r="K518" t="str" cm="1">
        <f t="array" ref="K5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Reinhardsbrunn-Friedrichroda</v>
      </c>
      <c r="L518" t="str">
        <f>IFERROR(LEFT(TRIM(Lose[[#This Row],[Google Koordinaten]]),9),"")</f>
        <v>50.870635</v>
      </c>
      <c r="M518" t="str">
        <f>IFERROR(MID(TRIM(Lose[[#This Row],[Google Koordinaten]]),
FIND(",",TRIM(Lose[[#This Row],[Google Koordinaten]])) + 2,9),"")</f>
        <v>10.562335</v>
      </c>
      <c r="N518">
        <f>IF(Lose[[#This Row],[Bahn-hofs-zeit]]=0,0,MROUND(30*25^((Lose[[#This Row],[Bahn-hofs-zeit]]-_xlfn.MINIFS(Lose[Bahn-hofs-zeit],Lose[Bahn-hofs-zeit],"&gt;0"))/(MAX(Lose[Bahn-hofs-zeit])-_xlfn.MINIFS(Lose[Bahn-hofs-zeit],Lose[Bahn-hofs-zeit],"&gt;0"))),5))</f>
        <v>95</v>
      </c>
      <c r="O518">
        <f>IF(Lose[[#This Row],[Gehzeit (min)]]="",0,CEILING(3*(Lose[[#This Row],[Gehzeit (min)]]+Lose[[#This Row],[Aufgaben-zeit (min)]]),5))</f>
        <v>45</v>
      </c>
      <c r="P518">
        <v>7.25</v>
      </c>
      <c r="Q518">
        <f>IFERROR(ROUND(Lose[[#This Row],[Distanz (km)]]*60/Lose[[#This Row],[Gehzeit (min)]],1),"")</f>
        <v>4.5999999999999996</v>
      </c>
      <c r="R5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518">
        <f>IFERROR(Lose[[#This Row],[Distanz (km)]]-Lose[[#This Row],[Check Distanz]],"")</f>
        <v>0.20999999999999996</v>
      </c>
      <c r="T518" s="60">
        <f>IFERROR(Lose[[#This Row],[Check Umweg]]/Lose[[#This Row],[Check Distanz]],"")</f>
        <v>0.2658227848101265</v>
      </c>
      <c r="U518">
        <f ca="1">IF(RIGHT(Lose[[#This Row],[LosID]],1)="b",_xlfn.XLOOKUP(REPLACE(Lose[[#This Row],[LosID]],LEN(Lose[[#This Row],[LosID]]),1,"a"),Lose[LosID],Lose[Zufallszahl],"",0),RAND())</f>
        <v>0.54486661779507162</v>
      </c>
      <c r="V518" t="b" cm="1">
        <f t="array" aca="1" ref="V518" ca="1">Lose[[#This Row],[Zufallszahl]]&gt;=IFERROR(LARGE((LEFT(Lose[LosID],FIND("-",Lose[LosID])-1)=LEFT(Lose[[#This Row],[LosID]],FIND("-",Lose[[#This Row],[LosID]])-1))*Lose[Zufallszahl],_xlfn.XLOOKUP(LEFT(Lose[[#This Row],[LosID]],FIND("-",Lose[[#This Row],[LosID]])-1),Ziehungsanzahl[Kürzel],Ziehungsanzahl[Kontingent],FALSE,0)),9999)</f>
        <v>0</v>
      </c>
    </row>
    <row r="519" spans="1:23" ht="240" hidden="1">
      <c r="A5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9" t="s">
        <v>23403</v>
      </c>
      <c r="C519" s="74" t="s">
        <v>25012</v>
      </c>
      <c r="D519" s="1" t="s">
        <v>25013</v>
      </c>
      <c r="E519" t="s">
        <v>25014</v>
      </c>
      <c r="F519" t="s">
        <v>25015</v>
      </c>
      <c r="G519">
        <v>3</v>
      </c>
      <c r="H519">
        <v>6</v>
      </c>
      <c r="I519">
        <v>0.2</v>
      </c>
      <c r="J519">
        <v>30</v>
      </c>
      <c r="K519" t="str" cm="1">
        <f t="array" ref="K5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Charlottenburg (S)</v>
      </c>
      <c r="L519" t="str">
        <f>IFERROR(LEFT(TRIM(Lose[[#This Row],[Google Koordinaten]]),9),"")</f>
        <v>52.505894</v>
      </c>
      <c r="M519" t="str">
        <f>IFERROR(MID(TRIM(Lose[[#This Row],[Google Koordinaten]]),
FIND(",",TRIM(Lose[[#This Row],[Google Koordinaten]])) + 2,9),"")</f>
        <v>13.302190</v>
      </c>
      <c r="N519">
        <f>IF(Lose[[#This Row],[Bahn-hofs-zeit]]=0,0,MROUND(30*25^((Lose[[#This Row],[Bahn-hofs-zeit]]-_xlfn.MINIFS(Lose[Bahn-hofs-zeit],Lose[Bahn-hofs-zeit],"&gt;0"))/(MAX(Lose[Bahn-hofs-zeit])-_xlfn.MINIFS(Lose[Bahn-hofs-zeit],Lose[Bahn-hofs-zeit],"&gt;0"))),5))</f>
        <v>135</v>
      </c>
      <c r="O519">
        <f>IF(Lose[[#This Row],[Gehzeit (min)]]="",0,CEILING(3*(Lose[[#This Row],[Gehzeit (min)]]+Lose[[#This Row],[Aufgaben-zeit (min)]]),5))</f>
        <v>30</v>
      </c>
      <c r="P519">
        <v>8.5</v>
      </c>
      <c r="Q519">
        <f>IFERROR(ROUND(Lose[[#This Row],[Distanz (km)]]*60/Lose[[#This Row],[Gehzeit (min)]],1),"")</f>
        <v>4</v>
      </c>
      <c r="R5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0.16</v>
      </c>
      <c r="S519">
        <f>IFERROR(Lose[[#This Row],[Distanz (km)]]-Lose[[#This Row],[Check Distanz]],"")</f>
        <v>4.0000000000000008E-2</v>
      </c>
      <c r="T519" s="60">
        <f>IFERROR(Lose[[#This Row],[Check Umweg]]/Lose[[#This Row],[Check Distanz]],"")</f>
        <v>0.25000000000000006</v>
      </c>
      <c r="U519">
        <f ca="1">IF(RIGHT(Lose[[#This Row],[LosID]],1)="b",_xlfn.XLOOKUP(REPLACE(Lose[[#This Row],[LosID]],LEN(Lose[[#This Row],[LosID]]),1,"a"),Lose[LosID],Lose[Zufallszahl],"",0),RAND())</f>
        <v>0.82969303276353523</v>
      </c>
      <c r="V519" t="b" cm="1">
        <f t="array" aca="1" ref="V519" ca="1">Lose[[#This Row],[Zufallszahl]]&gt;=IFERROR(LARGE((LEFT(Lose[LosID],FIND("-",Lose[LosID])-1)=LEFT(Lose[[#This Row],[LosID]],FIND("-",Lose[[#This Row],[LosID]])-1))*Lose[Zufallszahl],_xlfn.XLOOKUP(LEFT(Lose[[#This Row],[LosID]],FIND("-",Lose[[#This Row],[LosID]])-1),Ziehungsanzahl[Kürzel],Ziehungsanzahl[Kontingent],FALSE,0)),9999)</f>
        <v>0</v>
      </c>
    </row>
    <row r="520" spans="1:23" ht="105" hidden="1">
      <c r="A5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0" t="s">
        <v>23403</v>
      </c>
      <c r="C520" s="75" t="s">
        <v>25016</v>
      </c>
      <c r="D520" s="1" t="s">
        <v>25017</v>
      </c>
      <c r="E520" t="s">
        <v>25018</v>
      </c>
      <c r="F520" t="s">
        <v>25019</v>
      </c>
      <c r="G520">
        <v>9</v>
      </c>
      <c r="H520">
        <v>3</v>
      </c>
      <c r="I520">
        <v>0.65</v>
      </c>
      <c r="J520">
        <v>10</v>
      </c>
      <c r="K520" t="str" cm="1">
        <f t="array" ref="K5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Frankfurt(M)Hauptwache</v>
      </c>
      <c r="L520" t="str">
        <f>IFERROR(LEFT(TRIM(Lose[[#This Row],[Google Koordinaten]]),9),"")</f>
        <v>50.111077</v>
      </c>
      <c r="M520" t="str">
        <f>IFERROR(MID(TRIM(Lose[[#This Row],[Google Koordinaten]]),
FIND(",",TRIM(Lose[[#This Row],[Google Koordinaten]])) + 2,9),"")</f>
        <v>8.6836077</v>
      </c>
      <c r="N520">
        <f>IF(Lose[[#This Row],[Bahn-hofs-zeit]]=0,0,MROUND(30*25^((Lose[[#This Row],[Bahn-hofs-zeit]]-_xlfn.MINIFS(Lose[Bahn-hofs-zeit],Lose[Bahn-hofs-zeit],"&gt;0"))/(MAX(Lose[Bahn-hofs-zeit])-_xlfn.MINIFS(Lose[Bahn-hofs-zeit],Lose[Bahn-hofs-zeit],"&gt;0"))),5))</f>
        <v>35</v>
      </c>
      <c r="O520">
        <f>IF(Lose[[#This Row],[Gehzeit (min)]]="",0,CEILING(3*(Lose[[#This Row],[Gehzeit (min)]]+Lose[[#This Row],[Aufgaben-zeit (min)]]),5))</f>
        <v>40</v>
      </c>
      <c r="P520">
        <v>3.75</v>
      </c>
      <c r="Q520">
        <f>IFERROR(ROUND(Lose[[#This Row],[Distanz (km)]]*60/Lose[[#This Row],[Gehzeit (min)]],1),"")</f>
        <v>4.3</v>
      </c>
      <c r="R5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520">
        <f>IFERROR(Lose[[#This Row],[Distanz (km)]]-Lose[[#This Row],[Check Distanz]],"")</f>
        <v>0.19</v>
      </c>
      <c r="T520" s="60">
        <f>IFERROR(Lose[[#This Row],[Check Umweg]]/Lose[[#This Row],[Check Distanz]],"")</f>
        <v>0.41304347826086957</v>
      </c>
      <c r="U520">
        <f ca="1">IF(RIGHT(Lose[[#This Row],[LosID]],1)="b",_xlfn.XLOOKUP(REPLACE(Lose[[#This Row],[LosID]],LEN(Lose[[#This Row],[LosID]]),1,"a"),Lose[LosID],Lose[Zufallszahl],"",0),RAND())</f>
        <v>8.6399091911419812E-2</v>
      </c>
      <c r="V520" t="b" cm="1">
        <f t="array" aca="1" ref="V520" ca="1">Lose[[#This Row],[Zufallszahl]]&gt;=IFERROR(LARGE((LEFT(Lose[LosID],FIND("-",Lose[LosID])-1)=LEFT(Lose[[#This Row],[LosID]],FIND("-",Lose[[#This Row],[LosID]])-1))*Lose[Zufallszahl],_xlfn.XLOOKUP(LEFT(Lose[[#This Row],[LosID]],FIND("-",Lose[[#This Row],[LosID]])-1),Ziehungsanzahl[Kürzel],Ziehungsanzahl[Kontingent],FALSE,0)),9999)</f>
        <v>0</v>
      </c>
    </row>
    <row r="521" spans="1:23" ht="255" hidden="1" customHeight="1">
      <c r="A5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1" t="s">
        <v>23403</v>
      </c>
      <c r="C521" s="76" t="s">
        <v>25020</v>
      </c>
      <c r="D521" s="1" t="s">
        <v>25021</v>
      </c>
      <c r="E521" t="s">
        <v>25022</v>
      </c>
      <c r="F521" s="77" t="s">
        <v>25023</v>
      </c>
      <c r="G521">
        <v>13</v>
      </c>
      <c r="H521">
        <v>1</v>
      </c>
      <c r="I521">
        <v>0.95</v>
      </c>
      <c r="K521" t="str" cm="1">
        <f t="array" ref="K5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Coesfeld(Westf)</v>
      </c>
      <c r="L521" t="str">
        <f>IFERROR(LEFT(TRIM(Lose[[#This Row],[Google Koordinaten]]),9),"")</f>
        <v>51.944569</v>
      </c>
      <c r="M521" t="str">
        <f>IFERROR(MID(TRIM(Lose[[#This Row],[Google Koordinaten]]),
FIND(",",TRIM(Lose[[#This Row],[Google Koordinaten]])) + 2,9),"")</f>
        <v>7.1688222</v>
      </c>
      <c r="N521">
        <f>IF(Lose[[#This Row],[Bahn-hofs-zeit]]=0,0,MROUND(30*25^((Lose[[#This Row],[Bahn-hofs-zeit]]-_xlfn.MINIFS(Lose[Bahn-hofs-zeit],Lose[Bahn-hofs-zeit],"&gt;0"))/(MAX(Lose[Bahn-hofs-zeit])-_xlfn.MINIFS(Lose[Bahn-hofs-zeit],Lose[Bahn-hofs-zeit],"&gt;0"))),5))</f>
        <v>45</v>
      </c>
      <c r="O521">
        <f>IF(Lose[[#This Row],[Gehzeit (min)]]="",0,CEILING(3*(Lose[[#This Row],[Gehzeit (min)]]+Lose[[#This Row],[Aufgaben-zeit (min)]]),5))</f>
        <v>45</v>
      </c>
      <c r="P521">
        <v>4.75</v>
      </c>
      <c r="Q521">
        <f>IFERROR(ROUND(Lose[[#This Row],[Distanz (km)]]*60/Lose[[#This Row],[Gehzeit (min)]],1),"")</f>
        <v>4.4000000000000004</v>
      </c>
      <c r="R5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521">
        <f>IFERROR(Lose[[#This Row],[Distanz (km)]]-Lose[[#This Row],[Check Distanz]],"")</f>
        <v>0.30999999999999994</v>
      </c>
      <c r="T521" s="60">
        <f>IFERROR(Lose[[#This Row],[Check Umweg]]/Lose[[#This Row],[Check Distanz]],"")</f>
        <v>0.48437499999999989</v>
      </c>
      <c r="U521">
        <f ca="1">IF(RIGHT(Lose[[#This Row],[LosID]],1)="b",_xlfn.XLOOKUP(REPLACE(Lose[[#This Row],[LosID]],LEN(Lose[[#This Row],[LosID]]),1,"a"),Lose[LosID],Lose[Zufallszahl],"",0),RAND())</f>
        <v>0.44525371921195522</v>
      </c>
      <c r="V521" t="b" cm="1">
        <f t="array" aca="1" ref="V521" ca="1">Lose[[#This Row],[Zufallszahl]]&gt;=IFERROR(LARGE((LEFT(Lose[LosID],FIND("-",Lose[LosID])-1)=LEFT(Lose[[#This Row],[LosID]],FIND("-",Lose[[#This Row],[LosID]])-1))*Lose[Zufallszahl],_xlfn.XLOOKUP(LEFT(Lose[[#This Row],[LosID]],FIND("-",Lose[[#This Row],[LosID]])-1),Ziehungsanzahl[Kürzel],Ziehungsanzahl[Kontingent],FALSE,0)),9999)</f>
        <v>0</v>
      </c>
    </row>
    <row r="522" spans="1:23" hidden="1">
      <c r="A5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2" t="s">
        <v>23390</v>
      </c>
      <c r="C522" t="s">
        <v>25024</v>
      </c>
      <c r="D522" s="1" t="s">
        <v>25025</v>
      </c>
      <c r="E522" t="s">
        <v>25026</v>
      </c>
      <c r="F522" t="s">
        <v>25027</v>
      </c>
      <c r="G522">
        <v>6</v>
      </c>
      <c r="H522">
        <v>2</v>
      </c>
      <c r="I522">
        <v>0.45</v>
      </c>
      <c r="K522" t="str" cm="1">
        <f t="array" ref="K5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Eckernförde</v>
      </c>
      <c r="L522" t="str">
        <f>IFERROR(LEFT(TRIM(Lose[[#This Row],[Google Koordinaten]]),9),"")</f>
        <v>54.469281</v>
      </c>
      <c r="M522" t="str">
        <f>IFERROR(MID(TRIM(Lose[[#This Row],[Google Koordinaten]]),
FIND(",",TRIM(Lose[[#This Row],[Google Koordinaten]])) + 2,9),"")</f>
        <v>9.8405360</v>
      </c>
      <c r="N522">
        <f>IF(Lose[[#This Row],[Bahn-hofs-zeit]]=0,0,MROUND(30*25^((Lose[[#This Row],[Bahn-hofs-zeit]]-_xlfn.MINIFS(Lose[Bahn-hofs-zeit],Lose[Bahn-hofs-zeit],"&gt;0"))/(MAX(Lose[Bahn-hofs-zeit])-_xlfn.MINIFS(Lose[Bahn-hofs-zeit],Lose[Bahn-hofs-zeit],"&gt;0"))),5))</f>
        <v>275</v>
      </c>
      <c r="O522">
        <f>IF(Lose[[#This Row],[Gehzeit (min)]]="",0,CEILING(3*(Lose[[#This Row],[Gehzeit (min)]]+Lose[[#This Row],[Aufgaben-zeit (min)]]),5))</f>
        <v>25</v>
      </c>
      <c r="P522">
        <v>11</v>
      </c>
      <c r="Q522">
        <f>IFERROR(ROUND(Lose[[#This Row],[Distanz (km)]]*60/Lose[[#This Row],[Gehzeit (min)]],1),"")</f>
        <v>4.5</v>
      </c>
      <c r="R5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522">
        <f>IFERROR(Lose[[#This Row],[Distanz (km)]]-Lose[[#This Row],[Check Distanz]],"")</f>
        <v>4.9999999999999989E-2</v>
      </c>
      <c r="T522" s="60">
        <f>IFERROR(Lose[[#This Row],[Check Umweg]]/Lose[[#This Row],[Check Distanz]],"")</f>
        <v>0.12499999999999997</v>
      </c>
      <c r="U522">
        <f ca="1">IF(RIGHT(Lose[[#This Row],[LosID]],1)="b",_xlfn.XLOOKUP(REPLACE(Lose[[#This Row],[LosID]],LEN(Lose[[#This Row],[LosID]]),1,"a"),Lose[LosID],Lose[Zufallszahl],"",0),RAND())</f>
        <v>0.10820130094108937</v>
      </c>
      <c r="V522" t="b" cm="1">
        <f t="array" aca="1" ref="V522" ca="1">Lose[[#This Row],[Zufallszahl]]&gt;=IFERROR(LARGE((LEFT(Lose[LosID],FIND("-",Lose[LosID])-1)=LEFT(Lose[[#This Row],[LosID]],FIND("-",Lose[[#This Row],[LosID]])-1))*Lose[Zufallszahl],_xlfn.XLOOKUP(LEFT(Lose[[#This Row],[LosID]],FIND("-",Lose[[#This Row],[LosID]])-1),Ziehungsanzahl[Kürzel],Ziehungsanzahl[Kontingent],FALSE,0)),9999)</f>
        <v>0</v>
      </c>
    </row>
    <row r="523" spans="1:23" ht="30" hidden="1">
      <c r="A5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3" t="s">
        <v>23390</v>
      </c>
      <c r="C523" t="s">
        <v>25028</v>
      </c>
      <c r="D523" s="1" t="s">
        <v>25029</v>
      </c>
      <c r="E523" t="s">
        <v>25030</v>
      </c>
      <c r="F523" t="s">
        <v>25031</v>
      </c>
      <c r="G523">
        <v>9</v>
      </c>
      <c r="H523">
        <v>5</v>
      </c>
      <c r="I523">
        <v>0.65</v>
      </c>
      <c r="K523" t="str" cm="1">
        <f t="array" ref="K5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Schönberger Strand</v>
      </c>
      <c r="L523" t="str">
        <f>IFERROR(LEFT(TRIM(Lose[[#This Row],[Google Koordinaten]]),9),"")</f>
        <v>54.415062</v>
      </c>
      <c r="M523" t="str">
        <f>IFERROR(MID(TRIM(Lose[[#This Row],[Google Koordinaten]]),
FIND(",",TRIM(Lose[[#This Row],[Google Koordinaten]])) + 2,9),"")</f>
        <v>10.414220</v>
      </c>
      <c r="N523">
        <f>IF(Lose[[#This Row],[Bahn-hofs-zeit]]=0,0,MROUND(30*25^((Lose[[#This Row],[Bahn-hofs-zeit]]-_xlfn.MINIFS(Lose[Bahn-hofs-zeit],Lose[Bahn-hofs-zeit],"&gt;0"))/(MAX(Lose[Bahn-hofs-zeit])-_xlfn.MINIFS(Lose[Bahn-hofs-zeit],Lose[Bahn-hofs-zeit],"&gt;0"))),5))</f>
        <v>490</v>
      </c>
      <c r="O523">
        <f>IF(Lose[[#This Row],[Gehzeit (min)]]="",0,CEILING(3*(Lose[[#This Row],[Gehzeit (min)]]+Lose[[#This Row],[Aufgaben-zeit (min)]]),5))</f>
        <v>45</v>
      </c>
      <c r="P523">
        <v>13</v>
      </c>
      <c r="Q523">
        <f>IFERROR(ROUND(Lose[[#This Row],[Distanz (km)]]*60/Lose[[#This Row],[Gehzeit (min)]],1),"")</f>
        <v>4.3</v>
      </c>
      <c r="R5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523">
        <f>IFERROR(Lose[[#This Row],[Distanz (km)]]-Lose[[#This Row],[Check Distanz]],"")</f>
        <v>0.16000000000000003</v>
      </c>
      <c r="T523" s="60">
        <f>IFERROR(Lose[[#This Row],[Check Umweg]]/Lose[[#This Row],[Check Distanz]],"")</f>
        <v>0.32653061224489804</v>
      </c>
      <c r="U523">
        <f ca="1">IF(RIGHT(Lose[[#This Row],[LosID]],1)="b",_xlfn.XLOOKUP(REPLACE(Lose[[#This Row],[LosID]],LEN(Lose[[#This Row],[LosID]]),1,"a"),Lose[LosID],Lose[Zufallszahl],"",0),RAND())</f>
        <v>0.20769877193425068</v>
      </c>
      <c r="V523" t="b" cm="1">
        <f t="array" aca="1" ref="V523" ca="1">Lose[[#This Row],[Zufallszahl]]&gt;=IFERROR(LARGE((LEFT(Lose[LosID],FIND("-",Lose[LosID])-1)=LEFT(Lose[[#This Row],[LosID]],FIND("-",Lose[[#This Row],[LosID]])-1))*Lose[Zufallszahl],_xlfn.XLOOKUP(LEFT(Lose[[#This Row],[LosID]],FIND("-",Lose[[#This Row],[LosID]])-1),Ziehungsanzahl[Kürzel],Ziehungsanzahl[Kontingent],FALSE,0)),9999)</f>
        <v>0</v>
      </c>
    </row>
    <row r="524" spans="1:23" ht="30" hidden="1">
      <c r="A5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4" t="s">
        <v>23390</v>
      </c>
      <c r="C524" t="s">
        <v>1484</v>
      </c>
      <c r="D524" s="1" t="s">
        <v>25032</v>
      </c>
      <c r="E524" t="s">
        <v>25033</v>
      </c>
      <c r="F524" t="s">
        <v>25034</v>
      </c>
      <c r="G524">
        <v>11</v>
      </c>
      <c r="H524">
        <v>2</v>
      </c>
      <c r="I524">
        <v>0.8</v>
      </c>
      <c r="K524" t="str" cm="1">
        <f t="array" ref="K5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Rendsburg</v>
      </c>
      <c r="L524" t="str">
        <f>IFERROR(LEFT(TRIM(Lose[[#This Row],[Google Koordinaten]]),9),"")</f>
        <v>54.306169</v>
      </c>
      <c r="M524" t="str">
        <f>IFERROR(MID(TRIM(Lose[[#This Row],[Google Koordinaten]]),
FIND(",",TRIM(Lose[[#This Row],[Google Koordinaten]])) + 2,9),"")</f>
        <v>9.6621564</v>
      </c>
      <c r="N524">
        <f>IF(Lose[[#This Row],[Bahn-hofs-zeit]]=0,0,MROUND(30*25^((Lose[[#This Row],[Bahn-hofs-zeit]]-_xlfn.MINIFS(Lose[Bahn-hofs-zeit],Lose[Bahn-hofs-zeit],"&gt;0"))/(MAX(Lose[Bahn-hofs-zeit])-_xlfn.MINIFS(Lose[Bahn-hofs-zeit],Lose[Bahn-hofs-zeit],"&gt;0"))),5))</f>
        <v>220</v>
      </c>
      <c r="O524">
        <f>IF(Lose[[#This Row],[Gehzeit (min)]]="",0,CEILING(3*(Lose[[#This Row],[Gehzeit (min)]]+Lose[[#This Row],[Aufgaben-zeit (min)]]),5))</f>
        <v>40</v>
      </c>
      <c r="P524">
        <v>10.25</v>
      </c>
      <c r="Q524">
        <f>IFERROR(ROUND(Lose[[#This Row],[Distanz (km)]]*60/Lose[[#This Row],[Gehzeit (min)]],1),"")</f>
        <v>4.4000000000000004</v>
      </c>
      <c r="R5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524">
        <f>IFERROR(Lose[[#This Row],[Distanz (km)]]-Lose[[#This Row],[Check Distanz]],"")</f>
        <v>7.0000000000000062E-2</v>
      </c>
      <c r="T524" s="60">
        <f>IFERROR(Lose[[#This Row],[Check Umweg]]/Lose[[#This Row],[Check Distanz]],"")</f>
        <v>9.5890410958904201E-2</v>
      </c>
      <c r="U524">
        <f ca="1">IF(RIGHT(Lose[[#This Row],[LosID]],1)="b",_xlfn.XLOOKUP(REPLACE(Lose[[#This Row],[LosID]],LEN(Lose[[#This Row],[LosID]]),1,"a"),Lose[LosID],Lose[Zufallszahl],"",0),RAND())</f>
        <v>0.26840052198317044</v>
      </c>
      <c r="V524" t="b" cm="1">
        <f t="array" aca="1" ref="V524" ca="1">Lose[[#This Row],[Zufallszahl]]&gt;=IFERROR(LARGE((LEFT(Lose[LosID],FIND("-",Lose[LosID])-1)=LEFT(Lose[[#This Row],[LosID]],FIND("-",Lose[[#This Row],[LosID]])-1))*Lose[Zufallszahl],_xlfn.XLOOKUP(LEFT(Lose[[#This Row],[LosID]],FIND("-",Lose[[#This Row],[LosID]])-1),Ziehungsanzahl[Kürzel],Ziehungsanzahl[Kontingent],FALSE,0)),9999)</f>
        <v>0</v>
      </c>
    </row>
    <row r="525" spans="1:23" ht="90" hidden="1">
      <c r="A5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5" t="s">
        <v>23372</v>
      </c>
      <c r="C525" t="s">
        <v>1485</v>
      </c>
      <c r="D525" s="1" t="s">
        <v>25035</v>
      </c>
      <c r="E525" t="s">
        <v>25036</v>
      </c>
      <c r="F525" t="s">
        <v>25037</v>
      </c>
      <c r="G525">
        <v>17</v>
      </c>
      <c r="H525">
        <v>5</v>
      </c>
      <c r="I525">
        <v>1.2</v>
      </c>
      <c r="K525" t="str" cm="1">
        <f t="array" ref="K5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Neustadt(Saale)</v>
      </c>
      <c r="L525" t="str">
        <f>IFERROR(LEFT(TRIM(Lose[[#This Row],[Google Koordinaten]]),9),"")</f>
        <v>50.323079</v>
      </c>
      <c r="M525" t="str">
        <f>IFERROR(MID(TRIM(Lose[[#This Row],[Google Koordinaten]]),
FIND(",",TRIM(Lose[[#This Row],[Google Koordinaten]])) + 2,9),"")</f>
        <v>10.215723</v>
      </c>
      <c r="N525">
        <f>IF(Lose[[#This Row],[Bahn-hofs-zeit]]=0,0,MROUND(30*25^((Lose[[#This Row],[Bahn-hofs-zeit]]-_xlfn.MINIFS(Lose[Bahn-hofs-zeit],Lose[Bahn-hofs-zeit],"&gt;0"))/(MAX(Lose[Bahn-hofs-zeit])-_xlfn.MINIFS(Lose[Bahn-hofs-zeit],Lose[Bahn-hofs-zeit],"&gt;0"))),5))</f>
        <v>135</v>
      </c>
      <c r="O525">
        <f>IF(Lose[[#This Row],[Gehzeit (min)]]="",0,CEILING(3*(Lose[[#This Row],[Gehzeit (min)]]+Lose[[#This Row],[Aufgaben-zeit (min)]]),5))</f>
        <v>70</v>
      </c>
      <c r="P525">
        <v>8.5</v>
      </c>
      <c r="Q525">
        <f>IFERROR(ROUND(Lose[[#This Row],[Distanz (km)]]*60/Lose[[#This Row],[Gehzeit (min)]],1),"")</f>
        <v>4.2</v>
      </c>
      <c r="R5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525">
        <f>IFERROR(Lose[[#This Row],[Distanz (km)]]-Lose[[#This Row],[Check Distanz]],"")</f>
        <v>0.26999999999999991</v>
      </c>
      <c r="T525" s="60">
        <f>IFERROR(Lose[[#This Row],[Check Umweg]]/Lose[[#This Row],[Check Distanz]],"")</f>
        <v>0.2903225806451612</v>
      </c>
      <c r="U525">
        <f ca="1">IF(RIGHT(Lose[[#This Row],[LosID]],1)="b",_xlfn.XLOOKUP(REPLACE(Lose[[#This Row],[LosID]],LEN(Lose[[#This Row],[LosID]]),1,"a"),Lose[LosID],Lose[Zufallszahl],"",0),RAND())</f>
        <v>0.1459025773742888</v>
      </c>
      <c r="V525" t="b" cm="1">
        <f t="array" aca="1" ref="V525" ca="1">Lose[[#This Row],[Zufallszahl]]&gt;=IFERROR(LARGE((LEFT(Lose[LosID],FIND("-",Lose[LosID])-1)=LEFT(Lose[[#This Row],[LosID]],FIND("-",Lose[[#This Row],[LosID]])-1))*Lose[Zufallszahl],_xlfn.XLOOKUP(LEFT(Lose[[#This Row],[LosID]],FIND("-",Lose[[#This Row],[LosID]])-1),Ziehungsanzahl[Kürzel],Ziehungsanzahl[Kontingent],FALSE,0)),9999)</f>
        <v>0</v>
      </c>
    </row>
    <row r="526" spans="1:23" ht="90" hidden="1">
      <c r="A5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6" t="s">
        <v>23372</v>
      </c>
      <c r="C526" t="s">
        <v>25038</v>
      </c>
      <c r="D526" s="78" t="s">
        <v>25039</v>
      </c>
      <c r="E526" t="s">
        <v>25040</v>
      </c>
      <c r="F526" t="s">
        <v>25041</v>
      </c>
      <c r="G526">
        <v>26</v>
      </c>
      <c r="H526">
        <v>1</v>
      </c>
      <c r="I526">
        <v>1.9</v>
      </c>
      <c r="J526">
        <v>15</v>
      </c>
      <c r="K526" t="str" cm="1">
        <f t="array" ref="K5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 Hbf</v>
      </c>
      <c r="L526" t="str">
        <f>IFERROR(LEFT(TRIM(Lose[[#This Row],[Google Koordinaten]]),9),"")</f>
        <v>51.436244</v>
      </c>
      <c r="M526" t="str">
        <f>IFERROR(MID(TRIM(Lose[[#This Row],[Google Koordinaten]]),
FIND(",",TRIM(Lose[[#This Row],[Google Koordinaten]])) + 2,9),"")</f>
        <v>6.7578395</v>
      </c>
      <c r="N526">
        <f>IF(Lose[[#This Row],[Bahn-hofs-zeit]]=0,0,MROUND(30*25^((Lose[[#This Row],[Bahn-hofs-zeit]]-_xlfn.MINIFS(Lose[Bahn-hofs-zeit],Lose[Bahn-hofs-zeit],"&gt;0"))/(MAX(Lose[Bahn-hofs-zeit])-_xlfn.MINIFS(Lose[Bahn-hofs-zeit],Lose[Bahn-hofs-zeit],"&gt;0"))),5))</f>
        <v>35</v>
      </c>
      <c r="O526">
        <f>IF(Lose[[#This Row],[Gehzeit (min)]]="",0,CEILING(3*(Lose[[#This Row],[Gehzeit (min)]]+Lose[[#This Row],[Aufgaben-zeit (min)]]),5))</f>
        <v>85</v>
      </c>
      <c r="P526">
        <v>3.75</v>
      </c>
      <c r="Q526">
        <f>IFERROR(ROUND(Lose[[#This Row],[Distanz (km)]]*60/Lose[[#This Row],[Gehzeit (min)]],1),"")</f>
        <v>4.4000000000000004</v>
      </c>
      <c r="R5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1.44</v>
      </c>
      <c r="S526">
        <f>IFERROR(Lose[[#This Row],[Distanz (km)]]-Lose[[#This Row],[Check Distanz]],"")</f>
        <v>0.45999999999999996</v>
      </c>
      <c r="T526" s="60">
        <f>IFERROR(Lose[[#This Row],[Check Umweg]]/Lose[[#This Row],[Check Distanz]],"")</f>
        <v>0.31944444444444442</v>
      </c>
      <c r="U526">
        <f ca="1">IF(RIGHT(Lose[[#This Row],[LosID]],1)="b",_xlfn.XLOOKUP(REPLACE(Lose[[#This Row],[LosID]],LEN(Lose[[#This Row],[LosID]]),1,"a"),Lose[LosID],Lose[Zufallszahl],"",0),RAND())</f>
        <v>0.26578597780051005</v>
      </c>
      <c r="V526" t="b" cm="1">
        <f t="array" aca="1" ref="V526" ca="1">Lose[[#This Row],[Zufallszahl]]&gt;=IFERROR(LARGE((LEFT(Lose[LosID],FIND("-",Lose[LosID])-1)=LEFT(Lose[[#This Row],[LosID]],FIND("-",Lose[[#This Row],[LosID]])-1))*Lose[Zufallszahl],_xlfn.XLOOKUP(LEFT(Lose[[#This Row],[LosID]],FIND("-",Lose[[#This Row],[LosID]])-1),Ziehungsanzahl[Kürzel],Ziehungsanzahl[Kontingent],FALSE,0)),9999)</f>
        <v>0</v>
      </c>
    </row>
    <row r="527" spans="1:23" ht="60" hidden="1">
      <c r="A5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27" t="s">
        <v>23408</v>
      </c>
      <c r="C527" t="s">
        <v>25042</v>
      </c>
      <c r="D527" s="1" t="s">
        <v>25043</v>
      </c>
      <c r="E527" t="s">
        <v>25044</v>
      </c>
      <c r="F527" t="s">
        <v>25045</v>
      </c>
      <c r="G527">
        <v>2</v>
      </c>
      <c r="H527">
        <v>5</v>
      </c>
      <c r="I527">
        <v>0.1</v>
      </c>
      <c r="K527" t="str" cm="1">
        <f t="array" ref="K5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Kleinen</v>
      </c>
      <c r="L527" t="str">
        <f>IFERROR(LEFT(TRIM(Lose[[#This Row],[Google Koordinaten]]),9),"")</f>
        <v>53.766844</v>
      </c>
      <c r="M527" t="str">
        <f>IFERROR(MID(TRIM(Lose[[#This Row],[Google Koordinaten]]),
FIND(",",TRIM(Lose[[#This Row],[Google Koordinaten]])) + 2,9),"")</f>
        <v>11.466569</v>
      </c>
      <c r="N527">
        <f>IF(Lose[[#This Row],[Bahn-hofs-zeit]]=0,0,MROUND(30*25^((Lose[[#This Row],[Bahn-hofs-zeit]]-_xlfn.MINIFS(Lose[Bahn-hofs-zeit],Lose[Bahn-hofs-zeit],"&gt;0"))/(MAX(Lose[Bahn-hofs-zeit])-_xlfn.MINIFS(Lose[Bahn-hofs-zeit],Lose[Bahn-hofs-zeit],"&gt;0"))),5))</f>
        <v>220</v>
      </c>
      <c r="O527">
        <f>IF(Lose[[#This Row],[Gehzeit (min)]]="",0,CEILING(3*(Lose[[#This Row],[Gehzeit (min)]]+Lose[[#This Row],[Aufgaben-zeit (min)]]),5))</f>
        <v>25</v>
      </c>
      <c r="P527">
        <v>10.25</v>
      </c>
      <c r="Q527">
        <f>IFERROR(ROUND(Lose[[#This Row],[Distanz (km)]]*60/Lose[[#This Row],[Gehzeit (min)]],1),"")</f>
        <v>3</v>
      </c>
      <c r="R5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527">
        <f>IFERROR(Lose[[#This Row],[Distanz (km)]]-Lose[[#This Row],[Check Distanz]],"")</f>
        <v>7.0000000000000007E-2</v>
      </c>
      <c r="T527" s="60">
        <f>IFERROR(Lose[[#This Row],[Check Umweg]]/Lose[[#This Row],[Check Distanz]],"")</f>
        <v>2.3333333333333335</v>
      </c>
      <c r="U527">
        <f ca="1">IF(RIGHT(Lose[[#This Row],[LosID]],1)="b",_xlfn.XLOOKUP(REPLACE(Lose[[#This Row],[LosID]],LEN(Lose[[#This Row],[LosID]]),1,"a"),Lose[LosID],Lose[Zufallszahl],"",0),RAND())</f>
        <v>0.44627078941755005</v>
      </c>
      <c r="V527" t="b" cm="1">
        <f t="array" aca="1" ref="V527" ca="1">Lose[[#This Row],[Zufallszahl]]&gt;=IFERROR(LARGE((LEFT(Lose[LosID],FIND("-",Lose[LosID])-1)=LEFT(Lose[[#This Row],[LosID]],FIND("-",Lose[[#This Row],[LosID]])-1))*Lose[Zufallszahl],_xlfn.XLOOKUP(LEFT(Lose[[#This Row],[LosID]],FIND("-",Lose[[#This Row],[LosID]])-1),Ziehungsanzahl[Kürzel],Ziehungsanzahl[Kontingent],FALSE,0)),9999)</f>
        <v>0</v>
      </c>
      <c r="W527" s="1" t="s">
        <v>23362</v>
      </c>
    </row>
    <row r="528" spans="1:23" ht="30" hidden="1">
      <c r="A5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8" t="s">
        <v>23408</v>
      </c>
      <c r="C528" t="s">
        <v>25046</v>
      </c>
      <c r="D528" s="1" t="s">
        <v>25047</v>
      </c>
      <c r="E528" t="s">
        <v>25048</v>
      </c>
      <c r="F528" t="s">
        <v>25049</v>
      </c>
      <c r="G528">
        <v>10</v>
      </c>
      <c r="H528">
        <v>1</v>
      </c>
      <c r="I528">
        <v>0.8</v>
      </c>
      <c r="K528" t="str" cm="1">
        <f t="array" ref="K5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Rödermark-Urberach</v>
      </c>
      <c r="L528" t="str">
        <f>IFERROR(LEFT(TRIM(Lose[[#This Row],[Google Koordinaten]]),9),"")</f>
        <v>49.975282</v>
      </c>
      <c r="M528" t="str">
        <f>IFERROR(MID(TRIM(Lose[[#This Row],[Google Koordinaten]]),
FIND(",",TRIM(Lose[[#This Row],[Google Koordinaten]])) + 2,9),"")</f>
        <v>8.8064709</v>
      </c>
      <c r="N528">
        <f>IF(Lose[[#This Row],[Bahn-hofs-zeit]]=0,0,MROUND(30*25^((Lose[[#This Row],[Bahn-hofs-zeit]]-_xlfn.MINIFS(Lose[Bahn-hofs-zeit],Lose[Bahn-hofs-zeit],"&gt;0"))/(MAX(Lose[Bahn-hofs-zeit])-_xlfn.MINIFS(Lose[Bahn-hofs-zeit],Lose[Bahn-hofs-zeit],"&gt;0"))),5))</f>
        <v>55</v>
      </c>
      <c r="O528">
        <f>IF(Lose[[#This Row],[Gehzeit (min)]]="",0,CEILING(3*(Lose[[#This Row],[Gehzeit (min)]]+Lose[[#This Row],[Aufgaben-zeit (min)]]),5))</f>
        <v>35</v>
      </c>
      <c r="P528">
        <v>5.25</v>
      </c>
      <c r="Q528">
        <f>IFERROR(ROUND(Lose[[#This Row],[Distanz (km)]]*60/Lose[[#This Row],[Gehzeit (min)]],1),"")</f>
        <v>4.8</v>
      </c>
      <c r="R5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528">
        <f>IFERROR(Lose[[#This Row],[Distanz (km)]]-Lose[[#This Row],[Check Distanz]],"")</f>
        <v>0.21000000000000008</v>
      </c>
      <c r="T528" s="60">
        <f>IFERROR(Lose[[#This Row],[Check Umweg]]/Lose[[#This Row],[Check Distanz]],"")</f>
        <v>0.35593220338983067</v>
      </c>
      <c r="U528">
        <f ca="1">IF(RIGHT(Lose[[#This Row],[LosID]],1)="b",_xlfn.XLOOKUP(REPLACE(Lose[[#This Row],[LosID]],LEN(Lose[[#This Row],[LosID]]),1,"a"),Lose[LosID],Lose[Zufallszahl],"",0),RAND())</f>
        <v>0.63284747920427675</v>
      </c>
      <c r="V528" t="b" cm="1">
        <f t="array" aca="1" ref="V528" ca="1">Lose[[#This Row],[Zufallszahl]]&gt;=IFERROR(LARGE((LEFT(Lose[LosID],FIND("-",Lose[LosID])-1)=LEFT(Lose[[#This Row],[LosID]],FIND("-",Lose[[#This Row],[LosID]])-1))*Lose[Zufallszahl],_xlfn.XLOOKUP(LEFT(Lose[[#This Row],[LosID]],FIND("-",Lose[[#This Row],[LosID]])-1),Ziehungsanzahl[Kürzel],Ziehungsanzahl[Kontingent],FALSE,0)),9999)</f>
        <v>0</v>
      </c>
    </row>
    <row r="529" spans="1:23" ht="30" hidden="1">
      <c r="A5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9" t="s">
        <v>23408</v>
      </c>
      <c r="C529" t="s">
        <v>25050</v>
      </c>
      <c r="D529" s="1" t="s">
        <v>25051</v>
      </c>
      <c r="E529" t="s">
        <v>25052</v>
      </c>
      <c r="F529" t="s">
        <v>25053</v>
      </c>
      <c r="G529">
        <v>9</v>
      </c>
      <c r="H529">
        <v>1</v>
      </c>
      <c r="I529">
        <v>0.7</v>
      </c>
      <c r="K529" t="str" cm="1">
        <f t="array" ref="K5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Dortmund-Hörde</v>
      </c>
      <c r="L529" t="str">
        <f>IFERROR(LEFT(TRIM(Lose[[#This Row],[Google Koordinaten]]),9),"")</f>
        <v>51.490206</v>
      </c>
      <c r="M529" t="str">
        <f>IFERROR(MID(TRIM(Lose[[#This Row],[Google Koordinaten]]),
FIND(",",TRIM(Lose[[#This Row],[Google Koordinaten]])) + 2,9),"")</f>
        <v>7.5080046</v>
      </c>
      <c r="N529">
        <f>IF(Lose[[#This Row],[Bahn-hofs-zeit]]=0,0,MROUND(30*25^((Lose[[#This Row],[Bahn-hofs-zeit]]-_xlfn.MINIFS(Lose[Bahn-hofs-zeit],Lose[Bahn-hofs-zeit],"&gt;0"))/(MAX(Lose[Bahn-hofs-zeit])-_xlfn.MINIFS(Lose[Bahn-hofs-zeit],Lose[Bahn-hofs-zeit],"&gt;0"))),5))</f>
        <v>40</v>
      </c>
      <c r="O529">
        <f>IF(Lose[[#This Row],[Gehzeit (min)]]="",0,CEILING(3*(Lose[[#This Row],[Gehzeit (min)]]+Lose[[#This Row],[Aufgaben-zeit (min)]]),5))</f>
        <v>30</v>
      </c>
      <c r="P529">
        <v>4.25</v>
      </c>
      <c r="Q529">
        <f>IFERROR(ROUND(Lose[[#This Row],[Distanz (km)]]*60/Lose[[#This Row],[Gehzeit (min)]],1),"")</f>
        <v>4.7</v>
      </c>
      <c r="R5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529">
        <f>IFERROR(Lose[[#This Row],[Distanz (km)]]-Lose[[#This Row],[Check Distanz]],"")</f>
        <v>8.9999999999999969E-2</v>
      </c>
      <c r="T529" s="60">
        <f>IFERROR(Lose[[#This Row],[Check Umweg]]/Lose[[#This Row],[Check Distanz]],"")</f>
        <v>0.14754098360655732</v>
      </c>
      <c r="U529">
        <f ca="1">IF(RIGHT(Lose[[#This Row],[LosID]],1)="b",_xlfn.XLOOKUP(REPLACE(Lose[[#This Row],[LosID]],LEN(Lose[[#This Row],[LosID]]),1,"a"),Lose[LosID],Lose[Zufallszahl],"",0),RAND())</f>
        <v>0.78859940634646986</v>
      </c>
      <c r="V529" t="b" cm="1">
        <f t="array" aca="1" ref="V529" ca="1">Lose[[#This Row],[Zufallszahl]]&gt;=IFERROR(LARGE((LEFT(Lose[LosID],FIND("-",Lose[LosID])-1)=LEFT(Lose[[#This Row],[LosID]],FIND("-",Lose[[#This Row],[LosID]])-1))*Lose[Zufallszahl],_xlfn.XLOOKUP(LEFT(Lose[[#This Row],[LosID]],FIND("-",Lose[[#This Row],[LosID]])-1),Ziehungsanzahl[Kürzel],Ziehungsanzahl[Kontingent],FALSE,0)),9999)</f>
        <v>0</v>
      </c>
    </row>
    <row r="530" spans="1:23" ht="75" hidden="1">
      <c r="A5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0" t="s">
        <v>23408</v>
      </c>
      <c r="C530" t="s">
        <v>25054</v>
      </c>
      <c r="D530" s="1" t="s">
        <v>25055</v>
      </c>
      <c r="E530" t="s">
        <v>25056</v>
      </c>
      <c r="F530" t="s">
        <v>25057</v>
      </c>
      <c r="G530">
        <v>11</v>
      </c>
      <c r="H530">
        <v>10</v>
      </c>
      <c r="I530">
        <v>0.8</v>
      </c>
      <c r="J530">
        <v>5</v>
      </c>
      <c r="K530" t="str" cm="1">
        <f t="array" ref="K5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Duisburg-Meiderich Süd</v>
      </c>
      <c r="L530" t="str">
        <f>IFERROR(LEFT(TRIM(Lose[[#This Row],[Google Koordinaten]]),9),"")</f>
        <v>51.470722</v>
      </c>
      <c r="M530" t="str">
        <f>IFERROR(MID(TRIM(Lose[[#This Row],[Google Koordinaten]]),
FIND(",",TRIM(Lose[[#This Row],[Google Koordinaten]])) + 2,9),"")</f>
        <v>6.7699160</v>
      </c>
      <c r="N530">
        <f>IF(Lose[[#This Row],[Bahn-hofs-zeit]]=0,0,MROUND(30*25^((Lose[[#This Row],[Bahn-hofs-zeit]]-_xlfn.MINIFS(Lose[Bahn-hofs-zeit],Lose[Bahn-hofs-zeit],"&gt;0"))/(MAX(Lose[Bahn-hofs-zeit])-_xlfn.MINIFS(Lose[Bahn-hofs-zeit],Lose[Bahn-hofs-zeit],"&gt;0"))),5))</f>
        <v>40</v>
      </c>
      <c r="O530">
        <f>IF(Lose[[#This Row],[Gehzeit (min)]]="",0,CEILING(3*(Lose[[#This Row],[Gehzeit (min)]]+Lose[[#This Row],[Aufgaben-zeit (min)]]),5))</f>
        <v>65</v>
      </c>
      <c r="P530">
        <v>4.25</v>
      </c>
      <c r="Q530">
        <f>IFERROR(ROUND(Lose[[#This Row],[Distanz (km)]]*60/Lose[[#This Row],[Gehzeit (min)]],1),"")</f>
        <v>4.4000000000000004</v>
      </c>
      <c r="R5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530">
        <f>IFERROR(Lose[[#This Row],[Distanz (km)]]-Lose[[#This Row],[Check Distanz]],"")</f>
        <v>6.0000000000000053E-2</v>
      </c>
      <c r="T530" s="60">
        <f>IFERROR(Lose[[#This Row],[Check Umweg]]/Lose[[#This Row],[Check Distanz]],"")</f>
        <v>8.1081081081081155E-2</v>
      </c>
      <c r="U530">
        <f ca="1">IF(RIGHT(Lose[[#This Row],[LosID]],1)="b",_xlfn.XLOOKUP(REPLACE(Lose[[#This Row],[LosID]],LEN(Lose[[#This Row],[LosID]]),1,"a"),Lose[LosID],Lose[Zufallszahl],"",0),RAND())</f>
        <v>0.51306985805083472</v>
      </c>
      <c r="V530" t="b" cm="1">
        <f t="array" aca="1" ref="V530" ca="1">Lose[[#This Row],[Zufallszahl]]&gt;=IFERROR(LARGE((LEFT(Lose[LosID],FIND("-",Lose[LosID])-1)=LEFT(Lose[[#This Row],[LosID]],FIND("-",Lose[[#This Row],[LosID]])-1))*Lose[Zufallszahl],_xlfn.XLOOKUP(LEFT(Lose[[#This Row],[LosID]],FIND("-",Lose[[#This Row],[LosID]])-1),Ziehungsanzahl[Kürzel],Ziehungsanzahl[Kontingent],FALSE,0)),9999)</f>
        <v>0</v>
      </c>
    </row>
    <row r="531" spans="1:23" ht="90" hidden="1">
      <c r="A5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1" t="s">
        <v>23380</v>
      </c>
      <c r="C531" t="s">
        <v>25058</v>
      </c>
      <c r="D531" s="1" t="s">
        <v>25059</v>
      </c>
      <c r="E531" t="s">
        <v>25060</v>
      </c>
      <c r="F531" t="s">
        <v>25061</v>
      </c>
      <c r="G531">
        <v>15</v>
      </c>
      <c r="H531">
        <v>10</v>
      </c>
      <c r="I531">
        <v>1.1000000000000001</v>
      </c>
      <c r="J531">
        <v>20</v>
      </c>
      <c r="K531" t="str" cm="1">
        <f t="array" ref="K5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Homburg</v>
      </c>
      <c r="L531" t="str">
        <f>IFERROR(LEFT(TRIM(Lose[[#This Row],[Google Koordinaten]]),9),"")</f>
        <v>50.227973</v>
      </c>
      <c r="M531" t="str">
        <f>IFERROR(MID(TRIM(Lose[[#This Row],[Google Koordinaten]]),
FIND(",",TRIM(Lose[[#This Row],[Google Koordinaten]])) + 2,9),"")</f>
        <v>8.6270948</v>
      </c>
      <c r="N531">
        <f>IF(Lose[[#This Row],[Bahn-hofs-zeit]]=0,0,MROUND(30*25^((Lose[[#This Row],[Bahn-hofs-zeit]]-_xlfn.MINIFS(Lose[Bahn-hofs-zeit],Lose[Bahn-hofs-zeit],"&gt;0"))/(MAX(Lose[Bahn-hofs-zeit])-_xlfn.MINIFS(Lose[Bahn-hofs-zeit],Lose[Bahn-hofs-zeit],"&gt;0"))),5))</f>
        <v>60</v>
      </c>
      <c r="O531">
        <f>IF(Lose[[#This Row],[Gehzeit (min)]]="",0,CEILING(3*(Lose[[#This Row],[Gehzeit (min)]]+Lose[[#This Row],[Aufgaben-zeit (min)]]),5))</f>
        <v>75</v>
      </c>
      <c r="P531">
        <v>5.75</v>
      </c>
      <c r="Q531">
        <f>IFERROR(ROUND(Lose[[#This Row],[Distanz (km)]]*60/Lose[[#This Row],[Gehzeit (min)]],1),"")</f>
        <v>4.4000000000000004</v>
      </c>
      <c r="R5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1.01</v>
      </c>
      <c r="S531">
        <f>IFERROR(Lose[[#This Row],[Distanz (km)]]-Lose[[#This Row],[Check Distanz]],"")</f>
        <v>9.000000000000008E-2</v>
      </c>
      <c r="T531" s="60">
        <f>IFERROR(Lose[[#This Row],[Check Umweg]]/Lose[[#This Row],[Check Distanz]],"")</f>
        <v>8.9108910891089188E-2</v>
      </c>
      <c r="U531">
        <f ca="1">IF(RIGHT(Lose[[#This Row],[LosID]],1)="b",_xlfn.XLOOKUP(REPLACE(Lose[[#This Row],[LosID]],LEN(Lose[[#This Row],[LosID]]),1,"a"),Lose[LosID],Lose[Zufallszahl],"",0),RAND())</f>
        <v>0.58204928979142889</v>
      </c>
      <c r="V531" t="b" cm="1">
        <f t="array" aca="1" ref="V531" ca="1">Lose[[#This Row],[Zufallszahl]]&gt;=IFERROR(LARGE((LEFT(Lose[LosID],FIND("-",Lose[LosID])-1)=LEFT(Lose[[#This Row],[LosID]],FIND("-",Lose[[#This Row],[LosID]])-1))*Lose[Zufallszahl],_xlfn.XLOOKUP(LEFT(Lose[[#This Row],[LosID]],FIND("-",Lose[[#This Row],[LosID]])-1),Ziehungsanzahl[Kürzel],Ziehungsanzahl[Kontingent],FALSE,0)),9999)</f>
        <v>0</v>
      </c>
    </row>
    <row r="532" spans="1:23" ht="30" hidden="1">
      <c r="A5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2" t="s">
        <v>23357</v>
      </c>
      <c r="C532" t="s">
        <v>25062</v>
      </c>
      <c r="D532" s="1" t="s">
        <v>25063</v>
      </c>
      <c r="E532" t="s">
        <v>25064</v>
      </c>
      <c r="F532" t="s">
        <v>25065</v>
      </c>
      <c r="G532">
        <v>9</v>
      </c>
      <c r="H532">
        <v>1</v>
      </c>
      <c r="I532">
        <v>0.6</v>
      </c>
      <c r="J532">
        <v>10</v>
      </c>
      <c r="K532" t="s">
        <v>22955</v>
      </c>
      <c r="L532" t="str">
        <f>IFERROR(LEFT(TRIM(Lose[[#This Row],[Google Koordinaten]]),9),"")</f>
        <v>51.239656</v>
      </c>
      <c r="M532" t="str">
        <f>IFERROR(MID(TRIM(Lose[[#This Row],[Google Koordinaten]]),
FIND(",",TRIM(Lose[[#This Row],[Google Koordinaten]])) + 2,9),"")</f>
        <v>7.1030380</v>
      </c>
      <c r="N532">
        <f>IF(Lose[[#This Row],[Bahn-hofs-zeit]]=0,0,MROUND(30*25^((Lose[[#This Row],[Bahn-hofs-zeit]]-_xlfn.MINIFS(Lose[Bahn-hofs-zeit],Lose[Bahn-hofs-zeit],"&gt;0"))/(MAX(Lose[Bahn-hofs-zeit])-_xlfn.MINIFS(Lose[Bahn-hofs-zeit],Lose[Bahn-hofs-zeit],"&gt;0"))),5))</f>
        <v>45</v>
      </c>
      <c r="O532">
        <f>IF(Lose[[#This Row],[Gehzeit (min)]]="",0,CEILING(3*(Lose[[#This Row],[Gehzeit (min)]]+Lose[[#This Row],[Aufgaben-zeit (min)]]),5))</f>
        <v>30</v>
      </c>
      <c r="P532">
        <v>4.5</v>
      </c>
      <c r="Q532">
        <f>IFERROR(ROUND(Lose[[#This Row],[Distanz (km)]]*60/Lose[[#This Row],[Gehzeit (min)]],1),"")</f>
        <v>4</v>
      </c>
      <c r="R5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532">
        <f>IFERROR(Lose[[#This Row],[Distanz (km)]]-Lose[[#This Row],[Check Distanz]],"")</f>
        <v>8.9999999999999969E-2</v>
      </c>
      <c r="T532" s="60">
        <f>IFERROR(Lose[[#This Row],[Check Umweg]]/Lose[[#This Row],[Check Distanz]],"")</f>
        <v>0.17647058823529405</v>
      </c>
      <c r="U532">
        <f ca="1">IF(RIGHT(Lose[[#This Row],[LosID]],1)="b",_xlfn.XLOOKUP(REPLACE(Lose[[#This Row],[LosID]],LEN(Lose[[#This Row],[LosID]]),1,"a"),Lose[LosID],Lose[Zufallszahl],"",0),RAND())</f>
        <v>0.76846239638009672</v>
      </c>
      <c r="V532" t="b" cm="1">
        <f t="array" aca="1" ref="V532" ca="1">Lose[[#This Row],[Zufallszahl]]&gt;=IFERROR(LARGE((LEFT(Lose[LosID],FIND("-",Lose[LosID])-1)=LEFT(Lose[[#This Row],[LosID]],FIND("-",Lose[[#This Row],[LosID]])-1))*Lose[Zufallszahl],_xlfn.XLOOKUP(LEFT(Lose[[#This Row],[LosID]],FIND("-",Lose[[#This Row],[LosID]])-1),Ziehungsanzahl[Kürzel],Ziehungsanzahl[Kontingent],FALSE,0)),9999)</f>
        <v>0</v>
      </c>
    </row>
    <row r="533" spans="1:23" hidden="1">
      <c r="A5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3" t="s">
        <v>23357</v>
      </c>
      <c r="C533" t="s">
        <v>25066</v>
      </c>
      <c r="D533" s="1" t="s">
        <v>25067</v>
      </c>
      <c r="E533" t="s">
        <v>25068</v>
      </c>
      <c r="F533" t="s">
        <v>25069</v>
      </c>
      <c r="G533">
        <v>20</v>
      </c>
      <c r="H533">
        <v>1</v>
      </c>
      <c r="I533">
        <v>1.5</v>
      </c>
      <c r="K533" t="s">
        <v>19472</v>
      </c>
      <c r="L533" t="str">
        <f>IFERROR(LEFT(TRIM(Lose[[#This Row],[Google Koordinaten]]),9),"")</f>
        <v>51.431321</v>
      </c>
      <c r="M533" t="str">
        <f>IFERROR(MID(TRIM(Lose[[#This Row],[Google Koordinaten]]),
FIND(",",TRIM(Lose[[#This Row],[Google Koordinaten]])) + 2,9),"")</f>
        <v>7.5637708</v>
      </c>
      <c r="N533">
        <f>IF(Lose[[#This Row],[Bahn-hofs-zeit]]=0,0,MROUND(30*25^((Lose[[#This Row],[Bahn-hofs-zeit]]-_xlfn.MINIFS(Lose[Bahn-hofs-zeit],Lose[Bahn-hofs-zeit],"&gt;0"))/(MAX(Lose[Bahn-hofs-zeit])-_xlfn.MINIFS(Lose[Bahn-hofs-zeit],Lose[Bahn-hofs-zeit],"&gt;0"))),5))</f>
        <v>35</v>
      </c>
      <c r="O533">
        <f>IF(Lose[[#This Row],[Gehzeit (min)]]="",0,CEILING(3*(Lose[[#This Row],[Gehzeit (min)]]+Lose[[#This Row],[Aufgaben-zeit (min)]]),5))</f>
        <v>65</v>
      </c>
      <c r="P533">
        <v>3.75</v>
      </c>
      <c r="Q533">
        <f>IFERROR(ROUND(Lose[[#This Row],[Distanz (km)]]*60/Lose[[#This Row],[Gehzeit (min)]],1),"")</f>
        <v>4.5</v>
      </c>
      <c r="R5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1.26</v>
      </c>
      <c r="S533">
        <f>IFERROR(Lose[[#This Row],[Distanz (km)]]-Lose[[#This Row],[Check Distanz]],"")</f>
        <v>0.24</v>
      </c>
      <c r="T533" s="60">
        <f>IFERROR(Lose[[#This Row],[Check Umweg]]/Lose[[#This Row],[Check Distanz]],"")</f>
        <v>0.19047619047619047</v>
      </c>
      <c r="U533">
        <f ca="1">IF(RIGHT(Lose[[#This Row],[LosID]],1)="b",_xlfn.XLOOKUP(REPLACE(Lose[[#This Row],[LosID]],LEN(Lose[[#This Row],[LosID]]),1,"a"),Lose[LosID],Lose[Zufallszahl],"",0),RAND())</f>
        <v>0.79705301705983789</v>
      </c>
      <c r="V533" t="b" cm="1">
        <f t="array" aca="1" ref="V533" ca="1">Lose[[#This Row],[Zufallszahl]]&gt;=IFERROR(LARGE((LEFT(Lose[LosID],FIND("-",Lose[LosID])-1)=LEFT(Lose[[#This Row],[LosID]],FIND("-",Lose[[#This Row],[LosID]])-1))*Lose[Zufallszahl],_xlfn.XLOOKUP(LEFT(Lose[[#This Row],[LosID]],FIND("-",Lose[[#This Row],[LosID]])-1),Ziehungsanzahl[Kürzel],Ziehungsanzahl[Kontingent],FALSE,0)),9999)</f>
        <v>0</v>
      </c>
    </row>
    <row r="534" spans="1:23" hidden="1">
      <c r="A5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4" t="s">
        <v>23390</v>
      </c>
      <c r="C534" t="s">
        <v>1477</v>
      </c>
      <c r="D534" s="1" t="s">
        <v>25070</v>
      </c>
      <c r="E534" t="s">
        <v>25071</v>
      </c>
      <c r="F534" t="s">
        <v>25072</v>
      </c>
      <c r="G534">
        <v>16</v>
      </c>
      <c r="H534">
        <v>2</v>
      </c>
      <c r="I534">
        <v>1.2</v>
      </c>
      <c r="K534" t="str" cm="1">
        <f t="array" ref="K5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Buxtehude</v>
      </c>
      <c r="L534" t="str">
        <f>IFERROR(LEFT(TRIM(Lose[[#This Row],[Google Koordinaten]]),9),"")</f>
        <v>53.476950</v>
      </c>
      <c r="M534" t="str">
        <f>IFERROR(MID(TRIM(Lose[[#This Row],[Google Koordinaten]]),
FIND(",",TRIM(Lose[[#This Row],[Google Koordinaten]])) + 2,9),"")</f>
        <v>9.7021807</v>
      </c>
      <c r="N534">
        <f>IF(Lose[[#This Row],[Bahn-hofs-zeit]]=0,0,MROUND(30*25^((Lose[[#This Row],[Bahn-hofs-zeit]]-_xlfn.MINIFS(Lose[Bahn-hofs-zeit],Lose[Bahn-hofs-zeit],"&gt;0"))/(MAX(Lose[Bahn-hofs-zeit])-_xlfn.MINIFS(Lose[Bahn-hofs-zeit],Lose[Bahn-hofs-zeit],"&gt;0"))),5))</f>
        <v>100</v>
      </c>
      <c r="O534">
        <f>IF(Lose[[#This Row],[Gehzeit (min)]]="",0,CEILING(3*(Lose[[#This Row],[Gehzeit (min)]]+Lose[[#This Row],[Aufgaben-zeit (min)]]),5))</f>
        <v>55</v>
      </c>
      <c r="P534">
        <v>7.5</v>
      </c>
      <c r="Q534">
        <f>IFERROR(ROUND(Lose[[#This Row],[Distanz (km)]]*60/Lose[[#This Row],[Gehzeit (min)]],1),"")</f>
        <v>4.5</v>
      </c>
      <c r="R5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534">
        <f>IFERROR(Lose[[#This Row],[Distanz (km)]]-Lose[[#This Row],[Check Distanz]],"")</f>
        <v>3.0000000000000027E-2</v>
      </c>
      <c r="T534" s="60">
        <f>IFERROR(Lose[[#This Row],[Check Umweg]]/Lose[[#This Row],[Check Distanz]],"")</f>
        <v>2.5641025641025664E-2</v>
      </c>
      <c r="U534">
        <f ca="1">IF(RIGHT(Lose[[#This Row],[LosID]],1)="b",_xlfn.XLOOKUP(REPLACE(Lose[[#This Row],[LosID]],LEN(Lose[[#This Row],[LosID]]),1,"a"),Lose[LosID],Lose[Zufallszahl],"",0),RAND())</f>
        <v>0.27800868562535574</v>
      </c>
      <c r="V534" t="b" cm="1">
        <f t="array" aca="1" ref="V534" ca="1">Lose[[#This Row],[Zufallszahl]]&gt;=IFERROR(LARGE((LEFT(Lose[LosID],FIND("-",Lose[LosID])-1)=LEFT(Lose[[#This Row],[LosID]],FIND("-",Lose[[#This Row],[LosID]])-1))*Lose[Zufallszahl],_xlfn.XLOOKUP(LEFT(Lose[[#This Row],[LosID]],FIND("-",Lose[[#This Row],[LosID]])-1),Ziehungsanzahl[Kürzel],Ziehungsanzahl[Kontingent],FALSE,0)),9999)</f>
        <v>0</v>
      </c>
    </row>
    <row r="535" spans="1:23" ht="60" hidden="1">
      <c r="A5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35" t="s">
        <v>23357</v>
      </c>
      <c r="C535" t="s">
        <v>25073</v>
      </c>
      <c r="D535" s="1" t="s">
        <v>25074</v>
      </c>
      <c r="E535" t="s">
        <v>25075</v>
      </c>
      <c r="F535" t="s">
        <v>25076</v>
      </c>
      <c r="G535">
        <v>2</v>
      </c>
      <c r="H535">
        <v>1</v>
      </c>
      <c r="I535">
        <v>0.1</v>
      </c>
      <c r="K535" t="str" cm="1">
        <f t="array" ref="K5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Mayschoß</v>
      </c>
      <c r="L535" t="str">
        <f>IFERROR(LEFT(TRIM(Lose[[#This Row],[Google Koordinaten]]),9),"")</f>
        <v>50.517546</v>
      </c>
      <c r="M535" t="str">
        <f>IFERROR(MID(TRIM(Lose[[#This Row],[Google Koordinaten]]),
FIND(",",TRIM(Lose[[#This Row],[Google Koordinaten]])) + 2,9),"")</f>
        <v>7.0202237</v>
      </c>
      <c r="N535">
        <f>IF(Lose[[#This Row],[Bahn-hofs-zeit]]=0,0,MROUND(30*25^((Lose[[#This Row],[Bahn-hofs-zeit]]-_xlfn.MINIFS(Lose[Bahn-hofs-zeit],Lose[Bahn-hofs-zeit],"&gt;0"))/(MAX(Lose[Bahn-hofs-zeit])-_xlfn.MINIFS(Lose[Bahn-hofs-zeit],Lose[Bahn-hofs-zeit],"&gt;0"))),5))</f>
        <v>95</v>
      </c>
      <c r="O535">
        <f>IF(Lose[[#This Row],[Gehzeit (min)]]="",0,CEILING(3*(Lose[[#This Row],[Gehzeit (min)]]+Lose[[#This Row],[Aufgaben-zeit (min)]]),5))</f>
        <v>10</v>
      </c>
      <c r="P535">
        <v>7.25</v>
      </c>
      <c r="Q535">
        <f>IFERROR(ROUND(Lose[[#This Row],[Distanz (km)]]*60/Lose[[#This Row],[Gehzeit (min)]],1),"")</f>
        <v>3</v>
      </c>
      <c r="R5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535">
        <f>IFERROR(Lose[[#This Row],[Distanz (km)]]-Lose[[#This Row],[Check Distanz]],"")</f>
        <v>6.0000000000000005E-2</v>
      </c>
      <c r="T535" s="60">
        <f>IFERROR(Lose[[#This Row],[Check Umweg]]/Lose[[#This Row],[Check Distanz]],"")</f>
        <v>1.5</v>
      </c>
      <c r="U535">
        <f ca="1">IF(RIGHT(Lose[[#This Row],[LosID]],1)="b",_xlfn.XLOOKUP(REPLACE(Lose[[#This Row],[LosID]],LEN(Lose[[#This Row],[LosID]]),1,"a"),Lose[LosID],Lose[Zufallszahl],"",0),RAND())</f>
        <v>0.90942708989994536</v>
      </c>
      <c r="V535" t="b" cm="1">
        <f t="array" aca="1" ref="V535" ca="1">Lose[[#This Row],[Zufallszahl]]&gt;=IFERROR(LARGE((LEFT(Lose[LosID],FIND("-",Lose[LosID])-1)=LEFT(Lose[[#This Row],[LosID]],FIND("-",Lose[[#This Row],[LosID]])-1))*Lose[Zufallszahl],_xlfn.XLOOKUP(LEFT(Lose[[#This Row],[LosID]],FIND("-",Lose[[#This Row],[LosID]])-1),Ziehungsanzahl[Kürzel],Ziehungsanzahl[Kontingent],FALSE,0)),9999)</f>
        <v>0</v>
      </c>
      <c r="W535" t="s">
        <v>23362</v>
      </c>
    </row>
    <row r="536" spans="1:23" ht="30" hidden="1">
      <c r="A5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6" t="s">
        <v>23357</v>
      </c>
      <c r="C536" t="s">
        <v>25077</v>
      </c>
      <c r="D536" s="1" t="s">
        <v>25078</v>
      </c>
      <c r="E536" t="s">
        <v>25079</v>
      </c>
      <c r="F536" t="s">
        <v>25080</v>
      </c>
      <c r="G536">
        <v>6</v>
      </c>
      <c r="H536">
        <v>1</v>
      </c>
      <c r="I536">
        <v>0.4</v>
      </c>
      <c r="J536">
        <v>10</v>
      </c>
      <c r="K536" t="str" cm="1">
        <f t="array" ref="K5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Hamburg-Neugraben</v>
      </c>
      <c r="L536" t="str">
        <f>IFERROR(LEFT(TRIM(Lose[[#This Row],[Google Koordinaten]]),9),"")</f>
        <v>53.475262</v>
      </c>
      <c r="M536" t="str">
        <f>IFERROR(MID(TRIM(Lose[[#This Row],[Google Koordinaten]]),
FIND(",",TRIM(Lose[[#This Row],[Google Koordinaten]])) + 2,9),"")</f>
        <v>9.8493391</v>
      </c>
      <c r="N536">
        <f>IF(Lose[[#This Row],[Bahn-hofs-zeit]]=0,0,MROUND(30*25^((Lose[[#This Row],[Bahn-hofs-zeit]]-_xlfn.MINIFS(Lose[Bahn-hofs-zeit],Lose[Bahn-hofs-zeit],"&gt;0"))/(MAX(Lose[Bahn-hofs-zeit])-_xlfn.MINIFS(Lose[Bahn-hofs-zeit],Lose[Bahn-hofs-zeit],"&gt;0"))),5))</f>
        <v>90</v>
      </c>
      <c r="O536">
        <f>IF(Lose[[#This Row],[Gehzeit (min)]]="",0,CEILING(3*(Lose[[#This Row],[Gehzeit (min)]]+Lose[[#This Row],[Aufgaben-zeit (min)]]),5))</f>
        <v>25</v>
      </c>
      <c r="P536">
        <v>7</v>
      </c>
      <c r="Q536">
        <f>IFERROR(ROUND(Lose[[#This Row],[Distanz (km)]]*60/Lose[[#This Row],[Gehzeit (min)]],1),"")</f>
        <v>4</v>
      </c>
      <c r="R5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536">
        <f>IFERROR(Lose[[#This Row],[Distanz (km)]]-Lose[[#This Row],[Check Distanz]],"")</f>
        <v>0.18000000000000002</v>
      </c>
      <c r="T536" s="60">
        <f>IFERROR(Lose[[#This Row],[Check Umweg]]/Lose[[#This Row],[Check Distanz]],"")</f>
        <v>0.81818181818181823</v>
      </c>
      <c r="U536">
        <f ca="1">IF(RIGHT(Lose[[#This Row],[LosID]],1)="b",_xlfn.XLOOKUP(REPLACE(Lose[[#This Row],[LosID]],LEN(Lose[[#This Row],[LosID]]),1,"a"),Lose[LosID],Lose[Zufallszahl],"",0),RAND())</f>
        <v>0.53173324962987767</v>
      </c>
      <c r="V536" t="b" cm="1">
        <f t="array" aca="1" ref="V536" ca="1">Lose[[#This Row],[Zufallszahl]]&gt;=IFERROR(LARGE((LEFT(Lose[LosID],FIND("-",Lose[LosID])-1)=LEFT(Lose[[#This Row],[LosID]],FIND("-",Lose[[#This Row],[LosID]])-1))*Lose[Zufallszahl],_xlfn.XLOOKUP(LEFT(Lose[[#This Row],[LosID]],FIND("-",Lose[[#This Row],[LosID]])-1),Ziehungsanzahl[Kürzel],Ziehungsanzahl[Kontingent],FALSE,0)),9999)</f>
        <v>0</v>
      </c>
    </row>
    <row r="537" spans="1:23" ht="120" hidden="1">
      <c r="A5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7" t="s">
        <v>23416</v>
      </c>
      <c r="C537" t="s">
        <v>25081</v>
      </c>
      <c r="D537" s="64" t="s">
        <v>25082</v>
      </c>
      <c r="E537" t="s">
        <v>25083</v>
      </c>
      <c r="F537" t="s">
        <v>25084</v>
      </c>
      <c r="G537">
        <v>16</v>
      </c>
      <c r="H537">
        <v>1</v>
      </c>
      <c r="I537">
        <v>1.2</v>
      </c>
      <c r="J537">
        <v>10</v>
      </c>
      <c r="K537" t="str" cm="1">
        <f t="array" ref="K5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Ladenburg</v>
      </c>
      <c r="L537" t="str">
        <f>IFERROR(LEFT(TRIM(Lose[[#This Row],[Google Koordinaten]]),9),"")</f>
        <v>49.464976</v>
      </c>
      <c r="M537" t="str">
        <f>IFERROR(MID(TRIM(Lose[[#This Row],[Google Koordinaten]]),
FIND(",",TRIM(Lose[[#This Row],[Google Koordinaten]])) + 2,9),"")</f>
        <v>8.6061934</v>
      </c>
      <c r="N537">
        <f>IF(Lose[[#This Row],[Bahn-hofs-zeit]]=0,0,MROUND(30*25^((Lose[[#This Row],[Bahn-hofs-zeit]]-_xlfn.MINIFS(Lose[Bahn-hofs-zeit],Lose[Bahn-hofs-zeit],"&gt;0"))/(MAX(Lose[Bahn-hofs-zeit])-_xlfn.MINIFS(Lose[Bahn-hofs-zeit],Lose[Bahn-hofs-zeit],"&gt;0"))),5))</f>
        <v>55</v>
      </c>
      <c r="O537">
        <f>IF(Lose[[#This Row],[Gehzeit (min)]]="",0,CEILING(3*(Lose[[#This Row],[Gehzeit (min)]]+Lose[[#This Row],[Aufgaben-zeit (min)]]),5))</f>
        <v>55</v>
      </c>
      <c r="P537">
        <v>5.5</v>
      </c>
      <c r="Q537">
        <f>IFERROR(ROUND(Lose[[#This Row],[Distanz (km)]]*60/Lose[[#This Row],[Gehzeit (min)]],1),"")</f>
        <v>4.5</v>
      </c>
      <c r="R5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537">
        <f>IFERROR(Lose[[#This Row],[Distanz (km)]]-Lose[[#This Row],[Check Distanz]],"")</f>
        <v>0.1399999999999999</v>
      </c>
      <c r="T537" s="60">
        <f>IFERROR(Lose[[#This Row],[Check Umweg]]/Lose[[#This Row],[Check Distanz]],"")</f>
        <v>0.13207547169811309</v>
      </c>
      <c r="U537">
        <f ca="1">IF(RIGHT(Lose[[#This Row],[LosID]],1)="b",_xlfn.XLOOKUP(REPLACE(Lose[[#This Row],[LosID]],LEN(Lose[[#This Row],[LosID]]),1,"a"),Lose[LosID],Lose[Zufallszahl],"",0),RAND())</f>
        <v>0.29099024049995503</v>
      </c>
      <c r="V537" t="b" cm="1">
        <f t="array" aca="1" ref="V537" ca="1">Lose[[#This Row],[Zufallszahl]]&gt;=IFERROR(LARGE((LEFT(Lose[LosID],FIND("-",Lose[LosID])-1)=LEFT(Lose[[#This Row],[LosID]],FIND("-",Lose[[#This Row],[LosID]])-1))*Lose[Zufallszahl],_xlfn.XLOOKUP(LEFT(Lose[[#This Row],[LosID]],FIND("-",Lose[[#This Row],[LosID]])-1),Ziehungsanzahl[Kürzel],Ziehungsanzahl[Kontingent],FALSE,0)),9999)</f>
        <v>0</v>
      </c>
    </row>
    <row r="538" spans="1:23" ht="135" hidden="1">
      <c r="A5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8" t="s">
        <v>23416</v>
      </c>
      <c r="C538" t="s">
        <v>25085</v>
      </c>
      <c r="D538" s="1" t="s">
        <v>25086</v>
      </c>
      <c r="E538" t="s">
        <v>25087</v>
      </c>
      <c r="F538" t="s">
        <v>25088</v>
      </c>
      <c r="G538">
        <v>3</v>
      </c>
      <c r="H538">
        <v>25</v>
      </c>
      <c r="I538">
        <v>0.22</v>
      </c>
      <c r="J538">
        <v>30</v>
      </c>
      <c r="K538" t="str" cm="1">
        <f t="array" ref="K5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 Süd</v>
      </c>
      <c r="L538" t="str">
        <f>IFERROR(LEFT(TRIM(Lose[[#This Row],[Google Koordinaten]]),9),"")</f>
        <v>50.178688</v>
      </c>
      <c r="M538" t="str">
        <f>IFERROR(MID(TRIM(Lose[[#This Row],[Google Koordinaten]]),
FIND(",",TRIM(Lose[[#This Row],[Google Koordinaten]])) + 2,9),"")</f>
        <v>8.7360403</v>
      </c>
      <c r="N538">
        <f>IF(Lose[[#This Row],[Bahn-hofs-zeit]]=0,0,MROUND(30*25^((Lose[[#This Row],[Bahn-hofs-zeit]]-_xlfn.MINIFS(Lose[Bahn-hofs-zeit],Lose[Bahn-hofs-zeit],"&gt;0"))/(MAX(Lose[Bahn-hofs-zeit])-_xlfn.MINIFS(Lose[Bahn-hofs-zeit],Lose[Bahn-hofs-zeit],"&gt;0"))),5))</f>
        <v>40</v>
      </c>
      <c r="O538">
        <f>IF(Lose[[#This Row],[Gehzeit (min)]]="",0,CEILING(3*(Lose[[#This Row],[Gehzeit (min)]]+Lose[[#This Row],[Aufgaben-zeit (min)]]),5))</f>
        <v>85</v>
      </c>
      <c r="P538">
        <v>4.25</v>
      </c>
      <c r="Q538">
        <f>IFERROR(ROUND(Lose[[#This Row],[Distanz (km)]]*60/Lose[[#This Row],[Gehzeit (min)]],1),"")</f>
        <v>4.4000000000000004</v>
      </c>
      <c r="R5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538">
        <f>IFERROR(Lose[[#This Row],[Distanz (km)]]-Lose[[#This Row],[Check Distanz]],"")</f>
        <v>1.999999999999999E-2</v>
      </c>
      <c r="T538" s="60">
        <f>IFERROR(Lose[[#This Row],[Check Umweg]]/Lose[[#This Row],[Check Distanz]],"")</f>
        <v>9.999999999999995E-2</v>
      </c>
      <c r="U538">
        <f ca="1">IF(RIGHT(Lose[[#This Row],[LosID]],1)="b",_xlfn.XLOOKUP(REPLACE(Lose[[#This Row],[LosID]],LEN(Lose[[#This Row],[LosID]]),1,"a"),Lose[LosID],Lose[Zufallszahl],"",0),RAND())</f>
        <v>0.31574324433446566</v>
      </c>
      <c r="V538" t="b" cm="1">
        <f t="array" aca="1" ref="V538" ca="1">Lose[[#This Row],[Zufallszahl]]&gt;=IFERROR(LARGE((LEFT(Lose[LosID],FIND("-",Lose[LosID])-1)=LEFT(Lose[[#This Row],[LosID]],FIND("-",Lose[[#This Row],[LosID]])-1))*Lose[Zufallszahl],_xlfn.XLOOKUP(LEFT(Lose[[#This Row],[LosID]],FIND("-",Lose[[#This Row],[LosID]])-1),Ziehungsanzahl[Kürzel],Ziehungsanzahl[Kontingent],FALSE,0)),9999)</f>
        <v>0</v>
      </c>
    </row>
    <row r="539" spans="1:23" ht="135" hidden="1">
      <c r="A5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9" t="s">
        <v>23416</v>
      </c>
      <c r="C539" t="s">
        <v>25089</v>
      </c>
      <c r="D539" s="1" t="s">
        <v>25090</v>
      </c>
      <c r="E539" t="s">
        <v>25091</v>
      </c>
      <c r="F539" t="s">
        <v>25092</v>
      </c>
      <c r="G539">
        <v>24</v>
      </c>
      <c r="H539">
        <v>5</v>
      </c>
      <c r="I539">
        <v>1</v>
      </c>
      <c r="J539">
        <v>40</v>
      </c>
      <c r="K539" s="11" t="s">
        <v>16530</v>
      </c>
      <c r="L539" t="str">
        <f>IFERROR(LEFT(TRIM(Lose[[#This Row],[Google Koordinaten]]),9),"")</f>
        <v>50.597708</v>
      </c>
      <c r="M539" t="str">
        <f>IFERROR(MID(TRIM(Lose[[#This Row],[Google Koordinaten]]),
FIND(",",TRIM(Lose[[#This Row],[Google Koordinaten]])) + 2,9),"")</f>
        <v>11.130857</v>
      </c>
      <c r="N539">
        <f>IF(Lose[[#This Row],[Bahn-hofs-zeit]]=0,0,MROUND(30*25^((Lose[[#This Row],[Bahn-hofs-zeit]]-_xlfn.MINIFS(Lose[Bahn-hofs-zeit],Lose[Bahn-hofs-zeit],"&gt;0"))/(MAX(Lose[Bahn-hofs-zeit])-_xlfn.MINIFS(Lose[Bahn-hofs-zeit],Lose[Bahn-hofs-zeit],"&gt;0"))),5))</f>
        <v>220</v>
      </c>
      <c r="O539">
        <f>IF(Lose[[#This Row],[Gehzeit (min)]]="",0,CEILING(3*(Lose[[#This Row],[Gehzeit (min)]]+Lose[[#This Row],[Aufgaben-zeit (min)]]),5))</f>
        <v>90</v>
      </c>
      <c r="P539">
        <v>10.25</v>
      </c>
      <c r="Q539">
        <f>IFERROR(ROUND(Lose[[#This Row],[Distanz (km)]]*60/Lose[[#This Row],[Gehzeit (min)]],1),"")</f>
        <v>2.5</v>
      </c>
      <c r="R5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539">
        <f>IFERROR(Lose[[#This Row],[Distanz (km)]]-Lose[[#This Row],[Check Distanz]],"")</f>
        <v>0.31000000000000005</v>
      </c>
      <c r="T539" s="60">
        <f>IFERROR(Lose[[#This Row],[Check Umweg]]/Lose[[#This Row],[Check Distanz]],"")</f>
        <v>0.44927536231884069</v>
      </c>
      <c r="U539">
        <f ca="1">IF(RIGHT(Lose[[#This Row],[LosID]],1)="b",_xlfn.XLOOKUP(REPLACE(Lose[[#This Row],[LosID]],LEN(Lose[[#This Row],[LosID]]),1,"a"),Lose[LosID],Lose[Zufallszahl],"",0),RAND())</f>
        <v>0.383520613976011</v>
      </c>
      <c r="V539" t="b" cm="1">
        <f t="array" aca="1" ref="V539" ca="1">Lose[[#This Row],[Zufallszahl]]&gt;=IFERROR(LARGE((LEFT(Lose[LosID],FIND("-",Lose[LosID])-1)=LEFT(Lose[[#This Row],[LosID]],FIND("-",Lose[[#This Row],[LosID]])-1))*Lose[Zufallszahl],_xlfn.XLOOKUP(LEFT(Lose[[#This Row],[LosID]],FIND("-",Lose[[#This Row],[LosID]])-1),Ziehungsanzahl[Kürzel],Ziehungsanzahl[Kontingent],FALSE,0)),9999)</f>
        <v>0</v>
      </c>
    </row>
    <row r="540" spans="1:23" ht="105" hidden="1">
      <c r="A5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0" t="s">
        <v>23363</v>
      </c>
      <c r="C540" t="s">
        <v>25093</v>
      </c>
      <c r="D540" s="1" t="s">
        <v>25094</v>
      </c>
      <c r="E540" t="s">
        <v>25095</v>
      </c>
      <c r="F540" t="s">
        <v>25096</v>
      </c>
      <c r="G540">
        <v>26</v>
      </c>
      <c r="H540">
        <v>5</v>
      </c>
      <c r="I540">
        <v>1.9</v>
      </c>
      <c r="J540">
        <v>20</v>
      </c>
      <c r="K540" t="str" cm="1">
        <f t="array" ref="K5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Templin Stadt</v>
      </c>
      <c r="L540" t="str">
        <f>IFERROR(LEFT(TRIM(Lose[[#This Row],[Google Koordinaten]]),9),"")</f>
        <v>53.127789</v>
      </c>
      <c r="M540" t="str">
        <f>IFERROR(MID(TRIM(Lose[[#This Row],[Google Koordinaten]]),
FIND(",",TRIM(Lose[[#This Row],[Google Koordinaten]])) + 2,9),"")</f>
        <v>13.511043</v>
      </c>
      <c r="N540">
        <f>IF(Lose[[#This Row],[Bahn-hofs-zeit]]=0,0,MROUND(30*25^((Lose[[#This Row],[Bahn-hofs-zeit]]-_xlfn.MINIFS(Lose[Bahn-hofs-zeit],Lose[Bahn-hofs-zeit],"&gt;0"))/(MAX(Lose[Bahn-hofs-zeit])-_xlfn.MINIFS(Lose[Bahn-hofs-zeit],Lose[Bahn-hofs-zeit],"&gt;0"))),5))</f>
        <v>395</v>
      </c>
      <c r="O540">
        <f>IF(Lose[[#This Row],[Gehzeit (min)]]="",0,CEILING(3*(Lose[[#This Row],[Gehzeit (min)]]+Lose[[#This Row],[Aufgaben-zeit (min)]]),5))</f>
        <v>95</v>
      </c>
      <c r="P540">
        <v>12.25</v>
      </c>
      <c r="Q540">
        <f>IFERROR(ROUND(Lose[[#This Row],[Distanz (km)]]*60/Lose[[#This Row],[Gehzeit (min)]],1),"")</f>
        <v>4.4000000000000004</v>
      </c>
      <c r="R5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540">
        <f>IFERROR(Lose[[#This Row],[Distanz (km)]]-Lose[[#This Row],[Check Distanz]],"")</f>
        <v>0.7</v>
      </c>
      <c r="T540" s="60">
        <f>IFERROR(Lose[[#This Row],[Check Umweg]]/Lose[[#This Row],[Check Distanz]],"")</f>
        <v>0.58333333333333337</v>
      </c>
      <c r="U540">
        <f ca="1">IF(RIGHT(Lose[[#This Row],[LosID]],1)="b",_xlfn.XLOOKUP(REPLACE(Lose[[#This Row],[LosID]],LEN(Lose[[#This Row],[LosID]]),1,"a"),Lose[LosID],Lose[Zufallszahl],"",0),RAND())</f>
        <v>0.8070372310338958</v>
      </c>
      <c r="V540" t="b" cm="1">
        <f t="array" aca="1" ref="V540" ca="1">Lose[[#This Row],[Zufallszahl]]&gt;=IFERROR(LARGE((LEFT(Lose[LosID],FIND("-",Lose[LosID])-1)=LEFT(Lose[[#This Row],[LosID]],FIND("-",Lose[[#This Row],[LosID]])-1))*Lose[Zufallszahl],_xlfn.XLOOKUP(LEFT(Lose[[#This Row],[LosID]],FIND("-",Lose[[#This Row],[LosID]])-1),Ziehungsanzahl[Kürzel],Ziehungsanzahl[Kontingent],FALSE,0)),9999)</f>
        <v>0</v>
      </c>
    </row>
    <row r="541" spans="1:23" ht="45" hidden="1">
      <c r="A5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1" t="s">
        <v>23363</v>
      </c>
      <c r="C541" t="s">
        <v>25097</v>
      </c>
      <c r="D541" s="1" t="s">
        <v>25098</v>
      </c>
      <c r="E541" t="s">
        <v>25099</v>
      </c>
      <c r="F541" t="s">
        <v>25100</v>
      </c>
      <c r="G541">
        <v>18</v>
      </c>
      <c r="H541">
        <v>5</v>
      </c>
      <c r="I541">
        <v>1.3</v>
      </c>
      <c r="K541" t="str" cm="1">
        <f t="array" ref="K5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Ludwigslust</v>
      </c>
      <c r="L541" t="str">
        <f>IFERROR(LEFT(TRIM(Lose[[#This Row],[Google Koordinaten]]),9),"")</f>
        <v>53.324918</v>
      </c>
      <c r="M541" t="str">
        <f>IFERROR(MID(TRIM(Lose[[#This Row],[Google Koordinaten]]),
FIND(",",TRIM(Lose[[#This Row],[Google Koordinaten]])) + 2,9),"")</f>
        <v>11.487851</v>
      </c>
      <c r="N541">
        <f>IF(Lose[[#This Row],[Bahn-hofs-zeit]]=0,0,MROUND(30*25^((Lose[[#This Row],[Bahn-hofs-zeit]]-_xlfn.MINIFS(Lose[Bahn-hofs-zeit],Lose[Bahn-hofs-zeit],"&gt;0"))/(MAX(Lose[Bahn-hofs-zeit])-_xlfn.MINIFS(Lose[Bahn-hofs-zeit],Lose[Bahn-hofs-zeit],"&gt;0"))),5))</f>
        <v>195</v>
      </c>
      <c r="O541">
        <f>IF(Lose[[#This Row],[Gehzeit (min)]]="",0,CEILING(3*(Lose[[#This Row],[Gehzeit (min)]]+Lose[[#This Row],[Aufgaben-zeit (min)]]),5))</f>
        <v>70</v>
      </c>
      <c r="P541">
        <v>9.75</v>
      </c>
      <c r="Q541">
        <f>IFERROR(ROUND(Lose[[#This Row],[Distanz (km)]]*60/Lose[[#This Row],[Gehzeit (min)]],1),"")</f>
        <v>4.3</v>
      </c>
      <c r="R5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541">
        <f>IFERROR(Lose[[#This Row],[Distanz (km)]]-Lose[[#This Row],[Check Distanz]],"")</f>
        <v>0.13000000000000012</v>
      </c>
      <c r="T541" s="60">
        <f>IFERROR(Lose[[#This Row],[Check Umweg]]/Lose[[#This Row],[Check Distanz]],"")</f>
        <v>0.11111111111111122</v>
      </c>
      <c r="U541">
        <f ca="1">IF(RIGHT(Lose[[#This Row],[LosID]],1)="b",_xlfn.XLOOKUP(REPLACE(Lose[[#This Row],[LosID]],LEN(Lose[[#This Row],[LosID]]),1,"a"),Lose[LosID],Lose[Zufallszahl],"",0),RAND())</f>
        <v>1.0058817314837376E-2</v>
      </c>
      <c r="V541" t="b" cm="1">
        <f t="array" aca="1" ref="V541" ca="1">Lose[[#This Row],[Zufallszahl]]&gt;=IFERROR(LARGE((LEFT(Lose[LosID],FIND("-",Lose[LosID])-1)=LEFT(Lose[[#This Row],[LosID]],FIND("-",Lose[[#This Row],[LosID]])-1))*Lose[Zufallszahl],_xlfn.XLOOKUP(LEFT(Lose[[#This Row],[LosID]],FIND("-",Lose[[#This Row],[LosID]])-1),Ziehungsanzahl[Kürzel],Ziehungsanzahl[Kontingent],FALSE,0)),9999)</f>
        <v>0</v>
      </c>
    </row>
    <row r="542" spans="1:23" ht="195" hidden="1">
      <c r="A5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2" t="s">
        <v>23363</v>
      </c>
      <c r="C542" t="s">
        <v>25101</v>
      </c>
      <c r="D542" s="1" t="s">
        <v>25102</v>
      </c>
      <c r="E542" t="s">
        <v>25103</v>
      </c>
      <c r="F542" t="s">
        <v>25104</v>
      </c>
      <c r="G542">
        <v>12</v>
      </c>
      <c r="H542">
        <v>10</v>
      </c>
      <c r="I542">
        <v>0.9</v>
      </c>
      <c r="J542">
        <v>25</v>
      </c>
      <c r="K542" t="str" cm="1">
        <f t="array" ref="K5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Nördlingen</v>
      </c>
      <c r="L542" t="str">
        <f>IFERROR(LEFT(TRIM(Lose[[#This Row],[Google Koordinaten]]),9),"")</f>
        <v>48.850630</v>
      </c>
      <c r="M542" t="str">
        <f>IFERROR(MID(TRIM(Lose[[#This Row],[Google Koordinaten]]),
FIND(",",TRIM(Lose[[#This Row],[Google Koordinaten]])) + 2,9),"")</f>
        <v>10.488813</v>
      </c>
      <c r="N542">
        <f>IF(Lose[[#This Row],[Bahn-hofs-zeit]]=0,0,MROUND(30*25^((Lose[[#This Row],[Bahn-hofs-zeit]]-_xlfn.MINIFS(Lose[Bahn-hofs-zeit],Lose[Bahn-hofs-zeit],"&gt;0"))/(MAX(Lose[Bahn-hofs-zeit])-_xlfn.MINIFS(Lose[Bahn-hofs-zeit],Lose[Bahn-hofs-zeit],"&gt;0"))),5))</f>
        <v>220</v>
      </c>
      <c r="O542">
        <f>IF(Lose[[#This Row],[Gehzeit (min)]]="",0,CEILING(3*(Lose[[#This Row],[Gehzeit (min)]]+Lose[[#This Row],[Aufgaben-zeit (min)]]),5))</f>
        <v>70</v>
      </c>
      <c r="P542">
        <v>10.25</v>
      </c>
      <c r="Q542">
        <f>IFERROR(ROUND(Lose[[#This Row],[Distanz (km)]]*60/Lose[[#This Row],[Gehzeit (min)]],1),"")</f>
        <v>4.5</v>
      </c>
      <c r="R5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542">
        <f>IFERROR(Lose[[#This Row],[Distanz (km)]]-Lose[[#This Row],[Check Distanz]],"")</f>
        <v>0.24</v>
      </c>
      <c r="T542" s="60">
        <f>IFERROR(Lose[[#This Row],[Check Umweg]]/Lose[[#This Row],[Check Distanz]],"")</f>
        <v>0.36363636363636359</v>
      </c>
      <c r="U542">
        <f ca="1">IF(RIGHT(Lose[[#This Row],[LosID]],1)="b",_xlfn.XLOOKUP(REPLACE(Lose[[#This Row],[LosID]],LEN(Lose[[#This Row],[LosID]]),1,"a"),Lose[LosID],Lose[Zufallszahl],"",0),RAND())</f>
        <v>0.48196676108531711</v>
      </c>
      <c r="V542" t="b" cm="1">
        <f t="array" aca="1" ref="V542" ca="1">Lose[[#This Row],[Zufallszahl]]&gt;=IFERROR(LARGE((LEFT(Lose[LosID],FIND("-",Lose[LosID])-1)=LEFT(Lose[[#This Row],[LosID]],FIND("-",Lose[[#This Row],[LosID]])-1))*Lose[Zufallszahl],_xlfn.XLOOKUP(LEFT(Lose[[#This Row],[LosID]],FIND("-",Lose[[#This Row],[LosID]])-1),Ziehungsanzahl[Kürzel],Ziehungsanzahl[Kontingent],FALSE,0)),9999)</f>
        <v>0</v>
      </c>
    </row>
    <row r="543" spans="1:23" ht="75" hidden="1">
      <c r="A5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3" t="s">
        <v>23380</v>
      </c>
      <c r="C543" t="s">
        <v>25105</v>
      </c>
      <c r="D543" s="1" t="s">
        <v>25106</v>
      </c>
      <c r="E543" t="s">
        <v>25107</v>
      </c>
      <c r="F543" t="s">
        <v>25108</v>
      </c>
      <c r="G543">
        <v>10</v>
      </c>
      <c r="H543">
        <v>2</v>
      </c>
      <c r="I543">
        <v>0.75</v>
      </c>
      <c r="J543">
        <v>10</v>
      </c>
      <c r="K543" t="str" cm="1">
        <f t="array" ref="K5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Dürkheim</v>
      </c>
      <c r="L543" t="str">
        <f>IFERROR(LEFT(TRIM(Lose[[#This Row],[Google Koordinaten]]),9),"")</f>
        <v>49.465409</v>
      </c>
      <c r="M543" t="str">
        <f>IFERROR(MID(TRIM(Lose[[#This Row],[Google Koordinaten]]),
FIND(",",TRIM(Lose[[#This Row],[Google Koordinaten]])) + 2,9),"")</f>
        <v>8.1744848</v>
      </c>
      <c r="N543">
        <f>IF(Lose[[#This Row],[Bahn-hofs-zeit]]=0,0,MROUND(30*25^((Lose[[#This Row],[Bahn-hofs-zeit]]-_xlfn.MINIFS(Lose[Bahn-hofs-zeit],Lose[Bahn-hofs-zeit],"&gt;0"))/(MAX(Lose[Bahn-hofs-zeit])-_xlfn.MINIFS(Lose[Bahn-hofs-zeit],Lose[Bahn-hofs-zeit],"&gt;0"))),5))</f>
        <v>65</v>
      </c>
      <c r="O543">
        <f>IF(Lose[[#This Row],[Gehzeit (min)]]="",0,CEILING(3*(Lose[[#This Row],[Gehzeit (min)]]+Lose[[#This Row],[Aufgaben-zeit (min)]]),5))</f>
        <v>40</v>
      </c>
      <c r="P543">
        <v>6</v>
      </c>
      <c r="Q543">
        <f>IFERROR(ROUND(Lose[[#This Row],[Distanz (km)]]*60/Lose[[#This Row],[Gehzeit (min)]],1),"")</f>
        <v>4.5</v>
      </c>
      <c r="R5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543">
        <f>IFERROR(Lose[[#This Row],[Distanz (km)]]-Lose[[#This Row],[Check Distanz]],"")</f>
        <v>0.15000000000000002</v>
      </c>
      <c r="T543" s="60">
        <f>IFERROR(Lose[[#This Row],[Check Umweg]]/Lose[[#This Row],[Check Distanz]],"")</f>
        <v>0.25000000000000006</v>
      </c>
      <c r="U543">
        <f ca="1">IF(RIGHT(Lose[[#This Row],[LosID]],1)="b",_xlfn.XLOOKUP(REPLACE(Lose[[#This Row],[LosID]],LEN(Lose[[#This Row],[LosID]]),1,"a"),Lose[LosID],Lose[Zufallszahl],"",0),RAND())</f>
        <v>0.43346590842060961</v>
      </c>
      <c r="V543" t="b" cm="1">
        <f t="array" aca="1" ref="V543" ca="1">Lose[[#This Row],[Zufallszahl]]&gt;=IFERROR(LARGE((LEFT(Lose[LosID],FIND("-",Lose[LosID])-1)=LEFT(Lose[[#This Row],[LosID]],FIND("-",Lose[[#This Row],[LosID]])-1))*Lose[Zufallszahl],_xlfn.XLOOKUP(LEFT(Lose[[#This Row],[LosID]],FIND("-",Lose[[#This Row],[LosID]])-1),Ziehungsanzahl[Kürzel],Ziehungsanzahl[Kontingent],FALSE,0)),9999)</f>
        <v>0</v>
      </c>
    </row>
    <row r="544" spans="1:23" ht="75" hidden="1">
      <c r="A5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4" t="s">
        <v>23380</v>
      </c>
      <c r="C544" t="s">
        <v>25109</v>
      </c>
      <c r="D544" s="1" t="s">
        <v>25110</v>
      </c>
      <c r="E544" t="s">
        <v>25111</v>
      </c>
      <c r="F544" t="s">
        <v>25112</v>
      </c>
      <c r="G544">
        <v>14</v>
      </c>
      <c r="H544">
        <v>10</v>
      </c>
      <c r="I544">
        <v>1</v>
      </c>
      <c r="J544">
        <v>20</v>
      </c>
      <c r="K544" t="str" cm="1">
        <f t="array" ref="K5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München-Laim</v>
      </c>
      <c r="L544" t="str">
        <f>IFERROR(LEFT(TRIM(Lose[[#This Row],[Google Koordinaten]]),9),"")</f>
        <v>48.149981</v>
      </c>
      <c r="M544" t="str">
        <f>IFERROR(MID(TRIM(Lose[[#This Row],[Google Koordinaten]]),
FIND(",",TRIM(Lose[[#This Row],[Google Koordinaten]])) + 2,9),"")</f>
        <v>11.511142</v>
      </c>
      <c r="N544">
        <f>IF(Lose[[#This Row],[Bahn-hofs-zeit]]=0,0,MROUND(30*25^((Lose[[#This Row],[Bahn-hofs-zeit]]-_xlfn.MINIFS(Lose[Bahn-hofs-zeit],Lose[Bahn-hofs-zeit],"&gt;0"))/(MAX(Lose[Bahn-hofs-zeit])-_xlfn.MINIFS(Lose[Bahn-hofs-zeit],Lose[Bahn-hofs-zeit],"&gt;0"))),5))</f>
        <v>255</v>
      </c>
      <c r="O544">
        <f>IF(Lose[[#This Row],[Gehzeit (min)]]="",0,CEILING(3*(Lose[[#This Row],[Gehzeit (min)]]+Lose[[#This Row],[Aufgaben-zeit (min)]]),5))</f>
        <v>75</v>
      </c>
      <c r="P544">
        <v>10.75</v>
      </c>
      <c r="Q544">
        <f>IFERROR(ROUND(Lose[[#This Row],[Distanz (km)]]*60/Lose[[#This Row],[Gehzeit (min)]],1),"")</f>
        <v>4.3</v>
      </c>
      <c r="R5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544">
        <f>IFERROR(Lose[[#This Row],[Distanz (km)]]-Lose[[#This Row],[Check Distanz]],"")</f>
        <v>0.17000000000000004</v>
      </c>
      <c r="T544" s="60">
        <f>IFERROR(Lose[[#This Row],[Check Umweg]]/Lose[[#This Row],[Check Distanz]],"")</f>
        <v>0.20481927710843378</v>
      </c>
      <c r="U544">
        <f ca="1">IF(RIGHT(Lose[[#This Row],[LosID]],1)="b",_xlfn.XLOOKUP(REPLACE(Lose[[#This Row],[LosID]],LEN(Lose[[#This Row],[LosID]]),1,"a"),Lose[LosID],Lose[Zufallszahl],"",0),RAND())</f>
        <v>0.89963646957874199</v>
      </c>
      <c r="V544" t="b" cm="1">
        <f t="array" aca="1" ref="V544" ca="1">Lose[[#This Row],[Zufallszahl]]&gt;=IFERROR(LARGE((LEFT(Lose[LosID],FIND("-",Lose[LosID])-1)=LEFT(Lose[[#This Row],[LosID]],FIND("-",Lose[[#This Row],[LosID]])-1))*Lose[Zufallszahl],_xlfn.XLOOKUP(LEFT(Lose[[#This Row],[LosID]],FIND("-",Lose[[#This Row],[LosID]])-1),Ziehungsanzahl[Kürzel],Ziehungsanzahl[Kontingent],FALSE,0)),9999)</f>
        <v>0</v>
      </c>
    </row>
    <row r="545" spans="1:23" ht="60" hidden="1">
      <c r="A5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5" t="s">
        <v>4</v>
      </c>
      <c r="C545" t="s">
        <v>1478</v>
      </c>
      <c r="D545" s="1" t="s">
        <v>25113</v>
      </c>
      <c r="E545" t="s">
        <v>25114</v>
      </c>
      <c r="F545" t="s">
        <v>25115</v>
      </c>
      <c r="G545">
        <v>16</v>
      </c>
      <c r="H545">
        <v>1</v>
      </c>
      <c r="I545">
        <v>1.2</v>
      </c>
      <c r="J545">
        <v>10</v>
      </c>
      <c r="K545" t="str" cm="1">
        <f t="array" ref="K5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Lübeck-Travemünde Strand</v>
      </c>
      <c r="L545" t="str">
        <f>IFERROR(LEFT(TRIM(Lose[[#This Row],[Google Koordinaten]]),9),"")</f>
        <v>53.961976</v>
      </c>
      <c r="M545" t="str">
        <f>IFERROR(MID(TRIM(Lose[[#This Row],[Google Koordinaten]]),
FIND(",",TRIM(Lose[[#This Row],[Google Koordinaten]])) + 2,9),"")</f>
        <v>10.889142</v>
      </c>
      <c r="N545">
        <f>IF(Lose[[#This Row],[Bahn-hofs-zeit]]=0,0,MROUND(30*25^((Lose[[#This Row],[Bahn-hofs-zeit]]-_xlfn.MINIFS(Lose[Bahn-hofs-zeit],Lose[Bahn-hofs-zeit],"&gt;0"))/(MAX(Lose[Bahn-hofs-zeit])-_xlfn.MINIFS(Lose[Bahn-hofs-zeit],Lose[Bahn-hofs-zeit],"&gt;0"))),5))</f>
        <v>180</v>
      </c>
      <c r="O545">
        <f>IF(Lose[[#This Row],[Gehzeit (min)]]="",0,CEILING(3*(Lose[[#This Row],[Gehzeit (min)]]+Lose[[#This Row],[Aufgaben-zeit (min)]]),5))</f>
        <v>55</v>
      </c>
      <c r="P545">
        <v>9.5</v>
      </c>
      <c r="Q545">
        <f>IFERROR(ROUND(Lose[[#This Row],[Distanz (km)]]*60/Lose[[#This Row],[Gehzeit (min)]],1),"")</f>
        <v>4.5</v>
      </c>
      <c r="R5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545">
        <f>IFERROR(Lose[[#This Row],[Distanz (km)]]-Lose[[#This Row],[Check Distanz]],"")</f>
        <v>0.26</v>
      </c>
      <c r="T545" s="60">
        <f>IFERROR(Lose[[#This Row],[Check Umweg]]/Lose[[#This Row],[Check Distanz]],"")</f>
        <v>0.27659574468085107</v>
      </c>
      <c r="U545">
        <f ca="1">IF(RIGHT(Lose[[#This Row],[LosID]],1)="b",_xlfn.XLOOKUP(REPLACE(Lose[[#This Row],[LosID]],LEN(Lose[[#This Row],[LosID]]),1,"a"),Lose[LosID],Lose[Zufallszahl],"",0),RAND())</f>
        <v>0.9254241551299226</v>
      </c>
      <c r="V545" t="b" cm="1">
        <f t="array" aca="1" ref="V545" ca="1">Lose[[#This Row],[Zufallszahl]]&gt;=IFERROR(LARGE((LEFT(Lose[LosID],FIND("-",Lose[LosID])-1)=LEFT(Lose[[#This Row],[LosID]],FIND("-",Lose[[#This Row],[LosID]])-1))*Lose[Zufallszahl],_xlfn.XLOOKUP(LEFT(Lose[[#This Row],[LosID]],FIND("-",Lose[[#This Row],[LosID]])-1),Ziehungsanzahl[Kürzel],Ziehungsanzahl[Kontingent],FALSE,0)),9999)</f>
        <v>0</v>
      </c>
    </row>
    <row r="546" spans="1:23" ht="60" hidden="1">
      <c r="A5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6" t="s">
        <v>23380</v>
      </c>
      <c r="C546" t="s">
        <v>25116</v>
      </c>
      <c r="D546" s="1" t="s">
        <v>25117</v>
      </c>
      <c r="E546" t="s">
        <v>25118</v>
      </c>
      <c r="F546" s="11" t="s">
        <v>25119</v>
      </c>
      <c r="G546" s="11" t="s">
        <v>25120</v>
      </c>
      <c r="H546">
        <v>15</v>
      </c>
      <c r="K546" t="str" cm="1">
        <f t="array" ref="K5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546" t="str">
        <f>IFERROR(LEFT(TRIM(Lose[[#This Row],[Google Koordinaten]]),9),"")</f>
        <v>52.029261</v>
      </c>
      <c r="M546" t="str">
        <f>IFERROR(MID(TRIM(Lose[[#This Row],[Google Koordinaten]]),
FIND(",",TRIM(Lose[[#This Row],[Google Koordinaten]])) + 2,9),"")</f>
        <v>8.532723</v>
      </c>
      <c r="N546">
        <f>IF(Lose[[#This Row],[Bahn-hofs-zeit]]=0,0,MROUND(30*25^((Lose[[#This Row],[Bahn-hofs-zeit]]-_xlfn.MINIFS(Lose[Bahn-hofs-zeit],Lose[Bahn-hofs-zeit],"&gt;0"))/(MAX(Lose[Bahn-hofs-zeit])-_xlfn.MINIFS(Lose[Bahn-hofs-zeit],Lose[Bahn-hofs-zeit],"&gt;0"))),5))</f>
        <v>50</v>
      </c>
      <c r="O546">
        <f>IF(Lose[[#This Row],[Gehzeit (min)]]="",0,CEILING(3*(Lose[[#This Row],[Gehzeit (min)]]+Lose[[#This Row],[Aufgaben-zeit (min)]]),5))</f>
        <v>50</v>
      </c>
      <c r="P546">
        <v>5</v>
      </c>
      <c r="Q546">
        <f>IFERROR(ROUND(Lose[[#This Row],[Distanz (km)]]*60/Lose[[#This Row],[Gehzeit (min)]],1),"")</f>
        <v>0</v>
      </c>
      <c r="R5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46">
        <f>IFERROR(Lose[[#This Row],[Distanz (km)]]-Lose[[#This Row],[Check Distanz]],"")</f>
        <v>0</v>
      </c>
      <c r="T546" s="60" t="str">
        <f>IFERROR(Lose[[#This Row],[Check Umweg]]/Lose[[#This Row],[Check Distanz]],"")</f>
        <v/>
      </c>
      <c r="U546">
        <f ca="1">IF(RIGHT(Lose[[#This Row],[LosID]],1)="b",_xlfn.XLOOKUP(REPLACE(Lose[[#This Row],[LosID]],LEN(Lose[[#This Row],[LosID]]),1,"a"),Lose[LosID],Lose[Zufallszahl],"",0),RAND())</f>
        <v>0.23067915383859983</v>
      </c>
      <c r="V546" t="b" cm="1">
        <f t="array" aca="1" ref="V546" ca="1">Lose[[#This Row],[Zufallszahl]]&gt;=IFERROR(LARGE((LEFT(Lose[LosID],FIND("-",Lose[LosID])-1)=LEFT(Lose[[#This Row],[LosID]],FIND("-",Lose[[#This Row],[LosID]])-1))*Lose[Zufallszahl],_xlfn.XLOOKUP(LEFT(Lose[[#This Row],[LosID]],FIND("-",Lose[[#This Row],[LosID]])-1),Ziehungsanzahl[Kürzel],Ziehungsanzahl[Kontingent],FALSE,0)),9999)</f>
        <v>0</v>
      </c>
    </row>
    <row r="547" spans="1:23" ht="90" hidden="1">
      <c r="A5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7" t="s">
        <v>23380</v>
      </c>
      <c r="C547" t="s">
        <v>25121</v>
      </c>
      <c r="D547" s="1" t="s">
        <v>25122</v>
      </c>
      <c r="E547" t="s">
        <v>25123</v>
      </c>
      <c r="F547" t="s">
        <v>25124</v>
      </c>
      <c r="G547">
        <v>9</v>
      </c>
      <c r="H547">
        <v>5</v>
      </c>
      <c r="I547">
        <v>0.65</v>
      </c>
      <c r="K547" t="str" cm="1">
        <f t="array" ref="K5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Konstanz</v>
      </c>
      <c r="L547" t="str">
        <f>IFERROR(LEFT(TRIM(Lose[[#This Row],[Google Koordinaten]]),9),"")</f>
        <v>47.655502</v>
      </c>
      <c r="M547" t="str">
        <f>IFERROR(MID(TRIM(Lose[[#This Row],[Google Koordinaten]]),
FIND(",",TRIM(Lose[[#This Row],[Google Koordinaten]])) + 2,9),"")</f>
        <v>9.173160</v>
      </c>
      <c r="N547">
        <f>IF(Lose[[#This Row],[Bahn-hofs-zeit]]=0,0,MROUND(30*25^((Lose[[#This Row],[Bahn-hofs-zeit]]-_xlfn.MINIFS(Lose[Bahn-hofs-zeit],Lose[Bahn-hofs-zeit],"&gt;0"))/(MAX(Lose[Bahn-hofs-zeit])-_xlfn.MINIFS(Lose[Bahn-hofs-zeit],Lose[Bahn-hofs-zeit],"&gt;0"))),5))</f>
        <v>395</v>
      </c>
      <c r="O547">
        <f>IF(Lose[[#This Row],[Gehzeit (min)]]="",0,CEILING(3*(Lose[[#This Row],[Gehzeit (min)]]+Lose[[#This Row],[Aufgaben-zeit (min)]]),5))</f>
        <v>45</v>
      </c>
      <c r="P547">
        <v>12.25</v>
      </c>
      <c r="Q547">
        <f>IFERROR(ROUND(Lose[[#This Row],[Distanz (km)]]*60/Lose[[#This Row],[Gehzeit (min)]],1),"")</f>
        <v>4.3</v>
      </c>
      <c r="R5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547">
        <f>IFERROR(Lose[[#This Row],[Distanz (km)]]-Lose[[#This Row],[Check Distanz]],"")</f>
        <v>0.17000000000000004</v>
      </c>
      <c r="T547" s="60">
        <f>IFERROR(Lose[[#This Row],[Check Umweg]]/Lose[[#This Row],[Check Distanz]],"")</f>
        <v>0.35416666666666674</v>
      </c>
      <c r="U547">
        <f ca="1">IF(RIGHT(Lose[[#This Row],[LosID]],1)="b",_xlfn.XLOOKUP(REPLACE(Lose[[#This Row],[LosID]],LEN(Lose[[#This Row],[LosID]]),1,"a"),Lose[LosID],Lose[Zufallszahl],"",0),RAND())</f>
        <v>0.62795119513338982</v>
      </c>
      <c r="V547" t="b" cm="1">
        <f t="array" aca="1" ref="V547" ca="1">Lose[[#This Row],[Zufallszahl]]&gt;=IFERROR(LARGE((LEFT(Lose[LosID],FIND("-",Lose[LosID])-1)=LEFT(Lose[[#This Row],[LosID]],FIND("-",Lose[[#This Row],[LosID]])-1))*Lose[Zufallszahl],_xlfn.XLOOKUP(LEFT(Lose[[#This Row],[LosID]],FIND("-",Lose[[#This Row],[LosID]])-1),Ziehungsanzahl[Kürzel],Ziehungsanzahl[Kontingent],FALSE,0)),9999)</f>
        <v>0</v>
      </c>
    </row>
    <row r="548" spans="1:23" ht="90" hidden="1">
      <c r="A5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8" t="s">
        <v>23380</v>
      </c>
      <c r="C548" t="s">
        <v>25125</v>
      </c>
      <c r="D548" s="1" t="s">
        <v>25126</v>
      </c>
      <c r="E548" t="s">
        <v>25127</v>
      </c>
      <c r="F548" t="s">
        <v>25128</v>
      </c>
      <c r="G548">
        <v>12</v>
      </c>
      <c r="H548">
        <v>5</v>
      </c>
      <c r="I548">
        <v>0.8</v>
      </c>
      <c r="J548">
        <v>10</v>
      </c>
      <c r="K548" t="str" cm="1">
        <f t="array" ref="K5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Siegburg/Bonn</v>
      </c>
      <c r="L548" t="str">
        <f>IFERROR(LEFT(TRIM(Lose[[#This Row],[Google Koordinaten]]),9),"")</f>
        <v>50.790429</v>
      </c>
      <c r="M548" t="str">
        <f>IFERROR(MID(TRIM(Lose[[#This Row],[Google Koordinaten]]),
FIND(",",TRIM(Lose[[#This Row],[Google Koordinaten]])) + 2,9),"")</f>
        <v>7.1978518</v>
      </c>
      <c r="N548">
        <f>IF(Lose[[#This Row],[Bahn-hofs-zeit]]=0,0,MROUND(30*25^((Lose[[#This Row],[Bahn-hofs-zeit]]-_xlfn.MINIFS(Lose[Bahn-hofs-zeit],Lose[Bahn-hofs-zeit],"&gt;0"))/(MAX(Lose[Bahn-hofs-zeit])-_xlfn.MINIFS(Lose[Bahn-hofs-zeit],Lose[Bahn-hofs-zeit],"&gt;0"))),5))</f>
        <v>35</v>
      </c>
      <c r="O548">
        <f>IF(Lose[[#This Row],[Gehzeit (min)]]="",0,CEILING(3*(Lose[[#This Row],[Gehzeit (min)]]+Lose[[#This Row],[Aufgaben-zeit (min)]]),5))</f>
        <v>55</v>
      </c>
      <c r="P548">
        <v>3.75</v>
      </c>
      <c r="Q548">
        <f>IFERROR(ROUND(Lose[[#This Row],[Distanz (km)]]*60/Lose[[#This Row],[Gehzeit (min)]],1),"")</f>
        <v>4</v>
      </c>
      <c r="R5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548">
        <f>IFERROR(Lose[[#This Row],[Distanz (km)]]-Lose[[#This Row],[Check Distanz]],"")</f>
        <v>0.27</v>
      </c>
      <c r="T548" s="60">
        <f>IFERROR(Lose[[#This Row],[Check Umweg]]/Lose[[#This Row],[Check Distanz]],"")</f>
        <v>0.50943396226415094</v>
      </c>
      <c r="U548">
        <f ca="1">IF(RIGHT(Lose[[#This Row],[LosID]],1)="b",_xlfn.XLOOKUP(REPLACE(Lose[[#This Row],[LosID]],LEN(Lose[[#This Row],[LosID]]),1,"a"),Lose[LosID],Lose[Zufallszahl],"",0),RAND())</f>
        <v>0.57267822587198081</v>
      </c>
      <c r="V548" t="b" cm="1">
        <f t="array" aca="1" ref="V548" ca="1">Lose[[#This Row],[Zufallszahl]]&gt;=IFERROR(LARGE((LEFT(Lose[LosID],FIND("-",Lose[LosID])-1)=LEFT(Lose[[#This Row],[LosID]],FIND("-",Lose[[#This Row],[LosID]])-1))*Lose[Zufallszahl],_xlfn.XLOOKUP(LEFT(Lose[[#This Row],[LosID]],FIND("-",Lose[[#This Row],[LosID]])-1),Ziehungsanzahl[Kürzel],Ziehungsanzahl[Kontingent],FALSE,0)),9999)</f>
        <v>0</v>
      </c>
    </row>
    <row r="549" spans="1:23" ht="75" hidden="1">
      <c r="A5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49" t="s">
        <v>23394</v>
      </c>
      <c r="C549" t="s">
        <v>25129</v>
      </c>
      <c r="D549" s="1" t="s">
        <v>25130</v>
      </c>
      <c r="E549" t="s">
        <v>25131</v>
      </c>
      <c r="F549" t="s">
        <v>25132</v>
      </c>
      <c r="G549">
        <v>2</v>
      </c>
      <c r="H549">
        <v>2</v>
      </c>
      <c r="I549">
        <v>0.1</v>
      </c>
      <c r="J549">
        <v>2</v>
      </c>
      <c r="K549" t="str" cm="1">
        <f t="array" ref="K5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Erkner (S)</v>
      </c>
      <c r="L549" t="str">
        <f>IFERROR(LEFT(TRIM(Lose[[#This Row],[Google Koordinaten]]),9),"")</f>
        <v>52.429047</v>
      </c>
      <c r="M549" t="str">
        <f>IFERROR(MID(TRIM(Lose[[#This Row],[Google Koordinaten]]),
FIND(",",TRIM(Lose[[#This Row],[Google Koordinaten]])) + 2,9),"")</f>
        <v>13.752155</v>
      </c>
      <c r="N549">
        <f>IF(Lose[[#This Row],[Bahn-hofs-zeit]]=0,0,MROUND(30*25^((Lose[[#This Row],[Bahn-hofs-zeit]]-_xlfn.MINIFS(Lose[Bahn-hofs-zeit],Lose[Bahn-hofs-zeit],"&gt;0"))/(MAX(Lose[Bahn-hofs-zeit])-_xlfn.MINIFS(Lose[Bahn-hofs-zeit],Lose[Bahn-hofs-zeit],"&gt;0"))),5))</f>
        <v>195</v>
      </c>
      <c r="O549">
        <f>IF(Lose[[#This Row],[Gehzeit (min)]]="",0,CEILING(3*(Lose[[#This Row],[Gehzeit (min)]]+Lose[[#This Row],[Aufgaben-zeit (min)]]),5))</f>
        <v>15</v>
      </c>
      <c r="P549">
        <v>9.75</v>
      </c>
      <c r="Q549">
        <f>IFERROR(ROUND(Lose[[#This Row],[Distanz (km)]]*60/Lose[[#This Row],[Gehzeit (min)]],1),"")</f>
        <v>3</v>
      </c>
      <c r="R5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549">
        <f>IFERROR(Lose[[#This Row],[Distanz (km)]]-Lose[[#This Row],[Check Distanz]],"")</f>
        <v>7.0000000000000007E-2</v>
      </c>
      <c r="T549" s="60">
        <f>IFERROR(Lose[[#This Row],[Check Umweg]]/Lose[[#This Row],[Check Distanz]],"")</f>
        <v>2.3333333333333335</v>
      </c>
      <c r="U549">
        <f ca="1">IF(RIGHT(Lose[[#This Row],[LosID]],1)="b",_xlfn.XLOOKUP(REPLACE(Lose[[#This Row],[LosID]],LEN(Lose[[#This Row],[LosID]]),1,"a"),Lose[LosID],Lose[Zufallszahl],"",0),RAND())</f>
        <v>0.14232993285159801</v>
      </c>
      <c r="V549" t="b" cm="1">
        <f t="array" aca="1" ref="V549" ca="1">Lose[[#This Row],[Zufallszahl]]&gt;=IFERROR(LARGE((LEFT(Lose[LosID],FIND("-",Lose[LosID])-1)=LEFT(Lose[[#This Row],[LosID]],FIND("-",Lose[[#This Row],[LosID]])-1))*Lose[Zufallszahl],_xlfn.XLOOKUP(LEFT(Lose[[#This Row],[LosID]],FIND("-",Lose[[#This Row],[LosID]])-1),Ziehungsanzahl[Kürzel],Ziehungsanzahl[Kontingent],FALSE,0)),9999)</f>
        <v>0</v>
      </c>
      <c r="W549" t="s">
        <v>23362</v>
      </c>
    </row>
    <row r="550" spans="1:23" ht="90" hidden="1">
      <c r="A5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0" t="s">
        <v>23394</v>
      </c>
      <c r="C550" t="s">
        <v>25133</v>
      </c>
      <c r="D550" s="1" t="s">
        <v>25134</v>
      </c>
      <c r="E550" t="s">
        <v>25135</v>
      </c>
      <c r="F550" t="s">
        <v>25136</v>
      </c>
      <c r="G550">
        <v>18</v>
      </c>
      <c r="H550">
        <v>2</v>
      </c>
      <c r="I550">
        <v>1.4</v>
      </c>
      <c r="J550">
        <v>20</v>
      </c>
      <c r="K550" t="str" cm="1">
        <f t="array" ref="K5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Möttingen</v>
      </c>
      <c r="L550" t="str">
        <f>IFERROR(LEFT(TRIM(Lose[[#This Row],[Google Koordinaten]]),9),"")</f>
        <v>48.809253</v>
      </c>
      <c r="M550" t="str">
        <f>IFERROR(MID(TRIM(Lose[[#This Row],[Google Koordinaten]]),
FIND(",",TRIM(Lose[[#This Row],[Google Koordinaten]])) + 2,9),"")</f>
        <v>10.611068</v>
      </c>
      <c r="N550">
        <f>IF(Lose[[#This Row],[Bahn-hofs-zeit]]=0,0,MROUND(30*25^((Lose[[#This Row],[Bahn-hofs-zeit]]-_xlfn.MINIFS(Lose[Bahn-hofs-zeit],Lose[Bahn-hofs-zeit],"&gt;0"))/(MAX(Lose[Bahn-hofs-zeit])-_xlfn.MINIFS(Lose[Bahn-hofs-zeit],Lose[Bahn-hofs-zeit],"&gt;0"))),5))</f>
        <v>255</v>
      </c>
      <c r="O550">
        <f>IF(Lose[[#This Row],[Gehzeit (min)]]="",0,CEILING(3*(Lose[[#This Row],[Gehzeit (min)]]+Lose[[#This Row],[Aufgaben-zeit (min)]]),5))</f>
        <v>60</v>
      </c>
      <c r="P550">
        <v>10.75</v>
      </c>
      <c r="Q550">
        <f>IFERROR(ROUND(Lose[[#This Row],[Distanz (km)]]*60/Lose[[#This Row],[Gehzeit (min)]],1),"")</f>
        <v>4.7</v>
      </c>
      <c r="R5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1.01</v>
      </c>
      <c r="S550">
        <f>IFERROR(Lose[[#This Row],[Distanz (km)]]-Lose[[#This Row],[Check Distanz]],"")</f>
        <v>0.3899999999999999</v>
      </c>
      <c r="T550" s="60">
        <f>IFERROR(Lose[[#This Row],[Check Umweg]]/Lose[[#This Row],[Check Distanz]],"")</f>
        <v>0.38613861386138604</v>
      </c>
      <c r="U550">
        <f ca="1">IF(RIGHT(Lose[[#This Row],[LosID]],1)="b",_xlfn.XLOOKUP(REPLACE(Lose[[#This Row],[LosID]],LEN(Lose[[#This Row],[LosID]]),1,"a"),Lose[LosID],Lose[Zufallszahl],"",0),RAND())</f>
        <v>0.70215883226441267</v>
      </c>
      <c r="V550" t="b" cm="1">
        <f t="array" aca="1" ref="V550" ca="1">Lose[[#This Row],[Zufallszahl]]&gt;=IFERROR(LARGE((LEFT(Lose[LosID],FIND("-",Lose[LosID])-1)=LEFT(Lose[[#This Row],[LosID]],FIND("-",Lose[[#This Row],[LosID]])-1))*Lose[Zufallszahl],_xlfn.XLOOKUP(LEFT(Lose[[#This Row],[LosID]],FIND("-",Lose[[#This Row],[LosID]])-1),Ziehungsanzahl[Kürzel],Ziehungsanzahl[Kontingent],FALSE,0)),9999)</f>
        <v>0</v>
      </c>
    </row>
    <row r="551" spans="1:23" ht="30" hidden="1">
      <c r="A5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1" t="s">
        <v>23394</v>
      </c>
      <c r="C551" t="s">
        <v>25137</v>
      </c>
      <c r="D551" s="1" t="s">
        <v>25138</v>
      </c>
      <c r="E551" t="s">
        <v>25139</v>
      </c>
      <c r="F551" t="s">
        <v>25140</v>
      </c>
      <c r="K551" t="str" cm="1">
        <f t="array" ref="K5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Reichenbach(Vogtl) ob Bf</v>
      </c>
      <c r="L551" t="str">
        <f>IFERROR(LEFT(TRIM(Lose[[#This Row],[Google Koordinaten]]),9),"")</f>
        <v>50.627845</v>
      </c>
      <c r="M551" t="str">
        <f>IFERROR(MID(TRIM(Lose[[#This Row],[Google Koordinaten]]),
FIND(",",TRIM(Lose[[#This Row],[Google Koordinaten]])) + 2,9),"")</f>
        <v>12.293369</v>
      </c>
      <c r="N551" s="91">
        <f>IF(Lose[[#This Row],[Bahn-hofs-zeit]]=0,0,MROUND(30*25^((Lose[[#This Row],[Bahn-hofs-zeit]]-_xlfn.MINIFS(Lose[Bahn-hofs-zeit],Lose[Bahn-hofs-zeit],"&gt;0"))/(MAX(Lose[Bahn-hofs-zeit])-_xlfn.MINIFS(Lose[Bahn-hofs-zeit],Lose[Bahn-hofs-zeit],"&gt;0"))),5))</f>
        <v>0</v>
      </c>
      <c r="O551">
        <f>IF(Lose[[#This Row],[Gehzeit (min)]]="",0,CEILING(3*(Lose[[#This Row],[Gehzeit (min)]]+Lose[[#This Row],[Aufgaben-zeit (min)]]),5))</f>
        <v>0</v>
      </c>
      <c r="Q551" t="str">
        <f>IFERROR(ROUND(Lose[[#This Row],[Distanz (km)]]*60/Lose[[#This Row],[Gehzeit (min)]],1),"")</f>
        <v/>
      </c>
      <c r="R5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551">
        <f>IFERROR(Lose[[#This Row],[Distanz (km)]]-Lose[[#This Row],[Check Distanz]],"")</f>
        <v>-0.02</v>
      </c>
      <c r="T551" s="60">
        <f>IFERROR(Lose[[#This Row],[Check Umweg]]/Lose[[#This Row],[Check Distanz]],"")</f>
        <v>-1</v>
      </c>
      <c r="U551">
        <f ca="1">IF(RIGHT(Lose[[#This Row],[LosID]],1)="b",_xlfn.XLOOKUP(REPLACE(Lose[[#This Row],[LosID]],LEN(Lose[[#This Row],[LosID]]),1,"a"),Lose[LosID],Lose[Zufallszahl],"",0),RAND())</f>
        <v>0.44496912176281145</v>
      </c>
      <c r="V551" t="b" cm="1">
        <f t="array" aca="1" ref="V551" ca="1">Lose[[#This Row],[Zufallszahl]]&gt;=IFERROR(LARGE((LEFT(Lose[LosID],FIND("-",Lose[LosID])-1)=LEFT(Lose[[#This Row],[LosID]],FIND("-",Lose[[#This Row],[LosID]])-1))*Lose[Zufallszahl],_xlfn.XLOOKUP(LEFT(Lose[[#This Row],[LosID]],FIND("-",Lose[[#This Row],[LosID]])-1),Ziehungsanzahl[Kürzel],Ziehungsanzahl[Kontingent],FALSE,0)),9999)</f>
        <v>0</v>
      </c>
      <c r="W551" t="s">
        <v>23398</v>
      </c>
    </row>
    <row r="552" spans="1:23" ht="120" hidden="1">
      <c r="A5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2" t="s">
        <v>23394</v>
      </c>
      <c r="C552" t="s">
        <v>25141</v>
      </c>
      <c r="D552" s="1" t="s">
        <v>25142</v>
      </c>
      <c r="E552" t="s">
        <v>25143</v>
      </c>
      <c r="F552" t="s">
        <v>25144</v>
      </c>
      <c r="G552">
        <v>20</v>
      </c>
      <c r="H552">
        <v>10</v>
      </c>
      <c r="I552">
        <v>1.5</v>
      </c>
      <c r="J552">
        <v>10</v>
      </c>
      <c r="K552" t="str" cm="1">
        <f t="array" ref="K5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Oberwesel</v>
      </c>
      <c r="L552" t="str">
        <f>IFERROR(LEFT(TRIM(Lose[[#This Row],[Google Koordinaten]]),9),"")</f>
        <v>50.114711</v>
      </c>
      <c r="M552" t="str">
        <f>IFERROR(MID(TRIM(Lose[[#This Row],[Google Koordinaten]]),
FIND(",",TRIM(Lose[[#This Row],[Google Koordinaten]])) + 2,9),"")</f>
        <v>7.7189386</v>
      </c>
      <c r="N552">
        <f>IF(Lose[[#This Row],[Bahn-hofs-zeit]]=0,0,MROUND(30*25^((Lose[[#This Row],[Bahn-hofs-zeit]]-_xlfn.MINIFS(Lose[Bahn-hofs-zeit],Lose[Bahn-hofs-zeit],"&gt;0"))/(MAX(Lose[Bahn-hofs-zeit])-_xlfn.MINIFS(Lose[Bahn-hofs-zeit],Lose[Bahn-hofs-zeit],"&gt;0"))),5))</f>
        <v>60</v>
      </c>
      <c r="O552">
        <f>IF(Lose[[#This Row],[Gehzeit (min)]]="",0,CEILING(3*(Lose[[#This Row],[Gehzeit (min)]]+Lose[[#This Row],[Aufgaben-zeit (min)]]),5))</f>
        <v>90</v>
      </c>
      <c r="P552">
        <v>5.75</v>
      </c>
      <c r="Q552">
        <f>IFERROR(ROUND(Lose[[#This Row],[Distanz (km)]]*60/Lose[[#This Row],[Gehzeit (min)]],1),"")</f>
        <v>4.5</v>
      </c>
      <c r="R5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v>
      </c>
      <c r="S552">
        <f>IFERROR(Lose[[#This Row],[Distanz (km)]]-Lose[[#This Row],[Check Distanz]],"")</f>
        <v>5.0000000000000044E-2</v>
      </c>
      <c r="T552" s="60">
        <f>IFERROR(Lose[[#This Row],[Check Umweg]]/Lose[[#This Row],[Check Distanz]],"")</f>
        <v>3.4482758620689689E-2</v>
      </c>
      <c r="U552">
        <f ca="1">IF(RIGHT(Lose[[#This Row],[LosID]],1)="b",_xlfn.XLOOKUP(REPLACE(Lose[[#This Row],[LosID]],LEN(Lose[[#This Row],[LosID]]),1,"a"),Lose[LosID],Lose[Zufallszahl],"",0),RAND())</f>
        <v>0.69246540297513015</v>
      </c>
      <c r="V552" t="b" cm="1">
        <f t="array" aca="1" ref="V552" ca="1">Lose[[#This Row],[Zufallszahl]]&gt;=IFERROR(LARGE((LEFT(Lose[LosID],FIND("-",Lose[LosID])-1)=LEFT(Lose[[#This Row],[LosID]],FIND("-",Lose[[#This Row],[LosID]])-1))*Lose[Zufallszahl],_xlfn.XLOOKUP(LEFT(Lose[[#This Row],[LosID]],FIND("-",Lose[[#This Row],[LosID]])-1),Ziehungsanzahl[Kürzel],Ziehungsanzahl[Kontingent],FALSE,0)),9999)</f>
        <v>0</v>
      </c>
    </row>
    <row r="553" spans="1:23" ht="105" hidden="1">
      <c r="A5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3" t="s">
        <v>23412</v>
      </c>
      <c r="C553" t="s">
        <v>25145</v>
      </c>
      <c r="D553" s="1" t="s">
        <v>25146</v>
      </c>
      <c r="E553" t="s">
        <v>25147</v>
      </c>
      <c r="F553" s="81" t="s">
        <v>25148</v>
      </c>
      <c r="G553">
        <v>4</v>
      </c>
      <c r="H553">
        <v>1</v>
      </c>
      <c r="I553">
        <v>0.3</v>
      </c>
      <c r="J553">
        <v>10</v>
      </c>
      <c r="K553" t="str" cm="1">
        <f t="array" ref="K5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Malchow Krebssee</v>
      </c>
      <c r="L553" t="str">
        <f>IFERROR(LEFT(TRIM(Lose[[#This Row],[Google Koordinaten]]),9),"")</f>
        <v>53.488736</v>
      </c>
      <c r="M553" t="str">
        <f>IFERROR(MID(TRIM(Lose[[#This Row],[Google Koordinaten]]),
FIND(",",TRIM(Lose[[#This Row],[Google Koordinaten]])) + 2,9),"")</f>
        <v>12.388448</v>
      </c>
      <c r="N553" s="91">
        <f>IF(Lose[[#This Row],[Bahn-hofs-zeit]]=0,0,MROUND(30*25^((Lose[[#This Row],[Bahn-hofs-zeit]]-_xlfn.MINIFS(Lose[Bahn-hofs-zeit],Lose[Bahn-hofs-zeit],"&gt;0"))/(MAX(Lose[Bahn-hofs-zeit])-_xlfn.MINIFS(Lose[Bahn-hofs-zeit],Lose[Bahn-hofs-zeit],"&gt;0"))),5))</f>
        <v>0</v>
      </c>
      <c r="O553">
        <f>IF(Lose[[#This Row],[Gehzeit (min)]]="",0,CEILING(3*(Lose[[#This Row],[Gehzeit (min)]]+Lose[[#This Row],[Aufgaben-zeit (min)]]),5))</f>
        <v>15</v>
      </c>
      <c r="Q553">
        <f>IFERROR(ROUND(Lose[[#This Row],[Distanz (km)]]*60/Lose[[#This Row],[Gehzeit (min)]],1),"")</f>
        <v>4.5</v>
      </c>
      <c r="R5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553">
        <f>IFERROR(Lose[[#This Row],[Distanz (km)]]-Lose[[#This Row],[Check Distanz]],"")</f>
        <v>0.06</v>
      </c>
      <c r="T553" s="60">
        <f>IFERROR(Lose[[#This Row],[Check Umweg]]/Lose[[#This Row],[Check Distanz]],"")</f>
        <v>0.25</v>
      </c>
      <c r="U553">
        <f ca="1">IF(RIGHT(Lose[[#This Row],[LosID]],1)="b",_xlfn.XLOOKUP(REPLACE(Lose[[#This Row],[LosID]],LEN(Lose[[#This Row],[LosID]]),1,"a"),Lose[LosID],Lose[Zufallszahl],"",0),RAND())</f>
        <v>0.32003864771941437</v>
      </c>
      <c r="V553" t="b" cm="1">
        <f t="array" aca="1" ref="V553" ca="1">Lose[[#This Row],[Zufallszahl]]&gt;=IFERROR(LARGE((LEFT(Lose[LosID],FIND("-",Lose[LosID])-1)=LEFT(Lose[[#This Row],[LosID]],FIND("-",Lose[[#This Row],[LosID]])-1))*Lose[Zufallszahl],_xlfn.XLOOKUP(LEFT(Lose[[#This Row],[LosID]],FIND("-",Lose[[#This Row],[LosID]])-1),Ziehungsanzahl[Kürzel],Ziehungsanzahl[Kontingent],FALSE,0)),9999)</f>
        <v>0</v>
      </c>
      <c r="W553" t="s">
        <v>23398</v>
      </c>
    </row>
    <row r="554" spans="1:23" ht="60" hidden="1">
      <c r="A5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4" t="s">
        <v>23412</v>
      </c>
      <c r="C554" t="s">
        <v>25149</v>
      </c>
      <c r="D554" s="1" t="s">
        <v>25150</v>
      </c>
      <c r="E554" t="s">
        <v>25151</v>
      </c>
      <c r="F554" t="s">
        <v>25152</v>
      </c>
      <c r="G554">
        <v>10</v>
      </c>
      <c r="H554">
        <v>5</v>
      </c>
      <c r="I554">
        <v>0.8</v>
      </c>
      <c r="J554">
        <v>30</v>
      </c>
      <c r="K554" t="str" cm="1">
        <f t="array" ref="K5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Warnemünde</v>
      </c>
      <c r="L554" t="str">
        <f>IFERROR(LEFT(TRIM(Lose[[#This Row],[Google Koordinaten]]),9),"")</f>
        <v>54.182333</v>
      </c>
      <c r="M554" t="str">
        <f>IFERROR(MID(TRIM(Lose[[#This Row],[Google Koordinaten]]),
FIND(",",TRIM(Lose[[#This Row],[Google Koordinaten]])) + 2,9),"")</f>
        <v>12.086180</v>
      </c>
      <c r="N554">
        <f>IF(Lose[[#This Row],[Bahn-hofs-zeit]]=0,0,MROUND(30*25^((Lose[[#This Row],[Bahn-hofs-zeit]]-_xlfn.MINIFS(Lose[Bahn-hofs-zeit],Lose[Bahn-hofs-zeit],"&gt;0"))/(MAX(Lose[Bahn-hofs-zeit])-_xlfn.MINIFS(Lose[Bahn-hofs-zeit],Lose[Bahn-hofs-zeit],"&gt;0"))),5))</f>
        <v>395</v>
      </c>
      <c r="O554">
        <f>IF(Lose[[#This Row],[Gehzeit (min)]]="",0,CEILING(3*(Lose[[#This Row],[Gehzeit (min)]]+Lose[[#This Row],[Aufgaben-zeit (min)]]),5))</f>
        <v>45</v>
      </c>
      <c r="P554">
        <v>12.25</v>
      </c>
      <c r="Q554">
        <f>IFERROR(ROUND(Lose[[#This Row],[Distanz (km)]]*60/Lose[[#This Row],[Gehzeit (min)]],1),"")</f>
        <v>4.8</v>
      </c>
      <c r="R5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554">
        <f>IFERROR(Lose[[#This Row],[Distanz (km)]]-Lose[[#This Row],[Check Distanz]],"")</f>
        <v>0.1100000000000001</v>
      </c>
      <c r="T554" s="60">
        <f>IFERROR(Lose[[#This Row],[Check Umweg]]/Lose[[#This Row],[Check Distanz]],"")</f>
        <v>0.15942028985507262</v>
      </c>
      <c r="U554">
        <f ca="1">IF(RIGHT(Lose[[#This Row],[LosID]],1)="b",_xlfn.XLOOKUP(REPLACE(Lose[[#This Row],[LosID]],LEN(Lose[[#This Row],[LosID]]),1,"a"),Lose[LosID],Lose[Zufallszahl],"",0),RAND())</f>
        <v>0.28405147536294562</v>
      </c>
      <c r="V554" t="b" cm="1">
        <f t="array" aca="1" ref="V554" ca="1">Lose[[#This Row],[Zufallszahl]]&gt;=IFERROR(LARGE((LEFT(Lose[LosID],FIND("-",Lose[LosID])-1)=LEFT(Lose[[#This Row],[LosID]],FIND("-",Lose[[#This Row],[LosID]])-1))*Lose[Zufallszahl],_xlfn.XLOOKUP(LEFT(Lose[[#This Row],[LosID]],FIND("-",Lose[[#This Row],[LosID]])-1),Ziehungsanzahl[Kürzel],Ziehungsanzahl[Kontingent],FALSE,0)),9999)</f>
        <v>0</v>
      </c>
    </row>
    <row r="555" spans="1:23" ht="90" hidden="1">
      <c r="A5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5" t="s">
        <v>23412</v>
      </c>
      <c r="C555" t="s">
        <v>25153</v>
      </c>
      <c r="D555" s="1" t="s">
        <v>25154</v>
      </c>
      <c r="E555" t="s">
        <v>25155</v>
      </c>
      <c r="F555" t="s">
        <v>25156</v>
      </c>
      <c r="G555">
        <v>8</v>
      </c>
      <c r="H555">
        <v>5</v>
      </c>
      <c r="I555">
        <v>0.5</v>
      </c>
      <c r="K555" t="str" cm="1">
        <f t="array" ref="K5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UN Campus</v>
      </c>
      <c r="L555" t="str">
        <f>IFERROR(LEFT(TRIM(Lose[[#This Row],[Google Koordinaten]]),9),"")</f>
        <v>50.717236</v>
      </c>
      <c r="M555" t="str">
        <f>IFERROR(MID(TRIM(Lose[[#This Row],[Google Koordinaten]]),
FIND(",",TRIM(Lose[[#This Row],[Google Koordinaten]])) + 2,9),"")</f>
        <v>7.1194731</v>
      </c>
      <c r="N555">
        <f>IF(Lose[[#This Row],[Bahn-hofs-zeit]]=0,0,MROUND(30*25^((Lose[[#This Row],[Bahn-hofs-zeit]]-_xlfn.MINIFS(Lose[Bahn-hofs-zeit],Lose[Bahn-hofs-zeit],"&gt;0"))/(MAX(Lose[Bahn-hofs-zeit])-_xlfn.MINIFS(Lose[Bahn-hofs-zeit],Lose[Bahn-hofs-zeit],"&gt;0"))),5))</f>
        <v>50</v>
      </c>
      <c r="O555">
        <f>IF(Lose[[#This Row],[Gehzeit (min)]]="",0,CEILING(3*(Lose[[#This Row],[Gehzeit (min)]]+Lose[[#This Row],[Aufgaben-zeit (min)]]),5))</f>
        <v>40</v>
      </c>
      <c r="P555">
        <v>5</v>
      </c>
      <c r="Q555">
        <f>IFERROR(ROUND(Lose[[#This Row],[Distanz (km)]]*60/Lose[[#This Row],[Gehzeit (min)]],1),"")</f>
        <v>3.8</v>
      </c>
      <c r="R5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0.32</v>
      </c>
      <c r="S555">
        <f>IFERROR(Lose[[#This Row],[Distanz (km)]]-Lose[[#This Row],[Check Distanz]],"")</f>
        <v>0.18</v>
      </c>
      <c r="T555" s="60">
        <f>IFERROR(Lose[[#This Row],[Check Umweg]]/Lose[[#This Row],[Check Distanz]],"")</f>
        <v>0.5625</v>
      </c>
      <c r="U555">
        <f ca="1">IF(RIGHT(Lose[[#This Row],[LosID]],1)="b",_xlfn.XLOOKUP(REPLACE(Lose[[#This Row],[LosID]],LEN(Lose[[#This Row],[LosID]]),1,"a"),Lose[LosID],Lose[Zufallszahl],"",0),RAND())</f>
        <v>0.51529127489284221</v>
      </c>
      <c r="V555" t="b" cm="1">
        <f t="array" aca="1" ref="V555" ca="1">Lose[[#This Row],[Zufallszahl]]&gt;=IFERROR(LARGE((LEFT(Lose[LosID],FIND("-",Lose[LosID])-1)=LEFT(Lose[[#This Row],[LosID]],FIND("-",Lose[[#This Row],[LosID]])-1))*Lose[Zufallszahl],_xlfn.XLOOKUP(LEFT(Lose[[#This Row],[LosID]],FIND("-",Lose[[#This Row],[LosID]])-1),Ziehungsanzahl[Kürzel],Ziehungsanzahl[Kontingent],FALSE,0)),9999)</f>
        <v>0</v>
      </c>
    </row>
    <row r="556" spans="1:23" ht="60" hidden="1">
      <c r="A5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6" t="s">
        <v>4</v>
      </c>
      <c r="C556" t="s">
        <v>25157</v>
      </c>
      <c r="D556" s="1" t="s">
        <v>25158</v>
      </c>
      <c r="E556" t="s">
        <v>25159</v>
      </c>
      <c r="F556" t="s">
        <v>25160</v>
      </c>
      <c r="G556">
        <v>4</v>
      </c>
      <c r="H556">
        <v>1</v>
      </c>
      <c r="I556">
        <v>0.3</v>
      </c>
      <c r="J556">
        <v>5</v>
      </c>
      <c r="K556" t="str" cm="1">
        <f t="array" ref="K5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Siegen-Weidenau</v>
      </c>
      <c r="L556" t="str">
        <f>IFERROR(LEFT(TRIM(Lose[[#This Row],[Google Koordinaten]]),9),"")</f>
        <v>50.898010</v>
      </c>
      <c r="M556" t="str">
        <f>IFERROR(MID(TRIM(Lose[[#This Row],[Google Koordinaten]]),
FIND(",",TRIM(Lose[[#This Row],[Google Koordinaten]])) + 2,9),"")</f>
        <v>8.0291368</v>
      </c>
      <c r="N556">
        <f>IF(Lose[[#This Row],[Bahn-hofs-zeit]]=0,0,MROUND(30*25^((Lose[[#This Row],[Bahn-hofs-zeit]]-_xlfn.MINIFS(Lose[Bahn-hofs-zeit],Lose[Bahn-hofs-zeit],"&gt;0"))/(MAX(Lose[Bahn-hofs-zeit])-_xlfn.MINIFS(Lose[Bahn-hofs-zeit],Lose[Bahn-hofs-zeit],"&gt;0"))),5))</f>
        <v>60</v>
      </c>
      <c r="O556">
        <f>IF(Lose[[#This Row],[Gehzeit (min)]]="",0,CEILING(3*(Lose[[#This Row],[Gehzeit (min)]]+Lose[[#This Row],[Aufgaben-zeit (min)]]),5))</f>
        <v>15</v>
      </c>
      <c r="P556">
        <v>5.75</v>
      </c>
      <c r="Q556">
        <f>IFERROR(ROUND(Lose[[#This Row],[Distanz (km)]]*60/Lose[[#This Row],[Gehzeit (min)]],1),"")</f>
        <v>4.5</v>
      </c>
      <c r="R5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556">
        <f>IFERROR(Lose[[#This Row],[Distanz (km)]]-Lose[[#This Row],[Check Distanz]],"")</f>
        <v>6.9999999999999979E-2</v>
      </c>
      <c r="T556" s="60">
        <f>IFERROR(Lose[[#This Row],[Check Umweg]]/Lose[[#This Row],[Check Distanz]],"")</f>
        <v>0.30434782608695643</v>
      </c>
      <c r="U556">
        <f ca="1">IF(RIGHT(Lose[[#This Row],[LosID]],1)="b",_xlfn.XLOOKUP(REPLACE(Lose[[#This Row],[LosID]],LEN(Lose[[#This Row],[LosID]]),1,"a"),Lose[LosID],Lose[Zufallszahl],"",0),RAND())</f>
        <v>0.57581366626028185</v>
      </c>
      <c r="V556" t="b" cm="1">
        <f t="array" aca="1" ref="V556" ca="1">Lose[[#This Row],[Zufallszahl]]&gt;=IFERROR(LARGE((LEFT(Lose[LosID],FIND("-",Lose[LosID])-1)=LEFT(Lose[[#This Row],[LosID]],FIND("-",Lose[[#This Row],[LosID]])-1))*Lose[Zufallszahl],_xlfn.XLOOKUP(LEFT(Lose[[#This Row],[LosID]],FIND("-",Lose[[#This Row],[LosID]])-1),Ziehungsanzahl[Kürzel],Ziehungsanzahl[Kontingent],FALSE,0)),9999)</f>
        <v>0</v>
      </c>
    </row>
    <row r="557" spans="1:23" ht="60" hidden="1">
      <c r="A5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557" t="s">
        <v>23412</v>
      </c>
      <c r="C557" t="s">
        <v>25161</v>
      </c>
      <c r="D557" s="1" t="s">
        <v>25162</v>
      </c>
      <c r="E557" t="s">
        <v>25163</v>
      </c>
      <c r="F557" t="s">
        <v>25164</v>
      </c>
      <c r="G557">
        <v>2</v>
      </c>
      <c r="H557">
        <v>1</v>
      </c>
      <c r="I557">
        <v>0.1</v>
      </c>
      <c r="K557" t="str" cm="1">
        <f t="array" ref="K5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Hadamar</v>
      </c>
      <c r="L557" t="str">
        <f>IFERROR(LEFT(TRIM(Lose[[#This Row],[Google Koordinaten]]),9),"")</f>
        <v>50.447559</v>
      </c>
      <c r="M557" t="str">
        <f>IFERROR(MID(TRIM(Lose[[#This Row],[Google Koordinaten]]),
FIND(",",TRIM(Lose[[#This Row],[Google Koordinaten]])) + 2,9),"")</f>
        <v>8.0449423</v>
      </c>
      <c r="N557">
        <f>IF(Lose[[#This Row],[Bahn-hofs-zeit]]=0,0,MROUND(30*25^((Lose[[#This Row],[Bahn-hofs-zeit]]-_xlfn.MINIFS(Lose[Bahn-hofs-zeit],Lose[Bahn-hofs-zeit],"&gt;0"))/(MAX(Lose[Bahn-hofs-zeit])-_xlfn.MINIFS(Lose[Bahn-hofs-zeit],Lose[Bahn-hofs-zeit],"&gt;0"))),5))</f>
        <v>75</v>
      </c>
      <c r="O557">
        <f>IF(Lose[[#This Row],[Gehzeit (min)]]="",0,CEILING(3*(Lose[[#This Row],[Gehzeit (min)]]+Lose[[#This Row],[Aufgaben-zeit (min)]]),5))</f>
        <v>10</v>
      </c>
      <c r="P557">
        <v>6.5</v>
      </c>
      <c r="Q557">
        <f>IFERROR(ROUND(Lose[[#This Row],[Distanz (km)]]*60/Lose[[#This Row],[Gehzeit (min)]],1),"")</f>
        <v>3</v>
      </c>
      <c r="R5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57">
        <f>IFERROR(Lose[[#This Row],[Distanz (km)]]-Lose[[#This Row],[Check Distanz]],"")</f>
        <v>-1.999999999999999E-2</v>
      </c>
      <c r="T557" s="60">
        <f>IFERROR(Lose[[#This Row],[Check Umweg]]/Lose[[#This Row],[Check Distanz]],"")</f>
        <v>-0.1666666666666666</v>
      </c>
      <c r="U557">
        <f ca="1">IF(RIGHT(Lose[[#This Row],[LosID]],1)="b",_xlfn.XLOOKUP(REPLACE(Lose[[#This Row],[LosID]],LEN(Lose[[#This Row],[LosID]]),1,"a"),Lose[LosID],Lose[Zufallszahl],"",0),RAND())</f>
        <v>0.76002955168565023</v>
      </c>
      <c r="V557" t="b" cm="1">
        <f t="array" aca="1" ref="V557" ca="1">Lose[[#This Row],[Zufallszahl]]&gt;=IFERROR(LARGE((LEFT(Lose[LosID],FIND("-",Lose[LosID])-1)=LEFT(Lose[[#This Row],[LosID]],FIND("-",Lose[[#This Row],[LosID]])-1))*Lose[Zufallszahl],_xlfn.XLOOKUP(LEFT(Lose[[#This Row],[LosID]],FIND("-",Lose[[#This Row],[LosID]])-1),Ziehungsanzahl[Kürzel],Ziehungsanzahl[Kontingent],FALSE,0)),9999)</f>
        <v>0</v>
      </c>
    </row>
    <row r="558" spans="1:23" ht="60" hidden="1">
      <c r="A5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8" t="s">
        <v>23352</v>
      </c>
      <c r="C558" t="s">
        <v>25165</v>
      </c>
      <c r="D558" s="1" t="s">
        <v>25166</v>
      </c>
      <c r="E558" s="1" t="s">
        <v>25167</v>
      </c>
      <c r="F558" t="s">
        <v>25168</v>
      </c>
      <c r="G558">
        <v>19</v>
      </c>
      <c r="H558">
        <v>15</v>
      </c>
      <c r="I558">
        <v>1.4</v>
      </c>
      <c r="K558" t="str" cm="1">
        <f t="array" ref="K5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558" t="str">
        <f>IFERROR(LEFT(TRIM(Lose[[#This Row],[Google Koordinaten]]),9),"")</f>
        <v>48.718099</v>
      </c>
      <c r="M558" t="str">
        <f>IFERROR(MID(TRIM(Lose[[#This Row],[Google Koordinaten]]),
FIND(",",TRIM(Lose[[#This Row],[Google Koordinaten]])) + 2,9),"")</f>
        <v>9.401106</v>
      </c>
      <c r="N558">
        <f>IF(Lose[[#This Row],[Bahn-hofs-zeit]]=0,0,MROUND(30*25^((Lose[[#This Row],[Bahn-hofs-zeit]]-_xlfn.MINIFS(Lose[Bahn-hofs-zeit],Lose[Bahn-hofs-zeit],"&gt;0"))/(MAX(Lose[Bahn-hofs-zeit])-_xlfn.MINIFS(Lose[Bahn-hofs-zeit],Lose[Bahn-hofs-zeit],"&gt;0"))),5))</f>
        <v>80</v>
      </c>
      <c r="O558">
        <f>IF(Lose[[#This Row],[Gehzeit (min)]]="",0,CEILING(3*(Lose[[#This Row],[Gehzeit (min)]]+Lose[[#This Row],[Aufgaben-zeit (min)]]),5))</f>
        <v>105</v>
      </c>
      <c r="P558">
        <v>6.75</v>
      </c>
      <c r="Q558">
        <f>IFERROR(ROUND(Lose[[#This Row],[Distanz (km)]]*60/Lose[[#This Row],[Gehzeit (min)]],1),"")</f>
        <v>4.4000000000000004</v>
      </c>
      <c r="R5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v>
      </c>
      <c r="S558">
        <f>IFERROR(Lose[[#This Row],[Distanz (km)]]-Lose[[#This Row],[Check Distanz]],"")</f>
        <v>0.49999999999999989</v>
      </c>
      <c r="T558" s="60">
        <f>IFERROR(Lose[[#This Row],[Check Umweg]]/Lose[[#This Row],[Check Distanz]],"")</f>
        <v>0.55555555555555547</v>
      </c>
      <c r="U558">
        <f ca="1">IF(RIGHT(Lose[[#This Row],[LosID]],1)="b",_xlfn.XLOOKUP(REPLACE(Lose[[#This Row],[LosID]],LEN(Lose[[#This Row],[LosID]]),1,"a"),Lose[LosID],Lose[Zufallszahl],"",0),RAND())</f>
        <v>0.91701405259913515</v>
      </c>
      <c r="V558" t="b" cm="1">
        <f t="array" aca="1" ref="V558" ca="1">Lose[[#This Row],[Zufallszahl]]&gt;=IFERROR(LARGE((LEFT(Lose[LosID],FIND("-",Lose[LosID])-1)=LEFT(Lose[[#This Row],[LosID]],FIND("-",Lose[[#This Row],[LosID]])-1))*Lose[Zufallszahl],_xlfn.XLOOKUP(LEFT(Lose[[#This Row],[LosID]],FIND("-",Lose[[#This Row],[LosID]])-1),Ziehungsanzahl[Kürzel],Ziehungsanzahl[Kontingent],FALSE,0)),9999)</f>
        <v>0</v>
      </c>
    </row>
    <row r="559" spans="1:23" ht="120" hidden="1">
      <c r="A5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9" t="s">
        <v>23352</v>
      </c>
      <c r="C559" t="s">
        <v>25169</v>
      </c>
      <c r="D559" s="1" t="s">
        <v>25170</v>
      </c>
      <c r="E559" t="s">
        <v>25171</v>
      </c>
      <c r="F559" t="s">
        <v>25172</v>
      </c>
      <c r="G559">
        <v>3</v>
      </c>
      <c r="H559">
        <v>10</v>
      </c>
      <c r="I559">
        <v>0.21</v>
      </c>
      <c r="K559" t="str" cm="1">
        <f t="array" ref="K5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Oppenheim</v>
      </c>
      <c r="L559" t="str">
        <f>IFERROR(LEFT(TRIM(Lose[[#This Row],[Google Koordinaten]]),9),"")</f>
        <v>49.856748</v>
      </c>
      <c r="M559" t="str">
        <f>IFERROR(MID(TRIM(Lose[[#This Row],[Google Koordinaten]]),
FIND(",",TRIM(Lose[[#This Row],[Google Koordinaten]])) + 2,9),"")</f>
        <v>8.3569851</v>
      </c>
      <c r="N559">
        <f>IF(Lose[[#This Row],[Bahn-hofs-zeit]]=0,0,MROUND(30*25^((Lose[[#This Row],[Bahn-hofs-zeit]]-_xlfn.MINIFS(Lose[Bahn-hofs-zeit],Lose[Bahn-hofs-zeit],"&gt;0"))/(MAX(Lose[Bahn-hofs-zeit])-_xlfn.MINIFS(Lose[Bahn-hofs-zeit],Lose[Bahn-hofs-zeit],"&gt;0"))),5))</f>
        <v>60</v>
      </c>
      <c r="O559">
        <f>IF(Lose[[#This Row],[Gehzeit (min)]]="",0,CEILING(3*(Lose[[#This Row],[Gehzeit (min)]]+Lose[[#This Row],[Aufgaben-zeit (min)]]),5))</f>
        <v>40</v>
      </c>
      <c r="P559">
        <v>5.75</v>
      </c>
      <c r="Q559">
        <f>IFERROR(ROUND(Lose[[#This Row],[Distanz (km)]]*60/Lose[[#This Row],[Gehzeit (min)]],1),"")</f>
        <v>4.2</v>
      </c>
      <c r="R5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59">
        <f>IFERROR(Lose[[#This Row],[Distanz (km)]]-Lose[[#This Row],[Check Distanz]],"")</f>
        <v>0.09</v>
      </c>
      <c r="T559" s="60">
        <f>IFERROR(Lose[[#This Row],[Check Umweg]]/Lose[[#This Row],[Check Distanz]],"")</f>
        <v>0.75</v>
      </c>
      <c r="U559">
        <f ca="1">IF(RIGHT(Lose[[#This Row],[LosID]],1)="b",_xlfn.XLOOKUP(REPLACE(Lose[[#This Row],[LosID]],LEN(Lose[[#This Row],[LosID]]),1,"a"),Lose[LosID],Lose[Zufallszahl],"",0),RAND())</f>
        <v>7.4674105135628999E-2</v>
      </c>
      <c r="V559" t="b" cm="1">
        <f t="array" aca="1" ref="V559" ca="1">Lose[[#This Row],[Zufallszahl]]&gt;=IFERROR(LARGE((LEFT(Lose[LosID],FIND("-",Lose[LosID])-1)=LEFT(Lose[[#This Row],[LosID]],FIND("-",Lose[[#This Row],[LosID]])-1))*Lose[Zufallszahl],_xlfn.XLOOKUP(LEFT(Lose[[#This Row],[LosID]],FIND("-",Lose[[#This Row],[LosID]])-1),Ziehungsanzahl[Kürzel],Ziehungsanzahl[Kontingent],FALSE,0)),9999)</f>
        <v>0</v>
      </c>
    </row>
    <row r="560" spans="1:23" ht="120">
      <c r="A5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0" t="s">
        <v>23385</v>
      </c>
      <c r="C560" t="s">
        <v>25173</v>
      </c>
      <c r="D560" s="1" t="s">
        <v>25174</v>
      </c>
      <c r="E560" t="s">
        <v>25175</v>
      </c>
      <c r="F560" t="s">
        <v>25176</v>
      </c>
      <c r="G560">
        <v>2</v>
      </c>
      <c r="H560">
        <v>20</v>
      </c>
      <c r="I560">
        <v>0.1</v>
      </c>
      <c r="J560">
        <v>15</v>
      </c>
      <c r="K560" t="str" cm="1">
        <f t="array" ref="K5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v>
      </c>
      <c r="L560" t="str">
        <f>IFERROR(LEFT(TRIM(Lose[[#This Row],[Google Koordinaten]]),9),"")</f>
        <v>51.147299</v>
      </c>
      <c r="M560" t="str">
        <f>IFERROR(MID(TRIM(Lose[[#This Row],[Google Koordinaten]]),
FIND(",",TRIM(Lose[[#This Row],[Google Koordinaten]])) + 2,9),"")</f>
        <v>14.979366</v>
      </c>
      <c r="N560" s="91">
        <f>IF(Lose[[#This Row],[Bahn-hofs-zeit]]=0,0,MROUND(30*25^((Lose[[#This Row],[Bahn-hofs-zeit]]-_xlfn.MINIFS(Lose[Bahn-hofs-zeit],Lose[Bahn-hofs-zeit],"&gt;0"))/(MAX(Lose[Bahn-hofs-zeit])-_xlfn.MINIFS(Lose[Bahn-hofs-zeit],Lose[Bahn-hofs-zeit],"&gt;0"))),5))</f>
        <v>0</v>
      </c>
      <c r="O560">
        <f>IF(Lose[[#This Row],[Gehzeit (min)]]="",0,CEILING(3*(Lose[[#This Row],[Gehzeit (min)]]+Lose[[#This Row],[Aufgaben-zeit (min)]]),5))</f>
        <v>70</v>
      </c>
      <c r="Q560">
        <f>IFERROR(ROUND(Lose[[#This Row],[Distanz (km)]]*60/Lose[[#This Row],[Gehzeit (min)]],1),"")</f>
        <v>3</v>
      </c>
      <c r="R5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560">
        <f>IFERROR(Lose[[#This Row],[Distanz (km)]]-Lose[[#This Row],[Check Distanz]],"")</f>
        <v>4.0000000000000008E-2</v>
      </c>
      <c r="T560" s="60">
        <f>IFERROR(Lose[[#This Row],[Check Umweg]]/Lose[[#This Row],[Check Distanz]],"")</f>
        <v>0.66666666666666685</v>
      </c>
      <c r="U560">
        <f ca="1">IF(RIGHT(Lose[[#This Row],[LosID]],1)="b",_xlfn.XLOOKUP(REPLACE(Lose[[#This Row],[LosID]],LEN(Lose[[#This Row],[LosID]]),1,"a"),Lose[LosID],Lose[Zufallszahl],"",0),RAND())</f>
        <v>0.29939248632416604</v>
      </c>
      <c r="V560" t="b" cm="1">
        <f t="array" aca="1" ref="V560" ca="1">Lose[[#This Row],[Zufallszahl]]&gt;=IFERROR(LARGE((LEFT(Lose[LosID],FIND("-",Lose[LosID])-1)=LEFT(Lose[[#This Row],[LosID]],FIND("-",Lose[[#This Row],[LosID]])-1))*Lose[Zufallszahl],_xlfn.XLOOKUP(LEFT(Lose[[#This Row],[LosID]],FIND("-",Lose[[#This Row],[LosID]])-1),Ziehungsanzahl[Kürzel],Ziehungsanzahl[Kontingent],FALSE,0)),9999)</f>
        <v>0</v>
      </c>
      <c r="W560" t="s">
        <v>23398</v>
      </c>
    </row>
    <row r="561" spans="1:23" ht="135">
      <c r="A5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1" t="s">
        <v>23385</v>
      </c>
      <c r="C561" t="s">
        <v>25177</v>
      </c>
      <c r="D561" s="1" t="s">
        <v>25178</v>
      </c>
      <c r="E561" t="s">
        <v>25179</v>
      </c>
      <c r="F561" t="s">
        <v>25180</v>
      </c>
      <c r="G561">
        <v>12</v>
      </c>
      <c r="H561">
        <v>10</v>
      </c>
      <c r="I561">
        <v>0.9</v>
      </c>
      <c r="K561" t="str" cm="1">
        <f t="array" ref="K5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West</v>
      </c>
      <c r="L561" t="str">
        <f>IFERROR(LEFT(TRIM(Lose[[#This Row],[Google Koordinaten]]),9),"")</f>
        <v>50.777138</v>
      </c>
      <c r="M561" t="str">
        <f>IFERROR(MID(TRIM(Lose[[#This Row],[Google Koordinaten]]),
FIND(",",TRIM(Lose[[#This Row],[Google Koordinaten]])) + 2,9),"")</f>
        <v>6.0797915</v>
      </c>
      <c r="N561">
        <f>IF(Lose[[#This Row],[Bahn-hofs-zeit]]=0,0,MROUND(30*25^((Lose[[#This Row],[Bahn-hofs-zeit]]-_xlfn.MINIFS(Lose[Bahn-hofs-zeit],Lose[Bahn-hofs-zeit],"&gt;0"))/(MAX(Lose[Bahn-hofs-zeit])-_xlfn.MINIFS(Lose[Bahn-hofs-zeit],Lose[Bahn-hofs-zeit],"&gt;0"))),5))</f>
        <v>55</v>
      </c>
      <c r="O561">
        <f>IF(Lose[[#This Row],[Gehzeit (min)]]="",0,CEILING(3*(Lose[[#This Row],[Gehzeit (min)]]+Lose[[#This Row],[Aufgaben-zeit (min)]]),5))</f>
        <v>70</v>
      </c>
      <c r="P561">
        <v>5.5</v>
      </c>
      <c r="Q561">
        <f>IFERROR(ROUND(Lose[[#This Row],[Distanz (km)]]*60/Lose[[#This Row],[Gehzeit (min)]],1),"")</f>
        <v>4.5</v>
      </c>
      <c r="R5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561">
        <f>IFERROR(Lose[[#This Row],[Distanz (km)]]-Lose[[#This Row],[Check Distanz]],"")</f>
        <v>0.17000000000000004</v>
      </c>
      <c r="T561" s="60">
        <f>IFERROR(Lose[[#This Row],[Check Umweg]]/Lose[[#This Row],[Check Distanz]],"")</f>
        <v>0.23287671232876719</v>
      </c>
      <c r="U561">
        <f ca="1">IF(RIGHT(Lose[[#This Row],[LosID]],1)="b",_xlfn.XLOOKUP(REPLACE(Lose[[#This Row],[LosID]],LEN(Lose[[#This Row],[LosID]]),1,"a"),Lose[LosID],Lose[Zufallszahl],"",0),RAND())</f>
        <v>0.19254661184557675</v>
      </c>
      <c r="V561" t="b" cm="1">
        <f t="array" aca="1" ref="V561" ca="1">Lose[[#This Row],[Zufallszahl]]&gt;=IFERROR(LARGE((LEFT(Lose[LosID],FIND("-",Lose[LosID])-1)=LEFT(Lose[[#This Row],[LosID]],FIND("-",Lose[[#This Row],[LosID]])-1))*Lose[Zufallszahl],_xlfn.XLOOKUP(LEFT(Lose[[#This Row],[LosID]],FIND("-",Lose[[#This Row],[LosID]])-1),Ziehungsanzahl[Kürzel],Ziehungsanzahl[Kontingent],FALSE,0)),9999)</f>
        <v>0</v>
      </c>
    </row>
    <row r="562" spans="1:23">
      <c r="A5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562" t="s">
        <v>23385</v>
      </c>
      <c r="C562" t="s">
        <v>25181</v>
      </c>
      <c r="D562" s="1" t="s">
        <v>25182</v>
      </c>
      <c r="K562" t="str" cm="1">
        <f t="array" ref="K5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562" t="str">
        <f>IFERROR(LEFT(TRIM(Lose[[#This Row],[Google Koordinaten]]),9),"")</f>
        <v/>
      </c>
      <c r="M562" t="str">
        <f>IFERROR(MID(TRIM(Lose[[#This Row],[Google Koordinaten]]),
FIND(",",TRIM(Lose[[#This Row],[Google Koordinaten]])) + 2,9),"")</f>
        <v/>
      </c>
      <c r="N562">
        <f>IF(Lose[[#This Row],[Bahn-hofs-zeit]]=0,0,MROUND(30*25^((Lose[[#This Row],[Bahn-hofs-zeit]]-_xlfn.MINIFS(Lose[Bahn-hofs-zeit],Lose[Bahn-hofs-zeit],"&gt;0"))/(MAX(Lose[Bahn-hofs-zeit])-_xlfn.MINIFS(Lose[Bahn-hofs-zeit],Lose[Bahn-hofs-zeit],"&gt;0"))),5))</f>
        <v>0</v>
      </c>
      <c r="O562">
        <f>IF(Lose[[#This Row],[Gehzeit (min)]]="",0,CEILING(3*(Lose[[#This Row],[Gehzeit (min)]]+Lose[[#This Row],[Aufgaben-zeit (min)]]),5))</f>
        <v>0</v>
      </c>
      <c r="Q562" t="str">
        <f>IFERROR(ROUND(Lose[[#This Row],[Distanz (km)]]*60/Lose[[#This Row],[Gehzeit (min)]],1),"")</f>
        <v/>
      </c>
      <c r="R562"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62" t="str">
        <f>IFERROR(Lose[[#This Row],[Distanz (km)]]-Lose[[#This Row],[Check Distanz]],"")</f>
        <v/>
      </c>
      <c r="T562" s="60" t="str">
        <f>IFERROR(Lose[[#This Row],[Check Umweg]]/Lose[[#This Row],[Check Distanz]],"")</f>
        <v/>
      </c>
      <c r="U562">
        <f ca="1">IF(RIGHT(Lose[[#This Row],[LosID]],1)="b",_xlfn.XLOOKUP(REPLACE(Lose[[#This Row],[LosID]],LEN(Lose[[#This Row],[LosID]]),1,"a"),Lose[LosID],Lose[Zufallszahl],"",0),RAND())</f>
        <v>0.85109424601441031</v>
      </c>
      <c r="V562" t="b" cm="1">
        <f t="array" aca="1" ref="V562" ca="1">Lose[[#This Row],[Zufallszahl]]&gt;=IFERROR(LARGE((LEFT(Lose[LosID],FIND("-",Lose[LosID])-1)=LEFT(Lose[[#This Row],[LosID]],FIND("-",Lose[[#This Row],[LosID]])-1))*Lose[Zufallszahl],_xlfn.XLOOKUP(LEFT(Lose[[#This Row],[LosID]],FIND("-",Lose[[#This Row],[LosID]])-1),Ziehungsanzahl[Kürzel],Ziehungsanzahl[Kontingent],FALSE,0)),9999)</f>
        <v>0</v>
      </c>
    </row>
    <row r="563" spans="1:23" ht="150">
      <c r="A5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3" t="s">
        <v>23385</v>
      </c>
      <c r="C563" t="s">
        <v>25183</v>
      </c>
      <c r="D563" s="1" t="s">
        <v>25184</v>
      </c>
      <c r="E563" t="s">
        <v>25185</v>
      </c>
      <c r="F563" t="s">
        <v>25186</v>
      </c>
      <c r="G563">
        <v>20</v>
      </c>
      <c r="H563">
        <v>15</v>
      </c>
      <c r="I563">
        <v>1.5</v>
      </c>
      <c r="J563">
        <v>10</v>
      </c>
      <c r="K563" t="str" cm="1">
        <f t="array" ref="K5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Königstraße</v>
      </c>
      <c r="L563" t="str">
        <f>IFERROR(LEFT(TRIM(Lose[[#This Row],[Google Koordinaten]]),9),"")</f>
        <v>53.543326</v>
      </c>
      <c r="M563" t="str">
        <f>IFERROR(MID(TRIM(Lose[[#This Row],[Google Koordinaten]]),
FIND(",",TRIM(Lose[[#This Row],[Google Koordinaten]])) + 2,9),"")</f>
        <v>9.9343724</v>
      </c>
      <c r="N563">
        <f>IF(Lose[[#This Row],[Bahn-hofs-zeit]]=0,0,MROUND(30*25^((Lose[[#This Row],[Bahn-hofs-zeit]]-_xlfn.MINIFS(Lose[Bahn-hofs-zeit],Lose[Bahn-hofs-zeit],"&gt;0"))/(MAX(Lose[Bahn-hofs-zeit])-_xlfn.MINIFS(Lose[Bahn-hofs-zeit],Lose[Bahn-hofs-zeit],"&gt;0"))),5))</f>
        <v>80</v>
      </c>
      <c r="O563">
        <f>IF(Lose[[#This Row],[Gehzeit (min)]]="",0,CEILING(3*(Lose[[#This Row],[Gehzeit (min)]]+Lose[[#This Row],[Aufgaben-zeit (min)]]),5))</f>
        <v>105</v>
      </c>
      <c r="P563">
        <v>6.75</v>
      </c>
      <c r="Q563">
        <f>IFERROR(ROUND(Lose[[#This Row],[Distanz (km)]]*60/Lose[[#This Row],[Gehzeit (min)]],1),"")</f>
        <v>4.5</v>
      </c>
      <c r="R5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0.81</v>
      </c>
      <c r="S563">
        <f>IFERROR(Lose[[#This Row],[Distanz (km)]]-Lose[[#This Row],[Check Distanz]],"")</f>
        <v>0.69</v>
      </c>
      <c r="T563" s="60">
        <f>IFERROR(Lose[[#This Row],[Check Umweg]]/Lose[[#This Row],[Check Distanz]],"")</f>
        <v>0.85185185185185175</v>
      </c>
      <c r="U563">
        <f ca="1">IF(RIGHT(Lose[[#This Row],[LosID]],1)="b",_xlfn.XLOOKUP(REPLACE(Lose[[#This Row],[LosID]],LEN(Lose[[#This Row],[LosID]]),1,"a"),Lose[LosID],Lose[Zufallszahl],"",0),RAND())</f>
        <v>0.11295045810379656</v>
      </c>
      <c r="V563" t="b" cm="1">
        <f t="array" aca="1" ref="V563" ca="1">Lose[[#This Row],[Zufallszahl]]&gt;=IFERROR(LARGE((LEFT(Lose[LosID],FIND("-",Lose[LosID])-1)=LEFT(Lose[[#This Row],[LosID]],FIND("-",Lose[[#This Row],[LosID]])-1))*Lose[Zufallszahl],_xlfn.XLOOKUP(LEFT(Lose[[#This Row],[LosID]],FIND("-",Lose[[#This Row],[LosID]])-1),Ziehungsanzahl[Kürzel],Ziehungsanzahl[Kontingent],FALSE,0)),9999)</f>
        <v>0</v>
      </c>
    </row>
    <row r="564" spans="1:23" ht="165" hidden="1">
      <c r="A5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4" s="1" t="s">
        <v>25187</v>
      </c>
      <c r="C564" t="s">
        <v>25188</v>
      </c>
      <c r="D564" s="1" t="s">
        <v>25189</v>
      </c>
      <c r="E564" t="s">
        <v>25190</v>
      </c>
      <c r="F564" t="s">
        <v>25191</v>
      </c>
      <c r="G564">
        <v>5</v>
      </c>
      <c r="H564">
        <v>12</v>
      </c>
      <c r="I564">
        <v>0.23</v>
      </c>
      <c r="J564">
        <v>10</v>
      </c>
      <c r="K564" t="str" cm="1">
        <f t="array" ref="K5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 Flughafen</v>
      </c>
      <c r="L564" t="str">
        <f>IFERROR(LEFT(TRIM(Lose[[#This Row],[Google Koordinaten]]),9),"")</f>
        <v>51.291011</v>
      </c>
      <c r="M564" t="str">
        <f>IFERROR(MID(TRIM(Lose[[#This Row],[Google Koordinaten]]),
FIND(",",TRIM(Lose[[#This Row],[Google Koordinaten]])) + 2,9),"")</f>
        <v>6.7860158</v>
      </c>
      <c r="N564">
        <f>IF(Lose[[#This Row],[Bahn-hofs-zeit]]=0,0,MROUND(30*25^((Lose[[#This Row],[Bahn-hofs-zeit]]-_xlfn.MINIFS(Lose[Bahn-hofs-zeit],Lose[Bahn-hofs-zeit],"&gt;0"))/(MAX(Lose[Bahn-hofs-zeit])-_xlfn.MINIFS(Lose[Bahn-hofs-zeit],Lose[Bahn-hofs-zeit],"&gt;0"))),5))</f>
        <v>35</v>
      </c>
      <c r="O564">
        <f>IF(Lose[[#This Row],[Gehzeit (min)]]="",0,CEILING(3*(Lose[[#This Row],[Gehzeit (min)]]+Lose[[#This Row],[Aufgaben-zeit (min)]]),5))</f>
        <v>55</v>
      </c>
      <c r="P564">
        <v>3.75</v>
      </c>
      <c r="Q564">
        <f>IFERROR(ROUND(Lose[[#This Row],[Distanz (km)]]*60/Lose[[#This Row],[Gehzeit (min)]],1),"")</f>
        <v>2.8</v>
      </c>
      <c r="R5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64">
        <f>IFERROR(Lose[[#This Row],[Distanz (km)]]-Lose[[#This Row],[Check Distanz]],"")</f>
        <v>0.11000000000000001</v>
      </c>
      <c r="T564" s="60">
        <f>IFERROR(Lose[[#This Row],[Check Umweg]]/Lose[[#This Row],[Check Distanz]],"")</f>
        <v>0.91666666666666685</v>
      </c>
      <c r="U564">
        <f ca="1">IF(RIGHT(Lose[[#This Row],[LosID]],1)="b",_xlfn.XLOOKUP(REPLACE(Lose[[#This Row],[LosID]],LEN(Lose[[#This Row],[LosID]]),1,"a"),Lose[LosID],Lose[Zufallszahl],"",0),RAND())</f>
        <v>0.99546808663256481</v>
      </c>
      <c r="V564" t="b" cm="1">
        <f t="array" aca="1" ref="V564" ca="1">Lose[[#This Row],[Zufallszahl]]&gt;=IFERROR(LARGE((LEFT(Lose[LosID],FIND("-",Lose[LosID])-1)=LEFT(Lose[[#This Row],[LosID]],FIND("-",Lose[[#This Row],[LosID]])-1))*Lose[Zufallszahl],_xlfn.XLOOKUP(LEFT(Lose[[#This Row],[LosID]],FIND("-",Lose[[#This Row],[LosID]])-1),Ziehungsanzahl[Kürzel],Ziehungsanzahl[Kontingent],FALSE,0)),9999)</f>
        <v>0</v>
      </c>
    </row>
    <row r="565" spans="1:23" ht="45" hidden="1">
      <c r="A5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5" t="s">
        <v>4</v>
      </c>
      <c r="C565" t="s">
        <v>1479</v>
      </c>
      <c r="D565" s="1" t="s">
        <v>25192</v>
      </c>
      <c r="E565" t="s">
        <v>25193</v>
      </c>
      <c r="F565" t="s">
        <v>25194</v>
      </c>
      <c r="G565">
        <v>4</v>
      </c>
      <c r="H565">
        <v>1</v>
      </c>
      <c r="I565">
        <v>0.3</v>
      </c>
      <c r="K565" t="str" cm="1">
        <f t="array" ref="K5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Essen-Hügel</v>
      </c>
      <c r="L565" t="str">
        <f>IFERROR(LEFT(TRIM(Lose[[#This Row],[Google Koordinaten]]),9),"")</f>
        <v>51.402474</v>
      </c>
      <c r="M565" t="str">
        <f>IFERROR(MID(TRIM(Lose[[#This Row],[Google Koordinaten]]),
FIND(",",TRIM(Lose[[#This Row],[Google Koordinaten]])) + 2,9),"")</f>
        <v>7.0076149</v>
      </c>
      <c r="N565">
        <f>IF(Lose[[#This Row],[Bahn-hofs-zeit]]=0,0,MROUND(30*25^((Lose[[#This Row],[Bahn-hofs-zeit]]-_xlfn.MINIFS(Lose[Bahn-hofs-zeit],Lose[Bahn-hofs-zeit],"&gt;0"))/(MAX(Lose[Bahn-hofs-zeit])-_xlfn.MINIFS(Lose[Bahn-hofs-zeit],Lose[Bahn-hofs-zeit],"&gt;0"))),5))</f>
        <v>40</v>
      </c>
      <c r="O565">
        <f>IF(Lose[[#This Row],[Gehzeit (min)]]="",0,CEILING(3*(Lose[[#This Row],[Gehzeit (min)]]+Lose[[#This Row],[Aufgaben-zeit (min)]]),5))</f>
        <v>15</v>
      </c>
      <c r="P565">
        <v>4.25</v>
      </c>
      <c r="Q565">
        <f>IFERROR(ROUND(Lose[[#This Row],[Distanz (km)]]*60/Lose[[#This Row],[Gehzeit (min)]],1),"")</f>
        <v>4.5</v>
      </c>
      <c r="R5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565">
        <f>IFERROR(Lose[[#This Row],[Distanz (km)]]-Lose[[#This Row],[Check Distanz]],"")</f>
        <v>0.06</v>
      </c>
      <c r="T565" s="60">
        <f>IFERROR(Lose[[#This Row],[Check Umweg]]/Lose[[#This Row],[Check Distanz]],"")</f>
        <v>0.25</v>
      </c>
      <c r="U565">
        <f ca="1">IF(RIGHT(Lose[[#This Row],[LosID]],1)="b",_xlfn.XLOOKUP(REPLACE(Lose[[#This Row],[LosID]],LEN(Lose[[#This Row],[LosID]]),1,"a"),Lose[LosID],Lose[Zufallszahl],"",0),RAND())</f>
        <v>0.82233215230962287</v>
      </c>
      <c r="V565" t="b" cm="1">
        <f t="array" aca="1" ref="V565" ca="1">Lose[[#This Row],[Zufallszahl]]&gt;=IFERROR(LARGE((LEFT(Lose[LosID],FIND("-",Lose[LosID])-1)=LEFT(Lose[[#This Row],[LosID]],FIND("-",Lose[[#This Row],[LosID]])-1))*Lose[Zufallszahl],_xlfn.XLOOKUP(LEFT(Lose[[#This Row],[LosID]],FIND("-",Lose[[#This Row],[LosID]])-1),Ziehungsanzahl[Kürzel],Ziehungsanzahl[Kontingent],FALSE,0)),9999)</f>
        <v>0</v>
      </c>
    </row>
    <row r="566" spans="1:23" ht="45" hidden="1">
      <c r="A5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6" t="s">
        <v>4</v>
      </c>
      <c r="C566" t="s">
        <v>1480</v>
      </c>
      <c r="D566" s="1" t="s">
        <v>25195</v>
      </c>
      <c r="E566" t="s">
        <v>25196</v>
      </c>
      <c r="F566" s="88" t="s">
        <v>25197</v>
      </c>
      <c r="G566">
        <v>20</v>
      </c>
      <c r="H566">
        <v>1</v>
      </c>
      <c r="I566">
        <v>1.5</v>
      </c>
      <c r="K566" t="str" cm="1">
        <f t="array" ref="K5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Capelle(Westf)</v>
      </c>
      <c r="L566" t="str">
        <f>IFERROR(LEFT(TRIM(Lose[[#This Row],[Google Koordinaten]]),9),"")</f>
        <v>51.725038</v>
      </c>
      <c r="M566" t="str">
        <f>IFERROR(MID(TRIM(Lose[[#This Row],[Google Koordinaten]]),
FIND(",",TRIM(Lose[[#This Row],[Google Koordinaten]])) + 2,9),"")</f>
        <v>7.612696</v>
      </c>
      <c r="N566">
        <f>IF(Lose[[#This Row],[Bahn-hofs-zeit]]=0,0,MROUND(30*25^((Lose[[#This Row],[Bahn-hofs-zeit]]-_xlfn.MINIFS(Lose[Bahn-hofs-zeit],Lose[Bahn-hofs-zeit],"&gt;0"))/(MAX(Lose[Bahn-hofs-zeit])-_xlfn.MINIFS(Lose[Bahn-hofs-zeit],Lose[Bahn-hofs-zeit],"&gt;0"))),5))</f>
        <v>45</v>
      </c>
      <c r="O566">
        <f>IF(Lose[[#This Row],[Gehzeit (min)]]="",0,CEILING(3*(Lose[[#This Row],[Gehzeit (min)]]+Lose[[#This Row],[Aufgaben-zeit (min)]]),5))</f>
        <v>65</v>
      </c>
      <c r="P566">
        <v>4.75</v>
      </c>
      <c r="Q566">
        <f>IFERROR(ROUND(Lose[[#This Row],[Distanz (km)]]*60/Lose[[#This Row],[Gehzeit (min)]],1),"")</f>
        <v>4.5</v>
      </c>
      <c r="R5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1.1399999999999999</v>
      </c>
      <c r="S566">
        <f>IFERROR(Lose[[#This Row],[Distanz (km)]]-Lose[[#This Row],[Check Distanz]],"")</f>
        <v>0.3600000000000001</v>
      </c>
      <c r="T566" s="60">
        <f>IFERROR(Lose[[#This Row],[Check Umweg]]/Lose[[#This Row],[Check Distanz]],"")</f>
        <v>0.31578947368421062</v>
      </c>
      <c r="U566">
        <f ca="1">IF(RIGHT(Lose[[#This Row],[LosID]],1)="b",_xlfn.XLOOKUP(REPLACE(Lose[[#This Row],[LosID]],LEN(Lose[[#This Row],[LosID]]),1,"a"),Lose[LosID],Lose[Zufallszahl],"",0),RAND())</f>
        <v>0.51162470478024324</v>
      </c>
      <c r="V566" t="b" cm="1">
        <f t="array" aca="1" ref="V566" ca="1">Lose[[#This Row],[Zufallszahl]]&gt;=IFERROR(LARGE((LEFT(Lose[LosID],FIND("-",Lose[LosID])-1)=LEFT(Lose[[#This Row],[LosID]],FIND("-",Lose[[#This Row],[LosID]])-1))*Lose[Zufallszahl],_xlfn.XLOOKUP(LEFT(Lose[[#This Row],[LosID]],FIND("-",Lose[[#This Row],[LosID]])-1),Ziehungsanzahl[Kürzel],Ziehungsanzahl[Kontingent],FALSE,0)),9999)</f>
        <v>0</v>
      </c>
    </row>
    <row r="567" spans="1:23" ht="165" hidden="1">
      <c r="A5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7" t="s">
        <v>23372</v>
      </c>
      <c r="C567" t="s">
        <v>1481</v>
      </c>
      <c r="D567" s="1" t="s">
        <v>25198</v>
      </c>
      <c r="E567" t="s">
        <v>25199</v>
      </c>
      <c r="F567" t="s">
        <v>25200</v>
      </c>
      <c r="G567">
        <v>10</v>
      </c>
      <c r="H567">
        <v>5</v>
      </c>
      <c r="I567">
        <v>0.75</v>
      </c>
      <c r="J567">
        <v>30</v>
      </c>
      <c r="K567" t="str" cm="1">
        <f t="array" ref="K5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Andernach</v>
      </c>
      <c r="L567" t="str">
        <f>IFERROR(LEFT(TRIM(Lose[[#This Row],[Google Koordinaten]]),9),"")</f>
        <v>50.438174</v>
      </c>
      <c r="M567" t="str">
        <f>IFERROR(MID(TRIM(Lose[[#This Row],[Google Koordinaten]]),
FIND(",",TRIM(Lose[[#This Row],[Google Koordinaten]])) + 2,9),"")</f>
        <v>7.4000946</v>
      </c>
      <c r="N567">
        <f>IF(Lose[[#This Row],[Bahn-hofs-zeit]]=0,0,MROUND(30*25^((Lose[[#This Row],[Bahn-hofs-zeit]]-_xlfn.MINIFS(Lose[Bahn-hofs-zeit],Lose[Bahn-hofs-zeit],"&gt;0"))/(MAX(Lose[Bahn-hofs-zeit])-_xlfn.MINIFS(Lose[Bahn-hofs-zeit],Lose[Bahn-hofs-zeit],"&gt;0"))),5))</f>
        <v>55</v>
      </c>
      <c r="O567">
        <f>IF(Lose[[#This Row],[Gehzeit (min)]]="",0,CEILING(3*(Lose[[#This Row],[Gehzeit (min)]]+Lose[[#This Row],[Aufgaben-zeit (min)]]),5))</f>
        <v>45</v>
      </c>
      <c r="P567">
        <v>5.25</v>
      </c>
      <c r="Q567">
        <f>IFERROR(ROUND(Lose[[#This Row],[Distanz (km)]]*60/Lose[[#This Row],[Gehzeit (min)]],1),"")</f>
        <v>4.5</v>
      </c>
      <c r="R5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567">
        <f>IFERROR(Lose[[#This Row],[Distanz (km)]]-Lose[[#This Row],[Check Distanz]],"")</f>
        <v>0.21999999999999997</v>
      </c>
      <c r="T567" s="60">
        <f>IFERROR(Lose[[#This Row],[Check Umweg]]/Lose[[#This Row],[Check Distanz]],"")</f>
        <v>0.41509433962264142</v>
      </c>
      <c r="U567">
        <f ca="1">IF(RIGHT(Lose[[#This Row],[LosID]],1)="b",_xlfn.XLOOKUP(REPLACE(Lose[[#This Row],[LosID]],LEN(Lose[[#This Row],[LosID]]),1,"a"),Lose[LosID],Lose[Zufallszahl],"",0),RAND())</f>
        <v>0.11207642149581265</v>
      </c>
      <c r="V567" t="b" cm="1">
        <f t="array" aca="1" ref="V567" ca="1">Lose[[#This Row],[Zufallszahl]]&gt;=IFERROR(LARGE((LEFT(Lose[LosID],FIND("-",Lose[LosID])-1)=LEFT(Lose[[#This Row],[LosID]],FIND("-",Lose[[#This Row],[LosID]])-1))*Lose[Zufallszahl],_xlfn.XLOOKUP(LEFT(Lose[[#This Row],[LosID]],FIND("-",Lose[[#This Row],[LosID]])-1),Ziehungsanzahl[Kürzel],Ziehungsanzahl[Kontingent],FALSE,0)),9999)</f>
        <v>0</v>
      </c>
    </row>
    <row r="568" spans="1:23" ht="75" hidden="1">
      <c r="A5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8" t="s">
        <v>23372</v>
      </c>
      <c r="C568" t="s">
        <v>25201</v>
      </c>
      <c r="D568" s="89" t="s">
        <v>25202</v>
      </c>
      <c r="E568" s="1" t="s">
        <v>25203</v>
      </c>
      <c r="F568" s="1" t="s">
        <v>25204</v>
      </c>
      <c r="G568" s="107">
        <v>4</v>
      </c>
      <c r="H568" s="107">
        <v>1</v>
      </c>
      <c r="I568" s="107">
        <v>0.3</v>
      </c>
      <c r="J568">
        <v>30</v>
      </c>
      <c r="K568" t="str" cm="1">
        <f t="array" ref="K5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Essen-Kupferdreh</v>
      </c>
      <c r="L568" t="str">
        <f>IFERROR(LEFT(TRIM(Lose[[#This Row],[Google Koordinaten]]),9),"")</f>
        <v>51.392315</v>
      </c>
      <c r="M568" t="str">
        <f>IFERROR(MID(TRIM(Lose[[#This Row],[Google Koordinaten]]),
FIND(",",TRIM(Lose[[#This Row],[Google Koordinaten]])) + 2,9),"")</f>
        <v>7.0769906</v>
      </c>
      <c r="N568">
        <f>IF(Lose[[#This Row],[Bahn-hofs-zeit]]=0,0,MROUND(30*25^((Lose[[#This Row],[Bahn-hofs-zeit]]-_xlfn.MINIFS(Lose[Bahn-hofs-zeit],Lose[Bahn-hofs-zeit],"&gt;0"))/(MAX(Lose[Bahn-hofs-zeit])-_xlfn.MINIFS(Lose[Bahn-hofs-zeit],Lose[Bahn-hofs-zeit],"&gt;0"))),5))</f>
        <v>45</v>
      </c>
      <c r="O568">
        <f>IF(Lose[[#This Row],[Gehzeit (min)]]="",0,CEILING(3*(Lose[[#This Row],[Gehzeit (min)]]+Lose[[#This Row],[Aufgaben-zeit (min)]]),5))</f>
        <v>15</v>
      </c>
      <c r="P568">
        <v>4.75</v>
      </c>
      <c r="Q568">
        <f>IFERROR(ROUND(Lose[[#This Row],[Distanz (km)]]*60/Lose[[#This Row],[Gehzeit (min)]],1),"")</f>
        <v>4.5</v>
      </c>
      <c r="R5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568">
        <f>IFERROR(Lose[[#This Row],[Distanz (km)]]-Lose[[#This Row],[Check Distanz]],"")</f>
        <v>2.9999999999999971E-2</v>
      </c>
      <c r="T568" s="60">
        <f>IFERROR(Lose[[#This Row],[Check Umweg]]/Lose[[#This Row],[Check Distanz]],"")</f>
        <v>0.11111111111111099</v>
      </c>
      <c r="U568">
        <f ca="1">IF(RIGHT(Lose[[#This Row],[LosID]],1)="b",_xlfn.XLOOKUP(REPLACE(Lose[[#This Row],[LosID]],LEN(Lose[[#This Row],[LosID]]),1,"a"),Lose[LosID],Lose[Zufallszahl],"",0),RAND())</f>
        <v>0.74354210439838053</v>
      </c>
      <c r="V568" t="b" cm="1">
        <f t="array" aca="1" ref="V568" ca="1">Lose[[#This Row],[Zufallszahl]]&gt;=IFERROR(LARGE((LEFT(Lose[LosID],FIND("-",Lose[LosID])-1)=LEFT(Lose[[#This Row],[LosID]],FIND("-",Lose[[#This Row],[LosID]])-1))*Lose[Zufallszahl],_xlfn.XLOOKUP(LEFT(Lose[[#This Row],[LosID]],FIND("-",Lose[[#This Row],[LosID]])-1),Ziehungsanzahl[Kürzel],Ziehungsanzahl[Kontingent],FALSE,0)),9999)</f>
        <v>0</v>
      </c>
    </row>
    <row r="569" spans="1:23" ht="135" hidden="1">
      <c r="A5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9" t="s">
        <v>23416</v>
      </c>
      <c r="C569" t="s">
        <v>25205</v>
      </c>
      <c r="D569" s="1" t="s">
        <v>25206</v>
      </c>
      <c r="E569" t="s">
        <v>25207</v>
      </c>
      <c r="F569" t="s">
        <v>25208</v>
      </c>
      <c r="G569">
        <v>12</v>
      </c>
      <c r="H569">
        <v>1</v>
      </c>
      <c r="I569">
        <v>0.9</v>
      </c>
      <c r="J569">
        <v>20</v>
      </c>
      <c r="K569" t="str" cm="1">
        <f t="array" ref="K5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Würzburg Süd</v>
      </c>
      <c r="L569" t="str">
        <f>IFERROR(LEFT(TRIM(Lose[[#This Row],[Google Koordinaten]]),9),"")</f>
        <v>49.792585</v>
      </c>
      <c r="M569" t="str">
        <f>IFERROR(MID(TRIM(Lose[[#This Row],[Google Koordinaten]]),
FIND(",",TRIM(Lose[[#This Row],[Google Koordinaten]])) + 2,9),"")</f>
        <v>9.9399241</v>
      </c>
      <c r="N569">
        <f>IF(Lose[[#This Row],[Bahn-hofs-zeit]]=0,0,MROUND(30*25^((Lose[[#This Row],[Bahn-hofs-zeit]]-_xlfn.MINIFS(Lose[Bahn-hofs-zeit],Lose[Bahn-hofs-zeit],"&gt;0"))/(MAX(Lose[Bahn-hofs-zeit])-_xlfn.MINIFS(Lose[Bahn-hofs-zeit],Lose[Bahn-hofs-zeit],"&gt;0"))),5))</f>
        <v>70</v>
      </c>
      <c r="O569">
        <f>IF(Lose[[#This Row],[Gehzeit (min)]]="",0,CEILING(3*(Lose[[#This Row],[Gehzeit (min)]]+Lose[[#This Row],[Aufgaben-zeit (min)]]),5))</f>
        <v>40</v>
      </c>
      <c r="P569">
        <v>6.25</v>
      </c>
      <c r="Q569">
        <f>IFERROR(ROUND(Lose[[#This Row],[Distanz (km)]]*60/Lose[[#This Row],[Gehzeit (min)]],1),"")</f>
        <v>4.5</v>
      </c>
      <c r="R5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0.55000000000000004</v>
      </c>
      <c r="S569">
        <f>IFERROR(Lose[[#This Row],[Distanz (km)]]-Lose[[#This Row],[Check Distanz]],"")</f>
        <v>0.35</v>
      </c>
      <c r="T569" s="60">
        <f>IFERROR(Lose[[#This Row],[Check Umweg]]/Lose[[#This Row],[Check Distanz]],"")</f>
        <v>0.63636363636363624</v>
      </c>
      <c r="U569">
        <f ca="1">IF(RIGHT(Lose[[#This Row],[LosID]],1)="b",_xlfn.XLOOKUP(REPLACE(Lose[[#This Row],[LosID]],LEN(Lose[[#This Row],[LosID]]),1,"a"),Lose[LosID],Lose[Zufallszahl],"",0),RAND())</f>
        <v>0.24257787406072417</v>
      </c>
      <c r="V569" t="b" cm="1">
        <f t="array" aca="1" ref="V569" ca="1">Lose[[#This Row],[Zufallszahl]]&gt;=IFERROR(LARGE((LEFT(Lose[LosID],FIND("-",Lose[LosID])-1)=LEFT(Lose[[#This Row],[LosID]],FIND("-",Lose[[#This Row],[LosID]])-1))*Lose[Zufallszahl],_xlfn.XLOOKUP(LEFT(Lose[[#This Row],[LosID]],FIND("-",Lose[[#This Row],[LosID]])-1),Ziehungsanzahl[Kürzel],Ziehungsanzahl[Kontingent],FALSE,0)),9999)</f>
        <v>0</v>
      </c>
    </row>
    <row r="570" spans="1:23" ht="30" hidden="1">
      <c r="A5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0" t="s">
        <v>23390</v>
      </c>
      <c r="C570" t="s">
        <v>25209</v>
      </c>
      <c r="D570" s="1" t="s">
        <v>25210</v>
      </c>
      <c r="E570" t="s">
        <v>25211</v>
      </c>
      <c r="F570" t="s">
        <v>25212</v>
      </c>
      <c r="G570" s="106">
        <v>23</v>
      </c>
      <c r="H570" s="106">
        <v>1</v>
      </c>
      <c r="I570" s="106">
        <v>1.4</v>
      </c>
      <c r="J570" t="s">
        <v>23</v>
      </c>
      <c r="K570" s="106" t="str" cm="1">
        <f t="array" ref="K5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Weimar Berkaer Bf</v>
      </c>
      <c r="L570" t="str">
        <f>IFERROR(LEFT(TRIM(Lose[[#This Row],[Google Koordinaten]]),9),"")</f>
        <v>50.980035</v>
      </c>
      <c r="M570" t="str">
        <f>IFERROR(MID(TRIM(Lose[[#This Row],[Google Koordinaten]]),
FIND(",",TRIM(Lose[[#This Row],[Google Koordinaten]])) + 2,9),"")</f>
        <v>11.325656</v>
      </c>
      <c r="N570">
        <f>IF(Lose[[#This Row],[Bahn-hofs-zeit]]=0,0,MROUND(30*25^((Lose[[#This Row],[Bahn-hofs-zeit]]-_xlfn.MINIFS(Lose[Bahn-hofs-zeit],Lose[Bahn-hofs-zeit],"&gt;0"))/(MAX(Lose[Bahn-hofs-zeit])-_xlfn.MINIFS(Lose[Bahn-hofs-zeit],Lose[Bahn-hofs-zeit],"&gt;0"))),5))</f>
        <v>165</v>
      </c>
      <c r="O570">
        <f>IF(Lose[[#This Row],[Gehzeit (min)]]="",0,CEILING(3*(Lose[[#This Row],[Gehzeit (min)]]+Lose[[#This Row],[Aufgaben-zeit (min)]]),5))</f>
        <v>75</v>
      </c>
      <c r="P570">
        <v>9.25</v>
      </c>
      <c r="Q570">
        <f>IFERROR(ROUND(Lose[[#This Row],[Distanz (km)]]*60/Lose[[#This Row],[Gehzeit (min)]],1),"")</f>
        <v>3.7</v>
      </c>
      <c r="R5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570">
        <f>IFERROR(Lose[[#This Row],[Distanz (km)]]-Lose[[#This Row],[Check Distanz]],"")</f>
        <v>0.55999999999999994</v>
      </c>
      <c r="T570" s="60">
        <f>IFERROR(Lose[[#This Row],[Check Umweg]]/Lose[[#This Row],[Check Distanz]],"")</f>
        <v>0.66666666666666663</v>
      </c>
      <c r="U570">
        <f ca="1">IF(RIGHT(Lose[[#This Row],[LosID]],1)="b",_xlfn.XLOOKUP(REPLACE(Lose[[#This Row],[LosID]],LEN(Lose[[#This Row],[LosID]]),1,"a"),Lose[LosID],Lose[Zufallszahl],"",0),RAND())</f>
        <v>0.98634609832437625</v>
      </c>
      <c r="V570" t="b" cm="1">
        <f t="array" aca="1" ref="V570" ca="1">Lose[[#This Row],[Zufallszahl]]&gt;=IFERROR(LARGE((LEFT(Lose[LosID],FIND("-",Lose[LosID])-1)=LEFT(Lose[[#This Row],[LosID]],FIND("-",Lose[[#This Row],[LosID]])-1))*Lose[Zufallszahl],_xlfn.XLOOKUP(LEFT(Lose[[#This Row],[LosID]],FIND("-",Lose[[#This Row],[LosID]])-1),Ziehungsanzahl[Kürzel],Ziehungsanzahl[Kontingent],FALSE,0)),9999)</f>
        <v>0</v>
      </c>
    </row>
    <row r="571" spans="1:23" ht="45" hidden="1">
      <c r="A5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1" t="s">
        <v>23394</v>
      </c>
      <c r="C571" t="s">
        <v>25213</v>
      </c>
      <c r="D571" s="1" t="s">
        <v>25214</v>
      </c>
      <c r="E571" t="s">
        <v>25215</v>
      </c>
      <c r="F571" s="87" t="s">
        <v>25216</v>
      </c>
      <c r="G571">
        <v>19</v>
      </c>
      <c r="H571">
        <v>2</v>
      </c>
      <c r="I571">
        <v>1.2</v>
      </c>
      <c r="J571" t="s">
        <v>23</v>
      </c>
      <c r="K571" t="str" cm="1">
        <f t="array" ref="K5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 Nord</v>
      </c>
      <c r="L571" t="str">
        <f>IFERROR(LEFT(TRIM(Lose[[#This Row],[Google Koordinaten]]),9),"")</f>
        <v>48.799678</v>
      </c>
      <c r="M571" t="str">
        <f>IFERROR(MID(TRIM(Lose[[#This Row],[Google Koordinaten]]),
FIND(",",TRIM(Lose[[#This Row],[Google Koordinaten]])) + 2,9),"")</f>
        <v>9.1776708</v>
      </c>
      <c r="N571">
        <f>IF(Lose[[#This Row],[Bahn-hofs-zeit]]=0,0,MROUND(30*25^((Lose[[#This Row],[Bahn-hofs-zeit]]-_xlfn.MINIFS(Lose[Bahn-hofs-zeit],Lose[Bahn-hofs-zeit],"&gt;0"))/(MAX(Lose[Bahn-hofs-zeit])-_xlfn.MINIFS(Lose[Bahn-hofs-zeit],Lose[Bahn-hofs-zeit],"&gt;0"))),5))</f>
        <v>80</v>
      </c>
      <c r="O571">
        <f>IF(Lose[[#This Row],[Gehzeit (min)]]="",0,CEILING(3*(Lose[[#This Row],[Gehzeit (min)]]+Lose[[#This Row],[Aufgaben-zeit (min)]]),5))</f>
        <v>65</v>
      </c>
      <c r="P571">
        <v>6.75</v>
      </c>
      <c r="Q571">
        <f>IFERROR(ROUND(Lose[[#This Row],[Distanz (km)]]*60/Lose[[#This Row],[Gehzeit (min)]],1),"")</f>
        <v>3.8</v>
      </c>
      <c r="R5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571">
        <f>IFERROR(Lose[[#This Row],[Distanz (km)]]-Lose[[#This Row],[Check Distanz]],"")</f>
        <v>0.31999999999999995</v>
      </c>
      <c r="T571" s="60">
        <f>IFERROR(Lose[[#This Row],[Check Umweg]]/Lose[[#This Row],[Check Distanz]],"")</f>
        <v>0.36363636363636359</v>
      </c>
      <c r="U571">
        <f ca="1">IF(RIGHT(Lose[[#This Row],[LosID]],1)="b",_xlfn.XLOOKUP(REPLACE(Lose[[#This Row],[LosID]],LEN(Lose[[#This Row],[LosID]]),1,"a"),Lose[LosID],Lose[Zufallszahl],"",0),RAND())</f>
        <v>0.71268944011943436</v>
      </c>
      <c r="V571" t="b" cm="1">
        <f t="array" aca="1" ref="V571" ca="1">Lose[[#This Row],[Zufallszahl]]&gt;=IFERROR(LARGE((LEFT(Lose[LosID],FIND("-",Lose[LosID])-1)=LEFT(Lose[[#This Row],[LosID]],FIND("-",Lose[[#This Row],[LosID]])-1))*Lose[Zufallszahl],_xlfn.XLOOKUP(LEFT(Lose[[#This Row],[LosID]],FIND("-",Lose[[#This Row],[LosID]])-1),Ziehungsanzahl[Kürzel],Ziehungsanzahl[Kontingent],FALSE,0)),9999)</f>
        <v>0</v>
      </c>
    </row>
    <row r="572" spans="1:23" ht="45" hidden="1">
      <c r="A5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2" t="s">
        <v>23403</v>
      </c>
      <c r="C572" s="83" t="s">
        <v>25217</v>
      </c>
      <c r="D572" s="1" t="s">
        <v>25218</v>
      </c>
      <c r="E572" t="s">
        <v>25219</v>
      </c>
      <c r="F572" t="s">
        <v>25220</v>
      </c>
      <c r="G572">
        <v>10</v>
      </c>
      <c r="H572">
        <v>1</v>
      </c>
      <c r="I572">
        <v>0.7</v>
      </c>
      <c r="J572" t="s">
        <v>23</v>
      </c>
      <c r="K572" t="str" cm="1">
        <f t="array" ref="K5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Cölbe</v>
      </c>
      <c r="L572" t="str">
        <f>IFERROR(LEFT(TRIM(Lose[[#This Row],[Google Koordinaten]]),9),"")</f>
        <v>50.847444</v>
      </c>
      <c r="M572" t="str">
        <f>IFERROR(MID(TRIM(Lose[[#This Row],[Google Koordinaten]]),
FIND(",",TRIM(Lose[[#This Row],[Google Koordinaten]])) + 2,9),"")</f>
        <v>8.7785315</v>
      </c>
      <c r="N572">
        <f>IF(Lose[[#This Row],[Bahn-hofs-zeit]]=0,0,MROUND(30*25^((Lose[[#This Row],[Bahn-hofs-zeit]]-_xlfn.MINIFS(Lose[Bahn-hofs-zeit],Lose[Bahn-hofs-zeit],"&gt;0"))/(MAX(Lose[Bahn-hofs-zeit])-_xlfn.MINIFS(Lose[Bahn-hofs-zeit],Lose[Bahn-hofs-zeit],"&gt;0"))),5))</f>
        <v>60</v>
      </c>
      <c r="O572">
        <f>IF(Lose[[#This Row],[Gehzeit (min)]]="",0,CEILING(3*(Lose[[#This Row],[Gehzeit (min)]]+Lose[[#This Row],[Aufgaben-zeit (min)]]),5))</f>
        <v>35</v>
      </c>
      <c r="P572">
        <v>5.75</v>
      </c>
      <c r="Q572">
        <f>IFERROR(ROUND(Lose[[#This Row],[Distanz (km)]]*60/Lose[[#This Row],[Gehzeit (min)]],1),"")</f>
        <v>4.2</v>
      </c>
      <c r="R5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572">
        <f>IFERROR(Lose[[#This Row],[Distanz (km)]]-Lose[[#This Row],[Check Distanz]],"")</f>
        <v>2.9999999999999916E-2</v>
      </c>
      <c r="T572" s="60">
        <f>IFERROR(Lose[[#This Row],[Check Umweg]]/Lose[[#This Row],[Check Distanz]],"")</f>
        <v>4.4776119402984947E-2</v>
      </c>
      <c r="U572">
        <f ca="1">IF(RIGHT(Lose[[#This Row],[LosID]],1)="b",_xlfn.XLOOKUP(REPLACE(Lose[[#This Row],[LosID]],LEN(Lose[[#This Row],[LosID]]),1,"a"),Lose[LosID],Lose[Zufallszahl],"",0),RAND())</f>
        <v>0.40791097176462865</v>
      </c>
      <c r="V572" t="b" cm="1">
        <f t="array" aca="1" ref="V572" ca="1">Lose[[#This Row],[Zufallszahl]]&gt;=IFERROR(LARGE((LEFT(Lose[LosID],FIND("-",Lose[LosID])-1)=LEFT(Lose[[#This Row],[LosID]],FIND("-",Lose[[#This Row],[LosID]])-1))*Lose[Zufallszahl],_xlfn.XLOOKUP(LEFT(Lose[[#This Row],[LosID]],FIND("-",Lose[[#This Row],[LosID]])-1),Ziehungsanzahl[Kürzel],Ziehungsanzahl[Kontingent],FALSE,0)),9999)</f>
        <v>0</v>
      </c>
    </row>
    <row r="573" spans="1:23" ht="165" hidden="1">
      <c r="A5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deutlich länger als Luftlinie; Weg mehr als doppelt so lange wie Luftlinie</v>
      </c>
      <c r="B573" t="s">
        <v>23408</v>
      </c>
      <c r="C573" t="s">
        <v>1463</v>
      </c>
      <c r="D573" s="1" t="s">
        <v>25221</v>
      </c>
      <c r="E573" t="s">
        <v>25222</v>
      </c>
      <c r="F573" t="s">
        <v>25223</v>
      </c>
      <c r="G573">
        <v>10</v>
      </c>
      <c r="H573">
        <v>1</v>
      </c>
      <c r="I573">
        <v>0.7</v>
      </c>
      <c r="J573">
        <v>5</v>
      </c>
      <c r="K573" s="95" t="s">
        <v>5467</v>
      </c>
      <c r="N573">
        <f>IF(Lose[[#This Row],[Bahn-hofs-zeit]]=0,0,MROUND(30*25^((Lose[[#This Row],[Bahn-hofs-zeit]]-_xlfn.MINIFS(Lose[Bahn-hofs-zeit],Lose[Bahn-hofs-zeit],"&gt;0"))/(MAX(Lose[Bahn-hofs-zeit])-_xlfn.MINIFS(Lose[Bahn-hofs-zeit],Lose[Bahn-hofs-zeit],"&gt;0"))),5))</f>
        <v>45</v>
      </c>
      <c r="O573">
        <f>IF(Lose[[#This Row],[Gehzeit (min)]]="",0,CEILING(3*(Lose[[#This Row],[Gehzeit (min)]]+Lose[[#This Row],[Aufgaben-zeit (min)]]),5))</f>
        <v>35</v>
      </c>
      <c r="P573">
        <v>4.5</v>
      </c>
      <c r="Q573">
        <f>IFERROR(ROUND(Lose[[#This Row],[Distanz (km)]]*60/Lose[[#This Row],[Gehzeit (min)]],1),"")</f>
        <v>4.2</v>
      </c>
      <c r="R573"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73" t="str">
        <f>IFERROR(Lose[[#This Row],[Distanz (km)]]-Lose[[#This Row],[Check Distanz]],"")</f>
        <v/>
      </c>
      <c r="T573" s="60" t="str">
        <f>IFERROR(Lose[[#This Row],[Check Umweg]]/Lose[[#This Row],[Check Distanz]],"")</f>
        <v/>
      </c>
      <c r="U573">
        <f ca="1">IF(RIGHT(Lose[[#This Row],[LosID]],1)="b",_xlfn.XLOOKUP(REPLACE(Lose[[#This Row],[LosID]],LEN(Lose[[#This Row],[LosID]]),1,"a"),Lose[LosID],Lose[Zufallszahl],"",0),RAND())</f>
        <v>0.73143022079761966</v>
      </c>
      <c r="V573" t="b" cm="1">
        <f t="array" aca="1" ref="V573" ca="1">Lose[[#This Row],[Zufallszahl]]&gt;=IFERROR(LARGE((LEFT(Lose[LosID],FIND("-",Lose[LosID])-1)=LEFT(Lose[[#This Row],[LosID]],FIND("-",Lose[[#This Row],[LosID]])-1))*Lose[Zufallszahl],_xlfn.XLOOKUP(LEFT(Lose[[#This Row],[LosID]],FIND("-",Lose[[#This Row],[LosID]])-1),Ziehungsanzahl[Kürzel],Ziehungsanzahl[Kontingent],FALSE,0)),9999)</f>
        <v>0</v>
      </c>
      <c r="W573" t="s">
        <v>23362</v>
      </c>
    </row>
    <row r="574" spans="1:23" ht="30" hidden="1">
      <c r="A5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4" t="s">
        <v>23412</v>
      </c>
      <c r="C574" t="s">
        <v>1468</v>
      </c>
      <c r="D574" s="1" t="s">
        <v>25224</v>
      </c>
      <c r="E574" t="s">
        <v>1469</v>
      </c>
      <c r="F574" t="s">
        <v>25225</v>
      </c>
      <c r="G574">
        <v>14</v>
      </c>
      <c r="H574">
        <v>5</v>
      </c>
      <c r="I574">
        <v>0.9</v>
      </c>
      <c r="J574" t="s">
        <v>23</v>
      </c>
      <c r="K574" t="str" cm="1">
        <f t="array" ref="K5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Stadthausbrücke</v>
      </c>
      <c r="L574" t="str">
        <f>IFERROR(LEFT(TRIM(Lose[[#This Row],[Google Koordinaten]]),9),"")</f>
        <v>53.543747</v>
      </c>
      <c r="M574" t="str">
        <f>IFERROR(MID(TRIM(Lose[[#This Row],[Google Koordinaten]]),
FIND(",",TRIM(Lose[[#This Row],[Google Koordinaten]])) + 2,9),"")</f>
        <v>9.9891124</v>
      </c>
      <c r="N574">
        <f>IF(Lose[[#This Row],[Bahn-hofs-zeit]]=0,0,MROUND(30*25^((Lose[[#This Row],[Bahn-hofs-zeit]]-_xlfn.MINIFS(Lose[Bahn-hofs-zeit],Lose[Bahn-hofs-zeit],"&gt;0"))/(MAX(Lose[Bahn-hofs-zeit])-_xlfn.MINIFS(Lose[Bahn-hofs-zeit],Lose[Bahn-hofs-zeit],"&gt;0"))),5))</f>
        <v>80</v>
      </c>
      <c r="O574">
        <f>IF(Lose[[#This Row],[Gehzeit (min)]]="",0,CEILING(3*(Lose[[#This Row],[Gehzeit (min)]]+Lose[[#This Row],[Aufgaben-zeit (min)]]),5))</f>
        <v>60</v>
      </c>
      <c r="P574">
        <v>6.75</v>
      </c>
      <c r="Q574">
        <f>IFERROR(ROUND(Lose[[#This Row],[Distanz (km)]]*60/Lose[[#This Row],[Gehzeit (min)]],1),"")</f>
        <v>3.9</v>
      </c>
      <c r="R5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574">
        <f>IFERROR(Lose[[#This Row],[Distanz (km)]]-Lose[[#This Row],[Check Distanz]],"")</f>
        <v>0.20000000000000007</v>
      </c>
      <c r="T574" s="60">
        <f>IFERROR(Lose[[#This Row],[Check Umweg]]/Lose[[#This Row],[Check Distanz]],"")</f>
        <v>0.28571428571428581</v>
      </c>
      <c r="U574">
        <f ca="1">IF(RIGHT(Lose[[#This Row],[LosID]],1)="b",_xlfn.XLOOKUP(REPLACE(Lose[[#This Row],[LosID]],LEN(Lose[[#This Row],[LosID]]),1,"a"),Lose[LosID],Lose[Zufallszahl],"",0),RAND())</f>
        <v>0.64959955144046488</v>
      </c>
      <c r="V574" t="b" cm="1">
        <f t="array" aca="1" ref="V574" ca="1">Lose[[#This Row],[Zufallszahl]]&gt;=IFERROR(LARGE((LEFT(Lose[LosID],FIND("-",Lose[LosID])-1)=LEFT(Lose[[#This Row],[LosID]],FIND("-",Lose[[#This Row],[LosID]])-1))*Lose[Zufallszahl],_xlfn.XLOOKUP(LEFT(Lose[[#This Row],[LosID]],FIND("-",Lose[[#This Row],[LosID]])-1),Ziehungsanzahl[Kürzel],Ziehungsanzahl[Kontingent],FALSE,0)),9999)</f>
        <v>0</v>
      </c>
    </row>
    <row r="575" spans="1:23" ht="165" hidden="1">
      <c r="A5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5" t="s">
        <v>23416</v>
      </c>
      <c r="C575" t="s">
        <v>1473</v>
      </c>
      <c r="D575" s="1" t="s">
        <v>25226</v>
      </c>
      <c r="E575" t="s">
        <v>25227</v>
      </c>
      <c r="F575" t="s">
        <v>25228</v>
      </c>
      <c r="G575">
        <v>3</v>
      </c>
      <c r="H575">
        <v>1</v>
      </c>
      <c r="I575">
        <v>0.2</v>
      </c>
      <c r="J575">
        <v>80</v>
      </c>
      <c r="K575" t="str" cm="1">
        <f t="array" ref="K5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575" t="str">
        <f>IFERROR(LEFT(TRIM(Lose[[#This Row],[Google Koordinaten]]),9),"")</f>
        <v>51.313160</v>
      </c>
      <c r="M575" t="str">
        <f>IFERROR(MID(TRIM(Lose[[#This Row],[Google Koordinaten]]),
FIND(",",TRIM(Lose[[#This Row],[Google Koordinaten]])) + 2,9),"")</f>
        <v>9.4457901</v>
      </c>
      <c r="N575">
        <f>IF(Lose[[#This Row],[Bahn-hofs-zeit]]=0,0,MROUND(30*25^((Lose[[#This Row],[Bahn-hofs-zeit]]-_xlfn.MINIFS(Lose[Bahn-hofs-zeit],Lose[Bahn-hofs-zeit],"&gt;0"))/(MAX(Lose[Bahn-hofs-zeit])-_xlfn.MINIFS(Lose[Bahn-hofs-zeit],Lose[Bahn-hofs-zeit],"&gt;0"))),5))</f>
        <v>40</v>
      </c>
      <c r="O575">
        <f>IF(Lose[[#This Row],[Gehzeit (min)]]="",0,CEILING(3*(Lose[[#This Row],[Gehzeit (min)]]+Lose[[#This Row],[Aufgaben-zeit (min)]]),5))</f>
        <v>15</v>
      </c>
      <c r="P575">
        <v>4.25</v>
      </c>
      <c r="Q575">
        <f>IFERROR(ROUND(Lose[[#This Row],[Distanz (km)]]*60/Lose[[#This Row],[Gehzeit (min)]],1),"")</f>
        <v>4</v>
      </c>
      <c r="R5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575">
        <f>IFERROR(Lose[[#This Row],[Distanz (km)]]-Lose[[#This Row],[Check Distanz]],"")</f>
        <v>9.0000000000000011E-2</v>
      </c>
      <c r="T575" s="60">
        <f>IFERROR(Lose[[#This Row],[Check Umweg]]/Lose[[#This Row],[Check Distanz]],"")</f>
        <v>0.81818181818181823</v>
      </c>
      <c r="U575">
        <f ca="1">IF(RIGHT(Lose[[#This Row],[LosID]],1)="b",_xlfn.XLOOKUP(REPLACE(Lose[[#This Row],[LosID]],LEN(Lose[[#This Row],[LosID]]),1,"a"),Lose[LosID],Lose[Zufallszahl],"",0),RAND())</f>
        <v>3.6020608988276637E-2</v>
      </c>
      <c r="V575" t="b" cm="1">
        <f t="array" aca="1" ref="V575" ca="1">Lose[[#This Row],[Zufallszahl]]&gt;=IFERROR(LARGE((LEFT(Lose[LosID],FIND("-",Lose[LosID])-1)=LEFT(Lose[[#This Row],[LosID]],FIND("-",Lose[[#This Row],[LosID]])-1))*Lose[Zufallszahl],_xlfn.XLOOKUP(LEFT(Lose[[#This Row],[LosID]],FIND("-",Lose[[#This Row],[LosID]])-1),Ziehungsanzahl[Kürzel],Ziehungsanzahl[Kontingent],FALSE,0)),9999)</f>
        <v>0</v>
      </c>
    </row>
    <row r="576" spans="1:23" ht="30" hidden="1">
      <c r="A5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6" t="s">
        <v>23357</v>
      </c>
      <c r="C576" t="s">
        <v>25229</v>
      </c>
      <c r="D576" s="1" t="s">
        <v>25230</v>
      </c>
      <c r="E576" t="s">
        <v>25231</v>
      </c>
      <c r="F576" t="s">
        <v>25232</v>
      </c>
      <c r="G576">
        <v>10</v>
      </c>
      <c r="H576">
        <v>1</v>
      </c>
      <c r="I576">
        <v>0.7</v>
      </c>
      <c r="J576">
        <v>30</v>
      </c>
      <c r="K576" t="str" cm="1">
        <f t="array" ref="K5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 Ost</v>
      </c>
      <c r="L576" t="str">
        <f>IFERROR(LEFT(TRIM(Lose[[#This Row],[Google Koordinaten]]),9),"")</f>
        <v>49.876912</v>
      </c>
      <c r="M576" t="str">
        <f>IFERROR(MID(TRIM(Lose[[#This Row],[Google Koordinaten]]),
FIND(",",TRIM(Lose[[#This Row],[Google Koordinaten]])) + 2,9),"")</f>
        <v>8.6670934</v>
      </c>
      <c r="N576">
        <f>IF(Lose[[#This Row],[Bahn-hofs-zeit]]=0,0,MROUND(30*25^((Lose[[#This Row],[Bahn-hofs-zeit]]-_xlfn.MINIFS(Lose[Bahn-hofs-zeit],Lose[Bahn-hofs-zeit],"&gt;0"))/(MAX(Lose[Bahn-hofs-zeit])-_xlfn.MINIFS(Lose[Bahn-hofs-zeit],Lose[Bahn-hofs-zeit],"&gt;0"))),5))</f>
        <v>45</v>
      </c>
      <c r="O576">
        <f>IF(Lose[[#This Row],[Gehzeit (min)]]="",0,CEILING(3*(Lose[[#This Row],[Gehzeit (min)]]+Lose[[#This Row],[Aufgaben-zeit (min)]]),5))</f>
        <v>35</v>
      </c>
      <c r="P576">
        <v>4.5</v>
      </c>
      <c r="Q576">
        <f>IFERROR(ROUND(Lose[[#This Row],[Distanz (km)]]*60/Lose[[#This Row],[Gehzeit (min)]],1),"")</f>
        <v>4.2</v>
      </c>
      <c r="R5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576">
        <f>IFERROR(Lose[[#This Row],[Distanz (km)]]-Lose[[#This Row],[Check Distanz]],"")</f>
        <v>0.1399999999999999</v>
      </c>
      <c r="T576" s="60">
        <f>IFERROR(Lose[[#This Row],[Check Umweg]]/Lose[[#This Row],[Check Distanz]],"")</f>
        <v>0.24999999999999981</v>
      </c>
      <c r="U576">
        <f ca="1">IF(RIGHT(Lose[[#This Row],[LosID]],1)="b",_xlfn.XLOOKUP(REPLACE(Lose[[#This Row],[LosID]],LEN(Lose[[#This Row],[LosID]]),1,"a"),Lose[LosID],Lose[Zufallszahl],"",0),RAND())</f>
        <v>0.87335457024477325</v>
      </c>
      <c r="V576" t="b" cm="1">
        <f t="array" aca="1" ref="V576" ca="1">Lose[[#This Row],[Zufallszahl]]&gt;=IFERROR(LARGE((LEFT(Lose[LosID],FIND("-",Lose[LosID])-1)=LEFT(Lose[[#This Row],[LosID]],FIND("-",Lose[[#This Row],[LosID]])-1))*Lose[Zufallszahl],_xlfn.XLOOKUP(LEFT(Lose[[#This Row],[LosID]],FIND("-",Lose[[#This Row],[LosID]])-1),Ziehungsanzahl[Kürzel],Ziehungsanzahl[Kontingent],FALSE,0)),9999)</f>
        <v>0</v>
      </c>
    </row>
    <row r="577" spans="1:23" ht="150" hidden="1">
      <c r="A5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7" t="s">
        <v>23363</v>
      </c>
      <c r="C577" t="s">
        <v>25233</v>
      </c>
      <c r="D577" s="1" t="s">
        <v>25234</v>
      </c>
      <c r="E577" t="s">
        <v>25235</v>
      </c>
      <c r="F577" t="s">
        <v>25236</v>
      </c>
      <c r="G577">
        <v>21</v>
      </c>
      <c r="H577">
        <v>5</v>
      </c>
      <c r="I577">
        <v>1.5</v>
      </c>
      <c r="J577">
        <v>10</v>
      </c>
      <c r="K577" t="str" cm="1">
        <f t="array" ref="K5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577" t="str">
        <f>IFERROR(LEFT(TRIM(Lose[[#This Row],[Google Koordinaten]]),9),"")</f>
        <v>49.023046</v>
      </c>
      <c r="M577" t="str">
        <f>IFERROR(MID(TRIM(Lose[[#This Row],[Google Koordinaten]]),
FIND(",",TRIM(Lose[[#This Row],[Google Koordinaten]])) + 2,9),"")</f>
        <v>12.095738</v>
      </c>
      <c r="N577">
        <f>IF(Lose[[#This Row],[Bahn-hofs-zeit]]=0,0,MROUND(30*25^((Lose[[#This Row],[Bahn-hofs-zeit]]-_xlfn.MINIFS(Lose[Bahn-hofs-zeit],Lose[Bahn-hofs-zeit],"&gt;0"))/(MAX(Lose[Bahn-hofs-zeit])-_xlfn.MINIFS(Lose[Bahn-hofs-zeit],Lose[Bahn-hofs-zeit],"&gt;0"))),5))</f>
        <v>240</v>
      </c>
      <c r="O577">
        <f>IF(Lose[[#This Row],[Gehzeit (min)]]="",0,CEILING(3*(Lose[[#This Row],[Gehzeit (min)]]+Lose[[#This Row],[Aufgaben-zeit (min)]]),5))</f>
        <v>80</v>
      </c>
      <c r="P577">
        <v>10.5</v>
      </c>
      <c r="Q577">
        <f>IFERROR(ROUND(Lose[[#This Row],[Distanz (km)]]*60/Lose[[#This Row],[Gehzeit (min)]],1),"")</f>
        <v>4.3</v>
      </c>
      <c r="R5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577">
        <f>IFERROR(Lose[[#This Row],[Distanz (km)]]-Lose[[#This Row],[Check Distanz]],"")</f>
        <v>0.19999999999999996</v>
      </c>
      <c r="T577" s="60">
        <f>IFERROR(Lose[[#This Row],[Check Umweg]]/Lose[[#This Row],[Check Distanz]],"")</f>
        <v>0.1538461538461538</v>
      </c>
      <c r="U577">
        <f ca="1">IF(RIGHT(Lose[[#This Row],[LosID]],1)="b",_xlfn.XLOOKUP(REPLACE(Lose[[#This Row],[LosID]],LEN(Lose[[#This Row],[LosID]]),1,"a"),Lose[LosID],Lose[Zufallszahl],"",0),RAND())</f>
        <v>3.2580741847445527E-2</v>
      </c>
      <c r="V577" t="b" cm="1">
        <f t="array" aca="1" ref="V577" ca="1">Lose[[#This Row],[Zufallszahl]]&gt;=IFERROR(LARGE((LEFT(Lose[LosID],FIND("-",Lose[LosID])-1)=LEFT(Lose[[#This Row],[LosID]],FIND("-",Lose[[#This Row],[LosID]])-1))*Lose[Zufallszahl],_xlfn.XLOOKUP(LEFT(Lose[[#This Row],[LosID]],FIND("-",Lose[[#This Row],[LosID]])-1),Ziehungsanzahl[Kürzel],Ziehungsanzahl[Kontingent],FALSE,0)),9999)</f>
        <v>0</v>
      </c>
    </row>
    <row r="578" spans="1:23" ht="30" hidden="1">
      <c r="A5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8" t="s">
        <v>23367</v>
      </c>
      <c r="C578" t="s">
        <v>25237</v>
      </c>
      <c r="D578" s="1" t="s">
        <v>25238</v>
      </c>
      <c r="E578" t="s">
        <v>25239</v>
      </c>
      <c r="F578" t="s">
        <v>25240</v>
      </c>
      <c r="G578">
        <v>15</v>
      </c>
      <c r="H578">
        <v>3</v>
      </c>
      <c r="I578">
        <v>1</v>
      </c>
      <c r="K578" t="str" cm="1">
        <f t="array" ref="K5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Hbf</v>
      </c>
      <c r="L578" t="str">
        <f>IFERROR(LEFT(TRIM(Lose[[#This Row],[Google Koordinaten]]),9),"")</f>
        <v>53.075969</v>
      </c>
      <c r="M578" t="str">
        <f>IFERROR(MID(TRIM(Lose[[#This Row],[Google Koordinaten]]),
FIND(",",TRIM(Lose[[#This Row],[Google Koordinaten]])) + 2,9),"")</f>
        <v>8.8073058</v>
      </c>
      <c r="N578">
        <f>IF(Lose[[#This Row],[Bahn-hofs-zeit]]=0,0,MROUND(30*25^((Lose[[#This Row],[Bahn-hofs-zeit]]-_xlfn.MINIFS(Lose[Bahn-hofs-zeit],Lose[Bahn-hofs-zeit],"&gt;0"))/(MAX(Lose[Bahn-hofs-zeit])-_xlfn.MINIFS(Lose[Bahn-hofs-zeit],Lose[Bahn-hofs-zeit],"&gt;0"))),5))</f>
        <v>55</v>
      </c>
      <c r="O578">
        <f>IF(Lose[[#This Row],[Gehzeit (min)]]="",0,CEILING(3*(Lose[[#This Row],[Gehzeit (min)]]+Lose[[#This Row],[Aufgaben-zeit (min)]]),5))</f>
        <v>55</v>
      </c>
      <c r="P578">
        <v>5.5</v>
      </c>
      <c r="Q578">
        <f>IFERROR(ROUND(Lose[[#This Row],[Distanz (km)]]*60/Lose[[#This Row],[Gehzeit (min)]],1),"")</f>
        <v>4</v>
      </c>
      <c r="R5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578">
        <f>IFERROR(Lose[[#This Row],[Distanz (km)]]-Lose[[#This Row],[Check Distanz]],"")</f>
        <v>6.0000000000000053E-2</v>
      </c>
      <c r="T578" s="60">
        <f>IFERROR(Lose[[#This Row],[Check Umweg]]/Lose[[#This Row],[Check Distanz]],"")</f>
        <v>6.3829787234042618E-2</v>
      </c>
      <c r="U578">
        <f ca="1">IF(RIGHT(Lose[[#This Row],[LosID]],1)="b",_xlfn.XLOOKUP(REPLACE(Lose[[#This Row],[LosID]],LEN(Lose[[#This Row],[LosID]]),1,"a"),Lose[LosID],Lose[Zufallszahl],"",0),RAND())</f>
        <v>0.66626323082963357</v>
      </c>
      <c r="V578" t="b" cm="1">
        <f t="array" aca="1" ref="V578" ca="1">Lose[[#This Row],[Zufallszahl]]&gt;=IFERROR(LARGE((LEFT(Lose[LosID],FIND("-",Lose[LosID])-1)=LEFT(Lose[[#This Row],[LosID]],FIND("-",Lose[[#This Row],[LosID]])-1))*Lose[Zufallszahl],_xlfn.XLOOKUP(LEFT(Lose[[#This Row],[LosID]],FIND("-",Lose[[#This Row],[LosID]])-1),Ziehungsanzahl[Kürzel],Ziehungsanzahl[Kontingent],FALSE,0)),9999)</f>
        <v>0</v>
      </c>
    </row>
    <row r="579" spans="1:23" ht="165" hidden="1">
      <c r="A5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9" t="s">
        <v>23372</v>
      </c>
      <c r="C579" t="s">
        <v>25241</v>
      </c>
      <c r="D579" s="1" t="s">
        <v>25242</v>
      </c>
      <c r="E579" t="s">
        <v>25243</v>
      </c>
      <c r="F579" t="s">
        <v>25244</v>
      </c>
      <c r="G579">
        <v>10</v>
      </c>
      <c r="H579">
        <v>5</v>
      </c>
      <c r="I579">
        <v>0.75</v>
      </c>
      <c r="J579">
        <v>20</v>
      </c>
      <c r="K579" t="str" cm="1">
        <f t="array" ref="K5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Alfeld(Leine)</v>
      </c>
      <c r="L579" t="str">
        <f>IFERROR(LEFT(TRIM(Lose[[#This Row],[Google Koordinaten]]),9),"")</f>
        <v>51.984489</v>
      </c>
      <c r="M579" t="str">
        <f>IFERROR(MID(TRIM(Lose[[#This Row],[Google Koordinaten]]),
FIND(",",TRIM(Lose[[#This Row],[Google Koordinaten]])) + 2,9),"")</f>
        <v>9.8122516</v>
      </c>
      <c r="N579">
        <f>IF(Lose[[#This Row],[Bahn-hofs-zeit]]=0,0,MROUND(30*25^((Lose[[#This Row],[Bahn-hofs-zeit]]-_xlfn.MINIFS(Lose[Bahn-hofs-zeit],Lose[Bahn-hofs-zeit],"&gt;0"))/(MAX(Lose[Bahn-hofs-zeit])-_xlfn.MINIFS(Lose[Bahn-hofs-zeit],Lose[Bahn-hofs-zeit],"&gt;0"))),5))</f>
        <v>70</v>
      </c>
      <c r="O579">
        <f>IF(Lose[[#This Row],[Gehzeit (min)]]="",0,CEILING(3*(Lose[[#This Row],[Gehzeit (min)]]+Lose[[#This Row],[Aufgaben-zeit (min)]]),5))</f>
        <v>45</v>
      </c>
      <c r="P579">
        <v>6.25</v>
      </c>
      <c r="Q579">
        <f>IFERROR(ROUND(Lose[[#This Row],[Distanz (km)]]*60/Lose[[#This Row],[Gehzeit (min)]],1),"")</f>
        <v>4.5</v>
      </c>
      <c r="R5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579">
        <f>IFERROR(Lose[[#This Row],[Distanz (km)]]-Lose[[#This Row],[Check Distanz]],"")</f>
        <v>0.24</v>
      </c>
      <c r="T579" s="60">
        <f>IFERROR(Lose[[#This Row],[Check Umweg]]/Lose[[#This Row],[Check Distanz]],"")</f>
        <v>0.47058823529411764</v>
      </c>
      <c r="U579">
        <f ca="1">IF(RIGHT(Lose[[#This Row],[LosID]],1)="b",_xlfn.XLOOKUP(REPLACE(Lose[[#This Row],[LosID]],LEN(Lose[[#This Row],[LosID]]),1,"a"),Lose[LosID],Lose[Zufallszahl],"",0),RAND())</f>
        <v>0.66983306135957954</v>
      </c>
      <c r="V579" t="b" cm="1">
        <f t="array" aca="1" ref="V579" ca="1">Lose[[#This Row],[Zufallszahl]]&gt;=IFERROR(LARGE((LEFT(Lose[LosID],FIND("-",Lose[LosID])-1)=LEFT(Lose[[#This Row],[LosID]],FIND("-",Lose[[#This Row],[LosID]])-1))*Lose[Zufallszahl],_xlfn.XLOOKUP(LEFT(Lose[[#This Row],[LosID]],FIND("-",Lose[[#This Row],[LosID]])-1),Ziehungsanzahl[Kürzel],Ziehungsanzahl[Kontingent],FALSE,0)),9999)</f>
        <v>0</v>
      </c>
    </row>
    <row r="580" spans="1:23" ht="45" hidden="1">
      <c r="A5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0" t="s">
        <v>23357</v>
      </c>
      <c r="C580" t="s">
        <v>1438</v>
      </c>
      <c r="D580" s="1" t="s">
        <v>1441</v>
      </c>
      <c r="E580" t="s">
        <v>1439</v>
      </c>
      <c r="F580" t="s">
        <v>25245</v>
      </c>
      <c r="G580">
        <v>29</v>
      </c>
      <c r="H580">
        <v>1</v>
      </c>
      <c r="I580">
        <v>2.1</v>
      </c>
      <c r="J580">
        <v>10</v>
      </c>
      <c r="K580" t="str" cm="1">
        <f t="array" ref="K5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Potsdam-Babelsberg</v>
      </c>
      <c r="L580" t="str">
        <f>IFERROR(LEFT(TRIM(Lose[[#This Row],[Google Koordinaten]]),9),"")</f>
        <v>52.404486</v>
      </c>
      <c r="M580" t="str">
        <f>IFERROR(MID(TRIM(Lose[[#This Row],[Google Koordinaten]]),
FIND(",",TRIM(Lose[[#This Row],[Google Koordinaten]])) + 2,9),"")</f>
        <v>13.094900</v>
      </c>
      <c r="N580">
        <f>IF(Lose[[#This Row],[Bahn-hofs-zeit]]=0,0,MROUND(30*25^((Lose[[#This Row],[Bahn-hofs-zeit]]-_xlfn.MINIFS(Lose[Bahn-hofs-zeit],Lose[Bahn-hofs-zeit],"&gt;0"))/(MAX(Lose[Bahn-hofs-zeit])-_xlfn.MINIFS(Lose[Bahn-hofs-zeit],Lose[Bahn-hofs-zeit],"&gt;0"))),5))</f>
        <v>145</v>
      </c>
      <c r="O580">
        <f>IF(Lose[[#This Row],[Gehzeit (min)]]="",0,CEILING(3*(Lose[[#This Row],[Gehzeit (min)]]+Lose[[#This Row],[Aufgaben-zeit (min)]]),5))</f>
        <v>90</v>
      </c>
      <c r="P580">
        <v>8.75</v>
      </c>
      <c r="Q580">
        <f>IFERROR(ROUND(Lose[[#This Row],[Distanz (km)]]*60/Lose[[#This Row],[Gehzeit (min)]],1),"")</f>
        <v>4.3</v>
      </c>
      <c r="R5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1.46</v>
      </c>
      <c r="S580">
        <f>IFERROR(Lose[[#This Row],[Distanz (km)]]-Lose[[#This Row],[Check Distanz]],"")</f>
        <v>0.64000000000000012</v>
      </c>
      <c r="T580" s="60">
        <f>IFERROR(Lose[[#This Row],[Check Umweg]]/Lose[[#This Row],[Check Distanz]],"")</f>
        <v>0.43835616438356173</v>
      </c>
      <c r="U580">
        <f ca="1">IF(RIGHT(Lose[[#This Row],[LosID]],1)="b",_xlfn.XLOOKUP(REPLACE(Lose[[#This Row],[LosID]],LEN(Lose[[#This Row],[LosID]]),1,"a"),Lose[LosID],Lose[Zufallszahl],"",0),RAND())</f>
        <v>0.31341110604743139</v>
      </c>
      <c r="V580" t="b" cm="1">
        <f t="array" aca="1" ref="V580" ca="1">Lose[[#This Row],[Zufallszahl]]&gt;=IFERROR(LARGE((LEFT(Lose[LosID],FIND("-",Lose[LosID])-1)=LEFT(Lose[[#This Row],[LosID]],FIND("-",Lose[[#This Row],[LosID]])-1))*Lose[Zufallszahl],_xlfn.XLOOKUP(LEFT(Lose[[#This Row],[LosID]],FIND("-",Lose[[#This Row],[LosID]])-1),Ziehungsanzahl[Kürzel],Ziehungsanzahl[Kontingent],FALSE,0)),9999)</f>
        <v>0</v>
      </c>
    </row>
    <row r="581" spans="1:23" ht="195" hidden="1">
      <c r="A5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1" t="s">
        <v>4</v>
      </c>
      <c r="C581" t="s">
        <v>25246</v>
      </c>
      <c r="D581" s="1" t="s">
        <v>25247</v>
      </c>
      <c r="E581" t="s">
        <v>25248</v>
      </c>
      <c r="F581" t="s">
        <v>25249</v>
      </c>
      <c r="G581">
        <v>11</v>
      </c>
      <c r="H581">
        <v>1</v>
      </c>
      <c r="I581">
        <v>0.8</v>
      </c>
      <c r="K581" t="str" cm="1">
        <f t="array" ref="K5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581" t="str">
        <f>IFERROR(LEFT(TRIM(Lose[[#This Row],[Google Koordinaten]]),9),"")</f>
        <v>50.005514</v>
      </c>
      <c r="M581" t="str">
        <f>IFERROR(MID(TRIM(Lose[[#This Row],[Google Koordinaten]]),
FIND(",",TRIM(Lose[[#This Row],[Google Koordinaten]])) + 2,9),"")</f>
        <v>8.2502923</v>
      </c>
      <c r="N581">
        <f>IF(Lose[[#This Row],[Bahn-hofs-zeit]]=0,0,MROUND(30*25^((Lose[[#This Row],[Bahn-hofs-zeit]]-_xlfn.MINIFS(Lose[Bahn-hofs-zeit],Lose[Bahn-hofs-zeit],"&gt;0"))/(MAX(Lose[Bahn-hofs-zeit])-_xlfn.MINIFS(Lose[Bahn-hofs-zeit],Lose[Bahn-hofs-zeit],"&gt;0"))),5))</f>
        <v>45</v>
      </c>
      <c r="O581">
        <f>IF(Lose[[#This Row],[Gehzeit (min)]]="",0,CEILING(3*(Lose[[#This Row],[Gehzeit (min)]]+Lose[[#This Row],[Aufgaben-zeit (min)]]),5))</f>
        <v>40</v>
      </c>
      <c r="P581">
        <v>4.5</v>
      </c>
      <c r="Q581">
        <f>IFERROR(ROUND(Lose[[#This Row],[Distanz (km)]]*60/Lose[[#This Row],[Gehzeit (min)]],1),"")</f>
        <v>4.4000000000000004</v>
      </c>
      <c r="R5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581">
        <f>IFERROR(Lose[[#This Row],[Distanz (km)]]-Lose[[#This Row],[Check Distanz]],"")</f>
        <v>2.0000000000000018E-2</v>
      </c>
      <c r="T581" s="60">
        <f>IFERROR(Lose[[#This Row],[Check Umweg]]/Lose[[#This Row],[Check Distanz]],"")</f>
        <v>2.5641025641025664E-2</v>
      </c>
      <c r="U581">
        <f ca="1">IF(RIGHT(Lose[[#This Row],[LosID]],1)="b",_xlfn.XLOOKUP(REPLACE(Lose[[#This Row],[LosID]],LEN(Lose[[#This Row],[LosID]]),1,"a"),Lose[LosID],Lose[Zufallszahl],"",0),RAND())</f>
        <v>0.94194435018906042</v>
      </c>
      <c r="V581" t="b" cm="1">
        <f t="array" aca="1" ref="V581" ca="1">Lose[[#This Row],[Zufallszahl]]&gt;=IFERROR(LARGE((LEFT(Lose[LosID],FIND("-",Lose[LosID])-1)=LEFT(Lose[[#This Row],[LosID]],FIND("-",Lose[[#This Row],[LosID]])-1))*Lose[Zufallszahl],_xlfn.XLOOKUP(LEFT(Lose[[#This Row],[LosID]],FIND("-",Lose[[#This Row],[LosID]])-1),Ziehungsanzahl[Kürzel],Ziehungsanzahl[Kontingent],FALSE,0)),9999)</f>
        <v>0</v>
      </c>
    </row>
    <row r="582" spans="1:23" ht="90" hidden="1">
      <c r="A5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2" t="s">
        <v>23352</v>
      </c>
      <c r="C582" t="s">
        <v>25250</v>
      </c>
      <c r="D582" s="1" t="s">
        <v>25251</v>
      </c>
      <c r="E582" t="s">
        <v>25252</v>
      </c>
      <c r="F582" t="s">
        <v>25253</v>
      </c>
      <c r="G582">
        <v>15</v>
      </c>
      <c r="H582">
        <v>5</v>
      </c>
      <c r="I582">
        <v>1</v>
      </c>
      <c r="K582" t="str" cm="1">
        <f t="array" ref="K5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Essen-Zollverein Nord</v>
      </c>
      <c r="L582" t="str">
        <f>IFERROR(LEFT(TRIM(Lose[[#This Row],[Google Koordinaten]]),9),"")</f>
        <v>51.486484</v>
      </c>
      <c r="M582" t="str">
        <f>IFERROR(MID(TRIM(Lose[[#This Row],[Google Koordinaten]]),
FIND(",",TRIM(Lose[[#This Row],[Google Koordinaten]])) + 2,9),"")</f>
        <v>7.0447457</v>
      </c>
      <c r="N582">
        <f>IF(Lose[[#This Row],[Bahn-hofs-zeit]]=0,0,MROUND(30*25^((Lose[[#This Row],[Bahn-hofs-zeit]]-_xlfn.MINIFS(Lose[Bahn-hofs-zeit],Lose[Bahn-hofs-zeit],"&gt;0"))/(MAX(Lose[Bahn-hofs-zeit])-_xlfn.MINIFS(Lose[Bahn-hofs-zeit],Lose[Bahn-hofs-zeit],"&gt;0"))),5))</f>
        <v>40</v>
      </c>
      <c r="O582">
        <f>IF(Lose[[#This Row],[Gehzeit (min)]]="",0,CEILING(3*(Lose[[#This Row],[Gehzeit (min)]]+Lose[[#This Row],[Aufgaben-zeit (min)]]),5))</f>
        <v>60</v>
      </c>
      <c r="P582">
        <v>4.25</v>
      </c>
      <c r="Q582">
        <f>IFERROR(ROUND(Lose[[#This Row],[Distanz (km)]]*60/Lose[[#This Row],[Gehzeit (min)]],1),"")</f>
        <v>4</v>
      </c>
      <c r="R5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582">
        <f>IFERROR(Lose[[#This Row],[Distanz (km)]]-Lose[[#This Row],[Check Distanz]],"")</f>
        <v>0.19999999999999996</v>
      </c>
      <c r="T582" s="60">
        <f>IFERROR(Lose[[#This Row],[Check Umweg]]/Lose[[#This Row],[Check Distanz]],"")</f>
        <v>0.24999999999999994</v>
      </c>
      <c r="U582">
        <f ca="1">IF(RIGHT(Lose[[#This Row],[LosID]],1)="b",_xlfn.XLOOKUP(REPLACE(Lose[[#This Row],[LosID]],LEN(Lose[[#This Row],[LosID]]),1,"a"),Lose[LosID],Lose[Zufallszahl],"",0),RAND())</f>
        <v>0.8120860306047708</v>
      </c>
      <c r="V582" t="b" cm="1">
        <f t="array" aca="1" ref="V582" ca="1">Lose[[#This Row],[Zufallszahl]]&gt;=IFERROR(LARGE((LEFT(Lose[LosID],FIND("-",Lose[LosID])-1)=LEFT(Lose[[#This Row],[LosID]],FIND("-",Lose[[#This Row],[LosID]])-1))*Lose[Zufallszahl],_xlfn.XLOOKUP(LEFT(Lose[[#This Row],[LosID]],FIND("-",Lose[[#This Row],[LosID]])-1),Ziehungsanzahl[Kürzel],Ziehungsanzahl[Kontingent],FALSE,0)),9999)</f>
        <v>0</v>
      </c>
    </row>
    <row r="583" spans="1:23" ht="60" hidden="1">
      <c r="A5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3" t="s">
        <v>23380</v>
      </c>
      <c r="C583" t="s">
        <v>25254</v>
      </c>
      <c r="D583" s="1" t="s">
        <v>25255</v>
      </c>
      <c r="E583" t="s">
        <v>25256</v>
      </c>
      <c r="F583" t="s">
        <v>25257</v>
      </c>
      <c r="G583">
        <v>5</v>
      </c>
      <c r="H583">
        <v>15</v>
      </c>
      <c r="J583">
        <v>10</v>
      </c>
      <c r="K583" t="str" cm="1">
        <f t="array" ref="K5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Hbf</v>
      </c>
      <c r="L583" t="str">
        <f>IFERROR(LEFT(TRIM(Lose[[#This Row],[Google Koordinaten]]),9),"")</f>
        <v>50.943423</v>
      </c>
      <c r="M583" t="str">
        <f>IFERROR(MID(TRIM(Lose[[#This Row],[Google Koordinaten]]),
FIND(",",TRIM(Lose[[#This Row],[Google Koordinaten]])) + 2,9),"")</f>
        <v>6.9583978</v>
      </c>
      <c r="N583">
        <f>IF(Lose[[#This Row],[Bahn-hofs-zeit]]=0,0,MROUND(30*25^((Lose[[#This Row],[Bahn-hofs-zeit]]-_xlfn.MINIFS(Lose[Bahn-hofs-zeit],Lose[Bahn-hofs-zeit],"&gt;0"))/(MAX(Lose[Bahn-hofs-zeit])-_xlfn.MINIFS(Lose[Bahn-hofs-zeit],Lose[Bahn-hofs-zeit],"&gt;0"))),5))</f>
        <v>30</v>
      </c>
      <c r="O583">
        <f>IF(Lose[[#This Row],[Gehzeit (min)]]="",0,CEILING(3*(Lose[[#This Row],[Gehzeit (min)]]+Lose[[#This Row],[Aufgaben-zeit (min)]]),5))</f>
        <v>60</v>
      </c>
      <c r="P583">
        <v>3.25</v>
      </c>
      <c r="Q583">
        <f>IFERROR(ROUND(Lose[[#This Row],[Distanz (km)]]*60/Lose[[#This Row],[Gehzeit (min)]],1),"")</f>
        <v>0</v>
      </c>
      <c r="R5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583">
        <f>IFERROR(Lose[[#This Row],[Distanz (km)]]-Lose[[#This Row],[Check Distanz]],"")</f>
        <v>-0.05</v>
      </c>
      <c r="T583" s="60">
        <f>IFERROR(Lose[[#This Row],[Check Umweg]]/Lose[[#This Row],[Check Distanz]],"")</f>
        <v>-1</v>
      </c>
      <c r="U583">
        <f ca="1">IF(RIGHT(Lose[[#This Row],[LosID]],1)="b",_xlfn.XLOOKUP(REPLACE(Lose[[#This Row],[LosID]],LEN(Lose[[#This Row],[LosID]]),1,"a"),Lose[LosID],Lose[Zufallszahl],"",0),RAND())</f>
        <v>0.43106488258097364</v>
      </c>
      <c r="V583" t="b" cm="1">
        <f t="array" aca="1" ref="V583" ca="1">Lose[[#This Row],[Zufallszahl]]&gt;=IFERROR(LARGE((LEFT(Lose[LosID],FIND("-",Lose[LosID])-1)=LEFT(Lose[[#This Row],[LosID]],FIND("-",Lose[[#This Row],[LosID]])-1))*Lose[Zufallszahl],_xlfn.XLOOKUP(LEFT(Lose[[#This Row],[LosID]],FIND("-",Lose[[#This Row],[LosID]])-1),Ziehungsanzahl[Kürzel],Ziehungsanzahl[Kontingent],FALSE,0)),9999)</f>
        <v>0</v>
      </c>
    </row>
    <row r="584" spans="1:23" ht="105">
      <c r="A5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4" t="s">
        <v>23385</v>
      </c>
      <c r="C584" t="s">
        <v>1474</v>
      </c>
      <c r="D584" s="1" t="s">
        <v>25258</v>
      </c>
      <c r="E584" t="s">
        <v>1011</v>
      </c>
      <c r="F584" t="s">
        <v>25259</v>
      </c>
      <c r="G584">
        <v>15</v>
      </c>
      <c r="H584">
        <v>10</v>
      </c>
      <c r="I584">
        <v>1</v>
      </c>
      <c r="J584">
        <v>10</v>
      </c>
      <c r="K584" t="str" cm="1">
        <f t="array" ref="K5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Schanz</v>
      </c>
      <c r="L584" t="str">
        <f>IFERROR(LEFT(TRIM(Lose[[#This Row],[Google Koordinaten]]),9),"")</f>
        <v>50.774844</v>
      </c>
      <c r="M584" t="str">
        <f>IFERROR(MID(TRIM(Lose[[#This Row],[Google Koordinaten]]),
FIND(",",TRIM(Lose[[#This Row],[Google Koordinaten]])) + 2,9),"")</f>
        <v>6.0839813</v>
      </c>
      <c r="N584">
        <f>IF(Lose[[#This Row],[Bahn-hofs-zeit]]=0,0,MROUND(30*25^((Lose[[#This Row],[Bahn-hofs-zeit]]-_xlfn.MINIFS(Lose[Bahn-hofs-zeit],Lose[Bahn-hofs-zeit],"&gt;0"))/(MAX(Lose[Bahn-hofs-zeit])-_xlfn.MINIFS(Lose[Bahn-hofs-zeit],Lose[Bahn-hofs-zeit],"&gt;0"))),5))</f>
        <v>55</v>
      </c>
      <c r="O584">
        <f>IF(Lose[[#This Row],[Gehzeit (min)]]="",0,CEILING(3*(Lose[[#This Row],[Gehzeit (min)]]+Lose[[#This Row],[Aufgaben-zeit (min)]]),5))</f>
        <v>75</v>
      </c>
      <c r="P584">
        <v>5.5</v>
      </c>
      <c r="Q584">
        <f>IFERROR(ROUND(Lose[[#This Row],[Distanz (km)]]*60/Lose[[#This Row],[Gehzeit (min)]],1),"")</f>
        <v>4</v>
      </c>
      <c r="R5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v>
      </c>
      <c r="S584">
        <f>IFERROR(Lose[[#This Row],[Distanz (km)]]-Lose[[#This Row],[Check Distanz]],"")</f>
        <v>9.9999999999999978E-2</v>
      </c>
      <c r="T584" s="60">
        <f>IFERROR(Lose[[#This Row],[Check Umweg]]/Lose[[#This Row],[Check Distanz]],"")</f>
        <v>0.11111111111111108</v>
      </c>
      <c r="U584">
        <f ca="1">IF(RIGHT(Lose[[#This Row],[LosID]],1)="b",_xlfn.XLOOKUP(REPLACE(Lose[[#This Row],[LosID]],LEN(Lose[[#This Row],[LosID]]),1,"a"),Lose[LosID],Lose[Zufallszahl],"",0),RAND())</f>
        <v>0.10569150769083757</v>
      </c>
      <c r="V584" t="b" cm="1">
        <f t="array" aca="1" ref="V584" ca="1">Lose[[#This Row],[Zufallszahl]]&gt;=IFERROR(LARGE((LEFT(Lose[LosID],FIND("-",Lose[LosID])-1)=LEFT(Lose[[#This Row],[LosID]],FIND("-",Lose[[#This Row],[LosID]])-1))*Lose[Zufallszahl],_xlfn.XLOOKUP(LEFT(Lose[[#This Row],[LosID]],FIND("-",Lose[[#This Row],[LosID]])-1),Ziehungsanzahl[Kürzel],Ziehungsanzahl[Kontingent],FALSE,0)),9999)</f>
        <v>0</v>
      </c>
    </row>
    <row r="585" spans="1:23" ht="45" hidden="1">
      <c r="A5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5" t="s">
        <v>23390</v>
      </c>
      <c r="C585" t="s">
        <v>1475</v>
      </c>
      <c r="D585" s="1" t="s">
        <v>25260</v>
      </c>
      <c r="E585" t="s">
        <v>25261</v>
      </c>
      <c r="F585" t="s">
        <v>25262</v>
      </c>
      <c r="G585">
        <v>10</v>
      </c>
      <c r="H585">
        <v>2</v>
      </c>
      <c r="I585">
        <v>0.75</v>
      </c>
      <c r="K585" t="str" cm="1">
        <f t="array" ref="K5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 Hbf</v>
      </c>
      <c r="L585" t="str">
        <f>IFERROR(LEFT(TRIM(Lose[[#This Row],[Google Koordinaten]]),9),"")</f>
        <v>53.866159</v>
      </c>
      <c r="M585" t="str">
        <f>IFERROR(MID(TRIM(Lose[[#This Row],[Google Koordinaten]]),
FIND(",",TRIM(Lose[[#This Row],[Google Koordinaten]])) + 2,9),"")</f>
        <v>10.679680</v>
      </c>
      <c r="N585">
        <f>IF(Lose[[#This Row],[Bahn-hofs-zeit]]=0,0,MROUND(30*25^((Lose[[#This Row],[Bahn-hofs-zeit]]-_xlfn.MINIFS(Lose[Bahn-hofs-zeit],Lose[Bahn-hofs-zeit],"&gt;0"))/(MAX(Lose[Bahn-hofs-zeit])-_xlfn.MINIFS(Lose[Bahn-hofs-zeit],Lose[Bahn-hofs-zeit],"&gt;0"))),5))</f>
        <v>145</v>
      </c>
      <c r="O585">
        <f>IF(Lose[[#This Row],[Gehzeit (min)]]="",0,CEILING(3*(Lose[[#This Row],[Gehzeit (min)]]+Lose[[#This Row],[Aufgaben-zeit (min)]]),5))</f>
        <v>40</v>
      </c>
      <c r="P585">
        <v>8.75</v>
      </c>
      <c r="Q585">
        <f>IFERROR(ROUND(Lose[[#This Row],[Distanz (km)]]*60/Lose[[#This Row],[Gehzeit (min)]],1),"")</f>
        <v>4.5</v>
      </c>
      <c r="R5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585">
        <f>IFERROR(Lose[[#This Row],[Distanz (km)]]-Lose[[#This Row],[Check Distanz]],"")</f>
        <v>8.9999999999999969E-2</v>
      </c>
      <c r="T585" s="60">
        <f>IFERROR(Lose[[#This Row],[Check Umweg]]/Lose[[#This Row],[Check Distanz]],"")</f>
        <v>0.1363636363636363</v>
      </c>
      <c r="U585">
        <f ca="1">IF(RIGHT(Lose[[#This Row],[LosID]],1)="b",_xlfn.XLOOKUP(REPLACE(Lose[[#This Row],[LosID]],LEN(Lose[[#This Row],[LosID]]),1,"a"),Lose[LosID],Lose[Zufallszahl],"",0),RAND())</f>
        <v>0.36465747212271959</v>
      </c>
      <c r="V585" t="b" cm="1">
        <f t="array" aca="1" ref="V585" ca="1">Lose[[#This Row],[Zufallszahl]]&gt;=IFERROR(LARGE((LEFT(Lose[LosID],FIND("-",Lose[LosID])-1)=LEFT(Lose[[#This Row],[LosID]],FIND("-",Lose[[#This Row],[LosID]])-1))*Lose[Zufallszahl],_xlfn.XLOOKUP(LEFT(Lose[[#This Row],[LosID]],FIND("-",Lose[[#This Row],[LosID]])-1),Ziehungsanzahl[Kürzel],Ziehungsanzahl[Kontingent],FALSE,0)),9999)</f>
        <v>0</v>
      </c>
    </row>
    <row r="586" spans="1:23" ht="60" hidden="1">
      <c r="A5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6" t="s">
        <v>23394</v>
      </c>
      <c r="C586" t="s">
        <v>25263</v>
      </c>
      <c r="D586" s="1" t="s">
        <v>25264</v>
      </c>
      <c r="E586" t="s">
        <v>25265</v>
      </c>
      <c r="F586" t="s">
        <v>25266</v>
      </c>
      <c r="G586">
        <v>19</v>
      </c>
      <c r="H586">
        <v>2</v>
      </c>
      <c r="I586">
        <v>1.4</v>
      </c>
      <c r="K586" t="str" cm="1">
        <f t="array" ref="K5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Stralsund Hbf</v>
      </c>
      <c r="L586" t="str">
        <f>IFERROR(LEFT(TRIM(Lose[[#This Row],[Google Koordinaten]]),9),"")</f>
        <v>54.315336</v>
      </c>
      <c r="M586" t="str">
        <f>IFERROR(MID(TRIM(Lose[[#This Row],[Google Koordinaten]]),
FIND(",",TRIM(Lose[[#This Row],[Google Koordinaten]])) + 2,9),"")</f>
        <v>13.091446</v>
      </c>
      <c r="N586" s="91">
        <f>IF(Lose[[#This Row],[Bahn-hofs-zeit]]=0,0,MROUND(30*25^((Lose[[#This Row],[Bahn-hofs-zeit]]-_xlfn.MINIFS(Lose[Bahn-hofs-zeit],Lose[Bahn-hofs-zeit],"&gt;0"))/(MAX(Lose[Bahn-hofs-zeit])-_xlfn.MINIFS(Lose[Bahn-hofs-zeit],Lose[Bahn-hofs-zeit],"&gt;0"))),5))</f>
        <v>0</v>
      </c>
      <c r="O586">
        <f>IF(Lose[[#This Row],[Gehzeit (min)]]="",0,CEILING(3*(Lose[[#This Row],[Gehzeit (min)]]+Lose[[#This Row],[Aufgaben-zeit (min)]]),5))</f>
        <v>65</v>
      </c>
      <c r="Q586">
        <f>IFERROR(ROUND(Lose[[#This Row],[Distanz (km)]]*60/Lose[[#This Row],[Gehzeit (min)]],1),"")</f>
        <v>4.4000000000000004</v>
      </c>
      <c r="R5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586">
        <f>IFERROR(Lose[[#This Row],[Distanz (km)]]-Lose[[#This Row],[Check Distanz]],"")</f>
        <v>0.21999999999999997</v>
      </c>
      <c r="T586" s="60">
        <f>IFERROR(Lose[[#This Row],[Check Umweg]]/Lose[[#This Row],[Check Distanz]],"")</f>
        <v>0.18644067796610167</v>
      </c>
      <c r="U586">
        <f ca="1">IF(RIGHT(Lose[[#This Row],[LosID]],1)="b",_xlfn.XLOOKUP(REPLACE(Lose[[#This Row],[LosID]],LEN(Lose[[#This Row],[LosID]]),1,"a"),Lose[LosID],Lose[Zufallszahl],"",0),RAND())</f>
        <v>0.75184737842643712</v>
      </c>
      <c r="V586" t="b" cm="1">
        <f t="array" aca="1" ref="V586" ca="1">Lose[[#This Row],[Zufallszahl]]&gt;=IFERROR(LARGE((LEFT(Lose[LosID],FIND("-",Lose[LosID])-1)=LEFT(Lose[[#This Row],[LosID]],FIND("-",Lose[[#This Row],[LosID]])-1))*Lose[Zufallszahl],_xlfn.XLOOKUP(LEFT(Lose[[#This Row],[LosID]],FIND("-",Lose[[#This Row],[LosID]])-1),Ziehungsanzahl[Kürzel],Ziehungsanzahl[Kontingent],FALSE,0)),9999)</f>
        <v>0</v>
      </c>
      <c r="W586" t="s">
        <v>23398</v>
      </c>
    </row>
    <row r="587" spans="1:23" ht="75" hidden="1">
      <c r="A5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7" t="s">
        <v>23363</v>
      </c>
      <c r="C587" t="s">
        <v>25267</v>
      </c>
      <c r="D587" s="1" t="s">
        <v>25268</v>
      </c>
      <c r="E587" t="s">
        <v>25269</v>
      </c>
      <c r="F587" t="s">
        <v>25270</v>
      </c>
      <c r="G587">
        <v>20</v>
      </c>
      <c r="H587">
        <v>2</v>
      </c>
      <c r="I587">
        <v>0.7</v>
      </c>
      <c r="J587">
        <v>10</v>
      </c>
      <c r="K587" t="str" cm="1">
        <f t="array" ref="K5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587" t="str">
        <f>IFERROR(LEFT(TRIM(Lose[[#This Row],[Google Koordinaten]]),9),"")</f>
        <v>53.891505</v>
      </c>
      <c r="M587" t="str">
        <f>IFERROR(MID(TRIM(Lose[[#This Row],[Google Koordinaten]]),
FIND(",",TRIM(Lose[[#This Row],[Google Koordinaten]])) + 2,9),"")</f>
        <v>11.466094</v>
      </c>
      <c r="N587">
        <f>IF(Lose[[#This Row],[Bahn-hofs-zeit]]=0,0,MROUND(30*25^((Lose[[#This Row],[Bahn-hofs-zeit]]-_xlfn.MINIFS(Lose[Bahn-hofs-zeit],Lose[Bahn-hofs-zeit],"&gt;0"))/(MAX(Lose[Bahn-hofs-zeit])-_xlfn.MINIFS(Lose[Bahn-hofs-zeit],Lose[Bahn-hofs-zeit],"&gt;0"))),5))</f>
        <v>365</v>
      </c>
      <c r="O587">
        <f>IF(Lose[[#This Row],[Gehzeit (min)]]="",0,CEILING(3*(Lose[[#This Row],[Gehzeit (min)]]+Lose[[#This Row],[Aufgaben-zeit (min)]]),5))</f>
        <v>70</v>
      </c>
      <c r="P587">
        <v>12</v>
      </c>
      <c r="Q587">
        <f>IFERROR(ROUND(Lose[[#This Row],[Distanz (km)]]*60/Lose[[#This Row],[Gehzeit (min)]],1),"")</f>
        <v>2.1</v>
      </c>
      <c r="R5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587">
        <f>IFERROR(Lose[[#This Row],[Distanz (km)]]-Lose[[#This Row],[Check Distanz]],"")</f>
        <v>6.9999999999999951E-2</v>
      </c>
      <c r="T587" s="60">
        <f>IFERROR(Lose[[#This Row],[Check Umweg]]/Lose[[#This Row],[Check Distanz]],"")</f>
        <v>0.11111111111111104</v>
      </c>
      <c r="U587">
        <f ca="1">IF(RIGHT(Lose[[#This Row],[LosID]],1)="b",_xlfn.XLOOKUP(REPLACE(Lose[[#This Row],[LosID]],LEN(Lose[[#This Row],[LosID]]),1,"a"),Lose[LosID],Lose[Zufallszahl],"",0),RAND())</f>
        <v>0.18624354613652139</v>
      </c>
      <c r="V587" t="b" cm="1">
        <f t="array" aca="1" ref="V587" ca="1">Lose[[#This Row],[Zufallszahl]]&gt;=IFERROR(LARGE((LEFT(Lose[LosID],FIND("-",Lose[LosID])-1)=LEFT(Lose[[#This Row],[LosID]],FIND("-",Lose[[#This Row],[LosID]])-1))*Lose[Zufallszahl],_xlfn.XLOOKUP(LEFT(Lose[[#This Row],[LosID]],FIND("-",Lose[[#This Row],[LosID]])-1),Ziehungsanzahl[Kürzel],Ziehungsanzahl[Kontingent],FALSE,0)),9999)</f>
        <v>0</v>
      </c>
    </row>
    <row r="588" spans="1:23" ht="30" hidden="1">
      <c r="A5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8" t="s">
        <v>23367</v>
      </c>
      <c r="C588" t="s">
        <v>1443</v>
      </c>
      <c r="D588" s="1" t="s">
        <v>1446</v>
      </c>
      <c r="E588" t="s">
        <v>1444</v>
      </c>
      <c r="F588" t="s">
        <v>25271</v>
      </c>
      <c r="G588">
        <v>23</v>
      </c>
      <c r="H588">
        <v>1</v>
      </c>
      <c r="I588">
        <v>1.6</v>
      </c>
      <c r="J588" t="s">
        <v>23</v>
      </c>
      <c r="K588" t="str" cm="1">
        <f t="array" ref="K5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Lutherstadt Eisleben</v>
      </c>
      <c r="L588" t="str">
        <f>IFERROR(LEFT(TRIM(Lose[[#This Row],[Google Koordinaten]]),9),"")</f>
        <v>51.528354</v>
      </c>
      <c r="M588" t="str">
        <f>IFERROR(MID(TRIM(Lose[[#This Row],[Google Koordinaten]]),
FIND(",",TRIM(Lose[[#This Row],[Google Koordinaten]])) + 2,9),"")</f>
        <v>11.546315</v>
      </c>
      <c r="N588">
        <f>IF(Lose[[#This Row],[Bahn-hofs-zeit]]=0,0,MROUND(30*25^((Lose[[#This Row],[Bahn-hofs-zeit]]-_xlfn.MINIFS(Lose[Bahn-hofs-zeit],Lose[Bahn-hofs-zeit],"&gt;0"))/(MAX(Lose[Bahn-hofs-zeit])-_xlfn.MINIFS(Lose[Bahn-hofs-zeit],Lose[Bahn-hofs-zeit],"&gt;0"))),5))</f>
        <v>220</v>
      </c>
      <c r="O588">
        <f>IF(Lose[[#This Row],[Gehzeit (min)]]="",0,CEILING(3*(Lose[[#This Row],[Gehzeit (min)]]+Lose[[#This Row],[Aufgaben-zeit (min)]]),5))</f>
        <v>75</v>
      </c>
      <c r="P588">
        <v>10.25</v>
      </c>
      <c r="Q588">
        <f>IFERROR(ROUND(Lose[[#This Row],[Distanz (km)]]*60/Lose[[#This Row],[Gehzeit (min)]],1),"")</f>
        <v>4.2</v>
      </c>
      <c r="R5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588">
        <f>IFERROR(Lose[[#This Row],[Distanz (km)]]-Lose[[#This Row],[Check Distanz]],"")</f>
        <v>0.44000000000000017</v>
      </c>
      <c r="T588" s="60">
        <f>IFERROR(Lose[[#This Row],[Check Umweg]]/Lose[[#This Row],[Check Distanz]],"")</f>
        <v>0.37931034482758635</v>
      </c>
      <c r="U588">
        <f ca="1">IF(RIGHT(Lose[[#This Row],[LosID]],1)="b",_xlfn.XLOOKUP(REPLACE(Lose[[#This Row],[LosID]],LEN(Lose[[#This Row],[LosID]]),1,"a"),Lose[LosID],Lose[Zufallszahl],"",0),RAND())</f>
        <v>0.77818668303338046</v>
      </c>
      <c r="V588" t="b" cm="1">
        <f t="array" aca="1" ref="V588" ca="1">Lose[[#This Row],[Zufallszahl]]&gt;=IFERROR(LARGE((LEFT(Lose[LosID],FIND("-",Lose[LosID])-1)=LEFT(Lose[[#This Row],[LosID]],FIND("-",Lose[[#This Row],[LosID]])-1))*Lose[Zufallszahl],_xlfn.XLOOKUP(LEFT(Lose[[#This Row],[LosID]],FIND("-",Lose[[#This Row],[LosID]])-1),Ziehungsanzahl[Kürzel],Ziehungsanzahl[Kontingent],FALSE,0)),9999)</f>
        <v>0</v>
      </c>
    </row>
    <row r="589" spans="1:23" ht="90" hidden="1">
      <c r="A5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9" t="s">
        <v>23372</v>
      </c>
      <c r="C589" t="s">
        <v>1448</v>
      </c>
      <c r="D589" s="78" t="s">
        <v>25272</v>
      </c>
      <c r="E589" t="s">
        <v>25273</v>
      </c>
      <c r="F589" t="s">
        <v>25274</v>
      </c>
      <c r="G589">
        <v>20</v>
      </c>
      <c r="H589">
        <v>2</v>
      </c>
      <c r="I589">
        <v>1.5</v>
      </c>
      <c r="J589">
        <v>20</v>
      </c>
      <c r="K589" t="s">
        <v>2905</v>
      </c>
      <c r="L589" t="str">
        <f>IFERROR(LEFT(TRIM(Lose[[#This Row],[Google Koordinaten]]),9),"")</f>
        <v>49.891729</v>
      </c>
      <c r="M589" t="str">
        <f>IFERROR(MID(TRIM(Lose[[#This Row],[Google Koordinaten]]),
FIND(",",TRIM(Lose[[#This Row],[Google Koordinaten]])) + 2,9),"")</f>
        <v>10.887108</v>
      </c>
      <c r="N589">
        <f>IF(Lose[[#This Row],[Bahn-hofs-zeit]]=0,0,MROUND(30*25^((Lose[[#This Row],[Bahn-hofs-zeit]]-_xlfn.MINIFS(Lose[Bahn-hofs-zeit],Lose[Bahn-hofs-zeit],"&gt;0"))/(MAX(Lose[Bahn-hofs-zeit])-_xlfn.MINIFS(Lose[Bahn-hofs-zeit],Lose[Bahn-hofs-zeit],"&gt;0"))),5))</f>
        <v>95</v>
      </c>
      <c r="O589">
        <f>IF(Lose[[#This Row],[Gehzeit (min)]]="",0,CEILING(3*(Lose[[#This Row],[Gehzeit (min)]]+Lose[[#This Row],[Aufgaben-zeit (min)]]),5))</f>
        <v>70</v>
      </c>
      <c r="P589">
        <v>7.25</v>
      </c>
      <c r="Q589">
        <f>IFERROR(ROUND(Lose[[#This Row],[Distanz (km)]]*60/Lose[[#This Row],[Gehzeit (min)]],1),"")</f>
        <v>4.5</v>
      </c>
      <c r="R5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1.34</v>
      </c>
      <c r="S589">
        <f>IFERROR(Lose[[#This Row],[Distanz (km)]]-Lose[[#This Row],[Check Distanz]],"")</f>
        <v>0.15999999999999992</v>
      </c>
      <c r="T589" s="60">
        <f>IFERROR(Lose[[#This Row],[Check Umweg]]/Lose[[#This Row],[Check Distanz]],"")</f>
        <v>0.11940298507462679</v>
      </c>
      <c r="U589">
        <f ca="1">IF(RIGHT(Lose[[#This Row],[LosID]],1)="b",_xlfn.XLOOKUP(REPLACE(Lose[[#This Row],[LosID]],LEN(Lose[[#This Row],[LosID]]),1,"a"),Lose[LosID],Lose[Zufallszahl],"",0),RAND())</f>
        <v>0.76886164498797305</v>
      </c>
      <c r="V589" t="b" cm="1">
        <f t="array" aca="1" ref="V589" ca="1">Lose[[#This Row],[Zufallszahl]]&gt;=IFERROR(LARGE((LEFT(Lose[LosID],FIND("-",Lose[LosID])-1)=LEFT(Lose[[#This Row],[LosID]],FIND("-",Lose[[#This Row],[LosID]])-1))*Lose[Zufallszahl],_xlfn.XLOOKUP(LEFT(Lose[[#This Row],[LosID]],FIND("-",Lose[[#This Row],[LosID]])-1),Ziehungsanzahl[Kürzel],Ziehungsanzahl[Kontingent],FALSE,0)),9999)</f>
        <v>0</v>
      </c>
      <c r="W589" s="100"/>
    </row>
    <row r="590" spans="1:23" ht="165" hidden="1">
      <c r="A5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0" t="s">
        <v>4</v>
      </c>
      <c r="C590" t="s">
        <v>1453</v>
      </c>
      <c r="D590" s="1" t="s">
        <v>25275</v>
      </c>
      <c r="E590" t="s">
        <v>1454</v>
      </c>
      <c r="F590" t="s">
        <v>25276</v>
      </c>
      <c r="G590">
        <v>8</v>
      </c>
      <c r="H590">
        <v>1</v>
      </c>
      <c r="I590">
        <v>0.35</v>
      </c>
      <c r="J590">
        <v>10</v>
      </c>
      <c r="K590" t="str" cm="1">
        <f t="array" ref="K5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Völklingen</v>
      </c>
      <c r="L590" t="str">
        <f>IFERROR(LEFT(TRIM(Lose[[#This Row],[Google Koordinaten]]),9),"")</f>
        <v>49.248462</v>
      </c>
      <c r="M590" t="str">
        <f>IFERROR(MID(TRIM(Lose[[#This Row],[Google Koordinaten]]),
FIND(",",TRIM(Lose[[#This Row],[Google Koordinaten]])) + 2,9),"")</f>
        <v>6.8443513</v>
      </c>
      <c r="N590">
        <f>IF(Lose[[#This Row],[Bahn-hofs-zeit]]=0,0,MROUND(30*25^((Lose[[#This Row],[Bahn-hofs-zeit]]-_xlfn.MINIFS(Lose[Bahn-hofs-zeit],Lose[Bahn-hofs-zeit],"&gt;0"))/(MAX(Lose[Bahn-hofs-zeit])-_xlfn.MINIFS(Lose[Bahn-hofs-zeit],Lose[Bahn-hofs-zeit],"&gt;0"))),5))</f>
        <v>125</v>
      </c>
      <c r="O590">
        <f>IF(Lose[[#This Row],[Gehzeit (min)]]="",0,CEILING(3*(Lose[[#This Row],[Gehzeit (min)]]+Lose[[#This Row],[Aufgaben-zeit (min)]]),5))</f>
        <v>30</v>
      </c>
      <c r="P590">
        <v>8.25</v>
      </c>
      <c r="Q590">
        <f>IFERROR(ROUND(Lose[[#This Row],[Distanz (km)]]*60/Lose[[#This Row],[Gehzeit (min)]],1),"")</f>
        <v>2.6</v>
      </c>
      <c r="R5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590">
        <f>IFERROR(Lose[[#This Row],[Distanz (km)]]-Lose[[#This Row],[Check Distanz]],"")</f>
        <v>6.9999999999999951E-2</v>
      </c>
      <c r="T590" s="60">
        <f>IFERROR(Lose[[#This Row],[Check Umweg]]/Lose[[#This Row],[Check Distanz]],"")</f>
        <v>0.24999999999999981</v>
      </c>
      <c r="U590">
        <f ca="1">IF(RIGHT(Lose[[#This Row],[LosID]],1)="b",_xlfn.XLOOKUP(REPLACE(Lose[[#This Row],[LosID]],LEN(Lose[[#This Row],[LosID]]),1,"a"),Lose[LosID],Lose[Zufallszahl],"",0),RAND())</f>
        <v>0.91850803508179457</v>
      </c>
      <c r="V590" t="b" cm="1">
        <f t="array" aca="1" ref="V590" ca="1">Lose[[#This Row],[Zufallszahl]]&gt;=IFERROR(LARGE((LEFT(Lose[LosID],FIND("-",Lose[LosID])-1)=LEFT(Lose[[#This Row],[LosID]],FIND("-",Lose[[#This Row],[LosID]])-1))*Lose[Zufallszahl],_xlfn.XLOOKUP(LEFT(Lose[[#This Row],[LosID]],FIND("-",Lose[[#This Row],[LosID]])-1),Ziehungsanzahl[Kürzel],Ziehungsanzahl[Kontingent],FALSE,0)),9999)</f>
        <v>0</v>
      </c>
    </row>
    <row r="591" spans="1:23" ht="30" hidden="1">
      <c r="A5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1" t="s">
        <v>23352</v>
      </c>
      <c r="C591" t="s">
        <v>25277</v>
      </c>
      <c r="D591" s="1" t="s">
        <v>25278</v>
      </c>
      <c r="E591" t="s">
        <v>25279</v>
      </c>
      <c r="F591" t="s">
        <v>25280</v>
      </c>
      <c r="G591">
        <v>10</v>
      </c>
      <c r="H591">
        <v>1</v>
      </c>
      <c r="I591">
        <v>0.45</v>
      </c>
      <c r="J591" t="s">
        <v>23</v>
      </c>
      <c r="K591" t="str" cm="1">
        <f t="array" ref="K5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Hackescher Markt</v>
      </c>
      <c r="L591" t="str">
        <f>IFERROR(LEFT(TRIM(Lose[[#This Row],[Google Koordinaten]]),9),"")</f>
        <v>52.519822</v>
      </c>
      <c r="M591" t="str">
        <f>IFERROR(MID(TRIM(Lose[[#This Row],[Google Koordinaten]]),
FIND(",",TRIM(Lose[[#This Row],[Google Koordinaten]])) + 2,9),"")</f>
        <v>13.398569</v>
      </c>
      <c r="N591">
        <f>IF(Lose[[#This Row],[Bahn-hofs-zeit]]=0,0,MROUND(30*25^((Lose[[#This Row],[Bahn-hofs-zeit]]-_xlfn.MINIFS(Lose[Bahn-hofs-zeit],Lose[Bahn-hofs-zeit],"&gt;0"))/(MAX(Lose[Bahn-hofs-zeit])-_xlfn.MINIFS(Lose[Bahn-hofs-zeit],Lose[Bahn-hofs-zeit],"&gt;0"))),5))</f>
        <v>135</v>
      </c>
      <c r="O591">
        <f>IF(Lose[[#This Row],[Gehzeit (min)]]="",0,CEILING(3*(Lose[[#This Row],[Gehzeit (min)]]+Lose[[#This Row],[Aufgaben-zeit (min)]]),5))</f>
        <v>35</v>
      </c>
      <c r="P591">
        <v>8.5</v>
      </c>
      <c r="Q591">
        <f>IFERROR(ROUND(Lose[[#This Row],[Distanz (km)]]*60/Lose[[#This Row],[Gehzeit (min)]],1),"")</f>
        <v>2.7</v>
      </c>
      <c r="R5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591">
        <f>IFERROR(Lose[[#This Row],[Distanz (km)]]-Lose[[#This Row],[Check Distanz]],"")</f>
        <v>4.9999999999999989E-2</v>
      </c>
      <c r="T591" s="60">
        <f>IFERROR(Lose[[#This Row],[Check Umweg]]/Lose[[#This Row],[Check Distanz]],"")</f>
        <v>0.12499999999999997</v>
      </c>
      <c r="U591">
        <f ca="1">IF(RIGHT(Lose[[#This Row],[LosID]],1)="b",_xlfn.XLOOKUP(REPLACE(Lose[[#This Row],[LosID]],LEN(Lose[[#This Row],[LosID]]),1,"a"),Lose[LosID],Lose[Zufallszahl],"",0),RAND())</f>
        <v>0.12673314099854205</v>
      </c>
      <c r="V591" t="b" cm="1">
        <f t="array" aca="1" ref="V591" ca="1">Lose[[#This Row],[Zufallszahl]]&gt;=IFERROR(LARGE((LEFT(Lose[LosID],FIND("-",Lose[LosID])-1)=LEFT(Lose[[#This Row],[LosID]],FIND("-",Lose[[#This Row],[LosID]])-1))*Lose[Zufallszahl],_xlfn.XLOOKUP(LEFT(Lose[[#This Row],[LosID]],FIND("-",Lose[[#This Row],[LosID]])-1),Ziehungsanzahl[Kürzel],Ziehungsanzahl[Kontingent],FALSE,0)),9999)</f>
        <v>0</v>
      </c>
    </row>
    <row r="592" spans="1:23" ht="30" hidden="1">
      <c r="A5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2" t="s">
        <v>23380</v>
      </c>
      <c r="C592" t="s">
        <v>25281</v>
      </c>
      <c r="D592" s="1" t="s">
        <v>25282</v>
      </c>
      <c r="E592" t="s">
        <v>25283</v>
      </c>
      <c r="F592" t="s">
        <v>25284</v>
      </c>
      <c r="G592">
        <v>18</v>
      </c>
      <c r="H592">
        <v>1</v>
      </c>
      <c r="I592">
        <v>1</v>
      </c>
      <c r="J592" t="s">
        <v>23</v>
      </c>
      <c r="K592" t="str" cm="1">
        <f t="array" ref="K5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Quedlinburg</v>
      </c>
      <c r="L592" t="str">
        <f>IFERROR(LEFT(TRIM(Lose[[#This Row],[Google Koordinaten]]),9),"")</f>
        <v>51.789334</v>
      </c>
      <c r="M592" t="str">
        <f>IFERROR(MID(TRIM(Lose[[#This Row],[Google Koordinaten]]),
FIND(",",TRIM(Lose[[#This Row],[Google Koordinaten]])) + 2,9),"")</f>
        <v>11.141536</v>
      </c>
      <c r="N592">
        <f>IF(Lose[[#This Row],[Bahn-hofs-zeit]]=0,0,MROUND(30*25^((Lose[[#This Row],[Bahn-hofs-zeit]]-_xlfn.MINIFS(Lose[Bahn-hofs-zeit],Lose[Bahn-hofs-zeit],"&gt;0"))/(MAX(Lose[Bahn-hofs-zeit])-_xlfn.MINIFS(Lose[Bahn-hofs-zeit],Lose[Bahn-hofs-zeit],"&gt;0"))),5))</f>
        <v>205</v>
      </c>
      <c r="O592">
        <f>IF(Lose[[#This Row],[Gehzeit (min)]]="",0,CEILING(3*(Lose[[#This Row],[Gehzeit (min)]]+Lose[[#This Row],[Aufgaben-zeit (min)]]),5))</f>
        <v>60</v>
      </c>
      <c r="P592">
        <v>10</v>
      </c>
      <c r="Q592">
        <f>IFERROR(ROUND(Lose[[#This Row],[Distanz (km)]]*60/Lose[[#This Row],[Gehzeit (min)]],1),"")</f>
        <v>3.3</v>
      </c>
      <c r="R5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0.91</v>
      </c>
      <c r="S592">
        <f>IFERROR(Lose[[#This Row],[Distanz (km)]]-Lose[[#This Row],[Check Distanz]],"")</f>
        <v>8.9999999999999969E-2</v>
      </c>
      <c r="T592" s="60">
        <f>IFERROR(Lose[[#This Row],[Check Umweg]]/Lose[[#This Row],[Check Distanz]],"")</f>
        <v>9.8901098901098869E-2</v>
      </c>
      <c r="U592">
        <f ca="1">IF(RIGHT(Lose[[#This Row],[LosID]],1)="b",_xlfn.XLOOKUP(REPLACE(Lose[[#This Row],[LosID]],LEN(Lose[[#This Row],[LosID]]),1,"a"),Lose[LosID],Lose[Zufallszahl],"",0),RAND())</f>
        <v>0.47079713578832183</v>
      </c>
      <c r="V592" t="b" cm="1">
        <f t="array" aca="1" ref="V592" ca="1">Lose[[#This Row],[Zufallszahl]]&gt;=IFERROR(LARGE((LEFT(Lose[LosID],FIND("-",Lose[LosID])-1)=LEFT(Lose[[#This Row],[LosID]],FIND("-",Lose[[#This Row],[LosID]])-1))*Lose[Zufallszahl],_xlfn.XLOOKUP(LEFT(Lose[[#This Row],[LosID]],FIND("-",Lose[[#This Row],[LosID]])-1),Ziehungsanzahl[Kürzel],Ziehungsanzahl[Kontingent],FALSE,0)),9999)</f>
        <v>0</v>
      </c>
    </row>
    <row r="593" spans="1:23" ht="105">
      <c r="A5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3" t="s">
        <v>23385</v>
      </c>
      <c r="C593" t="s">
        <v>1458</v>
      </c>
      <c r="D593" s="1" t="s">
        <v>25285</v>
      </c>
      <c r="E593" t="s">
        <v>25286</v>
      </c>
      <c r="F593" t="s">
        <v>25287</v>
      </c>
      <c r="G593">
        <v>14</v>
      </c>
      <c r="H593">
        <v>2</v>
      </c>
      <c r="I593">
        <v>1</v>
      </c>
      <c r="J593">
        <v>10</v>
      </c>
      <c r="K593" t="str" cm="1">
        <f t="array" ref="K5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Stadt/Kloster</v>
      </c>
      <c r="L593" t="str">
        <f>IFERROR(LEFT(TRIM(Lose[[#This Row],[Google Koordinaten]]),9),"")</f>
        <v>49.000736</v>
      </c>
      <c r="M593" t="str">
        <f>IFERROR(MID(TRIM(Lose[[#This Row],[Google Koordinaten]]),
FIND(",",TRIM(Lose[[#This Row],[Google Koordinaten]])) + 2,9),"")</f>
        <v>8.8138323</v>
      </c>
      <c r="N593" s="91">
        <f>IF(Lose[[#This Row],[Bahn-hofs-zeit]]=0,0,MROUND(30*25^((Lose[[#This Row],[Bahn-hofs-zeit]]-_xlfn.MINIFS(Lose[Bahn-hofs-zeit],Lose[Bahn-hofs-zeit],"&gt;0"))/(MAX(Lose[Bahn-hofs-zeit])-_xlfn.MINIFS(Lose[Bahn-hofs-zeit],Lose[Bahn-hofs-zeit],"&gt;0"))),5))</f>
        <v>0</v>
      </c>
      <c r="O593">
        <f>IF(Lose[[#This Row],[Gehzeit (min)]]="",0,CEILING(3*(Lose[[#This Row],[Gehzeit (min)]]+Lose[[#This Row],[Aufgaben-zeit (min)]]),5))</f>
        <v>50</v>
      </c>
      <c r="Q593">
        <f>IFERROR(ROUND(Lose[[#This Row],[Distanz (km)]]*60/Lose[[#This Row],[Gehzeit (min)]],1),"")</f>
        <v>4.3</v>
      </c>
      <c r="R5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593">
        <f>IFERROR(Lose[[#This Row],[Distanz (km)]]-Lose[[#This Row],[Check Distanz]],"")</f>
        <v>0.15000000000000002</v>
      </c>
      <c r="T593" s="60">
        <f>IFERROR(Lose[[#This Row],[Check Umweg]]/Lose[[#This Row],[Check Distanz]],"")</f>
        <v>0.17647058823529416</v>
      </c>
      <c r="U593">
        <f ca="1">IF(RIGHT(Lose[[#This Row],[LosID]],1)="b",_xlfn.XLOOKUP(REPLACE(Lose[[#This Row],[LosID]],LEN(Lose[[#This Row],[LosID]]),1,"a"),Lose[LosID],Lose[Zufallszahl],"",0),RAND())</f>
        <v>0.31761464908301562</v>
      </c>
      <c r="V593" t="b" cm="1">
        <f t="array" aca="1" ref="V593" ca="1">Lose[[#This Row],[Zufallszahl]]&gt;=IFERROR(LARGE((LEFT(Lose[LosID],FIND("-",Lose[LosID])-1)=LEFT(Lose[[#This Row],[LosID]],FIND("-",Lose[[#This Row],[LosID]])-1))*Lose[Zufallszahl],_xlfn.XLOOKUP(LEFT(Lose[[#This Row],[LosID]],FIND("-",Lose[[#This Row],[LosID]])-1),Ziehungsanzahl[Kürzel],Ziehungsanzahl[Kontingent],FALSE,0)),9999)</f>
        <v>0</v>
      </c>
      <c r="W593" t="s">
        <v>23884</v>
      </c>
    </row>
    <row r="594" spans="1:23" hidden="1">
      <c r="A5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594"/>
      <c r="L594" t="str">
        <f>IFERROR(LEFT(TRIM(Lose[[#This Row],[Google Koordinaten]]),9),"")</f>
        <v/>
      </c>
      <c r="M594" t="str">
        <f>IFERROR(MID(TRIM(Lose[[#This Row],[Google Koordinaten]]),
FIND(",",TRIM(Lose[[#This Row],[Google Koordinaten]])) + 2,9),"")</f>
        <v/>
      </c>
      <c r="N594">
        <f>IF(Lose[[#This Row],[Bahn-hofs-zeit]]=0,0,MROUND(30*25^((Lose[[#This Row],[Bahn-hofs-zeit]]-_xlfn.MINIFS(Lose[Bahn-hofs-zeit],Lose[Bahn-hofs-zeit],"&gt;0"))/(MAX(Lose[Bahn-hofs-zeit])-_xlfn.MINIFS(Lose[Bahn-hofs-zeit],Lose[Bahn-hofs-zeit],"&gt;0"))),5))</f>
        <v>0</v>
      </c>
      <c r="Q594" t="str">
        <f>IFERROR(ROUND(Lose[[#This Row],[Distanz (km)]]*60/Lose[[#This Row],[Gehzeit (min)]],1),"")</f>
        <v/>
      </c>
      <c r="R59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94" t="str">
        <f>IFERROR(Lose[[#This Row],[Distanz (km)]]-Lose[[#This Row],[Check Distanz]],"")</f>
        <v/>
      </c>
      <c r="T594" s="60" t="str">
        <f>IFERROR(Lose[[#This Row],[Check Umweg]]/Lose[[#This Row],[Check Distanz]],"")</f>
        <v/>
      </c>
      <c r="U594">
        <f ca="1">IF(RIGHT(Lose[[#This Row],[LosID]],1)="b",_xlfn.XLOOKUP(REPLACE(Lose[[#This Row],[LosID]],LEN(Lose[[#This Row],[LosID]]),1,"a"),Lose[LosID],Lose[Zufallszahl],"",0),RAND())</f>
        <v>0.75772806963158301</v>
      </c>
      <c r="V594" t="b" cm="1">
        <f t="array" aca="1" ref="V594" ca="1">Lose[[#This Row],[Zufallszahl]]&gt;=IFERROR(LARGE((LEFT(Lose[LosID],FIND("-",Lose[LosID])-1)=LEFT(Lose[[#This Row],[LosID]],FIND("-",Lose[[#This Row],[LosID]])-1))*Lose[Zufallszahl],_xlfn.XLOOKUP(LEFT(Lose[[#This Row],[LosID]],FIND("-",Lose[[#This Row],[LosID]])-1),Ziehungsanzahl[Kürzel],Ziehungsanzahl[Kontingent],FALSE,0)),9999)</f>
        <v>0</v>
      </c>
    </row>
    <row r="595" spans="1:23" hidden="1">
      <c r="A5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
      </c>
      <c r="B595"/>
      <c r="E595" s="1"/>
      <c r="K595" t="str" cm="1">
        <f t="array" ref="K5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
      </c>
      <c r="L595" t="str">
        <f>IFERROR(LEFT(TRIM(Lose[[#This Row],[Google Koordinaten]]),9),"")</f>
        <v/>
      </c>
      <c r="M595" t="str">
        <f>IFERROR(MID(TRIM(Lose[[#This Row],[Google Koordinaten]]),
FIND(",",TRIM(Lose[[#This Row],[Google Koordinaten]])) + 2,9),"")</f>
        <v/>
      </c>
      <c r="N595">
        <f>IF(Lose[[#This Row],[Bahn-hofs-zeit]]=0,0,MROUND(30*25^((Lose[[#This Row],[Bahn-hofs-zeit]]-_xlfn.MINIFS(Lose[Bahn-hofs-zeit],Lose[Bahn-hofs-zeit],"&gt;0"))/(MAX(Lose[Bahn-hofs-zeit])-_xlfn.MINIFS(Lose[Bahn-hofs-zeit],Lose[Bahn-hofs-zeit],"&gt;0"))),5))</f>
        <v>0</v>
      </c>
      <c r="Q595" t="str">
        <f>IFERROR(ROUND(Lose[[#This Row],[Distanz (km)]]*60/Lose[[#This Row],[Gehzeit (min)]],1),"")</f>
        <v/>
      </c>
      <c r="R59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95" t="str">
        <f>IFERROR(Lose[[#This Row],[Distanz (km)]]-Lose[[#This Row],[Check Distanz]],"")</f>
        <v/>
      </c>
      <c r="T595" s="60" t="str">
        <f>IFERROR(Lose[[#This Row],[Check Umweg]]/Lose[[#This Row],[Check Distanz]],"")</f>
        <v/>
      </c>
      <c r="U595">
        <f ca="1">IF(RIGHT(Lose[[#This Row],[LosID]],1)="b",_xlfn.XLOOKUP(REPLACE(Lose[[#This Row],[LosID]],LEN(Lose[[#This Row],[LosID]]),1,"a"),Lose[LosID],Lose[Zufallszahl],"",0),RAND())</f>
        <v>0.3516836384602452</v>
      </c>
      <c r="V595" t="b" cm="1">
        <f t="array" aca="1" ref="V595" ca="1">Lose[[#This Row],[Zufallszahl]]&gt;=IFERROR(LARGE((LEFT(Lose[LosID],FIND("-",Lose[LosID])-1)=LEFT(Lose[[#This Row],[LosID]],FIND("-",Lose[[#This Row],[LosID]])-1))*Lose[Zufallszahl],_xlfn.XLOOKUP(LEFT(Lose[[#This Row],[LosID]],FIND("-",Lose[[#This Row],[LosID]])-1),Ziehungsanzahl[Kürzel],Ziehungsanzahl[Kontingent],FALSE,0)),9999)</f>
        <v>0</v>
      </c>
    </row>
    <row r="600" spans="1:23">
      <c r="F600" s="1"/>
    </row>
    <row r="601" spans="1:23">
      <c r="F601" s="1"/>
    </row>
  </sheetData>
  <sortState xmlns:xlrd2="http://schemas.microsoft.com/office/spreadsheetml/2017/richdata2" ref="AC2:AC81">
    <sortCondition ref="AC2:AC81"/>
  </sortState>
  <phoneticPr fontId="17" type="noConversion"/>
  <conditionalFormatting sqref="A2:A595">
    <cfRule type="cellIs" dxfId="12" priority="17" operator="notEqual">
      <formula>"OK"</formula>
    </cfRule>
    <cfRule type="cellIs" dxfId="11" priority="18" operator="equal">
      <formula>"OK"</formula>
    </cfRule>
  </conditionalFormatting>
  <pageMargins left="0.7" right="0.7" top="0.78740157499999996" bottom="0.78740157499999996" header="0.3" footer="0.3"/>
  <pageSetup paperSize="9" orientation="portrait" r:id="rId1"/>
  <headerFooter>
    <oddHeader>&amp;L&amp;"DB Neo Office"&amp;11&amp;KEC0016           DB Intern / DB internal&amp;1#_x000D_</oddHeader>
  </headerFooter>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D8B0316-0A50-4712-BAC6-17B6D1891F75}">
          <x14:formula1>
            <xm:f>Hafas!$A$1:$A$10000</xm:f>
          </x14:formula1>
          <xm:sqref>K2:K171 K173:K451 K571:K595 K600:K601 K453:K569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2A7A4-69E0-4CE8-A61B-11862F25B5E8}">
  <sheetPr>
    <tabColor theme="4"/>
  </sheetPr>
  <dimension ref="A1:H21"/>
  <sheetViews>
    <sheetView workbookViewId="0">
      <selection activeCell="E14" sqref="E14"/>
    </sheetView>
  </sheetViews>
  <sheetFormatPr baseColWidth="10" defaultColWidth="11.42578125" defaultRowHeight="15"/>
  <cols>
    <col min="1" max="1" width="35.42578125" customWidth="1"/>
    <col min="2" max="2" width="8.7109375" bestFit="1" customWidth="1"/>
    <col min="3" max="3" width="8.42578125" bestFit="1" customWidth="1"/>
    <col min="4" max="4" width="13" customWidth="1"/>
    <col min="5" max="5" width="91.42578125" bestFit="1" customWidth="1"/>
    <col min="6" max="6" width="20" bestFit="1" customWidth="1"/>
    <col min="8" max="8" width="8.42578125" customWidth="1"/>
  </cols>
  <sheetData>
    <row r="1" spans="1:8" ht="15.75" thickBot="1">
      <c r="A1" t="s">
        <v>56</v>
      </c>
      <c r="B1" t="s">
        <v>25288</v>
      </c>
      <c r="C1" t="s">
        <v>25289</v>
      </c>
      <c r="D1" t="s">
        <v>25290</v>
      </c>
      <c r="E1" t="s">
        <v>25291</v>
      </c>
      <c r="F1" t="s">
        <v>25292</v>
      </c>
    </row>
    <row r="2" spans="1:8">
      <c r="A2" t="s">
        <v>25293</v>
      </c>
      <c r="B2" t="s">
        <v>25294</v>
      </c>
      <c r="C2">
        <f>IFERROR(COUNTIF(Lose[LosID],B2&amp;"-*"),"")</f>
        <v>24</v>
      </c>
      <c r="D2">
        <v>10</v>
      </c>
      <c r="E2" t="s">
        <v>25295</v>
      </c>
      <c r="F2" s="90" t="s">
        <v>25296</v>
      </c>
      <c r="G2" s="69" t="s">
        <v>25297</v>
      </c>
      <c r="H2" s="70">
        <f>SUM(Ziehungsanzahl['#Lose])</f>
        <v>592</v>
      </c>
    </row>
    <row r="3" spans="1:8" ht="15.75" thickBot="1">
      <c r="A3" t="s">
        <v>58</v>
      </c>
      <c r="B3" t="s">
        <v>25298</v>
      </c>
      <c r="C3">
        <f>IFERROR(COUNTIF(Lose[LosID],B3&amp;"-*"),"")</f>
        <v>80</v>
      </c>
      <c r="D3">
        <v>20</v>
      </c>
      <c r="E3" t="s">
        <v>25299</v>
      </c>
      <c r="F3" s="90" t="s">
        <v>25296</v>
      </c>
      <c r="G3" s="71" t="s">
        <v>23350</v>
      </c>
      <c r="H3" s="72">
        <f>SUM(Ziehungsanzahl[Kontingent])</f>
        <v>196</v>
      </c>
    </row>
    <row r="4" spans="1:8">
      <c r="A4" t="s">
        <v>25300</v>
      </c>
      <c r="B4" t="s">
        <v>25301</v>
      </c>
      <c r="C4">
        <f>IFERROR(COUNTIF(Lose[LosID],B4&amp;"-*"),"")</f>
        <v>25</v>
      </c>
      <c r="D4">
        <v>10</v>
      </c>
      <c r="E4" t="s">
        <v>25302</v>
      </c>
      <c r="F4" s="90" t="s">
        <v>25296</v>
      </c>
      <c r="H4" s="59"/>
    </row>
    <row r="5" spans="1:8">
      <c r="A5" t="s">
        <v>25303</v>
      </c>
      <c r="B5" t="s">
        <v>25304</v>
      </c>
      <c r="C5">
        <f>IFERROR(COUNTIF(Lose[LosID],B5&amp;"-*"),"")</f>
        <v>27</v>
      </c>
      <c r="D5">
        <v>10</v>
      </c>
      <c r="E5" t="s">
        <v>25305</v>
      </c>
      <c r="F5" s="90" t="s">
        <v>25296</v>
      </c>
      <c r="H5" s="59"/>
    </row>
    <row r="6" spans="1:8">
      <c r="A6" t="s">
        <v>25306</v>
      </c>
      <c r="B6" t="s">
        <v>25307</v>
      </c>
      <c r="C6">
        <f>IFERROR(COUNTIF(Lose[LosID],B6&amp;"-*"),"")</f>
        <v>25</v>
      </c>
      <c r="D6">
        <v>10</v>
      </c>
      <c r="E6" t="s">
        <v>25308</v>
      </c>
      <c r="F6" s="90" t="s">
        <v>25296</v>
      </c>
      <c r="H6" s="59"/>
    </row>
    <row r="7" spans="1:8">
      <c r="A7" t="s">
        <v>25309</v>
      </c>
      <c r="B7" t="s">
        <v>25310</v>
      </c>
      <c r="C7">
        <f>IFERROR(COUNTIF(Lose[LosID],B7&amp;"-*"),"")</f>
        <v>25</v>
      </c>
      <c r="D7">
        <v>10</v>
      </c>
      <c r="E7" t="s">
        <v>25311</v>
      </c>
      <c r="F7" s="90" t="s">
        <v>25296</v>
      </c>
      <c r="H7" s="59"/>
    </row>
    <row r="8" spans="1:8">
      <c r="A8" t="s">
        <v>25312</v>
      </c>
      <c r="B8" t="s">
        <v>25313</v>
      </c>
      <c r="C8">
        <f>IFERROR(COUNTIF(Lose[LosID],B8&amp;"-*"),"")</f>
        <v>25</v>
      </c>
      <c r="D8">
        <v>10</v>
      </c>
      <c r="E8" t="s">
        <v>25314</v>
      </c>
      <c r="F8" s="90" t="s">
        <v>25296</v>
      </c>
      <c r="H8" s="59"/>
    </row>
    <row r="9" spans="1:8">
      <c r="A9" t="s">
        <v>25315</v>
      </c>
      <c r="B9" t="s">
        <v>25316</v>
      </c>
      <c r="C9">
        <f>IFERROR(COUNTIF(Lose[LosID],B9&amp;"-*"),"")</f>
        <v>24</v>
      </c>
      <c r="D9">
        <v>10</v>
      </c>
      <c r="E9" t="s">
        <v>25317</v>
      </c>
      <c r="F9" s="90" t="s">
        <v>25296</v>
      </c>
      <c r="H9" s="59"/>
    </row>
    <row r="10" spans="1:8">
      <c r="A10" t="s">
        <v>62</v>
      </c>
      <c r="B10" t="s">
        <v>25318</v>
      </c>
      <c r="C10">
        <f>IFERROR(COUNTIF(Lose[LosID],B10&amp;"-*"),"")</f>
        <v>25</v>
      </c>
      <c r="D10">
        <v>10</v>
      </c>
      <c r="E10" t="s">
        <v>25319</v>
      </c>
      <c r="F10" s="90" t="s">
        <v>25296</v>
      </c>
      <c r="H10" s="59"/>
    </row>
    <row r="11" spans="1:8">
      <c r="A11" t="s">
        <v>25320</v>
      </c>
      <c r="B11" t="s">
        <v>25321</v>
      </c>
      <c r="C11">
        <f>IFERROR(COUNTIF(Lose[LosID],B11&amp;"-*"),"")</f>
        <v>25</v>
      </c>
      <c r="D11">
        <v>10</v>
      </c>
      <c r="E11" t="s">
        <v>25322</v>
      </c>
      <c r="F11" s="90" t="s">
        <v>25296</v>
      </c>
      <c r="H11" s="59"/>
    </row>
    <row r="12" spans="1:8">
      <c r="A12" t="s">
        <v>25323</v>
      </c>
      <c r="B12" t="s">
        <v>25324</v>
      </c>
      <c r="C12">
        <f>IFERROR(COUNTIF(Lose[LosID],B12&amp;"-*"),"")</f>
        <v>25</v>
      </c>
      <c r="D12">
        <v>10</v>
      </c>
      <c r="E12" t="s">
        <v>25325</v>
      </c>
      <c r="F12" s="90" t="s">
        <v>25296</v>
      </c>
      <c r="H12" s="59"/>
    </row>
    <row r="13" spans="1:8">
      <c r="A13" t="s">
        <v>25326</v>
      </c>
      <c r="B13" t="s">
        <v>25327</v>
      </c>
      <c r="C13">
        <f>IFERROR(COUNTIF(Lose[LosID],B13&amp;"-*"),"")</f>
        <v>25</v>
      </c>
      <c r="D13">
        <v>10</v>
      </c>
      <c r="E13" t="s">
        <v>25328</v>
      </c>
      <c r="F13" s="90" t="s">
        <v>25296</v>
      </c>
      <c r="H13" s="59"/>
    </row>
    <row r="14" spans="1:8">
      <c r="A14" t="s">
        <v>25329</v>
      </c>
      <c r="B14" t="s">
        <v>25330</v>
      </c>
      <c r="C14">
        <f>IFERROR(COUNTIF(Lose[LosID],B14&amp;"-*"),"")</f>
        <v>80</v>
      </c>
      <c r="D14">
        <v>16</v>
      </c>
      <c r="E14" t="s">
        <v>25331</v>
      </c>
      <c r="F14" s="90" t="s">
        <v>25296</v>
      </c>
      <c r="H14" s="59"/>
    </row>
    <row r="15" spans="1:8">
      <c r="A15" t="s">
        <v>67</v>
      </c>
      <c r="B15" t="s">
        <v>25332</v>
      </c>
      <c r="C15">
        <f>IFERROR(COUNTIF(Lose[LosID],B15&amp;"-*"),"")</f>
        <v>25</v>
      </c>
      <c r="D15">
        <v>10</v>
      </c>
      <c r="E15" t="s">
        <v>25333</v>
      </c>
      <c r="F15" s="90" t="s">
        <v>25296</v>
      </c>
      <c r="H15" s="59"/>
    </row>
    <row r="16" spans="1:8">
      <c r="A16" t="s">
        <v>25334</v>
      </c>
      <c r="B16" t="s">
        <v>25335</v>
      </c>
      <c r="C16">
        <f>IFERROR(COUNTIF(Lose[LosID],B16&amp;"-*"),"")</f>
        <v>25</v>
      </c>
      <c r="D16">
        <v>10</v>
      </c>
      <c r="E16" t="s">
        <v>25336</v>
      </c>
      <c r="F16" s="90" t="s">
        <v>25296</v>
      </c>
      <c r="H16" s="59"/>
    </row>
    <row r="17" spans="1:8">
      <c r="A17" t="s">
        <v>25337</v>
      </c>
      <c r="B17" t="s">
        <v>25338</v>
      </c>
      <c r="C17">
        <f>IFERROR(COUNTIF(Lose[LosID],B17&amp;"-*"),"")</f>
        <v>25</v>
      </c>
      <c r="D17">
        <v>10</v>
      </c>
      <c r="E17" t="s">
        <v>25339</v>
      </c>
      <c r="F17" s="90" t="s">
        <v>25296</v>
      </c>
      <c r="H17" s="59"/>
    </row>
    <row r="18" spans="1:8">
      <c r="A18" t="s">
        <v>25340</v>
      </c>
      <c r="B18" t="s">
        <v>25341</v>
      </c>
      <c r="C18">
        <f>IFERROR(COUNTIF(Lose[LosID],B18&amp;"-*"),"")</f>
        <v>57</v>
      </c>
      <c r="D18">
        <v>10</v>
      </c>
      <c r="E18" t="s">
        <v>25342</v>
      </c>
      <c r="F18" s="90" t="s">
        <v>25296</v>
      </c>
      <c r="H18" s="59"/>
    </row>
    <row r="19" spans="1:8">
      <c r="A19" t="s">
        <v>25343</v>
      </c>
      <c r="B19" t="s">
        <v>25344</v>
      </c>
      <c r="C19">
        <f>IFERROR(COUNTIF(Lose[LosID],B19&amp;"-*"),"")</f>
        <v>25</v>
      </c>
      <c r="D19">
        <v>10</v>
      </c>
      <c r="E19" t="s">
        <v>25345</v>
      </c>
      <c r="F19" s="90" t="s">
        <v>25296</v>
      </c>
      <c r="H19" s="59"/>
    </row>
    <row r="20" spans="1:8">
      <c r="H20" s="59"/>
    </row>
    <row r="21" spans="1:8">
      <c r="H21" s="59"/>
    </row>
  </sheetData>
  <sortState xmlns:xlrd2="http://schemas.microsoft.com/office/spreadsheetml/2017/richdata2" ref="H33:H60">
    <sortCondition ref="H33:H60"/>
  </sortState>
  <pageMargins left="0.7" right="0.7" top="0.78740157499999996" bottom="0.78740157499999996" header="0.3" footer="0.3"/>
  <headerFooter>
    <oddHeader>&amp;L&amp;"DB Neo Office"&amp;11&amp;KEC0016           DB Intern / DB internal&amp;1#_x000D_</oddHead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C1A4A-FEB4-4290-8E3E-57A16A092193}">
  <sheetPr codeName="Tabelle5">
    <tabColor theme="4" tint="0.39997558519241921"/>
  </sheetPr>
  <dimension ref="A1:K60"/>
  <sheetViews>
    <sheetView zoomScaleNormal="100" workbookViewId="0">
      <selection activeCell="J28" sqref="J28"/>
    </sheetView>
  </sheetViews>
  <sheetFormatPr baseColWidth="10" defaultColWidth="11.42578125" defaultRowHeight="15"/>
  <cols>
    <col min="1" max="1" width="28.42578125" bestFit="1" customWidth="1"/>
    <col min="2" max="2" width="15.42578125" customWidth="1"/>
    <col min="3" max="3" width="25.42578125" customWidth="1"/>
    <col min="4" max="4" width="43.42578125" bestFit="1" customWidth="1"/>
    <col min="5" max="5" width="43.42578125" customWidth="1"/>
    <col min="6" max="6" width="15.42578125" customWidth="1"/>
    <col min="7" max="7" width="25.42578125" bestFit="1" customWidth="1"/>
    <col min="9" max="9" width="28.42578125" bestFit="1" customWidth="1"/>
  </cols>
  <sheetData>
    <row r="1" spans="1:11" ht="22.5">
      <c r="A1" s="112" t="s">
        <v>25346</v>
      </c>
      <c r="B1" s="112"/>
      <c r="C1" s="112"/>
      <c r="D1" s="112"/>
      <c r="E1" s="112"/>
      <c r="F1" s="112"/>
      <c r="G1" s="112"/>
    </row>
    <row r="2" spans="1:11" ht="29.25">
      <c r="A2" s="27" t="s">
        <v>3</v>
      </c>
      <c r="B2" s="28" t="s">
        <v>25347</v>
      </c>
      <c r="C2" s="28" t="s">
        <v>25348</v>
      </c>
      <c r="D2" s="28" t="s">
        <v>25349</v>
      </c>
      <c r="E2" s="28" t="s">
        <v>25350</v>
      </c>
      <c r="F2" s="28" t="s">
        <v>25351</v>
      </c>
      <c r="G2" s="29" t="s">
        <v>25352</v>
      </c>
      <c r="I2" s="12" t="s">
        <v>25353</v>
      </c>
      <c r="J2" s="12" t="s">
        <v>25354</v>
      </c>
      <c r="K2" s="12" t="s">
        <v>25355</v>
      </c>
    </row>
    <row r="3" spans="1:11">
      <c r="A3" s="21"/>
      <c r="B3" s="17"/>
      <c r="C3" s="13"/>
      <c r="D3" s="18"/>
      <c r="E3" s="18"/>
      <c r="F3" s="18"/>
      <c r="G3" s="30"/>
      <c r="I3" s="15">
        <v>1</v>
      </c>
      <c r="J3" s="14">
        <f>COUNTIF($F$3:$F$60,I3)</f>
        <v>0</v>
      </c>
      <c r="K3" s="14" t="str">
        <f>IF(J3&lt;3,"ok","prüfen")</f>
        <v>ok</v>
      </c>
    </row>
    <row r="4" spans="1:11">
      <c r="A4" s="21"/>
      <c r="B4" s="17"/>
      <c r="C4" s="13"/>
      <c r="D4" s="18"/>
      <c r="E4" s="18"/>
      <c r="F4" s="18"/>
      <c r="G4" s="30"/>
      <c r="I4" s="15">
        <v>2</v>
      </c>
      <c r="J4" s="14">
        <f t="shared" ref="J4:J23" si="0">COUNTIF($F$3:$F$60,I4)</f>
        <v>0</v>
      </c>
      <c r="K4" s="14" t="str">
        <f t="shared" ref="K4:K23" si="1">IF(J4&lt;3,"ok","prüfen")</f>
        <v>ok</v>
      </c>
    </row>
    <row r="5" spans="1:11">
      <c r="A5" s="21"/>
      <c r="B5" s="17"/>
      <c r="C5" s="13"/>
      <c r="D5" s="18"/>
      <c r="E5" s="18"/>
      <c r="F5" s="18"/>
      <c r="G5" s="30"/>
      <c r="I5" s="15">
        <v>3</v>
      </c>
      <c r="J5" s="14">
        <f t="shared" si="0"/>
        <v>0</v>
      </c>
      <c r="K5" s="14" t="str">
        <f t="shared" si="1"/>
        <v>ok</v>
      </c>
    </row>
    <row r="6" spans="1:11">
      <c r="A6" s="21"/>
      <c r="B6" s="17"/>
      <c r="C6" s="13"/>
      <c r="D6" s="18"/>
      <c r="E6" s="18"/>
      <c r="F6" s="18"/>
      <c r="G6" s="30"/>
      <c r="I6" s="15">
        <v>4</v>
      </c>
      <c r="J6" s="14">
        <f t="shared" si="0"/>
        <v>0</v>
      </c>
      <c r="K6" s="14" t="str">
        <f t="shared" si="1"/>
        <v>ok</v>
      </c>
    </row>
    <row r="7" spans="1:11">
      <c r="A7" s="21"/>
      <c r="B7" s="17"/>
      <c r="C7" s="13"/>
      <c r="D7" s="18"/>
      <c r="E7" s="18"/>
      <c r="F7" s="18"/>
      <c r="G7" s="30"/>
      <c r="I7" s="15">
        <v>5</v>
      </c>
      <c r="J7" s="14">
        <f t="shared" si="0"/>
        <v>0</v>
      </c>
      <c r="K7" s="14" t="str">
        <f t="shared" si="1"/>
        <v>ok</v>
      </c>
    </row>
    <row r="8" spans="1:11">
      <c r="A8" s="21"/>
      <c r="B8" s="17"/>
      <c r="C8" s="13"/>
      <c r="D8" s="18"/>
      <c r="E8" s="18"/>
      <c r="F8" s="18"/>
      <c r="G8" s="30"/>
      <c r="I8" s="15">
        <v>6</v>
      </c>
      <c r="J8" s="14">
        <f t="shared" si="0"/>
        <v>0</v>
      </c>
      <c r="K8" s="14" t="str">
        <f t="shared" si="1"/>
        <v>ok</v>
      </c>
    </row>
    <row r="9" spans="1:11">
      <c r="A9" s="21"/>
      <c r="B9" s="17"/>
      <c r="C9" s="13"/>
      <c r="D9" s="18"/>
      <c r="E9" s="18"/>
      <c r="F9" s="18"/>
      <c r="G9" s="30"/>
      <c r="I9" s="15">
        <v>7</v>
      </c>
      <c r="J9" s="14">
        <f t="shared" si="0"/>
        <v>0</v>
      </c>
      <c r="K9" s="14" t="str">
        <f t="shared" si="1"/>
        <v>ok</v>
      </c>
    </row>
    <row r="10" spans="1:11">
      <c r="A10" s="21"/>
      <c r="B10" s="17"/>
      <c r="C10" s="13"/>
      <c r="D10" s="18"/>
      <c r="E10" s="18"/>
      <c r="F10" s="18"/>
      <c r="G10" s="30"/>
      <c r="I10" s="15">
        <v>8</v>
      </c>
      <c r="J10" s="14">
        <f t="shared" si="0"/>
        <v>0</v>
      </c>
      <c r="K10" s="14" t="str">
        <f t="shared" si="1"/>
        <v>ok</v>
      </c>
    </row>
    <row r="11" spans="1:11">
      <c r="A11" s="21"/>
      <c r="B11" s="17"/>
      <c r="C11" s="13"/>
      <c r="D11" s="18"/>
      <c r="E11" s="18"/>
      <c r="F11" s="18"/>
      <c r="G11" s="30"/>
      <c r="I11" s="15">
        <v>9</v>
      </c>
      <c r="J11" s="14">
        <f t="shared" si="0"/>
        <v>0</v>
      </c>
      <c r="K11" s="14" t="str">
        <f t="shared" si="1"/>
        <v>ok</v>
      </c>
    </row>
    <row r="12" spans="1:11">
      <c r="A12" s="21"/>
      <c r="B12" s="17"/>
      <c r="C12" s="13"/>
      <c r="D12" s="18"/>
      <c r="E12" s="18"/>
      <c r="F12" s="18"/>
      <c r="G12" s="30"/>
      <c r="I12" s="15">
        <v>10</v>
      </c>
      <c r="J12" s="14">
        <f t="shared" si="0"/>
        <v>0</v>
      </c>
      <c r="K12" s="14" t="str">
        <f t="shared" si="1"/>
        <v>ok</v>
      </c>
    </row>
    <row r="13" spans="1:11">
      <c r="A13" s="21"/>
      <c r="B13" s="17"/>
      <c r="C13" s="13"/>
      <c r="D13" s="14"/>
      <c r="E13" s="14"/>
      <c r="F13" s="18"/>
      <c r="G13" s="30"/>
      <c r="I13" s="15">
        <v>11</v>
      </c>
      <c r="J13" s="14">
        <f t="shared" si="0"/>
        <v>0</v>
      </c>
      <c r="K13" s="14" t="str">
        <f t="shared" si="1"/>
        <v>ok</v>
      </c>
    </row>
    <row r="14" spans="1:11">
      <c r="A14" s="21"/>
      <c r="B14" s="17"/>
      <c r="C14" s="13"/>
      <c r="D14" s="18"/>
      <c r="E14" s="18"/>
      <c r="F14" s="18"/>
      <c r="G14" s="30"/>
      <c r="I14" s="15">
        <v>12</v>
      </c>
      <c r="J14" s="14">
        <f t="shared" si="0"/>
        <v>0</v>
      </c>
      <c r="K14" s="14" t="str">
        <f t="shared" si="1"/>
        <v>ok</v>
      </c>
    </row>
    <row r="15" spans="1:11">
      <c r="A15" s="21"/>
      <c r="B15" s="17"/>
      <c r="C15" s="13"/>
      <c r="D15" s="18"/>
      <c r="E15" s="18"/>
      <c r="F15" s="18"/>
      <c r="G15" s="30"/>
      <c r="I15" s="15">
        <v>13</v>
      </c>
      <c r="J15" s="14">
        <f t="shared" si="0"/>
        <v>0</v>
      </c>
      <c r="K15" s="14" t="str">
        <f t="shared" si="1"/>
        <v>ok</v>
      </c>
    </row>
    <row r="16" spans="1:11">
      <c r="A16" s="21"/>
      <c r="B16" s="17"/>
      <c r="C16" s="13"/>
      <c r="D16" s="18"/>
      <c r="E16" s="18"/>
      <c r="F16" s="18"/>
      <c r="G16" s="30"/>
      <c r="I16" s="15">
        <v>14</v>
      </c>
      <c r="J16" s="14">
        <f t="shared" si="0"/>
        <v>0</v>
      </c>
      <c r="K16" s="14" t="str">
        <f t="shared" si="1"/>
        <v>ok</v>
      </c>
    </row>
    <row r="17" spans="1:11">
      <c r="A17" s="21"/>
      <c r="B17" s="17"/>
      <c r="C17" s="13"/>
      <c r="D17" s="18"/>
      <c r="E17" s="18"/>
      <c r="F17" s="18"/>
      <c r="G17" s="30"/>
      <c r="I17" s="15">
        <v>15</v>
      </c>
      <c r="J17" s="14">
        <f t="shared" si="0"/>
        <v>0</v>
      </c>
      <c r="K17" s="14" t="str">
        <f t="shared" si="1"/>
        <v>ok</v>
      </c>
    </row>
    <row r="18" spans="1:11">
      <c r="A18" s="21"/>
      <c r="B18" s="17"/>
      <c r="C18" s="13"/>
      <c r="D18" s="18"/>
      <c r="E18" s="18"/>
      <c r="F18" s="18"/>
      <c r="G18" s="30"/>
      <c r="I18" s="15">
        <v>16</v>
      </c>
      <c r="J18" s="14">
        <f t="shared" si="0"/>
        <v>0</v>
      </c>
      <c r="K18" s="14" t="str">
        <f t="shared" si="1"/>
        <v>ok</v>
      </c>
    </row>
    <row r="19" spans="1:11">
      <c r="A19" s="21"/>
      <c r="B19" s="17"/>
      <c r="C19" s="13"/>
      <c r="D19" s="18"/>
      <c r="E19" s="18"/>
      <c r="F19" s="18"/>
      <c r="G19" s="30"/>
      <c r="I19" s="15">
        <v>17</v>
      </c>
      <c r="J19" s="14">
        <f t="shared" si="0"/>
        <v>0</v>
      </c>
      <c r="K19" s="14" t="str">
        <f t="shared" si="1"/>
        <v>ok</v>
      </c>
    </row>
    <row r="20" spans="1:11">
      <c r="A20" s="21"/>
      <c r="B20" s="17"/>
      <c r="C20" s="13"/>
      <c r="D20" s="18"/>
      <c r="E20" s="18"/>
      <c r="F20" s="18"/>
      <c r="G20" s="30"/>
      <c r="I20" s="15">
        <v>18</v>
      </c>
      <c r="J20" s="14">
        <f t="shared" si="0"/>
        <v>0</v>
      </c>
      <c r="K20" s="14" t="str">
        <f t="shared" si="1"/>
        <v>ok</v>
      </c>
    </row>
    <row r="21" spans="1:11">
      <c r="A21" s="21"/>
      <c r="B21" s="17"/>
      <c r="C21" s="13"/>
      <c r="D21" s="18"/>
      <c r="E21" s="18"/>
      <c r="F21" s="18"/>
      <c r="G21" s="30"/>
      <c r="I21" s="15">
        <v>19</v>
      </c>
      <c r="J21" s="14">
        <f t="shared" si="0"/>
        <v>0</v>
      </c>
      <c r="K21" s="14" t="str">
        <f t="shared" si="1"/>
        <v>ok</v>
      </c>
    </row>
    <row r="22" spans="1:11">
      <c r="A22" s="21"/>
      <c r="B22" s="17"/>
      <c r="C22" s="13"/>
      <c r="D22" s="18"/>
      <c r="E22" s="18"/>
      <c r="F22" s="18"/>
      <c r="G22" s="30"/>
      <c r="I22" s="15">
        <v>20</v>
      </c>
      <c r="J22" s="14">
        <f t="shared" si="0"/>
        <v>0</v>
      </c>
      <c r="K22" s="14" t="str">
        <f t="shared" si="1"/>
        <v>ok</v>
      </c>
    </row>
    <row r="23" spans="1:11">
      <c r="A23" s="21"/>
      <c r="B23" s="17"/>
      <c r="C23" s="13"/>
      <c r="D23" s="18"/>
      <c r="E23" s="18"/>
      <c r="F23" s="18"/>
      <c r="G23" s="30"/>
      <c r="I23" s="15">
        <v>21</v>
      </c>
      <c r="J23" s="14">
        <f t="shared" si="0"/>
        <v>0</v>
      </c>
      <c r="K23" s="14" t="str">
        <f t="shared" si="1"/>
        <v>ok</v>
      </c>
    </row>
    <row r="24" spans="1:11">
      <c r="A24" s="21"/>
      <c r="B24" s="17"/>
      <c r="C24" s="13"/>
      <c r="D24" s="18"/>
      <c r="E24" s="18"/>
      <c r="F24" s="18"/>
      <c r="G24" s="30"/>
    </row>
    <row r="25" spans="1:11">
      <c r="A25" s="21"/>
      <c r="B25" s="17"/>
      <c r="C25" s="19"/>
      <c r="D25" s="20"/>
      <c r="E25" s="18"/>
      <c r="F25" s="18"/>
      <c r="G25" s="30"/>
    </row>
    <row r="26" spans="1:11">
      <c r="A26" s="21"/>
      <c r="B26" s="17"/>
      <c r="C26" s="13"/>
      <c r="D26" s="18"/>
      <c r="E26" s="18"/>
      <c r="F26" s="18"/>
      <c r="G26" s="30"/>
    </row>
    <row r="27" spans="1:11">
      <c r="A27" s="21"/>
      <c r="B27" s="17"/>
      <c r="C27" s="13"/>
      <c r="D27" s="18"/>
      <c r="E27" s="18"/>
      <c r="F27" s="18"/>
      <c r="G27" s="30"/>
      <c r="I27" s="12" t="s">
        <v>3</v>
      </c>
      <c r="J27" s="12" t="s">
        <v>25288</v>
      </c>
    </row>
    <row r="28" spans="1:11">
      <c r="A28" s="21"/>
      <c r="B28" s="17"/>
      <c r="C28" s="13"/>
      <c r="D28" s="18"/>
      <c r="E28" s="18"/>
      <c r="F28" s="18"/>
      <c r="G28" s="30"/>
      <c r="I28" s="13"/>
      <c r="J28" s="13"/>
    </row>
    <row r="29" spans="1:11">
      <c r="A29" s="21"/>
      <c r="B29" s="17"/>
      <c r="C29" s="13"/>
      <c r="D29" s="18"/>
      <c r="E29" s="18"/>
      <c r="F29" s="18"/>
      <c r="G29" s="30"/>
      <c r="I29" s="13"/>
      <c r="J29" s="13"/>
    </row>
    <row r="30" spans="1:11">
      <c r="A30" s="21"/>
      <c r="B30" s="17"/>
      <c r="C30" s="13"/>
      <c r="D30" s="18"/>
      <c r="E30" s="18"/>
      <c r="F30" s="18"/>
      <c r="G30" s="30"/>
      <c r="I30" s="13"/>
      <c r="J30" s="13"/>
    </row>
    <row r="31" spans="1:11">
      <c r="A31" s="21"/>
      <c r="B31" s="17"/>
      <c r="C31" s="19"/>
      <c r="D31" s="19"/>
      <c r="E31" s="18"/>
      <c r="F31" s="18"/>
      <c r="G31" s="30"/>
      <c r="I31" s="13"/>
      <c r="J31" s="13"/>
    </row>
    <row r="32" spans="1:11">
      <c r="A32" s="21"/>
      <c r="B32" s="17"/>
      <c r="C32" s="13"/>
      <c r="D32" s="18"/>
      <c r="E32" s="18"/>
      <c r="F32" s="18"/>
      <c r="G32" s="30"/>
      <c r="I32" s="13"/>
      <c r="J32" s="13"/>
    </row>
    <row r="33" spans="1:10">
      <c r="A33" s="21"/>
      <c r="B33" s="17"/>
      <c r="C33" s="13"/>
      <c r="D33" s="18"/>
      <c r="E33" s="18"/>
      <c r="F33" s="18"/>
      <c r="G33" s="30"/>
      <c r="I33" s="13"/>
      <c r="J33" s="13"/>
    </row>
    <row r="34" spans="1:10">
      <c r="A34" s="21"/>
      <c r="B34" s="17"/>
      <c r="C34" s="13"/>
      <c r="D34" s="18"/>
      <c r="E34" s="18"/>
      <c r="F34" s="18"/>
      <c r="G34" s="30"/>
      <c r="I34" s="13"/>
      <c r="J34" s="13"/>
    </row>
    <row r="35" spans="1:10">
      <c r="A35" s="21"/>
      <c r="B35" s="17"/>
      <c r="C35" s="13"/>
      <c r="D35" s="18"/>
      <c r="E35" s="18"/>
      <c r="F35" s="18"/>
      <c r="G35" s="30"/>
      <c r="I35" s="13"/>
      <c r="J35" s="13"/>
    </row>
    <row r="36" spans="1:10">
      <c r="A36" s="21"/>
      <c r="B36" s="17"/>
      <c r="C36" s="13"/>
      <c r="D36" s="18"/>
      <c r="E36" s="18"/>
      <c r="F36" s="18"/>
      <c r="G36" s="30"/>
      <c r="I36" s="13"/>
      <c r="J36" s="13"/>
    </row>
    <row r="37" spans="1:10">
      <c r="A37" s="21"/>
      <c r="B37" s="17"/>
      <c r="C37" s="13"/>
      <c r="D37" s="18"/>
      <c r="E37" s="18"/>
      <c r="F37" s="18"/>
      <c r="G37" s="30"/>
      <c r="I37" s="13"/>
      <c r="J37" s="13"/>
    </row>
    <row r="38" spans="1:10">
      <c r="A38" s="21"/>
      <c r="B38" s="17"/>
      <c r="C38" s="13"/>
      <c r="D38" s="18"/>
      <c r="E38" s="18"/>
      <c r="F38" s="18"/>
      <c r="G38" s="30"/>
      <c r="I38" s="13"/>
      <c r="J38" s="16"/>
    </row>
    <row r="39" spans="1:10">
      <c r="A39" s="21"/>
      <c r="B39" s="17"/>
      <c r="C39" s="13"/>
      <c r="D39" s="18"/>
      <c r="E39" s="18"/>
      <c r="F39" s="18"/>
      <c r="G39" s="30"/>
      <c r="I39" s="13"/>
      <c r="J39" s="13"/>
    </row>
    <row r="40" spans="1:10">
      <c r="A40" s="21"/>
      <c r="B40" s="17"/>
      <c r="C40" s="13"/>
      <c r="D40" s="18"/>
      <c r="E40" s="18"/>
      <c r="F40" s="18"/>
      <c r="G40" s="30"/>
    </row>
    <row r="41" spans="1:10">
      <c r="A41" s="21"/>
      <c r="B41" s="17"/>
      <c r="C41" s="13"/>
      <c r="D41" s="18"/>
      <c r="E41" s="18"/>
      <c r="F41" s="18"/>
      <c r="G41" s="30"/>
    </row>
    <row r="42" spans="1:10">
      <c r="A42" s="21"/>
      <c r="B42" s="17"/>
      <c r="C42" s="13"/>
      <c r="D42" s="18"/>
      <c r="E42" s="18"/>
      <c r="F42" s="18"/>
      <c r="G42" s="30"/>
    </row>
    <row r="43" spans="1:10">
      <c r="A43" s="21"/>
      <c r="B43" s="17"/>
      <c r="C43" s="13"/>
      <c r="D43" s="18"/>
      <c r="E43" s="18"/>
      <c r="F43" s="18"/>
      <c r="G43" s="30"/>
    </row>
    <row r="44" spans="1:10">
      <c r="A44" s="21"/>
      <c r="B44" s="17"/>
      <c r="C44" s="19"/>
      <c r="D44" s="20"/>
      <c r="E44" s="18"/>
      <c r="F44" s="18"/>
      <c r="G44" s="30"/>
    </row>
    <row r="45" spans="1:10">
      <c r="A45" s="21"/>
      <c r="B45" s="17"/>
      <c r="C45" s="19"/>
      <c r="D45" s="20"/>
      <c r="E45" s="18"/>
      <c r="F45" s="18"/>
      <c r="G45" s="30"/>
    </row>
    <row r="46" spans="1:10">
      <c r="A46" s="21"/>
      <c r="B46" s="17"/>
      <c r="C46" s="19"/>
      <c r="D46" s="20"/>
      <c r="E46" s="18"/>
      <c r="F46" s="18"/>
      <c r="G46" s="30"/>
    </row>
    <row r="47" spans="1:10">
      <c r="A47" s="21"/>
      <c r="B47" s="17"/>
      <c r="C47" s="19"/>
      <c r="D47" s="20"/>
      <c r="E47" s="18"/>
      <c r="F47" s="18"/>
      <c r="G47" s="30"/>
    </row>
    <row r="48" spans="1:10">
      <c r="A48" s="21"/>
      <c r="B48" s="17"/>
      <c r="C48" s="19"/>
      <c r="D48" s="20"/>
      <c r="E48" s="18"/>
      <c r="F48" s="18"/>
      <c r="G48" s="30"/>
    </row>
    <row r="49" spans="1:7">
      <c r="A49" s="21"/>
      <c r="B49" s="17"/>
      <c r="C49" s="19"/>
      <c r="D49" s="20"/>
      <c r="E49" s="18"/>
      <c r="F49" s="18"/>
      <c r="G49" s="30"/>
    </row>
    <row r="50" spans="1:7">
      <c r="A50" s="21"/>
      <c r="B50" s="17"/>
      <c r="C50" s="19"/>
      <c r="D50" s="20"/>
      <c r="E50" s="18"/>
      <c r="F50" s="18"/>
      <c r="G50" s="30"/>
    </row>
    <row r="51" spans="1:7">
      <c r="A51" s="21"/>
      <c r="B51" s="17"/>
      <c r="C51" s="19"/>
      <c r="D51" s="20"/>
      <c r="E51" s="18"/>
      <c r="F51" s="18"/>
      <c r="G51" s="30"/>
    </row>
    <row r="52" spans="1:7">
      <c r="A52" s="21"/>
      <c r="B52" s="17"/>
      <c r="C52" s="19"/>
      <c r="D52" s="20"/>
      <c r="E52" s="18"/>
      <c r="F52" s="18"/>
      <c r="G52" s="30"/>
    </row>
    <row r="53" spans="1:7">
      <c r="A53" s="21"/>
      <c r="B53" s="17"/>
      <c r="C53" s="19"/>
      <c r="D53" s="20"/>
      <c r="E53" s="18"/>
      <c r="F53" s="18"/>
      <c r="G53" s="30"/>
    </row>
    <row r="54" spans="1:7">
      <c r="A54" s="21"/>
      <c r="B54" s="17"/>
      <c r="C54" s="19"/>
      <c r="D54" s="20"/>
      <c r="E54" s="18"/>
      <c r="F54" s="18"/>
      <c r="G54" s="30"/>
    </row>
    <row r="55" spans="1:7">
      <c r="A55" s="21"/>
      <c r="B55" s="17"/>
      <c r="C55" s="19"/>
      <c r="D55" s="20"/>
      <c r="E55" s="18"/>
      <c r="F55" s="18"/>
      <c r="G55" s="30"/>
    </row>
    <row r="56" spans="1:7">
      <c r="A56" s="21"/>
      <c r="B56" s="17"/>
      <c r="C56" s="19"/>
      <c r="D56" s="20"/>
      <c r="E56" s="18"/>
      <c r="F56" s="18"/>
      <c r="G56" s="30"/>
    </row>
    <row r="57" spans="1:7">
      <c r="A57" s="21"/>
      <c r="B57" s="17"/>
      <c r="C57" s="19"/>
      <c r="D57" s="20"/>
      <c r="E57" s="18"/>
      <c r="F57" s="18"/>
      <c r="G57" s="30"/>
    </row>
    <row r="58" spans="1:7">
      <c r="A58" s="21"/>
      <c r="B58" s="17"/>
      <c r="C58" s="19"/>
      <c r="D58" s="20"/>
      <c r="E58" s="18"/>
      <c r="F58" s="18"/>
      <c r="G58" s="30"/>
    </row>
    <row r="59" spans="1:7">
      <c r="A59" s="21"/>
      <c r="B59" s="17"/>
      <c r="C59" s="19"/>
      <c r="D59" s="20"/>
      <c r="E59" s="18"/>
      <c r="F59" s="18"/>
      <c r="G59" s="30"/>
    </row>
    <row r="60" spans="1:7">
      <c r="A60" s="22"/>
      <c r="B60" s="23"/>
      <c r="C60" s="24"/>
      <c r="D60" s="25"/>
      <c r="E60" s="26"/>
      <c r="F60" s="26"/>
      <c r="G60" s="31"/>
    </row>
  </sheetData>
  <sortState xmlns:xlrd2="http://schemas.microsoft.com/office/spreadsheetml/2017/richdata2" ref="I28:J39">
    <sortCondition ref="I28:I39"/>
  </sortState>
  <mergeCells count="1">
    <mergeCell ref="A1:G1"/>
  </mergeCells>
  <phoneticPr fontId="17" type="noConversion"/>
  <conditionalFormatting sqref="A3:A60">
    <cfRule type="expression" dxfId="10" priority="11">
      <formula>IF(A3="Noch ohne Team",TRUE,FALSE)</formula>
    </cfRule>
  </conditionalFormatting>
  <conditionalFormatting sqref="B42:E43 B44:B60 E44:E60">
    <cfRule type="expression" dxfId="9" priority="3">
      <formula>IF($D42="Absage",TRUE,FALSE)</formula>
    </cfRule>
  </conditionalFormatting>
  <conditionalFormatting sqref="C44:D60">
    <cfRule type="expression" dxfId="8" priority="1">
      <formula>IF(#REF!="Absage",TRUE,FALSE)</formula>
    </cfRule>
  </conditionalFormatting>
  <conditionalFormatting sqref="D44:D60">
    <cfRule type="expression" dxfId="7" priority="2">
      <formula>IF(D44="???",TRUE,FALSE)</formula>
    </cfRule>
  </conditionalFormatting>
  <conditionalFormatting sqref="D42:E43 E44:E60">
    <cfRule type="expression" dxfId="6" priority="4">
      <formula>IF(D42="???",TRUE,FALSE)</formula>
    </cfRule>
  </conditionalFormatting>
  <conditionalFormatting sqref="D3:G3 D4:F41 G4:G60 F42:F60">
    <cfRule type="expression" dxfId="5" priority="12">
      <formula>IF(D3="???",TRUE,FALSE)</formula>
    </cfRule>
  </conditionalFormatting>
  <conditionalFormatting sqref="I39">
    <cfRule type="expression" dxfId="4" priority="5">
      <formula>IF(#REF!="Absage",TRUE,FALSE)</formula>
    </cfRule>
  </conditionalFormatting>
  <conditionalFormatting sqref="I28:J38">
    <cfRule type="expression" dxfId="3" priority="7">
      <formula>IF(#REF!="Absage",TRUE,FALSE)</formula>
    </cfRule>
    <cfRule type="expression" dxfId="2" priority="8">
      <formula>IF(I28="Noch ohne Team",TRUE,FALSE)</formula>
    </cfRule>
  </conditionalFormatting>
  <conditionalFormatting sqref="I39:J39">
    <cfRule type="expression" dxfId="1" priority="6">
      <formula>IF(I39="Noch ohne Team",TRUE,FALSE)</formula>
    </cfRule>
  </conditionalFormatting>
  <conditionalFormatting sqref="J39 A3:G3 A4:F41 G4:G60 A42:A60 F42:F60">
    <cfRule type="expression" dxfId="0" priority="10">
      <formula>IF(#REF!="Absage",TRUE,FALSE)</formula>
    </cfRule>
  </conditionalFormatting>
  <pageMargins left="0.7" right="0.7" top="0.78740157499999996" bottom="0.78740157499999996" header="0.3" footer="0.3"/>
  <pageSetup paperSize="9" orientation="portrait" r:id="rId1"/>
  <headerFooter>
    <oddHeader>&amp;L&amp;"DB Neo Office"&amp;11&amp;KEC0016           DB Intern / DB internal&amp;1#_x000D_</oddHead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FBF149C151A60D4CA53ABF94271CEFD2" ma:contentTypeVersion="14" ma:contentTypeDescription="Ein neues Dokument erstellen." ma:contentTypeScope="" ma:versionID="b1480e08c06a5c772cac29e29dbd012f">
  <xsd:schema xmlns:xsd="http://www.w3.org/2001/XMLSchema" xmlns:xs="http://www.w3.org/2001/XMLSchema" xmlns:p="http://schemas.microsoft.com/office/2006/metadata/properties" xmlns:ns2="10b9dd11-7844-4ae8-8f74-f5fa59d2f793" xmlns:ns3="c238c9ce-f22b-4d38-acc4-be73f88797ad" targetNamespace="http://schemas.microsoft.com/office/2006/metadata/properties" ma:root="true" ma:fieldsID="fe95dfafba55866003be2556524d2f71" ns2:_="" ns3:_="">
    <xsd:import namespace="10b9dd11-7844-4ae8-8f74-f5fa59d2f793"/>
    <xsd:import namespace="c238c9ce-f22b-4d38-acc4-be73f88797a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b9dd11-7844-4ae8-8f74-f5fa59d2f7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Bildmarkierungen" ma:readOnly="false" ma:fieldId="{5cf76f15-5ced-4ddc-b409-7134ff3c332f}" ma:taxonomyMulti="true" ma:sspId="f80f6d38-43b1-4def-ac06-3ce7426a3aa7"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6" nillable="true" ma:displayName="MediaLengthInSeconds" ma:hidden="true" ma:internalName="MediaLengthInSeconds" ma:readOnly="true">
      <xsd:simpleType>
        <xsd:restriction base="dms:Unknown"/>
      </xsd:simpleType>
    </xsd:element>
    <xsd:element name="MediaServiceLocation" ma:index="17" nillable="true" ma:displayName="Location" ma:indexed="true"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38c9ce-f22b-4d38-acc4-be73f88797ad" elementFormDefault="qualified">
    <xsd:import namespace="http://schemas.microsoft.com/office/2006/documentManagement/types"/>
    <xsd:import namespace="http://schemas.microsoft.com/office/infopath/2007/PartnerControls"/>
    <xsd:element name="SharedWithUsers" ma:index="2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10b9dd11-7844-4ae8-8f74-f5fa59d2f79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2ED045-46A7-40C4-9099-39AD3AAE2103}">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8F73EF88-66AE-4781-8B2E-3744B3BDBDC4}">
  <ds:schemaRefs>
    <ds:schemaRef ds:uri="http://schemas.microsoft.com/sharepoint/v3/contenttype/forms"/>
  </ds:schemaRefs>
</ds:datastoreItem>
</file>

<file path=customXml/itemProps3.xml><?xml version="1.0" encoding="utf-8"?>
<ds:datastoreItem xmlns:ds="http://schemas.openxmlformats.org/officeDocument/2006/customXml" ds:itemID="{3D0BCAEC-BDD5-41EA-AE88-F2BC0619DE2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b9dd11-7844-4ae8-8f74-f5fa59d2f793"/>
    <ds:schemaRef ds:uri="c238c9ce-f22b-4d38-acc4-be73f88797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2B94CB7-3808-49EE-9299-45251A21F61C}">
  <ds:schemaRefs>
    <ds:schemaRef ds:uri="http://www.w3.org/2001/XMLSchema"/>
    <ds:schemaRef ds:uri="http://microsoft.data.visualization.Client.Excel/1.0"/>
  </ds:schemaRefs>
</ds:datastoreItem>
</file>

<file path=customXml/itemProps5.xml><?xml version="1.0" encoding="utf-8"?>
<ds:datastoreItem xmlns:ds="http://schemas.openxmlformats.org/officeDocument/2006/customXml" ds:itemID="{38FB2CF5-4ADD-4C35-AEB0-F49F0D6112E7}">
  <ds:schemaRefs>
    <ds:schemaRef ds:uri="http://purl.org/dc/elements/1.1/"/>
    <ds:schemaRef ds:uri="c238c9ce-f22b-4d38-acc4-be73f88797ad"/>
    <ds:schemaRef ds:uri="http://schemas.microsoft.com/office/infopath/2007/PartnerControls"/>
    <ds:schemaRef ds:uri="http://purl.org/dc/terms/"/>
    <ds:schemaRef ds:uri="http://schemas.microsoft.com/office/2006/metadata/properties"/>
    <ds:schemaRef ds:uri="http://schemas.microsoft.com/office/2006/documentManagement/types"/>
    <ds:schemaRef ds:uri="http://schemas.openxmlformats.org/package/2006/metadata/core-properties"/>
    <ds:schemaRef ds:uri="10b9dd11-7844-4ae8-8f74-f5fa59d2f793"/>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4</vt:i4>
      </vt:variant>
    </vt:vector>
  </HeadingPairs>
  <TitlesOfParts>
    <vt:vector size="13" baseType="lpstr">
      <vt:lpstr>Logbuch 2026 befüllt</vt:lpstr>
      <vt:lpstr>Ziehung 2025</vt:lpstr>
      <vt:lpstr>Logbuch 2026</vt:lpstr>
      <vt:lpstr>Ziehung 2026</vt:lpstr>
      <vt:lpstr>Automat</vt:lpstr>
      <vt:lpstr>Hafas</vt:lpstr>
      <vt:lpstr>Lose</vt:lpstr>
      <vt:lpstr>Parameter</vt:lpstr>
      <vt:lpstr>Teilnehmerliste 2026</vt:lpstr>
      <vt:lpstr>'Logbuch 2026'!Info</vt:lpstr>
      <vt:lpstr>'Logbuch 2026'!Los</vt:lpstr>
      <vt:lpstr>LosID</vt:lpstr>
      <vt:lpstr>'Logbuch 2026'!Transport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Bastian Waldorf</dc:creator>
  <cp:keywords/>
  <dc:description/>
  <cp:lastModifiedBy>Benedikt Zarl</cp:lastModifiedBy>
  <cp:revision/>
  <dcterms:created xsi:type="dcterms:W3CDTF">2018-12-18T09:20:27Z</dcterms:created>
  <dcterms:modified xsi:type="dcterms:W3CDTF">2026-08-14T13:57:31Z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0x010100FBF149C151A60D4CA53ABF94271CEFD2</vt:lpwstr>
  </property>
  <property fmtid="{D5CDD505-2E9C-101B-9397-08002B2CF9AE}" pid="3" name="MediaServiceImageTags">
    <vt:lpwstr/>
  </property>
  <property fmtid="{D5CDD505-2E9C-101B-9397-08002B2CF9AE}" pid="4" name="MSIP_Label_3dac9f92-1d4e-4aae-b975-a9900684008d_Enabled">
    <vt:lpwstr>true</vt:lpwstr>
  </property>
  <property fmtid="{D5CDD505-2E9C-101B-9397-08002B2CF9AE}" pid="5" name="MSIP_Label_3dac9f92-1d4e-4aae-b975-a9900684008d_SetDate">
    <vt:lpwstr>2026-06-10T07:40:52Z</vt:lpwstr>
  </property>
  <property fmtid="{D5CDD505-2E9C-101B-9397-08002B2CF9AE}" pid="6" name="MSIP_Label_3dac9f92-1d4e-4aae-b975-a9900684008d_Method">
    <vt:lpwstr>Standard</vt:lpwstr>
  </property>
  <property fmtid="{D5CDD505-2E9C-101B-9397-08002B2CF9AE}" pid="7" name="MSIP_Label_3dac9f92-1d4e-4aae-b975-a9900684008d_Name">
    <vt:lpwstr>DB Intern</vt:lpwstr>
  </property>
  <property fmtid="{D5CDD505-2E9C-101B-9397-08002B2CF9AE}" pid="8" name="MSIP_Label_3dac9f92-1d4e-4aae-b975-a9900684008d_SiteId">
    <vt:lpwstr>a1a72d9c-49e6-4f6d-9af6-5aafa1183bfd</vt:lpwstr>
  </property>
  <property fmtid="{D5CDD505-2E9C-101B-9397-08002B2CF9AE}" pid="9" name="MSIP_Label_3dac9f92-1d4e-4aae-b975-a9900684008d_ActionId">
    <vt:lpwstr>87c74167-a1a2-43e8-8dae-e68825f11de8</vt:lpwstr>
  </property>
  <property fmtid="{D5CDD505-2E9C-101B-9397-08002B2CF9AE}" pid="10" name="MSIP_Label_3dac9f92-1d4e-4aae-b975-a9900684008d_ContentBits">
    <vt:lpwstr>1</vt:lpwstr>
  </property>
  <property fmtid="{D5CDD505-2E9C-101B-9397-08002B2CF9AE}" pid="11" name="MSIP_Label_3dac9f92-1d4e-4aae-b975-a9900684008d_Tag">
    <vt:lpwstr>10, 3, 0, 1</vt:lpwstr>
  </property>
</Properties>
</file>